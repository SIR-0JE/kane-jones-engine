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vmlDrawing4.vml" ContentType="application/vnd.openxmlformats-officedocument.vmlDrawing"/>
  <Override PartName="/xl/comments4.xml" ContentType="application/vnd.openxmlformats-officedocument.spreadsheetml.comments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vmlDrawing5.vml" ContentType="application/vnd.openxmlformats-officedocument.vmlDrawing"/>
  <Override PartName="/xl/comments5.xml" ContentType="application/vnd.openxmlformats-officedocument.spreadsheetml.comments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vmlDrawing6.vml" ContentType="application/vnd.openxmlformats-officedocument.vmlDrawing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vmlDrawing7.vml" ContentType="application/vnd.openxmlformats-officedocument.vmlDrawing"/>
  <Override PartName="/xl/comments7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6" lowestEdited="6" rupBuild="14420"/>
  <workbookPr defaultThemeVersion="153222"/>
  <bookViews>
    <workbookView xWindow="0" yWindow="0" windowWidth="19200" windowHeight="6610" firstSheet="35" activeTab="37" tabRatio="500"/>
  </bookViews>
  <sheets>
    <sheet name="tmpA1A6" sheetId="1" r:id="rId1"/>
    <sheet name="tmp32C7" sheetId="2" r:id="rId2"/>
    <sheet name="Price list" sheetId="3" r:id="rId3"/>
    <sheet name="July 1st Sales Report" sheetId="4" r:id="rId4"/>
    <sheet name="July 2nd Sales Report" sheetId="5" r:id="rId5"/>
    <sheet name="July 3rd Sales Report" sheetId="6" r:id="rId6"/>
    <sheet name="July 4th Sales Report " sheetId="7" r:id="rId7"/>
    <sheet name="July 5th Sales Report" sheetId="8" r:id="rId8"/>
    <sheet name="July 6th Sales Report" sheetId="9" r:id="rId9"/>
    <sheet name="July 7th Sales Report" sheetId="10" r:id="rId10"/>
    <sheet name="July 8th Sales Report" sheetId="11" r:id="rId11"/>
    <sheet name="July 9th Sales Report" sheetId="12" r:id="rId12"/>
    <sheet name="July 10th Sales Report" sheetId="13" r:id="rId13"/>
    <sheet name="July 11th Sales Report" sheetId="14" r:id="rId14"/>
    <sheet name="July 12th Sales Report" sheetId="15" r:id="rId15"/>
    <sheet name="July 13th Sales Report" sheetId="16" r:id="rId16"/>
    <sheet name="July 14th Sales Report" sheetId="17" r:id="rId17"/>
    <sheet name="July 15th Sales Report" sheetId="18" r:id="rId18"/>
    <sheet name="July 16th Sales Report" sheetId="19" r:id="rId19"/>
    <sheet name="July 17th Sales Report" sheetId="20" r:id="rId20"/>
    <sheet name="July 18th Sales Report" sheetId="21" r:id="rId21"/>
    <sheet name="July 19th Sales Report" sheetId="22" r:id="rId22"/>
    <sheet name="July 20th Sales Report" sheetId="23" r:id="rId23"/>
    <sheet name="July 21st Sales Report" sheetId="24" r:id="rId24"/>
    <sheet name="July 22nd Sales Report" sheetId="25" r:id="rId25"/>
    <sheet name="July 23rd Sales Report" sheetId="26" r:id="rId26"/>
    <sheet name="July 24th Sales Report" sheetId="27" r:id="rId27"/>
    <sheet name="July 25th Sales Report" sheetId="28" r:id="rId28"/>
    <sheet name="July 26th Sales Report" sheetId="29" r:id="rId29"/>
    <sheet name="July 27th Sales Report" sheetId="30" r:id="rId30"/>
    <sheet name="July 28th Sales Report" sheetId="31" r:id="rId31"/>
    <sheet name="29th Sales Report" sheetId="32" r:id="rId32"/>
    <sheet name="30th Sales Report" sheetId="33" r:id="rId33"/>
    <sheet name="31st Sales Report " sheetId="34" r:id="rId34"/>
    <sheet name="Price Comparison" sheetId="35" r:id="rId35"/>
    <sheet name="Volume Pricing Analysis" sheetId="36" r:id="rId36"/>
    <sheet name="Aggregate Summary" sheetId="37" r:id="rId37"/>
    <sheet name="Customer Margin Detail" sheetId="38" r:id="rId38"/>
  </sheets>
  <calcPr calcId="152511" iterateDelta="1.0E-4"/>
</workbook>
</file>

<file path=xl/comments4.xml><?xml version="1.0" encoding="utf-8"?>
<comments xmlns="http://schemas.openxmlformats.org/spreadsheetml/2006/main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Editable input</t>
        </r>
      </text>
    </comment>
    <comment ref="B1" authorId="0">
      <text>
        <r>
          <rPr>
            <sz val="10"/>
            <rFont val="Arial"/>
            <family val="2"/>
          </rPr>
          <t xml:space="preserve">Editable input</t>
        </r>
      </text>
    </comment>
    <comment ref="C1" authorId="0">
      <text>
        <r>
          <rPr>
            <sz val="10"/>
            <rFont val="Arial"/>
            <family val="2"/>
          </rPr>
          <t xml:space="preserve">Editable input</t>
        </r>
      </text>
    </comment>
    <comment ref="D1" authorId="0">
      <text>
        <r>
          <rPr>
            <sz val="10"/>
            <rFont val="Arial"/>
            <family val="2"/>
          </rPr>
          <t xml:space="preserve">Editable input</t>
        </r>
      </text>
    </comment>
    <comment ref="F1" authorId="0">
      <text>
        <r>
          <rPr>
            <sz val="10"/>
            <rFont val="Arial"/>
            <family val="2"/>
          </rPr>
          <t xml:space="preserve">Editable input</t>
        </r>
      </text>
    </comment>
  </commentList>
</comments>
</file>

<file path=xl/comments5.xml><?xml version="1.0" encoding="utf-8"?>
<comments xmlns="http://schemas.openxmlformats.org/spreadsheetml/2006/main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Editable input</t>
        </r>
      </text>
    </comment>
    <comment ref="B1" authorId="0">
      <text>
        <r>
          <rPr>
            <sz val="10"/>
            <rFont val="Arial"/>
            <family val="2"/>
          </rPr>
          <t xml:space="preserve">Editable input</t>
        </r>
      </text>
    </comment>
    <comment ref="C1" authorId="0">
      <text>
        <r>
          <rPr>
            <sz val="10"/>
            <rFont val="Arial"/>
            <family val="2"/>
          </rPr>
          <t xml:space="preserve">Editable input</t>
        </r>
      </text>
    </comment>
    <comment ref="D1" authorId="0">
      <text>
        <r>
          <rPr>
            <sz val="10"/>
            <rFont val="Arial"/>
            <family val="2"/>
          </rPr>
          <t xml:space="preserve">Editable input</t>
        </r>
      </text>
    </comment>
    <comment ref="F1" authorId="0">
      <text>
        <r>
          <rPr>
            <sz val="10"/>
            <rFont val="Arial"/>
            <family val="2"/>
          </rPr>
          <t xml:space="preserve">Editable input</t>
        </r>
      </text>
    </comment>
  </commentList>
</comments>
</file>

<file path=xl/comments6.xml><?xml version="1.0" encoding="utf-8"?>
<comments xmlns="http://schemas.openxmlformats.org/spreadsheetml/2006/main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Editable input</t>
        </r>
      </text>
    </comment>
    <comment ref="B1" authorId="0">
      <text>
        <r>
          <rPr>
            <sz val="10"/>
            <rFont val="Arial"/>
            <family val="2"/>
          </rPr>
          <t xml:space="preserve">Editable input</t>
        </r>
      </text>
    </comment>
    <comment ref="C1" authorId="0">
      <text>
        <r>
          <rPr>
            <sz val="10"/>
            <rFont val="Arial"/>
            <family val="2"/>
          </rPr>
          <t xml:space="preserve">Editable input</t>
        </r>
      </text>
    </comment>
    <comment ref="D1" authorId="0">
      <text>
        <r>
          <rPr>
            <sz val="10"/>
            <rFont val="Arial"/>
            <family val="2"/>
          </rPr>
          <t xml:space="preserve">Editable input</t>
        </r>
      </text>
    </comment>
    <comment ref="F1" authorId="0">
      <text>
        <r>
          <rPr>
            <sz val="10"/>
            <rFont val="Arial"/>
            <family val="2"/>
          </rPr>
          <t xml:space="preserve">Editable input</t>
        </r>
      </text>
    </comment>
  </commentList>
</comments>
</file>

<file path=xl/comments7.xml><?xml version="1.0" encoding="utf-8"?>
<comments xmlns="http://schemas.openxmlformats.org/spreadsheetml/2006/main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Editable input</t>
        </r>
      </text>
    </comment>
    <comment ref="B1" authorId="0">
      <text>
        <r>
          <rPr>
            <sz val="10"/>
            <rFont val="Arial"/>
            <family val="2"/>
          </rPr>
          <t xml:space="preserve">Editable input</t>
        </r>
      </text>
    </comment>
    <comment ref="C1" authorId="0">
      <text>
        <r>
          <rPr>
            <sz val="10"/>
            <rFont val="Arial"/>
            <family val="2"/>
          </rPr>
          <t xml:space="preserve">Editable input</t>
        </r>
      </text>
    </comment>
    <comment ref="D1" authorId="0">
      <text>
        <r>
          <rPr>
            <sz val="10"/>
            <rFont val="Arial"/>
            <family val="2"/>
          </rPr>
          <t xml:space="preserve">Editable input</t>
        </r>
      </text>
    </comment>
    <comment ref="F1" authorId="0">
      <text>
        <r>
          <rPr>
            <sz val="10"/>
            <rFont val="Arial"/>
            <family val="2"/>
          </rPr>
          <t xml:space="preserve">Editable input</t>
        </r>
      </text>
    </comment>
  </commentList>
</comments>
</file>

<file path=xl/sharedStrings.xml><?xml version="1.0" encoding="utf-8"?>
<sst xmlns="http://schemas.openxmlformats.org/spreadsheetml/2006/main" uniqueCount="845" count="845">
  <si>
    <t>KANE-JONES</t>
  </si>
  <si>
    <t>SALES REGISTER</t>
  </si>
  <si>
    <t>7/1/2026 TO 7/15/2026</t>
  </si>
  <si>
    <t>VOUCHER DATE</t>
  </si>
  <si>
    <t>PARTICULARS</t>
  </si>
  <si>
    <t>VCHNO</t>
  </si>
  <si>
    <t>Purchase Order No</t>
  </si>
  <si>
    <t>TRANSACTION VALUE</t>
  </si>
  <si>
    <t>RECEIVED AMOUNT</t>
  </si>
  <si>
    <t>OUTSTANDING AMOUNT</t>
  </si>
  <si>
    <t>GROSS REVENUE</t>
  </si>
  <si>
    <t>COST</t>
  </si>
  <si>
    <t>GROSS PROFIT</t>
  </si>
  <si>
    <t>% PROFIT</t>
  </si>
  <si>
    <t>NARRATION</t>
  </si>
  <si>
    <t>Walk in Customer</t>
  </si>
  <si>
    <t>ann-INV142</t>
  </si>
  <si>
    <t>ITEM/SERVICE</t>
  </si>
  <si>
    <t>QUANTITY</t>
  </si>
  <si>
    <t>RATE</t>
  </si>
  <si>
    <t>DESCRIPTION</t>
  </si>
  <si>
    <t>Trophy</t>
  </si>
  <si>
    <t>Goldberg 60cl</t>
  </si>
  <si>
    <t>ann-INV143</t>
  </si>
  <si>
    <t>Maltina Pet 33cl</t>
  </si>
  <si>
    <t>Eniola Marketer</t>
  </si>
  <si>
    <t>ann-INV144</t>
  </si>
  <si>
    <t>Maltina Pet 50cl</t>
  </si>
  <si>
    <t>Maltina Can</t>
  </si>
  <si>
    <t>Ameh Mathew</t>
  </si>
  <si>
    <t>ann-INV145</t>
  </si>
  <si>
    <t>Heineken Sleek Can</t>
  </si>
  <si>
    <t>Goldberg Can 50cl</t>
  </si>
  <si>
    <t>33 Export Can</t>
  </si>
  <si>
    <t>Desperados Can</t>
  </si>
  <si>
    <t>Legend Can 44cl</t>
  </si>
  <si>
    <t>Tiger Bottle</t>
  </si>
  <si>
    <t>Turbo King Bottle 60cl</t>
  </si>
  <si>
    <t>NB Empties</t>
  </si>
  <si>
    <t>ann-INV146</t>
  </si>
  <si>
    <t>TD Odiolowo</t>
  </si>
  <si>
    <t>ann-INV147</t>
  </si>
  <si>
    <t>ann-INV148</t>
  </si>
  <si>
    <t>Medium Stout</t>
  </si>
  <si>
    <t>33 Export 60cl</t>
  </si>
  <si>
    <t>Heineken Bottle 60cl</t>
  </si>
  <si>
    <t>ann-INV149</t>
  </si>
  <si>
    <t>ann-INV150</t>
  </si>
  <si>
    <t>IB Empties</t>
  </si>
  <si>
    <t>GNS EMPTIES</t>
  </si>
  <si>
    <t>Rita SR</t>
  </si>
  <si>
    <t>ann-INV152</t>
  </si>
  <si>
    <t>ann-INV153</t>
  </si>
  <si>
    <t>ann-INV154</t>
  </si>
  <si>
    <t>ann-INV155</t>
  </si>
  <si>
    <t>ann-INV156</t>
  </si>
  <si>
    <t>4th Street wine</t>
  </si>
  <si>
    <t>ann-INV157</t>
  </si>
  <si>
    <t>ann-INV158</t>
  </si>
  <si>
    <t>Mr Lekan Ojifini</t>
  </si>
  <si>
    <t>ann-INV159</t>
  </si>
  <si>
    <t>CLIMAX CAN</t>
  </si>
  <si>
    <t>ACE BITTERS</t>
  </si>
  <si>
    <t>WURAOLA</t>
  </si>
  <si>
    <t>ann-INV160</t>
  </si>
  <si>
    <t>Gulder Bottle</t>
  </si>
  <si>
    <t>Abbey Illisan</t>
  </si>
  <si>
    <t>ann-INV161</t>
  </si>
  <si>
    <t>ann-INV162</t>
  </si>
  <si>
    <t>Amstel Bottle</t>
  </si>
  <si>
    <t>Fayrouz Can</t>
  </si>
  <si>
    <t>Legend 45cl</t>
  </si>
  <si>
    <t>ann-INV163</t>
  </si>
  <si>
    <t>ann-INV164</t>
  </si>
  <si>
    <t>ann-INV167</t>
  </si>
  <si>
    <t>ATW</t>
  </si>
  <si>
    <t>ann-INV165</t>
  </si>
  <si>
    <t>Heineken Bottle 45cl</t>
  </si>
  <si>
    <t>Tmoney NB</t>
  </si>
  <si>
    <t>ann-INV166</t>
  </si>
  <si>
    <t>Williams Bottle 60cl</t>
  </si>
  <si>
    <t>tomaco</t>
  </si>
  <si>
    <t>ann-INV169</t>
  </si>
  <si>
    <t>ann-INV171</t>
  </si>
  <si>
    <t>ann-INV170</t>
  </si>
  <si>
    <t>XXIII LOUNGE</t>
  </si>
  <si>
    <t>ann-INV168</t>
  </si>
  <si>
    <t>Desperados Bottle</t>
  </si>
  <si>
    <t>ann-INV172</t>
  </si>
  <si>
    <t>ann-INV173</t>
  </si>
  <si>
    <t>ann-INV174</t>
  </si>
  <si>
    <t>ann-INV175</t>
  </si>
  <si>
    <t>ann-INV176</t>
  </si>
  <si>
    <t>Star Bottle 60cl</t>
  </si>
  <si>
    <t>ann-INV178</t>
  </si>
  <si>
    <t>Jeff SR</t>
  </si>
  <si>
    <t>ann-INV179</t>
  </si>
  <si>
    <t>Looking Good</t>
  </si>
  <si>
    <t>ann-INV177</t>
  </si>
  <si>
    <t>Sellers Estimate Reference: ann-EST3,</t>
  </si>
  <si>
    <t>Legend Bottle 60cl</t>
  </si>
  <si>
    <t>Maltina Bottle</t>
  </si>
  <si>
    <t>Remilekun</t>
  </si>
  <si>
    <t>ann-INV180</t>
  </si>
  <si>
    <t>Mr Godswill</t>
  </si>
  <si>
    <t>ann-INV181</t>
  </si>
  <si>
    <t>AZ Marketer</t>
  </si>
  <si>
    <t>ann-INV183</t>
  </si>
  <si>
    <t>ann-INV184</t>
  </si>
  <si>
    <t>Mrs Oladejo</t>
  </si>
  <si>
    <t>ann-INV185</t>
  </si>
  <si>
    <t>ann-INV186</t>
  </si>
  <si>
    <t>ann-INV187</t>
  </si>
  <si>
    <t>Star Radler 45cl</t>
  </si>
  <si>
    <t>ann-INV188</t>
  </si>
  <si>
    <t>ann-INV189</t>
  </si>
  <si>
    <t>ann-INV191</t>
  </si>
  <si>
    <t>ann-INV192</t>
  </si>
  <si>
    <t>ann-INV193</t>
  </si>
  <si>
    <t>STK 33cl</t>
  </si>
  <si>
    <t>ann-INV190</t>
  </si>
  <si>
    <t>ann-INV194</t>
  </si>
  <si>
    <t>MRS IK.</t>
  </si>
  <si>
    <t>ann-INV195</t>
  </si>
  <si>
    <t>ann-INV197</t>
  </si>
  <si>
    <t>DESOLA STORE</t>
  </si>
  <si>
    <t>ann-INV196</t>
  </si>
  <si>
    <t>Demola SR</t>
  </si>
  <si>
    <t>ann-INV198</t>
  </si>
  <si>
    <t>Sellers Estimate Reference: PC1-EST5,</t>
  </si>
  <si>
    <t>ann-INV199</t>
  </si>
  <si>
    <t>ann-INV200</t>
  </si>
  <si>
    <t>Rukky bee</t>
  </si>
  <si>
    <t>ann-INV201</t>
  </si>
  <si>
    <t>Sellers Estimate Reference: PC1-EST4,</t>
  </si>
  <si>
    <t>ann-INV202</t>
  </si>
  <si>
    <t>ann-INV203</t>
  </si>
  <si>
    <t>ann-INV204</t>
  </si>
  <si>
    <t>ann-INV205</t>
  </si>
  <si>
    <t>Emmycee</t>
  </si>
  <si>
    <t>ann-INV206</t>
  </si>
  <si>
    <t>Goldberg Black 45cl</t>
  </si>
  <si>
    <t>ann-INV207</t>
  </si>
  <si>
    <t>ann-INV208</t>
  </si>
  <si>
    <t>ann-INV209</t>
  </si>
  <si>
    <t>Amandla</t>
  </si>
  <si>
    <t>ann-INV210</t>
  </si>
  <si>
    <t>Sellers Estimate Reference: ann-EST4,</t>
  </si>
  <si>
    <t>Empties Premium</t>
  </si>
  <si>
    <t>ann-INV212</t>
  </si>
  <si>
    <t>Fayrouz Bottle</t>
  </si>
  <si>
    <t>ann-INV211</t>
  </si>
  <si>
    <t>Delayers</t>
  </si>
  <si>
    <t>ann-INV213</t>
  </si>
  <si>
    <t>Solomon</t>
  </si>
  <si>
    <t>ann-INV214</t>
  </si>
  <si>
    <t>ann-INV215</t>
  </si>
  <si>
    <t>Ahmed SR</t>
  </si>
  <si>
    <t>ann-INV216</t>
  </si>
  <si>
    <t>ann-INV218</t>
  </si>
  <si>
    <t>ann-INV219</t>
  </si>
  <si>
    <t>ann-INV220</t>
  </si>
  <si>
    <t>ann-INV222</t>
  </si>
  <si>
    <t>Ola SR</t>
  </si>
  <si>
    <t>ann-INV221</t>
  </si>
  <si>
    <t>Mama Oyin Mowe</t>
  </si>
  <si>
    <t>ann-INV223</t>
  </si>
  <si>
    <t>Sellers Estimate Reference: tayo-EST1,</t>
  </si>
  <si>
    <t>Mr Musefiu</t>
  </si>
  <si>
    <t>ann-INV224</t>
  </si>
  <si>
    <t>ann-INV225</t>
  </si>
  <si>
    <t>ann-INV227</t>
  </si>
  <si>
    <t>ann-INV228</t>
  </si>
  <si>
    <t>PC1-INV5</t>
  </si>
  <si>
    <t>NB Loose Crate</t>
  </si>
  <si>
    <t>ann-INV229</t>
  </si>
  <si>
    <t>ann-INV230</t>
  </si>
  <si>
    <t>ann-INV231</t>
  </si>
  <si>
    <t>Heineken Can 50cl</t>
  </si>
  <si>
    <t>ann-INV232</t>
  </si>
  <si>
    <t>ann-INV233</t>
  </si>
  <si>
    <t>Smirnoff Ice.</t>
  </si>
  <si>
    <t>ann-INV234</t>
  </si>
  <si>
    <t>ann-INV235</t>
  </si>
  <si>
    <t>ann-INV236</t>
  </si>
  <si>
    <t>ann-INV237</t>
  </si>
  <si>
    <t>ann-INV238</t>
  </si>
  <si>
    <t>ann-INV239</t>
  </si>
  <si>
    <t>ann-INV240</t>
  </si>
  <si>
    <t>ann-INV241</t>
  </si>
  <si>
    <t>Chamdor 75cl</t>
  </si>
  <si>
    <t>ann-INV242</t>
  </si>
  <si>
    <t>ann-INV243</t>
  </si>
  <si>
    <t>ann-INV244</t>
  </si>
  <si>
    <t>ann-INV245</t>
  </si>
  <si>
    <t>ann-INV247</t>
  </si>
  <si>
    <t>samson</t>
  </si>
  <si>
    <t>ann-INV246</t>
  </si>
  <si>
    <t>ann-INV248</t>
  </si>
  <si>
    <t>ann-INV251</t>
  </si>
  <si>
    <t>ann-INV249</t>
  </si>
  <si>
    <t>ann-INV250</t>
  </si>
  <si>
    <t>ann-INV255</t>
  </si>
  <si>
    <t>ann-INV252</t>
  </si>
  <si>
    <t>ann-INV253</t>
  </si>
  <si>
    <t>ann-INV254</t>
  </si>
  <si>
    <t>ann-INV256</t>
  </si>
  <si>
    <t>ann-INV257</t>
  </si>
  <si>
    <t>ann-INV258</t>
  </si>
  <si>
    <t>ann-INV259</t>
  </si>
  <si>
    <t>FINO STORES</t>
  </si>
  <si>
    <t>ann-INV260</t>
  </si>
  <si>
    <t>Mr Olayinka</t>
  </si>
  <si>
    <t>ann-INV261</t>
  </si>
  <si>
    <t>ann-INV262</t>
  </si>
  <si>
    <t>ann-INV263</t>
  </si>
  <si>
    <t>ann-INV264</t>
  </si>
  <si>
    <t>ann-INV265</t>
  </si>
  <si>
    <t>ann-INV266</t>
  </si>
  <si>
    <t>Staff Debit</t>
  </si>
  <si>
    <t>ann-INV267</t>
  </si>
  <si>
    <t>forklift operator</t>
  </si>
  <si>
    <t>ann-INV268</t>
  </si>
  <si>
    <t>ann-INV269</t>
  </si>
  <si>
    <t>Amstel Can</t>
  </si>
  <si>
    <t>ann-INV270</t>
  </si>
  <si>
    <t>ann-INV271</t>
  </si>
  <si>
    <t>ann-INV272</t>
  </si>
  <si>
    <t>ann-INV273</t>
  </si>
  <si>
    <t>TROPHY CAN</t>
  </si>
  <si>
    <t>ann-INV274</t>
  </si>
  <si>
    <t>Etigwam Nig Ltd</t>
  </si>
  <si>
    <t>Tayo-INV138</t>
  </si>
  <si>
    <t>ARIKKY BAR</t>
  </si>
  <si>
    <t>ann-INV275</t>
  </si>
  <si>
    <t>Castle Lite</t>
  </si>
  <si>
    <t>ann-INV277</t>
  </si>
  <si>
    <t>Y k BAR</t>
  </si>
  <si>
    <t>ann-INV278</t>
  </si>
  <si>
    <t>ann-INV276</t>
  </si>
  <si>
    <t>Tayo-INV139</t>
  </si>
  <si>
    <t>Sellers Estimate Reference: tayo-EST4, ASM</t>
  </si>
  <si>
    <t>ann-INV279</t>
  </si>
  <si>
    <t>ann-INV280</t>
  </si>
  <si>
    <t>ann-INV281</t>
  </si>
  <si>
    <t>ann-INV282</t>
  </si>
  <si>
    <t>TOTAL ( 140 Transactions)</t>
  </si>
  <si>
    <t>NGN94,508,490</t>
  </si>
  <si>
    <t>NGN76,307,920</t>
  </si>
  <si>
    <t>NGN18,200,570</t>
  </si>
  <si>
    <t>NGN92,706,204</t>
  </si>
  <si>
    <t>NGN1,802,286</t>
  </si>
  <si>
    <t>7/16/2026 TO 7/31/2026</t>
  </si>
  <si>
    <t>Taiwo SR</t>
  </si>
  <si>
    <t>ann-INV283</t>
  </si>
  <si>
    <t>5 cans</t>
  </si>
  <si>
    <t>ann-INV284</t>
  </si>
  <si>
    <t>1 pets</t>
  </si>
  <si>
    <t>ann-INV285</t>
  </si>
  <si>
    <t>100 pets</t>
  </si>
  <si>
    <t>30 cans</t>
  </si>
  <si>
    <t>15 cans</t>
  </si>
  <si>
    <t>25 cans</t>
  </si>
  <si>
    <t>20 cans</t>
  </si>
  <si>
    <t>ann-INV286</t>
  </si>
  <si>
    <t>2 pets</t>
  </si>
  <si>
    <t>1 cans</t>
  </si>
  <si>
    <t>ann-INV287</t>
  </si>
  <si>
    <t>ann-INV288</t>
  </si>
  <si>
    <t>25 crt</t>
  </si>
  <si>
    <t>5 crt</t>
  </si>
  <si>
    <t>30 Empty</t>
  </si>
  <si>
    <t>25 Empty</t>
  </si>
  <si>
    <t>ann-INV289</t>
  </si>
  <si>
    <t>2 crt</t>
  </si>
  <si>
    <t>1 crt</t>
  </si>
  <si>
    <t>ann-INV290</t>
  </si>
  <si>
    <t>ann-INV291</t>
  </si>
  <si>
    <t>ann-INV292</t>
  </si>
  <si>
    <t>ann-INV293</t>
  </si>
  <si>
    <t>ann-INV296</t>
  </si>
  <si>
    <t>ann-INV297</t>
  </si>
  <si>
    <t>ann-INV294</t>
  </si>
  <si>
    <t>22 crt</t>
  </si>
  <si>
    <t>6 crt</t>
  </si>
  <si>
    <t>9 crt</t>
  </si>
  <si>
    <t>14 crt</t>
  </si>
  <si>
    <t>50 pets</t>
  </si>
  <si>
    <t>47 Empty</t>
  </si>
  <si>
    <t>6 Empty</t>
  </si>
  <si>
    <t>ann-INV295</t>
  </si>
  <si>
    <t>Budweiser</t>
  </si>
  <si>
    <t>ann-INV298</t>
  </si>
  <si>
    <t>1 Empty</t>
  </si>
  <si>
    <t>OGUNDE SR</t>
  </si>
  <si>
    <t>ann-INV299</t>
  </si>
  <si>
    <t>384 pets</t>
  </si>
  <si>
    <t>ann-INV300</t>
  </si>
  <si>
    <t>ann-INV301</t>
  </si>
  <si>
    <t>200 pets</t>
  </si>
  <si>
    <t>ann-INV302</t>
  </si>
  <si>
    <t>4 crt</t>
  </si>
  <si>
    <t>ann-INV303</t>
  </si>
  <si>
    <t>2 Empty</t>
  </si>
  <si>
    <t>ann-INV304</t>
  </si>
  <si>
    <t>Sellers Estimate Reference: tayo-EST6,</t>
  </si>
  <si>
    <t>140 crt</t>
  </si>
  <si>
    <t>60 crt</t>
  </si>
  <si>
    <t>140 Empty</t>
  </si>
  <si>
    <t>260 Empty</t>
  </si>
  <si>
    <t>ann-INV305</t>
  </si>
  <si>
    <t>45 cans</t>
  </si>
  <si>
    <t>10 cans</t>
  </si>
  <si>
    <t>ann-INV306</t>
  </si>
  <si>
    <t>10 crt</t>
  </si>
  <si>
    <t>10 Empty</t>
  </si>
  <si>
    <t>Tayo-INV140</t>
  </si>
  <si>
    <t>ann-INV311</t>
  </si>
  <si>
    <t>20 crt</t>
  </si>
  <si>
    <t>20 Empty</t>
  </si>
  <si>
    <t>ann-INV310</t>
  </si>
  <si>
    <t>ann-INV309</t>
  </si>
  <si>
    <t>ann-INV312</t>
  </si>
  <si>
    <t>3 crt</t>
  </si>
  <si>
    <t>20 pets</t>
  </si>
  <si>
    <t>3 Empty</t>
  </si>
  <si>
    <t>Alhaja GRA Road</t>
  </si>
  <si>
    <t>ann-INV316</t>
  </si>
  <si>
    <t>Sellers Estimate Reference: ann-EST5,</t>
  </si>
  <si>
    <t>70 crt</t>
  </si>
  <si>
    <t>30 crt</t>
  </si>
  <si>
    <t>270 Empty</t>
  </si>
  <si>
    <t>ann-INV313</t>
  </si>
  <si>
    <t>10 pets</t>
  </si>
  <si>
    <t>LAKE AND RIVER FOODS</t>
  </si>
  <si>
    <t>ann-INV314</t>
  </si>
  <si>
    <t>MAADE HOTEL</t>
  </si>
  <si>
    <t>ann-INV308</t>
  </si>
  <si>
    <t>ann-INV315</t>
  </si>
  <si>
    <t>ann-INV307</t>
  </si>
  <si>
    <t>70 Empty</t>
  </si>
  <si>
    <t>June Target Achievement Incentive Scheme</t>
  </si>
  <si>
    <t>ann-INV317</t>
  </si>
  <si>
    <t>8 crt</t>
  </si>
  <si>
    <t>ann-INV318</t>
  </si>
  <si>
    <t>ann-INV321</t>
  </si>
  <si>
    <t>248 pets</t>
  </si>
  <si>
    <t>ann-INV319</t>
  </si>
  <si>
    <t>350 crt</t>
  </si>
  <si>
    <t>ann-INV325</t>
  </si>
  <si>
    <t>15 crt</t>
  </si>
  <si>
    <t>15 Empty</t>
  </si>
  <si>
    <t>ann-INV323</t>
  </si>
  <si>
    <t>Sellers Estimate Reference: ann-EST6,</t>
  </si>
  <si>
    <t>4 Empty</t>
  </si>
  <si>
    <t>ann-INV320</t>
  </si>
  <si>
    <t>3 cans</t>
  </si>
  <si>
    <t>ann-INV324</t>
  </si>
  <si>
    <t>11 crt</t>
  </si>
  <si>
    <t>80 pets</t>
  </si>
  <si>
    <t>16 Empty</t>
  </si>
  <si>
    <t>ann-INV322</t>
  </si>
  <si>
    <t>420 Empty</t>
  </si>
  <si>
    <t>ann-INV326</t>
  </si>
  <si>
    <t>ann-INV327</t>
  </si>
  <si>
    <t>ann-INV328</t>
  </si>
  <si>
    <t>51 crt</t>
  </si>
  <si>
    <t>165 crt</t>
  </si>
  <si>
    <t>5 pets</t>
  </si>
  <si>
    <t>15 pets</t>
  </si>
  <si>
    <t>62 Empty</t>
  </si>
  <si>
    <t>257 Empty</t>
  </si>
  <si>
    <t>8 Empty</t>
  </si>
  <si>
    <t>ann-INV329</t>
  </si>
  <si>
    <t>120 pets</t>
  </si>
  <si>
    <t>ann-INV330</t>
  </si>
  <si>
    <t>18 Empty</t>
  </si>
  <si>
    <t>5 Empty</t>
  </si>
  <si>
    <t>ann-INV332</t>
  </si>
  <si>
    <t>18 crt</t>
  </si>
  <si>
    <t>2 cans</t>
  </si>
  <si>
    <t>3 pets</t>
  </si>
  <si>
    <t>ann-INV333</t>
  </si>
  <si>
    <t>240 pets</t>
  </si>
  <si>
    <t>ann-INV337</t>
  </si>
  <si>
    <t>ann-INV335</t>
  </si>
  <si>
    <t>ann-INV334</t>
  </si>
  <si>
    <t>ann-INV336</t>
  </si>
  <si>
    <t>ann-INV338</t>
  </si>
  <si>
    <t>ann-INV331</t>
  </si>
  <si>
    <t>ann-INV340</t>
  </si>
  <si>
    <t>40 cans</t>
  </si>
  <si>
    <t>ann-INV342</t>
  </si>
  <si>
    <t>40 pets</t>
  </si>
  <si>
    <t>Stella SR</t>
  </si>
  <si>
    <t>ann-INV341</t>
  </si>
  <si>
    <t>ann-INV343</t>
  </si>
  <si>
    <t>ann-INV339</t>
  </si>
  <si>
    <t>ann-INV345</t>
  </si>
  <si>
    <t>1 W&amp;S</t>
  </si>
  <si>
    <t>ann-INV344</t>
  </si>
  <si>
    <t>210 pets</t>
  </si>
  <si>
    <t>ann-INV346</t>
  </si>
  <si>
    <t>ann-INV347</t>
  </si>
  <si>
    <t>Tmoney</t>
  </si>
  <si>
    <t>ann-INV348</t>
  </si>
  <si>
    <t>ann-INV349</t>
  </si>
  <si>
    <t>ann-INV350</t>
  </si>
  <si>
    <t>496 pets</t>
  </si>
  <si>
    <t>ann-INV351</t>
  </si>
  <si>
    <t>0 Empty</t>
  </si>
  <si>
    <t>ann-INV352</t>
  </si>
  <si>
    <t>Tayo-INV141</t>
  </si>
  <si>
    <t>mr matthew</t>
  </si>
  <si>
    <t>ann-INV353</t>
  </si>
  <si>
    <t>24 Empty</t>
  </si>
  <si>
    <t>ann-INV354</t>
  </si>
  <si>
    <t>35 Empty</t>
  </si>
  <si>
    <t>ann-INV355</t>
  </si>
  <si>
    <t>60 pets</t>
  </si>
  <si>
    <t>ann-INV356</t>
  </si>
  <si>
    <t>ann-INV357</t>
  </si>
  <si>
    <t>ann-INV358</t>
  </si>
  <si>
    <t>Sellers Estimate Reference: ann-EST8,</t>
  </si>
  <si>
    <t>280 crt</t>
  </si>
  <si>
    <t>ann-INV359</t>
  </si>
  <si>
    <t>ann-INV360</t>
  </si>
  <si>
    <t>ann-INV363</t>
  </si>
  <si>
    <t>31 Empty</t>
  </si>
  <si>
    <t>ann-INV361</t>
  </si>
  <si>
    <t>ann-INV362</t>
  </si>
  <si>
    <t>270 pets</t>
  </si>
  <si>
    <t>ann-INV364</t>
  </si>
  <si>
    <t>ann-INV365</t>
  </si>
  <si>
    <t>ann-INV366</t>
  </si>
  <si>
    <t>ann-INV367</t>
  </si>
  <si>
    <t>Sellers Estimate Reference: ann-EST9, YINKA 08020706024</t>
  </si>
  <si>
    <t>ann-INV368</t>
  </si>
  <si>
    <t>ann-INV369</t>
  </si>
  <si>
    <t>STELLA RMI</t>
  </si>
  <si>
    <t>ann-INV370</t>
  </si>
  <si>
    <t>WORLD CUP ACTIVATION TMONEY 120 CRATES COMPLETED #1120200</t>
  </si>
  <si>
    <t>ann-INV371</t>
  </si>
  <si>
    <t>FROM TMONEY"s ACCT</t>
  </si>
  <si>
    <t>ann-INV372</t>
  </si>
  <si>
    <t>ann-INV373</t>
  </si>
  <si>
    <t>ann-INV374</t>
  </si>
  <si>
    <t>260 pets</t>
  </si>
  <si>
    <t>ann-INV375</t>
  </si>
  <si>
    <t>ann-INV376</t>
  </si>
  <si>
    <t>ann-INV377</t>
  </si>
  <si>
    <t>ann-INV378</t>
  </si>
  <si>
    <t>ann-INV379</t>
  </si>
  <si>
    <t>50 Empty</t>
  </si>
  <si>
    <t>ann-INV380</t>
  </si>
  <si>
    <t>solomon</t>
  </si>
  <si>
    <t>ann-INV381</t>
  </si>
  <si>
    <t>Mr Matthew</t>
  </si>
  <si>
    <t>Breakages</t>
  </si>
  <si>
    <t>Tayo-INV142</t>
  </si>
  <si>
    <t>Maltina Pet 25cl</t>
  </si>
  <si>
    <t>ann-INV382</t>
  </si>
  <si>
    <t>ann-INV383</t>
  </si>
  <si>
    <t>ann-INV384</t>
  </si>
  <si>
    <t>ann-INV385</t>
  </si>
  <si>
    <t>ann-INV387</t>
  </si>
  <si>
    <t>ann-INV388</t>
  </si>
  <si>
    <t>ann-INV386</t>
  </si>
  <si>
    <t>ann-INV389</t>
  </si>
  <si>
    <t>ann-INV390</t>
  </si>
  <si>
    <t>ann-INV391</t>
  </si>
  <si>
    <t>ann-INV392</t>
  </si>
  <si>
    <t>ann-INV394</t>
  </si>
  <si>
    <t>50 crt</t>
  </si>
  <si>
    <t>ann-INV395</t>
  </si>
  <si>
    <t>ann-INV397</t>
  </si>
  <si>
    <t>200 crt</t>
  </si>
  <si>
    <t>100 crt</t>
  </si>
  <si>
    <t>300 Empty</t>
  </si>
  <si>
    <t>ann-INV396</t>
  </si>
  <si>
    <t>40 crt</t>
  </si>
  <si>
    <t>40 Empty</t>
  </si>
  <si>
    <t>ann-INV398</t>
  </si>
  <si>
    <t>ann-INV399</t>
  </si>
  <si>
    <t>8 pets</t>
  </si>
  <si>
    <t>ann-INV400</t>
  </si>
  <si>
    <t>ann-INV401</t>
  </si>
  <si>
    <t>ann-INV402</t>
  </si>
  <si>
    <t>ann-INV403</t>
  </si>
  <si>
    <t>ann-INV404</t>
  </si>
  <si>
    <t>MR LEKAN OJIFINI</t>
  </si>
  <si>
    <t>ann-INV405</t>
  </si>
  <si>
    <t>ann-INV406</t>
  </si>
  <si>
    <t>ann-INV407</t>
  </si>
  <si>
    <t>ann-INV408</t>
  </si>
  <si>
    <t>ann-INV410</t>
  </si>
  <si>
    <t>ann-INV409</t>
  </si>
  <si>
    <t>ann-INV411</t>
  </si>
  <si>
    <t>3 W&amp;S</t>
  </si>
  <si>
    <t>ann-INV412</t>
  </si>
  <si>
    <t>ann-INV413</t>
  </si>
  <si>
    <t>19 crt</t>
  </si>
  <si>
    <t>12 crt</t>
  </si>
  <si>
    <t>7 pets</t>
  </si>
  <si>
    <t>43 Empty</t>
  </si>
  <si>
    <t>ann-INV414</t>
  </si>
  <si>
    <t>82 crt</t>
  </si>
  <si>
    <t>28 pets</t>
  </si>
  <si>
    <t>82 Empty</t>
  </si>
  <si>
    <t>ann-INV415</t>
  </si>
  <si>
    <t>32 Empty</t>
  </si>
  <si>
    <t>ann-INV416</t>
  </si>
  <si>
    <t>ann-INV417</t>
  </si>
  <si>
    <t>Sellers Estimate Reference: tayo-EST11,</t>
  </si>
  <si>
    <t>97 cans</t>
  </si>
  <si>
    <t>96 cans</t>
  </si>
  <si>
    <t>150 cans</t>
  </si>
  <si>
    <t>170 Empty</t>
  </si>
  <si>
    <t>ann-INV418</t>
  </si>
  <si>
    <t>mr jerry june incentive</t>
  </si>
  <si>
    <t>ann-INV419</t>
  </si>
  <si>
    <t>ann-INV420</t>
  </si>
  <si>
    <t>ann-INV421</t>
  </si>
  <si>
    <t>150 pets</t>
  </si>
  <si>
    <t>ann-INV422</t>
  </si>
  <si>
    <t>1,240 pets</t>
  </si>
  <si>
    <t>ann-INV423</t>
  </si>
  <si>
    <t>7 crt</t>
  </si>
  <si>
    <t>19 Empty</t>
  </si>
  <si>
    <t>9 Empty</t>
  </si>
  <si>
    <t>ann-INV424</t>
  </si>
  <si>
    <t>ann-INV425</t>
  </si>
  <si>
    <t>14 pets</t>
  </si>
  <si>
    <t>ann-INV426</t>
  </si>
  <si>
    <t>Baba Forklift</t>
  </si>
  <si>
    <t>ann-INV427</t>
  </si>
  <si>
    <t>ann-INV428</t>
  </si>
  <si>
    <t>ann-INV429</t>
  </si>
  <si>
    <t>ann-INV430</t>
  </si>
  <si>
    <t>ann-INV431</t>
  </si>
  <si>
    <t>ann-INV432</t>
  </si>
  <si>
    <t>ann-INV433</t>
  </si>
  <si>
    <t>ann-INV434</t>
  </si>
  <si>
    <t>12 pets</t>
  </si>
  <si>
    <t>ann-INV435</t>
  </si>
  <si>
    <t>30 pets</t>
  </si>
  <si>
    <t>ann-INV436</t>
  </si>
  <si>
    <t>ann-INV437</t>
  </si>
  <si>
    <t>ann-INV438</t>
  </si>
  <si>
    <t>17 crt</t>
  </si>
  <si>
    <t>13 crt</t>
  </si>
  <si>
    <t>38 Empty</t>
  </si>
  <si>
    <t>ann-INV439</t>
  </si>
  <si>
    <t>ann-INV440</t>
  </si>
  <si>
    <t>TOTAL ( 160 Transactions)</t>
  </si>
  <si>
    <t>NGN93,166,300</t>
  </si>
  <si>
    <t>NGN59,787,065</t>
  </si>
  <si>
    <t>NGN33,379,235</t>
  </si>
  <si>
    <t>NGN91,250,963</t>
  </si>
  <si>
    <t>NGN1,915,337</t>
  </si>
  <si>
    <t>PRICE LIST AS AT 1ST MAY 2026</t>
  </si>
  <si>
    <t>SKU Description</t>
  </si>
  <si>
    <t>Selling Price to
Distributor Per Case</t>
  </si>
  <si>
    <t>Recommended
Price to Sub-
Distributor Per Case</t>
  </si>
  <si>
    <t>Recommended
Price to Retail Per
Case</t>
  </si>
  <si>
    <t>33 Export Bottle 60c1</t>
  </si>
  <si>
    <t>33 Export Can 33cl</t>
  </si>
  <si>
    <t>33 Export Can 50cl</t>
  </si>
  <si>
    <t>Desperados Bottle 45cl</t>
  </si>
  <si>
    <t>Desperados Sleek Can 33c1</t>
  </si>
  <si>
    <t>Desperados Can 44cl</t>
  </si>
  <si>
    <t>Goldberg Bottle 60c1</t>
  </si>
  <si>
    <t>Goldberg Can 33cl</t>
  </si>
  <si>
    <t>Goldberg Black Bottle 45c1</t>
  </si>
  <si>
    <t>Goldberg Black Can 44cl</t>
  </si>
  <si>
    <t>Gulder Bottle 60c1</t>
  </si>
  <si>
    <t>Gulder Bottle 45cl</t>
  </si>
  <si>
    <t>Gulder Can 44cl</t>
  </si>
  <si>
    <t>Heineken Bottle 60c1</t>
  </si>
  <si>
    <t>Heineken Bottle 45c1</t>
  </si>
  <si>
    <t>Heineken Bottle 33cl</t>
  </si>
  <si>
    <t>Heineken Keg 20Itr</t>
  </si>
  <si>
    <t>Heineken Sleek Can 33cl</t>
  </si>
  <si>
    <t>Life Bottle 60c1</t>
  </si>
  <si>
    <t>Life Bottle 45cl</t>
  </si>
  <si>
    <t>Life Can 33cl</t>
  </si>
  <si>
    <t>Life Can 50cl</t>
  </si>
  <si>
    <t>More Lager Bottle 60c1</t>
  </si>
  <si>
    <t>Star Bottle 45cl</t>
  </si>
  <si>
    <t>Star Can 50cl</t>
  </si>
  <si>
    <t>Star Can 33cl</t>
  </si>
  <si>
    <t>Star Lite Bottle 60cl</t>
  </si>
  <si>
    <t>Star Lite Bottle 45cl</t>
  </si>
  <si>
    <t>Star Radler Citrus Bottle 45cl</t>
  </si>
  <si>
    <t>Star Radler Citrus Sleek Can 33cl</t>
  </si>
  <si>
    <t>Star Radler Red Fruits Bottle 45cl</t>
  </si>
  <si>
    <t>Star Radler Red Fruits Sleek Can 33cl</t>
  </si>
  <si>
    <t>Tiger Bottle 45cl</t>
  </si>
  <si>
    <t>Tiger Can 44cl</t>
  </si>
  <si>
    <t>Tiger Keg 201tr</t>
  </si>
  <si>
    <t>Legend Bottle 33cl</t>
  </si>
  <si>
    <t>Legend Bottle 45cl</t>
  </si>
  <si>
    <t>Legend Bottle 60c1</t>
  </si>
  <si>
    <t>Legend Keg 20ltr</t>
  </si>
  <si>
    <t>Legend Twist Ginger Bottle 33cl</t>
  </si>
  <si>
    <t>Legend Twist Ginger Can 33cl</t>
  </si>
  <si>
    <t>Legend Twist Lemon Bottle 33cl</t>
  </si>
  <si>
    <t>Legend Twist Lemon Can 33cl</t>
  </si>
  <si>
    <t>Legend Twist Pineapple Bottle 33cl</t>
  </si>
  <si>
    <t>Legend Twist Pineapple Can 33cl</t>
  </si>
  <si>
    <t>Turbo King Bottle 33cl</t>
  </si>
  <si>
    <t>Turbo King Bottle 60c1</t>
  </si>
  <si>
    <t>Williams Bottle 33cl</t>
  </si>
  <si>
    <t>Williams Bottle 60c1</t>
  </si>
  <si>
    <t>Amstel Malta Bottle 33cl</t>
  </si>
  <si>
    <t>Amstel Malta Sleek Can 33cl</t>
  </si>
  <si>
    <t>Amstel Malta PET 33cl</t>
  </si>
  <si>
    <t>Amstel Malta Ultra Sleek Can 33cl</t>
  </si>
  <si>
    <t>Maltina Bottle 33cl</t>
  </si>
  <si>
    <t>Maltina Can 33cl</t>
  </si>
  <si>
    <t>Maltina PET 33cl</t>
  </si>
  <si>
    <t>Maltina PET 50cl</t>
  </si>
  <si>
    <t>Maltina PET 25cl</t>
  </si>
  <si>
    <t>Maltina Pineapple Bottle 33cl</t>
  </si>
  <si>
    <t>Maltina Pineapple Can 33cl</t>
  </si>
  <si>
    <t>Maltina Pineapple Pet 33cl</t>
  </si>
  <si>
    <t>Maltina Vanilla Bottle 33cl</t>
  </si>
  <si>
    <t>Maltina Vanilla Can 33cl</t>
  </si>
  <si>
    <t>Maltina Vanilla Pet 33cl</t>
  </si>
  <si>
    <t>Hi-Malt Classic Bottle 33cl</t>
  </si>
  <si>
    <t>Hi-Malt Classic Can 33cl</t>
  </si>
  <si>
    <t>Hi-Malt PET 33cl</t>
  </si>
  <si>
    <t>Fayrouz Apple Watermelon Pet 33cl</t>
  </si>
  <si>
    <t>Fayrouz Apple Watermelon Sleek Can</t>
  </si>
  <si>
    <t>Fayrouz Pineapple Bottle 33cl</t>
  </si>
  <si>
    <t>Fayrouz Pineapple PET 33cl</t>
  </si>
  <si>
    <t>Fayrouz Pineapple Sleek Can 33cl</t>
  </si>
  <si>
    <t>Climax PET 50cl</t>
  </si>
  <si>
    <t>Climax Red PET 50cl</t>
  </si>
  <si>
    <t>Climax Sleek Can 33cl</t>
  </si>
  <si>
    <t>Zagg Energy Bottle 33cl</t>
  </si>
  <si>
    <t>Zagg PET 50c1</t>
  </si>
  <si>
    <t>Zagg PET 33cl</t>
  </si>
  <si>
    <t>Zagg Sleek Can 33cl</t>
  </si>
  <si>
    <t>Zagg Bottle 33cl</t>
  </si>
  <si>
    <t>Ace Root Bitters PET 20cl</t>
  </si>
  <si>
    <t>Ace Herbal Bottle 45cl</t>
  </si>
  <si>
    <t>Ace Root CAN 50c1</t>
  </si>
  <si>
    <t>Chamdor Red 75cl</t>
  </si>
  <si>
    <t>Chamdor White 75cl</t>
  </si>
  <si>
    <t>4th Street Sweet Red 75cl</t>
  </si>
  <si>
    <t>4th Street Sweet White 75cl</t>
  </si>
  <si>
    <t>4th Street Sweet Rose 75cl</t>
  </si>
  <si>
    <t>4th Street Nat Sweet Red Alc Sparkling</t>
  </si>
  <si>
    <t>4th Street Nat Sweet Rose Alc Sparkling</t>
  </si>
  <si>
    <t>4th Street Nat Sweet White Alc Sparkling</t>
  </si>
  <si>
    <t>4th Street Nat Sweet Red Non-Alc Sparkling</t>
  </si>
  <si>
    <t>INTERNATIONAL BREWERY</t>
  </si>
  <si>
    <t>TROPHY BOTTLE</t>
  </si>
  <si>
    <t>BUDWESIER ROYELE</t>
  </si>
  <si>
    <t xml:space="preserve">BUDWESIER </t>
  </si>
  <si>
    <t>BUDWESIER CAN</t>
  </si>
  <si>
    <t>TROPHY STOUT</t>
  </si>
  <si>
    <t>FLYING FISH</t>
  </si>
  <si>
    <t>EAGLE BEER</t>
  </si>
  <si>
    <t>CASTLE LITE</t>
  </si>
  <si>
    <t>CASTLE  LITE CAN</t>
  </si>
  <si>
    <t>HERO</t>
  </si>
  <si>
    <t>REDBULL</t>
  </si>
  <si>
    <t>BETA MALT 33CL</t>
  </si>
  <si>
    <t>BETA MALT 25CL</t>
  </si>
  <si>
    <t>BETA MALT CAN 33CL</t>
  </si>
  <si>
    <t>GUINNESS NIGERIAN LTD</t>
  </si>
  <si>
    <t>MED STOUT</t>
  </si>
  <si>
    <t>BIG ICE</t>
  </si>
  <si>
    <t>BIG STOUT</t>
  </si>
  <si>
    <t>BIG BITTERS</t>
  </si>
  <si>
    <t>SMALL STOUT</t>
  </si>
  <si>
    <t>MALTA GUINESS</t>
  </si>
  <si>
    <t>BIG ORIGIN</t>
  </si>
  <si>
    <t>BITTERS</t>
  </si>
  <si>
    <t>SMIRNOFF ICE</t>
  </si>
  <si>
    <t>STOUT CAN BIG</t>
  </si>
  <si>
    <t>MALTA GUINESS  CAN</t>
  </si>
  <si>
    <t>ORIGIN CAN BIG</t>
  </si>
  <si>
    <t>SMIRNOFF CAN BIG</t>
  </si>
  <si>
    <t>Date</t>
  </si>
  <si>
    <t>Product</t>
  </si>
  <si>
    <t>Cases_Sold</t>
  </si>
  <si>
    <t>Unit_Price_NGN</t>
  </si>
  <si>
    <t>Amount_NGN</t>
  </si>
  <si>
    <t>Customer</t>
  </si>
  <si>
    <t>Invoice No</t>
  </si>
  <si>
    <t>Quantity</t>
  </si>
  <si>
    <t>Revenue</t>
  </si>
  <si>
    <t>% of Total Revenue</t>
  </si>
  <si>
    <t>Total Revnue</t>
  </si>
  <si>
    <t>Total Cases Sold</t>
  </si>
  <si>
    <t>Total transaction</t>
  </si>
  <si>
    <t>Walk in Customer 1</t>
  </si>
  <si>
    <t>Walk in Customer 2</t>
  </si>
  <si>
    <t>Grand Total</t>
  </si>
  <si>
    <t>Gross Profit</t>
  </si>
  <si>
    <t>Total</t>
  </si>
  <si>
    <t>%</t>
  </si>
  <si>
    <t>Invoice_no</t>
  </si>
  <si>
    <t>July 5th, 2026</t>
  </si>
  <si>
    <t>No sales recorded - store closed (Sunday).</t>
  </si>
  <si>
    <t>July 12th, 2026</t>
  </si>
  <si>
    <t>July 19th, 2026</t>
  </si>
  <si>
    <t>Total Revenue</t>
  </si>
  <si>
    <t>July 26th, 2026</t>
  </si>
  <si>
    <t>Price Comparison: July 1-31 register rates vs. Price List (as at 1 May 2026)</t>
  </si>
  <si>
    <t>Product (register name)</t>
  </si>
  <si>
    <t>Matched Price List SKU</t>
  </si>
  <si>
    <t>Distributor Price</t>
  </si>
  <si>
    <t>Sub-Distributor Price</t>
  </si>
  <si>
    <t>Retail Price</t>
  </si>
  <si>
    <t>Avg Rate Charged (register)</t>
  </si>
  <si>
    <t>Min Rate Charged</t>
  </si>
  <si>
    <t>Max Rate Charged</t>
  </si>
  <si>
    <t>Diff vs Distributor Price</t>
  </si>
  <si>
    <t>Diff %</t>
  </si>
  <si>
    <t>Flag</t>
  </si>
  <si>
    <t>Match Method</t>
  </si>
  <si>
    <t>Within Distributor-Retail Range</t>
  </si>
  <si>
    <t>exact (typo-normalized)</t>
  </si>
  <si>
    <t>resolved by price tier</t>
  </si>
  <si>
    <t>exact (shortened)</t>
  </si>
  <si>
    <t>exact</t>
  </si>
  <si>
    <t>Above Retail Price</t>
  </si>
  <si>
    <t>ambiguous - Red/White same price</t>
  </si>
  <si>
    <t>ambiguous - Pineapple/Apple Watermelon same price</t>
  </si>
  <si>
    <t>Below Distributor Price</t>
  </si>
  <si>
    <t>resolved by price tier (code name)</t>
  </si>
  <si>
    <t>Summary</t>
  </si>
  <si>
    <t>Line count</t>
  </si>
  <si>
    <t>Volume Pricing Analysis - July 1-31, 2026 (per-invoice-line audit)</t>
  </si>
  <si>
    <t>Underpriced</t>
  </si>
  <si>
    <t>Cases Sold (cu)</t>
  </si>
  <si>
    <t>Volume Tier</t>
  </si>
  <si>
    <t>Rate Charged</t>
  </si>
  <si>
    <t>Expected Price</t>
  </si>
  <si>
    <t>Difference</t>
  </si>
  <si>
    <t>Overpriced</t>
  </si>
  <si>
    <t>2026-07-01</t>
  </si>
  <si>
    <t>Retail (&lt;50cu)</t>
  </si>
  <si>
    <t>Correctly Priced</t>
  </si>
  <si>
    <t>No price reference</t>
  </si>
  <si>
    <t>Wholesale (50-299cu)</t>
  </si>
  <si>
    <t>Net revenue impact vs expected tier price</t>
  </si>
  <si>
    <t>(negative = net revenue lost to underpricing)</t>
  </si>
  <si>
    <t>2026-07-02</t>
  </si>
  <si>
    <t>2026-07-03</t>
  </si>
  <si>
    <t>2026-07-04</t>
  </si>
  <si>
    <t>Sub-D (&gt;=300cu)</t>
  </si>
  <si>
    <t>2026-07-06</t>
  </si>
  <si>
    <t>2026-07-07</t>
  </si>
  <si>
    <t>2026-07-08</t>
  </si>
  <si>
    <t>2026-07-09</t>
  </si>
  <si>
    <t>2026-07-10</t>
  </si>
  <si>
    <t>2026-07-11</t>
  </si>
  <si>
    <t>2026-07-13</t>
  </si>
  <si>
    <t>2026-07-14</t>
  </si>
  <si>
    <t>2026-07-15</t>
  </si>
  <si>
    <t>2026-07-16</t>
  </si>
  <si>
    <t>2026-07-17</t>
  </si>
  <si>
    <t>2026-07-18</t>
  </si>
  <si>
    <t>2026-07-20</t>
  </si>
  <si>
    <t>2026-07-21</t>
  </si>
  <si>
    <t>2026-07-22</t>
  </si>
  <si>
    <t>2026-07-23</t>
  </si>
  <si>
    <t>2026-07-24</t>
  </si>
  <si>
    <t>2026-07-25</t>
  </si>
  <si>
    <t>2026-07-27</t>
  </si>
  <si>
    <t>2026-07-28</t>
  </si>
  <si>
    <t>2026-07-29</t>
  </si>
  <si>
    <t>2026-07-30</t>
  </si>
  <si>
    <t>2026-07-31</t>
  </si>
  <si>
    <t>Aggregate Summary - July 1-31, 2026</t>
  </si>
  <si>
    <t>Revenue/Cases exclude empties (from each day's product-summary table). Revenue (incl. empties) and Gross Profit are pulled live from each day's invoice table (Table 4).</t>
  </si>
  <si>
    <t>Revenue - excl. empties (Table 2)</t>
  </si>
  <si>
    <t>Cases Sold (excl. empties)</t>
  </si>
  <si>
    <t>Revenue - incl. empties (Table 4)</t>
  </si>
  <si>
    <t>Invoices</t>
  </si>
  <si>
    <t>Gross Profit (approx.)</t>
  </si>
  <si>
    <t>Margin %</t>
  </si>
  <si>
    <t>July 1st</t>
  </si>
  <si>
    <t>July 2nd</t>
  </si>
  <si>
    <t>July 3rd</t>
  </si>
  <si>
    <t>July 4th</t>
  </si>
  <si>
    <t>July 5th (closed / no data)</t>
  </si>
  <si>
    <t>July 6th</t>
  </si>
  <si>
    <t>July 7th</t>
  </si>
  <si>
    <t>July 8th</t>
  </si>
  <si>
    <t>July 9th</t>
  </si>
  <si>
    <t>July 10th</t>
  </si>
  <si>
    <t>July 11th</t>
  </si>
  <si>
    <t>July 12th (closed / no data)</t>
  </si>
  <si>
    <t>July 13th</t>
  </si>
  <si>
    <t>July 14th</t>
  </si>
  <si>
    <t>July 15th</t>
  </si>
  <si>
    <t>July 16th</t>
  </si>
  <si>
    <t>July 17th</t>
  </si>
  <si>
    <t>July 18th</t>
  </si>
  <si>
    <t>July 19th (closed / no data)</t>
  </si>
  <si>
    <t>July 20th</t>
  </si>
  <si>
    <t>July 21st</t>
  </si>
  <si>
    <t>July 22nd</t>
  </si>
  <si>
    <t>July 23rd</t>
  </si>
  <si>
    <t>July 24th</t>
  </si>
  <si>
    <t>July 25th</t>
  </si>
  <si>
    <t>July 26th (closed / no data)</t>
  </si>
  <si>
    <t>July 27th</t>
  </si>
  <si>
    <t>July 28th</t>
  </si>
  <si>
    <t>29th</t>
  </si>
  <si>
    <t>30th</t>
  </si>
  <si>
    <t>31st</t>
  </si>
  <si>
    <t>TOTAL (Jul 1-31)</t>
  </si>
  <si>
    <t>Customer Margin Detail - July 1-31, 2026</t>
  </si>
  <si>
    <t>Computed directly from the raw per-invoice source data (tmpA1A6 + tmp32C7), not from the daily report sheets. Every invoice in the source has a non-blank revenue, cost and gross-profit figure - see the Data Completeness column and the invoice-level detail below for the full trace.</t>
  </si>
  <si>
    <t>Total Cost</t>
  </si>
  <si>
    <t>Gross Profit %</t>
  </si>
  <si>
    <t>Data Completeness</t>
  </si>
  <si>
    <t>Complete (31/31 invoices)</t>
  </si>
  <si>
    <t>Complete (25/25 invoices)</t>
  </si>
  <si>
    <t>Complete (3/3 invoices)</t>
  </si>
  <si>
    <t>Complete (4/4 invoices)</t>
  </si>
  <si>
    <t>Complete (43/43 invoices)</t>
  </si>
  <si>
    <t>Complete (2/2 invoices)</t>
  </si>
  <si>
    <t>Complete (15/15 invoices)</t>
  </si>
  <si>
    <t>Complete (5/5 invoices)</t>
  </si>
  <si>
    <t>Complete (1/1 invoices)</t>
  </si>
  <si>
    <t>Complete (7/7 invoices)</t>
  </si>
  <si>
    <t>Complete (11/11 invoices)</t>
  </si>
  <si>
    <t>Complete (34/34 invoices)</t>
  </si>
  <si>
    <t>Complete (6/6 invoices)</t>
  </si>
  <si>
    <t>Complete (9/9 invoices)</t>
  </si>
  <si>
    <t>TOTAL</t>
  </si>
  <si>
    <t>Invoice-level detail (all customers, sorted by customer then date) - for tracing</t>
  </si>
  <si>
    <t>Revenue (Transaction Value)</t>
  </si>
  <si>
    <t>Cost</t>
  </si>
  <si>
    <t>Source Sheet</t>
  </si>
  <si>
    <t>tmpA1A6</t>
  </si>
  <si>
    <t>tmp32C7</t>
  </si>
</sst>
</file>

<file path=xl/styles.xml><?xml version="1.0" encoding="utf-8"?>
<styleSheet xmlns="http://schemas.openxmlformats.org/spreadsheetml/2006/main">
  <numFmts count="7">
    <numFmt numFmtId="0" formatCode="General"/>
    <numFmt numFmtId="14" formatCode="m/d/yyyy"/>
    <numFmt numFmtId="3" formatCode="#,##0"/>
    <numFmt numFmtId="164" formatCode="_-* #,##0.00_-;\-* #,##0.00_-;_-* \-??_-;_-@_-"/>
    <numFmt numFmtId="165" formatCode="_(* #,##0_);_(* \(#,##0\);_(* \-??_);_(@_)"/>
    <numFmt numFmtId="9" formatCode="0%"/>
    <numFmt numFmtId="166" formatCode="0.0%"/>
  </numFmts>
  <fonts count="32">
    <font>
      <name val="Calibri"/>
      <sz val="11"/>
    </font>
    <font>
      <name val="Calibri"/>
      <charset val="1"/>
      <sz val="16"/>
      <color rgb="FF000000"/>
    </font>
    <font>
      <name val="Calibri"/>
      <b/>
      <charset val="1"/>
      <sz val="16"/>
      <color rgb="FF000000"/>
    </font>
    <font>
      <name val="Calibri"/>
      <b/>
      <charset val="1"/>
      <sz val="11"/>
      <color rgb="FF000000"/>
    </font>
    <font>
      <name val="Calibri"/>
      <charset val="1"/>
      <sz val="13"/>
      <color rgb="FF000000"/>
    </font>
    <font>
      <name val="Calibri"/>
      <charset val="1"/>
      <u/>
      <sz val="11"/>
      <color rgb="FF000000"/>
    </font>
    <font>
      <name val="Times New Roman"/>
      <b/>
      <charset val="1"/>
      <sz val="11"/>
    </font>
    <font>
      <name val="Times New Roman"/>
      <b/>
      <charset val="1"/>
      <sz val="11"/>
    </font>
    <font>
      <name val="Times New Roman"/>
      <b/>
      <charset val="1"/>
      <sz val="11"/>
      <color rgb="FF1F1F1F"/>
    </font>
    <font>
      <name val="Calibri"/>
      <b/>
      <charset val="1"/>
      <sz val="11"/>
      <color rgb="FF091C44"/>
    </font>
    <font>
      <name val="Calibri"/>
      <b/>
      <charset val="1"/>
      <sz val="11"/>
      <color rgb="FFFF0000"/>
    </font>
    <font>
      <name val="Calibri"/>
      <b/>
      <charset val="1"/>
      <sz val="11"/>
      <color rgb="FF000000"/>
    </font>
    <font>
      <name val="Calibri"/>
      <b/>
      <i/>
      <charset val="1"/>
      <sz val="11"/>
      <color rgb="FF000000"/>
    </font>
    <font>
      <name val="Calibri"/>
      <charset val="1"/>
      <sz val="11"/>
      <color rgb="FF000000"/>
    </font>
    <font>
      <name val="Arial"/>
      <b/>
      <charset val="1"/>
      <sz val="10"/>
      <color rgb="FFFFFFFF"/>
    </font>
    <font>
      <name val="Calibri"/>
      <charset val="1"/>
      <sz val="13"/>
      <color rgb="FF000000"/>
    </font>
    <font>
      <name val="Calibri"/>
      <charset val="1"/>
      <sz val="11"/>
      <color rgb="FFFFFFFF"/>
    </font>
    <font>
      <name val="Calibri"/>
      <charset val="1"/>
      <sz val="11"/>
      <color rgb="FF000000"/>
    </font>
    <font>
      <name val="Arial"/>
      <b/>
      <charset val="1"/>
      <sz val="14"/>
    </font>
    <font>
      <name val="Calibri"/>
      <i/>
      <charset val="1"/>
      <sz val="11"/>
    </font>
    <font>
      <name val="Arial"/>
      <b/>
      <charset val="1"/>
      <sz val="10"/>
      <color rgb="FFFFFFFF"/>
    </font>
    <font>
      <name val="Calibri"/>
      <charset val="1"/>
      <sz val="11"/>
    </font>
    <font>
      <name val="Calibri"/>
      <charset val="1"/>
      <sz val="11"/>
    </font>
    <font>
      <name val="Calibri"/>
      <charset val="1"/>
      <u/>
      <sz val="11"/>
      <color rgb="FF0563C1"/>
    </font>
    <font>
      <name val="Calibri"/>
      <i/>
      <charset val="1"/>
      <sz val="9"/>
      <color rgb="FF555555"/>
    </font>
    <font>
      <name val="Arial"/>
      <b/>
      <charset val="1"/>
      <sz val="12"/>
      <color rgb="FF1F4E78"/>
    </font>
    <font>
      <name val="Cambria"/>
      <charset val="1"/>
      <sz val="11"/>
      <color rgb="FF1E7E34"/>
    </font>
    <font>
      <name val="Cambria"/>
      <charset val="1"/>
      <sz val="11"/>
      <color rgb="FFC0392B"/>
    </font>
    <font>
      <name val="Cambria"/>
      <b/>
      <charset val="1"/>
      <sz val="11"/>
      <color rgb="FF1F4E78"/>
    </font>
    <font>
      <name val="Cambria"/>
      <b/>
      <charset val="1"/>
      <sz val="11"/>
    </font>
    <font>
      <name val="Cambria"/>
      <i/>
      <charset val="1"/>
      <sz val="9"/>
      <color rgb="FF555555"/>
    </font>
    <font>
      <name val="Cambria"/>
      <b/>
      <charset val="1"/>
      <sz val="11"/>
      <color rgb="FFC0392B"/>
    </font>
  </fonts>
  <fills count="26">
    <fill>
      <patternFill patternType="none"/>
    </fill>
    <fill>
      <patternFill patternType="gray125"/>
    </fill>
    <fill>
      <patternFill patternType="solid">
        <fgColor rgb="FFF0F0F0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C00000"/>
      </patternFill>
    </fill>
    <fill>
      <patternFill patternType="solid">
        <fgColor rgb="FF548235"/>
        <bgColor rgb="FF1E7E34"/>
      </patternFill>
    </fill>
    <fill>
      <patternFill patternType="solid">
        <fgColor rgb="FFFFC000"/>
        <bgColor rgb="FFFF9900"/>
      </patternFill>
    </fill>
    <fill>
      <patternFill patternType="solid">
        <fgColor rgb="FFC65911"/>
        <bgColor rgb="FFC0392B"/>
      </patternFill>
    </fill>
    <fill>
      <patternFill patternType="solid">
        <fgColor rgb="FFF4B084"/>
        <bgColor rgb="FFF8CBAD"/>
      </patternFill>
    </fill>
    <fill>
      <patternFill patternType="solid">
        <fgColor rgb="FF00B0F0"/>
        <bgColor rgb="FF33CCCC"/>
      </patternFill>
    </fill>
    <fill>
      <patternFill patternType="solid">
        <fgColor rgb="FF1F4E78"/>
        <bgColor rgb="FF555555"/>
      </patternFill>
    </fill>
    <fill>
      <patternFill patternType="solid">
        <fgColor rgb="FF92D050"/>
        <bgColor rgb="FFB3B3B3"/>
      </patternFill>
    </fill>
    <fill>
      <patternFill patternType="solid">
        <fgColor rgb="FF806000"/>
        <bgColor rgb="FF595959"/>
      </patternFill>
    </fill>
    <fill>
      <patternFill patternType="solid">
        <fgColor rgb="FFD9E1F2"/>
        <bgColor rgb="FFDDDDDD"/>
      </patternFill>
    </fill>
    <fill>
      <patternFill patternType="solid">
        <fgColor rgb="FFFFF2CC"/>
        <bgColor rgb="FFF0F0F0"/>
      </patternFill>
    </fill>
    <fill>
      <patternFill patternType="solid">
        <fgColor rgb="FFAEAAAA"/>
        <bgColor rgb="FFB3B3B3"/>
      </patternFill>
    </fill>
    <fill>
      <patternFill patternType="solid">
        <fgColor rgb="FF7030A0"/>
        <bgColor rgb="FF800080"/>
      </patternFill>
    </fill>
    <fill>
      <patternFill patternType="solid">
        <fgColor rgb="FFF8CBAD"/>
        <bgColor rgb="FFFFE699"/>
      </patternFill>
    </fill>
    <fill>
      <patternFill patternType="solid">
        <fgColor rgb="FF0070C0"/>
        <bgColor rgb="FF0563C1"/>
      </patternFill>
    </fill>
    <fill>
      <patternFill patternType="solid">
        <fgColor rgb="FFFFFFFF"/>
        <bgColor rgb="FFF0F0F0"/>
      </patternFill>
    </fill>
    <fill>
      <patternFill patternType="solid">
        <fgColor rgb="FFC00000"/>
        <bgColor rgb="FFFF0000"/>
      </patternFill>
    </fill>
    <fill>
      <patternFill patternType="solid">
        <fgColor rgb="FF00B050"/>
        <bgColor rgb="FF1E7E34"/>
      </patternFill>
    </fill>
    <fill>
      <patternFill patternType="solid">
        <fgColor rgb="FF7B7B7B"/>
        <bgColor rgb="FF548235"/>
      </patternFill>
    </fill>
    <fill>
      <patternFill patternType="solid">
        <fgColor rgb="FFC6E0B4"/>
        <bgColor rgb="FFD9D9D9"/>
      </patternFill>
    </fill>
    <fill>
      <patternFill patternType="solid">
        <fgColor rgb="FFACB9CA"/>
        <bgColor rgb="FFB3B3B3"/>
      </patternFill>
    </fill>
    <fill>
      <patternFill patternType="solid">
        <fgColor rgb="FFFFE699"/>
        <bgColor rgb="FFFFF2CC"/>
      </patternFill>
    </fill>
  </fills>
  <borders count="18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/>
      <bottom/>
      <diagonal/>
    </border>
    <border>
      <left/>
      <right style="medium">
        <color rgb="FFDDDDDD"/>
      </right>
      <top/>
      <bottom/>
      <diagonal/>
    </border>
    <border>
      <left/>
      <right/>
      <top style="medium">
        <color rgb="FFDDDDDD"/>
      </top>
      <bottom/>
      <diagonal/>
    </border>
    <border>
      <left/>
      <right/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58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right" vertical="center" wrapText="1" indent="1"/>
    </xf>
    <xf numFmtId="14" fontId="4" fillId="3" borderId="0" xfId="0" applyNumberFormat="1" applyFont="1" applyFill="1" applyAlignment="1">
      <alignment horizontal="left" vertical="bottom" indent="1"/>
    </xf>
    <xf numFmtId="0" fontId="4" fillId="0" borderId="0" xfId="0" applyFont="1" applyAlignment="1">
      <alignment horizontal="left" vertical="bottom" indent="1"/>
    </xf>
    <xf numFmtId="0" fontId="5" fillId="0" borderId="0" xfId="0" applyFont="1" applyAlignment="1">
      <alignment horizontal="left" vertical="bottom" indent="1"/>
    </xf>
    <xf numFmtId="3" fontId="4" fillId="0" borderId="0" xfId="0" applyNumberFormat="1" applyFont="1" applyAlignment="1">
      <alignment horizontal="right" vertical="bottom" indent="1"/>
    </xf>
    <xf numFmtId="0" fontId="4" fillId="0" borderId="0" xfId="0" applyFont="1" applyAlignment="1">
      <alignment horizontal="right" vertical="bottom" indent="1"/>
    </xf>
    <xf numFmtId="0" fontId="4" fillId="0" borderId="0" xfId="0" applyFont="1" applyAlignment="1">
      <alignment vertical="bottom" wrapText="1"/>
    </xf>
    <xf numFmtId="0" fontId="4" fillId="0" borderId="2" xfId="0" applyFont="1" applyBorder="1" applyAlignment="1">
      <alignment horizontal="left" vertical="bottom" indent="1"/>
    </xf>
    <xf numFmtId="3" fontId="4" fillId="4" borderId="0" xfId="0" applyNumberFormat="1" applyFont="1" applyFill="1" applyAlignment="1">
      <alignment horizontal="right" vertical="bottom" indent="1"/>
    </xf>
    <xf numFmtId="0" fontId="4" fillId="0" borderId="3" xfId="0" applyFont="1" applyBorder="1" applyAlignment="1">
      <alignment horizontal="left" vertical="bottom" indent="1"/>
    </xf>
    <xf numFmtId="0" fontId="4" fillId="0" borderId="4" xfId="0" applyFont="1" applyBorder="1" applyAlignment="1">
      <alignment horizontal="left" vertical="bottom" indent="1"/>
    </xf>
    <xf numFmtId="0" fontId="4" fillId="0" borderId="4" xfId="0" applyFont="1" applyBorder="1" applyAlignment="1">
      <alignment horizontal="right" vertical="bottom" indent="1"/>
    </xf>
    <xf numFmtId="14" fontId="4" fillId="0" borderId="0" xfId="0" applyNumberFormat="1" applyFont="1" applyAlignment="1">
      <alignment horizontal="left" vertical="bottom" indent="1"/>
    </xf>
    <xf numFmtId="14" fontId="4" fillId="4" borderId="0" xfId="0" applyNumberFormat="1" applyFont="1" applyFill="1" applyAlignment="1">
      <alignment horizontal="left" vertical="bottom" indent="1"/>
    </xf>
    <xf numFmtId="3" fontId="4" fillId="5" borderId="0" xfId="0" applyNumberFormat="1" applyFont="1" applyFill="1" applyAlignment="1">
      <alignment horizontal="right" vertical="bottom" indent="1"/>
    </xf>
    <xf numFmtId="3" fontId="1" fillId="0" borderId="0" xfId="0" applyNumberFormat="1" applyFont="1" applyAlignment="1">
      <alignment vertical="bottom"/>
    </xf>
    <xf numFmtId="14" fontId="4" fillId="5" borderId="0" xfId="0" applyNumberFormat="1" applyFont="1" applyFill="1" applyAlignment="1">
      <alignment horizontal="left" vertical="bottom" indent="1"/>
    </xf>
    <xf numFmtId="14" fontId="4" fillId="6" borderId="0" xfId="0" applyNumberFormat="1" applyFont="1" applyFill="1" applyAlignment="1">
      <alignment horizontal="left" vertical="bottom" indent="1"/>
    </xf>
    <xf numFmtId="14" fontId="4" fillId="7" borderId="0" xfId="0" applyNumberFormat="1" applyFont="1" applyFill="1" applyAlignment="1">
      <alignment horizontal="left" vertical="bottom" indent="1"/>
    </xf>
    <xf numFmtId="14" fontId="4" fillId="8" borderId="0" xfId="0" applyNumberFormat="1" applyFont="1" applyFill="1" applyAlignment="1">
      <alignment horizontal="left" vertical="bottom" indent="1"/>
    </xf>
    <xf numFmtId="0" fontId="4" fillId="0" borderId="5" xfId="0" applyFont="1" applyBorder="1" applyAlignment="1">
      <alignment vertical="bottom" wrapText="1"/>
    </xf>
    <xf numFmtId="0" fontId="3" fillId="2" borderId="6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14" fontId="4" fillId="9" borderId="0" xfId="0" applyNumberFormat="1" applyFont="1" applyFill="1" applyAlignment="1">
      <alignment horizontal="left" vertical="bottom" indent="1"/>
    </xf>
    <xf numFmtId="0" fontId="3" fillId="2" borderId="6" xfId="0" applyFont="1" applyFill="1" applyBorder="1" applyAlignment="1">
      <alignment horizontal="left" vertical="center" wrapText="1" indent="1"/>
    </xf>
    <xf numFmtId="0" fontId="3" fillId="2" borderId="7" xfId="0" applyFont="1" applyFill="1" applyBorder="1" applyAlignment="1">
      <alignment horizontal="left" vertical="center" wrapText="1" indent="1"/>
    </xf>
    <xf numFmtId="0" fontId="3" fillId="2" borderId="8" xfId="0" applyFont="1" applyFill="1" applyBorder="1" applyAlignment="1">
      <alignment horizontal="left" vertical="center" wrapText="1" indent="1"/>
    </xf>
    <xf numFmtId="3" fontId="3" fillId="2" borderId="1" xfId="0" applyNumberFormat="1" applyFont="1" applyFill="1" applyBorder="1" applyAlignment="1">
      <alignment horizontal="right" vertical="center" wrapText="1" indent="1"/>
    </xf>
    <xf numFmtId="0" fontId="3" fillId="0" borderId="9" xfId="0" applyFont="1" applyBorder="1" applyAlignment="1">
      <alignment vertical="bottom"/>
    </xf>
    <xf numFmtId="0" fontId="3" fillId="0" borderId="10" xfId="0" applyFont="1" applyBorder="1" applyAlignment="1">
      <alignment horizontal="center" vertical="bottom"/>
    </xf>
    <xf numFmtId="0" fontId="3" fillId="0" borderId="11" xfId="0" applyFont="1" applyBorder="1" applyAlignment="1">
      <alignment vertical="bottom"/>
    </xf>
    <xf numFmtId="0" fontId="6" fillId="3" borderId="12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top" wrapText="1"/>
    </xf>
    <xf numFmtId="3" fontId="7" fillId="0" borderId="9" xfId="0" applyNumberFormat="1" applyFont="1" applyBorder="1" applyAlignment="1">
      <alignment horizontal="center" vertical="top" wrapText="1"/>
    </xf>
    <xf numFmtId="3" fontId="7" fillId="0" borderId="13" xfId="0" applyNumberFormat="1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bottom"/>
    </xf>
    <xf numFmtId="3" fontId="8" fillId="0" borderId="9" xfId="0" applyNumberFormat="1" applyFont="1" applyBorder="1" applyAlignment="1">
      <alignment horizontal="center" vertical="center" wrapText="1"/>
    </xf>
    <xf numFmtId="3" fontId="8" fillId="0" borderId="13" xfId="0" applyNumberFormat="1" applyFont="1" applyBorder="1" applyAlignment="1">
      <alignment horizontal="center" vertical="center" wrapText="1"/>
    </xf>
    <xf numFmtId="3" fontId="3" fillId="0" borderId="9" xfId="0" applyNumberFormat="1" applyFont="1" applyBorder="1" applyAlignment="1">
      <alignment horizontal="center" vertical="bottom"/>
    </xf>
    <xf numFmtId="3" fontId="3" fillId="0" borderId="13" xfId="0" applyNumberFormat="1" applyFont="1" applyBorder="1" applyAlignment="1">
      <alignment horizontal="center" vertical="bottom"/>
    </xf>
    <xf numFmtId="0" fontId="9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vertical="bottom"/>
    </xf>
    <xf numFmtId="0" fontId="3" fillId="0" borderId="13" xfId="0" applyFont="1" applyBorder="1" applyAlignment="1">
      <alignment vertical="bottom"/>
    </xf>
    <xf numFmtId="164" fontId="3" fillId="0" borderId="12" xfId="0" applyNumberFormat="1" applyFont="1" applyBorder="1" applyAlignment="1">
      <alignment vertical="bottom"/>
    </xf>
    <xf numFmtId="164" fontId="10" fillId="0" borderId="9" xfId="0" applyNumberFormat="1" applyFont="1" applyBorder="1" applyAlignment="1">
      <alignment horizontal="center" vertical="center"/>
    </xf>
    <xf numFmtId="164" fontId="3" fillId="0" borderId="9" xfId="0" applyNumberFormat="1" applyFont="1" applyBorder="1" applyAlignment="1">
      <alignment vertical="bottom"/>
    </xf>
    <xf numFmtId="164" fontId="3" fillId="0" borderId="13" xfId="0" applyNumberFormat="1" applyFont="1" applyBorder="1" applyAlignment="1">
      <alignment vertical="bottom"/>
    </xf>
    <xf numFmtId="0" fontId="11" fillId="0" borderId="12" xfId="0" applyFont="1" applyBorder="1" applyAlignment="1">
      <alignment horizontal="left" vertical="bottom"/>
    </xf>
    <xf numFmtId="164" fontId="12" fillId="0" borderId="9" xfId="0" applyNumberFormat="1" applyFont="1" applyBorder="1" applyAlignment="1">
      <alignment vertical="bottom"/>
    </xf>
    <xf numFmtId="0" fontId="11" fillId="0" borderId="14" xfId="0" applyFont="1" applyBorder="1" applyAlignment="1">
      <alignment horizontal="left" vertical="bottom"/>
    </xf>
    <xf numFmtId="164" fontId="3" fillId="0" borderId="15" xfId="0" applyNumberFormat="1" applyFont="1" applyBorder="1" applyAlignment="1">
      <alignment vertical="bottom"/>
    </xf>
    <xf numFmtId="164" fontId="3" fillId="0" borderId="16" xfId="0" applyNumberFormat="1" applyFont="1" applyBorder="1" applyAlignment="1">
      <alignment vertical="bottom"/>
    </xf>
    <xf numFmtId="164" fontId="13" fillId="0" borderId="0" xfId="0" applyNumberFormat="1" applyAlignment="1">
      <alignment vertical="bottom"/>
    </xf>
    <xf numFmtId="0" fontId="13" fillId="0" borderId="0" xfId="0" applyAlignment="1">
      <alignment vertical="bottom"/>
    </xf>
    <xf numFmtId="0" fontId="14" fillId="10" borderId="9" xfId="0" applyFont="1" applyFill="1" applyBorder="1" applyAlignment="1">
      <alignment horizontal="center" vertical="center" wrapText="1"/>
    </xf>
    <xf numFmtId="14" fontId="4" fillId="0" borderId="9" xfId="0" applyNumberFormat="1" applyFont="1" applyBorder="1" applyAlignment="1">
      <alignment horizontal="left" vertical="bottom" indent="1"/>
    </xf>
    <xf numFmtId="0" fontId="4" fillId="0" borderId="9" xfId="0" applyFont="1" applyBorder="1" applyAlignment="1">
      <alignment horizontal="left" vertical="bottom" indent="1"/>
    </xf>
    <xf numFmtId="0" fontId="4" fillId="0" borderId="9" xfId="0" applyFont="1" applyBorder="1" applyAlignment="1">
      <alignment horizontal="right" vertical="bottom" indent="1"/>
    </xf>
    <xf numFmtId="3" fontId="4" fillId="4" borderId="9" xfId="0" applyNumberFormat="1" applyFont="1" applyFill="1" applyBorder="1" applyAlignment="1">
      <alignment horizontal="right" vertical="bottom" indent="1"/>
    </xf>
    <xf numFmtId="165" fontId="13" fillId="0" borderId="9" xfId="0" applyNumberFormat="1" applyBorder="1" applyAlignment="1">
      <alignment vertical="bottom"/>
    </xf>
    <xf numFmtId="0" fontId="5" fillId="0" borderId="9" xfId="0" applyFont="1" applyBorder="1" applyAlignment="1">
      <alignment horizontal="left" vertical="bottom" indent="1"/>
    </xf>
    <xf numFmtId="0" fontId="13" fillId="0" borderId="9" xfId="0" applyBorder="1" applyAlignment="1">
      <alignment vertical="bottom"/>
    </xf>
    <xf numFmtId="9" fontId="13" fillId="0" borderId="9" xfId="0" applyNumberFormat="1" applyBorder="1" applyAlignment="1">
      <alignment vertical="bottom"/>
    </xf>
    <xf numFmtId="3" fontId="13" fillId="0" borderId="9" xfId="0" applyNumberFormat="1" applyBorder="1" applyAlignment="1">
      <alignment vertical="bottom"/>
    </xf>
    <xf numFmtId="0" fontId="4" fillId="11" borderId="9" xfId="0" applyFont="1" applyFill="1" applyBorder="1" applyAlignment="1">
      <alignment horizontal="left" vertical="bottom" indent="1"/>
    </xf>
    <xf numFmtId="14" fontId="4" fillId="0" borderId="17" xfId="0" applyNumberFormat="1" applyFont="1" applyBorder="1" applyAlignment="1">
      <alignment horizontal="left" vertical="bottom" indent="1"/>
    </xf>
    <xf numFmtId="0" fontId="4" fillId="0" borderId="17" xfId="0" applyFont="1" applyBorder="1" applyAlignment="1">
      <alignment horizontal="left" vertical="bottom" indent="1"/>
    </xf>
    <xf numFmtId="0" fontId="13" fillId="0" borderId="17" xfId="0" applyBorder="1" applyAlignment="1">
      <alignment vertical="bottom"/>
    </xf>
    <xf numFmtId="3" fontId="13" fillId="0" borderId="17" xfId="0" applyNumberFormat="1" applyBorder="1" applyAlignment="1">
      <alignment vertical="bottom"/>
    </xf>
    <xf numFmtId="165" fontId="13" fillId="0" borderId="17" xfId="0" applyNumberFormat="1" applyBorder="1" applyAlignment="1">
      <alignment vertical="bottom"/>
    </xf>
    <xf numFmtId="0" fontId="5" fillId="0" borderId="17" xfId="0" applyFont="1" applyBorder="1" applyAlignment="1">
      <alignment horizontal="left" vertical="bottom" indent="1"/>
    </xf>
    <xf numFmtId="165" fontId="13" fillId="0" borderId="0" xfId="0" applyNumberFormat="1" applyAlignment="1">
      <alignment vertical="bottom"/>
    </xf>
    <xf numFmtId="9" fontId="13" fillId="0" borderId="0" xfId="0" applyNumberFormat="1" applyAlignment="1">
      <alignment vertical="bottom"/>
    </xf>
    <xf numFmtId="0" fontId="15" fillId="0" borderId="9" xfId="0" applyFont="1" applyBorder="1" applyAlignment="1">
      <alignment horizontal="left" vertical="bottom" indent="1"/>
    </xf>
    <xf numFmtId="0" fontId="15" fillId="0" borderId="0" xfId="0" applyFont="1" applyAlignment="1">
      <alignment horizontal="left" vertical="bottom" indent="1"/>
    </xf>
    <xf numFmtId="0" fontId="4" fillId="6" borderId="9" xfId="0" applyFont="1" applyFill="1" applyBorder="1" applyAlignment="1">
      <alignment horizontal="left" vertical="bottom" indent="1"/>
    </xf>
    <xf numFmtId="0" fontId="4" fillId="12" borderId="9" xfId="0" applyFont="1" applyFill="1" applyBorder="1" applyAlignment="1">
      <alignment horizontal="left" vertical="bottom" indent="1"/>
    </xf>
    <xf numFmtId="0" fontId="4" fillId="13" borderId="9" xfId="0" applyFont="1" applyFill="1" applyBorder="1" applyAlignment="1">
      <alignment horizontal="left" vertical="bottom" indent="1"/>
    </xf>
    <xf numFmtId="0" fontId="4" fillId="14" borderId="9" xfId="0" applyFont="1" applyFill="1" applyBorder="1" applyAlignment="1">
      <alignment horizontal="left" vertical="bottom" indent="1"/>
    </xf>
    <xf numFmtId="0" fontId="4" fillId="15" borderId="9" xfId="0" applyFont="1" applyFill="1" applyBorder="1" applyAlignment="1">
      <alignment horizontal="left" vertical="bottom" indent="1"/>
    </xf>
    <xf numFmtId="0" fontId="4" fillId="16" borderId="9" xfId="0" applyFont="1" applyFill="1" applyBorder="1" applyAlignment="1">
      <alignment horizontal="left" vertical="bottom" indent="1"/>
    </xf>
    <xf numFmtId="0" fontId="4" fillId="17" borderId="9" xfId="0" applyFont="1" applyFill="1" applyBorder="1" applyAlignment="1">
      <alignment horizontal="left" vertical="bottom" indent="1"/>
    </xf>
    <xf numFmtId="0" fontId="4" fillId="18" borderId="9" xfId="0" applyFont="1" applyFill="1" applyBorder="1" applyAlignment="1">
      <alignment horizontal="left" vertical="bottom" indent="1"/>
    </xf>
    <xf numFmtId="0" fontId="4" fillId="9" borderId="9" xfId="0" applyFont="1" applyFill="1" applyBorder="1" applyAlignment="1">
      <alignment horizontal="left" vertical="bottom" indent="1"/>
    </xf>
    <xf numFmtId="165" fontId="16" fillId="19" borderId="0" xfId="0" applyNumberFormat="1" applyFont="1" applyFill="1" applyAlignment="1">
      <alignment vertical="bottom"/>
    </xf>
    <xf numFmtId="3" fontId="4" fillId="0" borderId="9" xfId="0" applyNumberFormat="1" applyFont="1" applyBorder="1" applyAlignment="1">
      <alignment horizontal="right" vertical="bottom" indent="1"/>
    </xf>
    <xf numFmtId="0" fontId="4" fillId="3" borderId="9" xfId="0" applyFont="1" applyFill="1" applyBorder="1" applyAlignment="1">
      <alignment horizontal="left" vertical="bottom" indent="1"/>
    </xf>
    <xf numFmtId="0" fontId="4" fillId="20" borderId="9" xfId="0" applyFont="1" applyFill="1" applyBorder="1" applyAlignment="1">
      <alignment horizontal="left" vertical="bottom" indent="1"/>
    </xf>
    <xf numFmtId="0" fontId="4" fillId="21" borderId="9" xfId="0" applyFont="1" applyFill="1" applyBorder="1" applyAlignment="1">
      <alignment horizontal="left" vertical="bottom" indent="1"/>
    </xf>
    <xf numFmtId="14" fontId="15" fillId="0" borderId="9" xfId="0" applyNumberFormat="1" applyFont="1" applyBorder="1" applyAlignment="1">
      <alignment horizontal="left" vertical="bottom" indent="1"/>
    </xf>
    <xf numFmtId="0" fontId="15" fillId="0" borderId="9" xfId="0" applyFont="1" applyBorder="1" applyAlignment="1">
      <alignment horizontal="right" vertical="bottom" indent="1"/>
    </xf>
    <xf numFmtId="3" fontId="15" fillId="4" borderId="9" xfId="0" applyNumberFormat="1" applyFont="1" applyFill="1" applyBorder="1" applyAlignment="1">
      <alignment horizontal="right" vertical="bottom" indent="1"/>
    </xf>
    <xf numFmtId="165" fontId="17" fillId="0" borderId="9" xfId="0" applyNumberFormat="1" applyFont="1" applyBorder="1" applyAlignment="1">
      <alignment vertical="bottom"/>
    </xf>
    <xf numFmtId="0" fontId="15" fillId="20" borderId="9" xfId="0" applyFont="1" applyFill="1" applyBorder="1" applyAlignment="1">
      <alignment horizontal="left" vertical="bottom" indent="1"/>
    </xf>
    <xf numFmtId="3" fontId="4" fillId="5" borderId="9" xfId="0" applyNumberFormat="1" applyFont="1" applyFill="1" applyBorder="1" applyAlignment="1">
      <alignment horizontal="right" vertical="bottom" indent="1"/>
    </xf>
    <xf numFmtId="0" fontId="15" fillId="18" borderId="9" xfId="0" applyFont="1" applyFill="1" applyBorder="1" applyAlignment="1">
      <alignment horizontal="left" vertical="bottom" indent="1"/>
    </xf>
    <xf numFmtId="0" fontId="4" fillId="5" borderId="9" xfId="0" applyFont="1" applyFill="1" applyBorder="1" applyAlignment="1">
      <alignment horizontal="left" vertical="bottom" indent="1"/>
    </xf>
    <xf numFmtId="0" fontId="18" fillId="0" borderId="0" xfId="0" applyFont="1" applyAlignment="1">
      <alignment vertical="bottom"/>
    </xf>
    <xf numFmtId="0" fontId="19" fillId="0" borderId="0" xfId="0" applyFont="1" applyAlignment="1">
      <alignment vertical="bottom"/>
    </xf>
    <xf numFmtId="0" fontId="20" fillId="10" borderId="9" xfId="0" applyFont="1" applyFill="1" applyBorder="1" applyAlignment="1">
      <alignment horizontal="center" vertical="center"/>
    </xf>
    <xf numFmtId="14" fontId="21" fillId="0" borderId="9" xfId="0" applyNumberFormat="1" applyFont="1" applyBorder="1" applyAlignment="1">
      <alignment vertical="bottom"/>
    </xf>
    <xf numFmtId="0" fontId="21" fillId="3" borderId="9" xfId="0" applyFont="1" applyFill="1" applyBorder="1" applyAlignment="1">
      <alignment vertical="bottom"/>
    </xf>
    <xf numFmtId="0" fontId="21" fillId="0" borderId="9" xfId="0" applyFont="1" applyBorder="1" applyAlignment="1">
      <alignment vertical="bottom"/>
    </xf>
    <xf numFmtId="0" fontId="21" fillId="4" borderId="9" xfId="0" applyFont="1" applyFill="1" applyBorder="1" applyAlignment="1">
      <alignment vertical="bottom"/>
    </xf>
    <xf numFmtId="165" fontId="21" fillId="0" borderId="9" xfId="0" applyNumberFormat="1" applyFont="1" applyBorder="1" applyAlignment="1">
      <alignment vertical="bottom"/>
    </xf>
    <xf numFmtId="9" fontId="21" fillId="0" borderId="9" xfId="0" applyNumberFormat="1" applyFont="1" applyBorder="1" applyAlignment="1">
      <alignment vertical="bottom"/>
    </xf>
    <xf numFmtId="0" fontId="21" fillId="9" borderId="9" xfId="0" applyFont="1" applyFill="1" applyBorder="1" applyAlignment="1">
      <alignment vertical="bottom"/>
    </xf>
    <xf numFmtId="0" fontId="21" fillId="21" borderId="9" xfId="0" applyFont="1" applyFill="1" applyBorder="1" applyAlignment="1">
      <alignment vertical="bottom"/>
    </xf>
    <xf numFmtId="0" fontId="21" fillId="18" borderId="9" xfId="0" applyFont="1" applyFill="1" applyBorder="1" applyAlignment="1">
      <alignment vertical="bottom"/>
    </xf>
    <xf numFmtId="0" fontId="21" fillId="16" borderId="9" xfId="0" applyFont="1" applyFill="1" applyBorder="1" applyAlignment="1">
      <alignment vertical="bottom"/>
    </xf>
    <xf numFmtId="0" fontId="5" fillId="0" borderId="9" xfId="0" applyFont="1" applyBorder="1" applyAlignment="1">
      <alignment vertical="bottom"/>
    </xf>
    <xf numFmtId="0" fontId="21" fillId="20" borderId="9" xfId="0" applyFont="1" applyFill="1" applyBorder="1" applyAlignment="1">
      <alignment vertical="bottom"/>
    </xf>
    <xf numFmtId="0" fontId="21" fillId="6" borderId="9" xfId="0" applyFont="1" applyFill="1" applyBorder="1" applyAlignment="1">
      <alignment vertical="bottom"/>
    </xf>
    <xf numFmtId="0" fontId="21" fillId="11" borderId="9" xfId="0" applyFont="1" applyFill="1" applyBorder="1" applyAlignment="1">
      <alignment vertical="bottom"/>
    </xf>
    <xf numFmtId="0" fontId="21" fillId="15" borderId="9" xfId="0" applyFont="1" applyFill="1" applyBorder="1" applyAlignment="1">
      <alignment vertical="bottom"/>
    </xf>
    <xf numFmtId="14" fontId="21" fillId="0" borderId="0" xfId="0" applyNumberFormat="1" applyFont="1" applyAlignment="1">
      <alignment vertical="bottom"/>
    </xf>
    <xf numFmtId="0" fontId="21" fillId="0" borderId="0" xfId="0" applyFont="1" applyAlignment="1">
      <alignment vertical="bottom"/>
    </xf>
    <xf numFmtId="165" fontId="21" fillId="0" borderId="0" xfId="0" applyNumberFormat="1" applyFont="1" applyAlignment="1">
      <alignment vertical="bottom"/>
    </xf>
    <xf numFmtId="9" fontId="21" fillId="0" borderId="0" xfId="0" applyNumberFormat="1" applyFont="1" applyAlignment="1">
      <alignment vertical="bottom"/>
    </xf>
    <xf numFmtId="0" fontId="21" fillId="8" borderId="9" xfId="0" applyFont="1" applyFill="1" applyBorder="1" applyAlignment="1">
      <alignment vertical="bottom"/>
    </xf>
    <xf numFmtId="0" fontId="21" fillId="7" borderId="9" xfId="0" applyFont="1" applyFill="1" applyBorder="1" applyAlignment="1">
      <alignment vertical="bottom"/>
    </xf>
    <xf numFmtId="0" fontId="21" fillId="22" borderId="9" xfId="0" applyFont="1" applyFill="1" applyBorder="1" applyAlignment="1">
      <alignment vertical="bottom"/>
    </xf>
    <xf numFmtId="0" fontId="21" fillId="23" borderId="9" xfId="0" applyFont="1" applyFill="1" applyBorder="1" applyAlignment="1">
      <alignment vertical="bottom"/>
    </xf>
    <xf numFmtId="0" fontId="21" fillId="24" borderId="9" xfId="0" applyFont="1" applyFill="1" applyBorder="1" applyAlignment="1">
      <alignment vertical="bottom"/>
    </xf>
    <xf numFmtId="0" fontId="21" fillId="25" borderId="9" xfId="0" applyFont="1" applyFill="1" applyBorder="1" applyAlignment="1">
      <alignment vertical="bottom"/>
    </xf>
    <xf numFmtId="165" fontId="21" fillId="0" borderId="0" xfId="0" applyNumberFormat="1" applyFont="1" applyAlignment="1">
      <alignment vertical="bottom"/>
    </xf>
    <xf numFmtId="0" fontId="21" fillId="0" borderId="0" xfId="0" applyFont="1" applyAlignment="1">
      <alignment vertical="bottom"/>
    </xf>
    <xf numFmtId="0" fontId="22" fillId="9" borderId="9" xfId="0" applyFont="1" applyFill="1" applyBorder="1" applyAlignment="1">
      <alignment vertical="bottom"/>
    </xf>
    <xf numFmtId="0" fontId="23" fillId="0" borderId="9" xfId="0" applyFont="1" applyBorder="1" applyAlignment="1">
      <alignment horizontal="left" vertical="bottom" indent="1"/>
    </xf>
    <xf numFmtId="0" fontId="14" fillId="10" borderId="9" xfId="0" applyFont="1" applyFill="1" applyBorder="1" applyAlignment="1">
      <alignment horizontal="center" vertical="center"/>
    </xf>
    <xf numFmtId="0" fontId="24" fillId="0" borderId="0" xfId="0" applyFont="1" applyAlignment="1">
      <alignment vertical="bottom"/>
    </xf>
    <xf numFmtId="0" fontId="25" fillId="0" borderId="0" xfId="0" applyFont="1" applyAlignment="1">
      <alignment vertical="bottom"/>
    </xf>
    <xf numFmtId="0" fontId="26" fillId="0" borderId="0" xfId="0" applyFont="1" applyAlignment="1">
      <alignment vertical="bottom"/>
    </xf>
    <xf numFmtId="0" fontId="27" fillId="0" borderId="0" xfId="0" applyFont="1" applyAlignment="1">
      <alignment vertical="bottom"/>
    </xf>
    <xf numFmtId="0" fontId="28" fillId="0" borderId="0" xfId="0" applyFont="1" applyAlignment="1">
      <alignment vertical="bottom"/>
    </xf>
    <xf numFmtId="0" fontId="29" fillId="0" borderId="0" xfId="0" applyFont="1" applyAlignment="1">
      <alignment vertical="bottom"/>
    </xf>
    <xf numFmtId="0" fontId="27" fillId="0" borderId="9" xfId="0" applyFont="1" applyBorder="1" applyAlignment="1">
      <alignment vertical="bottom"/>
    </xf>
    <xf numFmtId="0" fontId="30" fillId="0" borderId="0" xfId="0" applyFont="1" applyAlignment="1">
      <alignment vertical="bottom"/>
    </xf>
    <xf numFmtId="0" fontId="26" fillId="0" borderId="9" xfId="0" applyFont="1" applyBorder="1" applyAlignment="1">
      <alignment vertical="bottom"/>
    </xf>
    <xf numFmtId="0" fontId="13" fillId="11" borderId="9" xfId="0" applyFont="1" applyFill="1" applyBorder="1" applyAlignment="1">
      <alignment vertical="bottom"/>
    </xf>
    <xf numFmtId="0" fontId="25" fillId="0" borderId="0" xfId="0" applyFont="1" applyAlignment="1">
      <alignment vertical="bottom"/>
    </xf>
    <xf numFmtId="0" fontId="24" fillId="0" borderId="0" xfId="0" applyFont="1" applyAlignment="1">
      <alignment vertical="bottom"/>
    </xf>
    <xf numFmtId="165" fontId="13" fillId="0" borderId="0" xfId="0" applyNumberFormat="1" applyAlignment="1">
      <alignment vertical="bottom"/>
    </xf>
    <xf numFmtId="9" fontId="13" fillId="0" borderId="0" xfId="0" applyNumberFormat="1" applyAlignment="1">
      <alignment vertical="bottom"/>
    </xf>
    <xf numFmtId="0" fontId="29" fillId="0" borderId="0" xfId="0" applyFont="1" applyAlignment="1">
      <alignment vertical="bottom"/>
    </xf>
    <xf numFmtId="0" fontId="30" fillId="0" borderId="0" xfId="0" applyFont="1" applyAlignment="1">
      <alignment vertical="bottom"/>
    </xf>
    <xf numFmtId="166" fontId="13" fillId="0" borderId="0" xfId="0" applyNumberFormat="1" applyAlignment="1">
      <alignment vertical="bottom"/>
    </xf>
    <xf numFmtId="0" fontId="31" fillId="0" borderId="0" xfId="0" applyFont="1" applyAlignment="1">
      <alignment vertical="bottom"/>
    </xf>
    <xf numFmtId="0" fontId="13" fillId="14" borderId="0" xfId="0" applyFont="1" applyFill="1" applyAlignment="1">
      <alignment vertical="bottom"/>
    </xf>
    <xf numFmtId="165" fontId="13" fillId="14" borderId="0" xfId="0" applyNumberFormat="1" applyFill="1" applyAlignment="1">
      <alignment vertical="bottom"/>
    </xf>
    <xf numFmtId="166" fontId="13" fillId="14" borderId="0" xfId="0" applyNumberFormat="1" applyFill="1" applyAlignment="1">
      <alignment vertical="bottom"/>
    </xf>
  </cellXfs>
  <cellStyles count="1">
    <cellStyle name="常规" xfId="0" builtinId="0"/>
  </cellStyles>
  <dxfs count="0"/>
  <tableStyles defaultTableStyle="TableStyleMedium2" defaultPivotStyle="PivotStyleLight16"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1E7E34"/>
      <rgbColor rgb="00000080"/>
      <rgbColor rgb="00806000"/>
      <rgbColor rgb="00800080"/>
      <rgbColor rgb="000070C0"/>
      <rgbColor rgb="00ADB9CA"/>
      <rgbColor rgb="007C7C7C"/>
      <rgbColor rgb="00AFABAB"/>
      <rgbColor rgb="007030A0"/>
      <rgbColor rgb="00FFF2CC"/>
      <rgbColor rgb="00DAE3F3"/>
      <rgbColor rgb="00660066"/>
      <rgbColor rgb="00FF8080"/>
      <rgbColor rgb="000563C1"/>
      <rgbColor rgb="00D9D9D9"/>
      <rgbColor rgb="00000080"/>
      <rgbColor rgb="00FF00FF"/>
      <rgbColor rgb="00FFFF00"/>
      <rgbColor rgb="0000FFFF"/>
      <rgbColor rgb="00800080"/>
      <rgbColor rgb="00800000"/>
      <rgbColor rgb="0000B050"/>
      <rgbColor rgb="000000FF"/>
      <rgbColor rgb="0000B0F0"/>
      <rgbColor rgb="00F0F0F0"/>
      <rgbColor rgb="00C5E0B4"/>
      <rgbColor rgb="00FFE699"/>
      <rgbColor rgb="00B3B3B3"/>
      <rgbColor rgb="00F4B183"/>
      <rgbColor rgb="00DDDDDD"/>
      <rgbColor rgb="00F8CBAD"/>
      <rgbColor rgb="004472C4"/>
      <rgbColor rgb="0033CCCC"/>
      <rgbColor rgb="0092D050"/>
      <rgbColor rgb="00FFC000"/>
      <rgbColor rgb="00FF9900"/>
      <rgbColor rgb="00ED7D31"/>
      <rgbColor rgb="00595959"/>
      <rgbColor rgb="00A5A5A5"/>
      <rgbColor rgb="00091C44"/>
      <rgbColor rgb="00548235"/>
      <rgbColor rgb="00003300"/>
      <rgbColor rgb="00555555"/>
      <rgbColor rgb="00C0392B"/>
      <rgbColor rgb="00C55A11"/>
      <rgbColor rgb="001F4E78"/>
      <rgbColor rgb="00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www.wps.cn/officeDocument/2020/cellImage" Target="cellimages.xml"/><Relationship Id="rId40" Type="http://schemas.openxmlformats.org/officeDocument/2006/relationships/sharedStrings" Target="sharedStrings.xml"/><Relationship Id="rId41" Type="http://schemas.openxmlformats.org/officeDocument/2006/relationships/styles" Target="styles.xml"/><Relationship Id="rId4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Revenue chart
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1st Sales Report'!$J$1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1st Sales Report'!$I$2:$I$16</c:f>
              <c:strCache>
                <c:ptCount val="6"/>
                <c:pt idx="0">
                  <c:v>Trophy</c:v>
                </c:pt>
                <c:pt idx="1">
                  <c:v>Goldberg 60cl</c:v>
                </c:pt>
                <c:pt idx="2">
                  <c:v>Maltina Pet 33cl</c:v>
                </c:pt>
                <c:pt idx="3">
                  <c:v>Maltina Pet 50cl</c:v>
                </c:pt>
                <c:pt idx="4">
                  <c:v>Maltina Can</c:v>
                </c:pt>
                <c:pt idx="5">
                  <c:v>Grand Total</c:v>
                </c:pt>
              </c:strCache>
            </c:strRef>
          </c:cat>
          <c:val>
            <c:numRef>
              <c:f>'July 1st Sales Report'!$J$2:$J$16</c:f>
              <c:numCache>
                <c:formatCode>General</c:formatCode>
                <c:ptCount val="15"/>
                <c:pt idx="0">
                  <c:v>1.0</c:v>
                </c:pt>
                <c:pt idx="1">
                  <c:v>1.0</c:v>
                </c:pt>
                <c:pt idx="2">
                  <c:v>201.0</c:v>
                </c:pt>
                <c:pt idx="3">
                  <c:v>35.0</c:v>
                </c:pt>
                <c:pt idx="4">
                  <c:v>20.0</c:v>
                </c:pt>
                <c:pt idx="5" formatCode="#,##0">
                  <c:v>258.0</c:v>
                </c:pt>
              </c:numCache>
            </c:numRef>
          </c:val>
        </c:ser>
        <c:ser>
          <c:idx val="1"/>
          <c:order val="1"/>
          <c:tx>
            <c:strRef>
              <c:f>'July 1st Sales Report'!$K$1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1st Sales Report'!$I$2:$I$16</c:f>
              <c:strCache>
                <c:ptCount val="6"/>
                <c:pt idx="0">
                  <c:v>Trophy</c:v>
                </c:pt>
                <c:pt idx="1">
                  <c:v>Goldberg 60cl</c:v>
                </c:pt>
                <c:pt idx="2">
                  <c:v>Maltina Pet 33cl</c:v>
                </c:pt>
                <c:pt idx="3">
                  <c:v>Maltina Pet 50cl</c:v>
                </c:pt>
                <c:pt idx="4">
                  <c:v>Maltina Can</c:v>
                </c:pt>
                <c:pt idx="5">
                  <c:v>Grand Total</c:v>
                </c:pt>
              </c:strCache>
            </c:strRef>
          </c:cat>
          <c:val>
            <c:numRef>
              <c:f>'July 1st Sales Report'!$K$2:$K$16</c:f>
              <c:numCache>
                <c:formatCode>General</c:formatCode>
                <c:ptCount val="15"/>
                <c:pt idx="0">
                  <c:v>9000.0</c:v>
                </c:pt>
                <c:pt idx="1">
                  <c:v>9500.0</c:v>
                </c:pt>
                <c:pt idx="2" formatCode="_(* #,##0_);_(* \(#,##0\);_(* \-??_);_(@_)">
                  <c:v>995400.0</c:v>
                </c:pt>
                <c:pt idx="3" formatCode="_(* #,##0_);_(* \(#,##0\);_(* \-??_);_(@_)">
                  <c:v>280700.0</c:v>
                </c:pt>
                <c:pt idx="4" formatCode="_(* #,##0_);_(* \(#,##0\);_(* \-??_);_(@_)">
                  <c:v>263000.0</c:v>
                </c:pt>
                <c:pt idx="5" formatCode="_(* #,##0_);_(* \(#,##0\);_(* \-??_);_(@_)">
                  <c:v>1557600.0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3478712"/>
        <c:axId val="347242632"/>
      </c:barChart>
      <c:lineChart>
        <c:grouping val="standard"/>
        <c:varyColors val="0"/>
        <c:ser>
          <c:idx val="2"/>
          <c:order val="2"/>
          <c:tx>
            <c:strRef>
              <c:f>'July 1st Sales Report'!$L$1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1st Sales Report'!$I$2:$I$16</c:f>
              <c:strCache>
                <c:ptCount val="6"/>
                <c:pt idx="0">
                  <c:v>Trophy</c:v>
                </c:pt>
                <c:pt idx="1">
                  <c:v>Goldberg 60cl</c:v>
                </c:pt>
                <c:pt idx="2">
                  <c:v>Maltina Pet 33cl</c:v>
                </c:pt>
                <c:pt idx="3">
                  <c:v>Maltina Pet 50cl</c:v>
                </c:pt>
                <c:pt idx="4">
                  <c:v>Maltina Can</c:v>
                </c:pt>
                <c:pt idx="5">
                  <c:v>Grand Total</c:v>
                </c:pt>
              </c:strCache>
            </c:strRef>
          </c:cat>
          <c:val>
            <c:numRef>
              <c:f>'July 1st Sales Report'!$L$2:$L$16</c:f>
              <c:numCache>
                <c:formatCode>0%</c:formatCode>
                <c:ptCount val="15"/>
                <c:pt idx="0">
                  <c:v>0.00577812018489985</c:v>
                </c:pt>
                <c:pt idx="1">
                  <c:v>0.00609912686183873</c:v>
                </c:pt>
                <c:pt idx="2">
                  <c:v>0.639060092449923</c:v>
                </c:pt>
                <c:pt idx="3">
                  <c:v>0.180213148433487</c:v>
                </c:pt>
                <c:pt idx="4">
                  <c:v>0.168849512069851</c:v>
                </c:pt>
                <c:pt idx="5">
                  <c:v>1.0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3873240"/>
        <c:axId val="41360840"/>
      </c:lineChart>
      <c:catAx>
        <c:axId val="4134787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47242632"/>
        <c:crosses val="autoZero"/>
        <c:auto val="1"/>
        <c:lblAlgn val="ctr"/>
        <c:lblOffset val="100"/>
        <c:noMultiLvlLbl val="0"/>
      </c:catAx>
      <c:valAx>
        <c:axId val="34724263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3478712"/>
        <c:crosses val="autoZero"/>
        <c:crossBetween val="between"/>
      </c:valAx>
      <c:catAx>
        <c:axId val="4138732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360840"/>
        <c:crosses val="autoZero"/>
        <c:auto val="1"/>
        <c:lblAlgn val="ctr"/>
        <c:lblOffset val="100"/>
        <c:noMultiLvlLbl val="0"/>
      </c:catAx>
      <c:valAx>
        <c:axId val="4136084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387324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Sales Rep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1st Sales Report'!$J$20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1st Sales Report'!$I$21:$I$25</c:f>
              <c:strCache>
                <c:ptCount val="4"/>
                <c:pt idx="0">
                  <c:v>Walk in Customer 1</c:v>
                </c:pt>
                <c:pt idx="1">
                  <c:v>Walk in Customer 2</c:v>
                </c:pt>
                <c:pt idx="2">
                  <c:v>Eniola Marketer</c:v>
                </c:pt>
                <c:pt idx="3">
                  <c:v>Total</c:v>
                </c:pt>
              </c:strCache>
            </c:strRef>
          </c:cat>
          <c:val>
            <c:numRef>
              <c:f>'July 1st Sales Report'!$J$21:$J$25</c:f>
              <c:numCache>
                <c:formatCode>_(* #,##0_);_(* \(#,##0\);_(* \-??_);_(@_)</c:formatCode>
                <c:ptCount val="5"/>
                <c:pt idx="0">
                  <c:v>18500.0</c:v>
                </c:pt>
                <c:pt idx="1">
                  <c:v>5400.0</c:v>
                </c:pt>
                <c:pt idx="2">
                  <c:v>1533700.0</c:v>
                </c:pt>
                <c:pt idx="3">
                  <c:v>1557600.0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9539728"/>
        <c:axId val="412426184"/>
      </c:barChart>
      <c:lineChart>
        <c:grouping val="standard"/>
        <c:varyColors val="0"/>
        <c:ser>
          <c:idx val="1"/>
          <c:order val="1"/>
          <c:tx>
            <c:strRef>
              <c:f>'July 1st Sales Report'!$K$20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1st Sales Report'!$I$21:$I$25</c:f>
              <c:strCache>
                <c:ptCount val="4"/>
                <c:pt idx="0">
                  <c:v>Walk in Customer 1</c:v>
                </c:pt>
                <c:pt idx="1">
                  <c:v>Walk in Customer 2</c:v>
                </c:pt>
                <c:pt idx="2">
                  <c:v>Eniola Marketer</c:v>
                </c:pt>
                <c:pt idx="3">
                  <c:v>Total</c:v>
                </c:pt>
              </c:strCache>
            </c:strRef>
          </c:cat>
          <c:val>
            <c:numRef>
              <c:f>'July 1st Sales Report'!$K$21:$K$25</c:f>
              <c:numCache>
                <c:formatCode>0%</c:formatCode>
                <c:ptCount val="5"/>
                <c:pt idx="0">
                  <c:v>0.0118772470467386</c:v>
                </c:pt>
                <c:pt idx="1">
                  <c:v>0.00346687211093991</c:v>
                </c:pt>
                <c:pt idx="2">
                  <c:v>0.984655880842322</c:v>
                </c:pt>
                <c:pt idx="3">
                  <c:v>1.0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6214440"/>
        <c:axId val="414738928"/>
      </c:lineChart>
      <c:catAx>
        <c:axId val="3495397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2426184"/>
        <c:crosses val="autoZero"/>
        <c:auto val="1"/>
        <c:lblAlgn val="ctr"/>
        <c:lblOffset val="100"/>
        <c:noMultiLvlLbl val="0"/>
      </c:catAx>
      <c:valAx>
        <c:axId val="41242618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49539728"/>
        <c:crosses val="autoZero"/>
        <c:crossBetween val="between"/>
      </c:valAx>
      <c:catAx>
        <c:axId val="4162144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4738928"/>
        <c:crosses val="autoZero"/>
        <c:auto val="1"/>
        <c:lblAlgn val="ctr"/>
        <c:lblOffset val="100"/>
        <c:noMultiLvlLbl val="0"/>
      </c:catAx>
      <c:valAx>
        <c:axId val="414738928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621444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1st Sales Report'!$J$28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1st Sales Report'!$I$29:$I$32</c:f>
              <c:strCache>
                <c:ptCount val="4"/>
                <c:pt idx="0">
                  <c:v>ann-INV142</c:v>
                </c:pt>
                <c:pt idx="1">
                  <c:v>ann-INV143</c:v>
                </c:pt>
                <c:pt idx="2">
                  <c:v>ann-INV144</c:v>
                </c:pt>
                <c:pt idx="3">
                  <c:v>Total</c:v>
                </c:pt>
              </c:strCache>
            </c:strRef>
          </c:cat>
          <c:val>
            <c:numRef>
              <c:f>'July 1st Sales Report'!$J$29:$J$32</c:f>
              <c:numCache>
                <c:formatCode>_(* #,##0_);_(* \(#,##0\);_(* \-??_);_(@_)</c:formatCode>
                <c:ptCount val="4"/>
                <c:pt idx="0">
                  <c:v>18500.0</c:v>
                </c:pt>
                <c:pt idx="1" formatCode="#,##0">
                  <c:v>5400.0</c:v>
                </c:pt>
                <c:pt idx="2" formatCode="#,##0">
                  <c:v>1533700.0</c:v>
                </c:pt>
                <c:pt idx="3">
                  <c:v>1557600.0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2506016"/>
        <c:axId val="412506408"/>
      </c:barChart>
      <c:lineChart>
        <c:grouping val="standard"/>
        <c:varyColors val="0"/>
        <c:ser>
          <c:idx val="1"/>
          <c:order val="1"/>
          <c:tx>
            <c:strRef>
              <c:f>'July 1st Sales Report'!$K$28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1st Sales Report'!$I$29:$I$32</c:f>
              <c:strCache>
                <c:ptCount val="4"/>
                <c:pt idx="0">
                  <c:v>ann-INV142</c:v>
                </c:pt>
                <c:pt idx="1">
                  <c:v>ann-INV143</c:v>
                </c:pt>
                <c:pt idx="2">
                  <c:v>ann-INV144</c:v>
                </c:pt>
                <c:pt idx="3">
                  <c:v>Total</c:v>
                </c:pt>
              </c:strCache>
            </c:strRef>
          </c:cat>
          <c:val>
            <c:numRef>
              <c:f>'July 1st Sales Report'!$K$29:$K$32</c:f>
              <c:numCache>
                <c:formatCode>0%</c:formatCode>
                <c:ptCount val="4"/>
                <c:pt idx="0">
                  <c:v>0.09</c:v>
                </c:pt>
                <c:pt idx="1">
                  <c:v>0.04</c:v>
                </c:pt>
                <c:pt idx="2">
                  <c:v>-0.03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2511112"/>
        <c:axId val="412506800"/>
      </c:lineChart>
      <c:catAx>
        <c:axId val="4125060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2506408"/>
        <c:crosses val="autoZero"/>
        <c:auto val="1"/>
        <c:lblAlgn val="ctr"/>
        <c:lblOffset val="100"/>
        <c:noMultiLvlLbl val="0"/>
      </c:catAx>
      <c:valAx>
        <c:axId val="41250640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2506016"/>
        <c:crosses val="autoZero"/>
        <c:crossBetween val="between"/>
      </c:valAx>
      <c:catAx>
        <c:axId val="4125111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2506800"/>
        <c:crosses val="autoZero"/>
        <c:auto val="1"/>
        <c:lblAlgn val="ctr"/>
        <c:lblOffset val="100"/>
        <c:noMultiLvlLbl val="0"/>
      </c:catAx>
      <c:valAx>
        <c:axId val="41250680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251111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Revenue chart
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2nd Sales Report'!$J$1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2nd Sales Report'!$I$2:$I$15</c:f>
              <c:strCache>
                <c:ptCount val="14"/>
                <c:pt idx="0">
                  <c:v>Maltina Pet 33cl</c:v>
                </c:pt>
                <c:pt idx="1">
                  <c:v>Heineken Sleek Can</c:v>
                </c:pt>
                <c:pt idx="2">
                  <c:v>Goldberg Can 50cl</c:v>
                </c:pt>
                <c:pt idx="3">
                  <c:v>4th Street wine</c:v>
                </c:pt>
                <c:pt idx="4">
                  <c:v>Maltina Can</c:v>
                </c:pt>
                <c:pt idx="5">
                  <c:v>Desperados Can</c:v>
                </c:pt>
                <c:pt idx="6">
                  <c:v>Legend Can 44cl</c:v>
                </c:pt>
                <c:pt idx="7">
                  <c:v>Tiger Bottle</c:v>
                </c:pt>
                <c:pt idx="8">
                  <c:v>Turbo King Bottle 60cl</c:v>
                </c:pt>
                <c:pt idx="9">
                  <c:v>Goldberg 60cl</c:v>
                </c:pt>
                <c:pt idx="10">
                  <c:v>Medium Stout</c:v>
                </c:pt>
                <c:pt idx="11">
                  <c:v>Trophy</c:v>
                </c:pt>
                <c:pt idx="12">
                  <c:v>33 Export 60cl</c:v>
                </c:pt>
                <c:pt idx="13">
                  <c:v>Heineken Bottle 60cl</c:v>
                </c:pt>
              </c:strCache>
            </c:strRef>
          </c:cat>
          <c:val>
            <c:numRef>
              <c:f>'July 2nd Sales Report'!$J$2:$J$16</c:f>
              <c:numCache>
                <c:formatCode>General</c:formatCode>
                <c:ptCount val="15"/>
                <c:pt idx="0">
                  <c:v>300.0</c:v>
                </c:pt>
                <c:pt idx="1">
                  <c:v>32.0</c:v>
                </c:pt>
                <c:pt idx="2">
                  <c:v>33.0</c:v>
                </c:pt>
                <c:pt idx="3">
                  <c:v>1.0</c:v>
                </c:pt>
                <c:pt idx="4">
                  <c:v>40.0</c:v>
                </c:pt>
                <c:pt idx="5">
                  <c:v>8.0</c:v>
                </c:pt>
                <c:pt idx="6">
                  <c:v>2.0</c:v>
                </c:pt>
                <c:pt idx="7">
                  <c:v>6.0</c:v>
                </c:pt>
                <c:pt idx="8">
                  <c:v>2.0</c:v>
                </c:pt>
                <c:pt idx="9">
                  <c:v>12.0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2.0</c:v>
                </c:pt>
                <c:pt idx="14">
                  <c:v>27.0</c:v>
                </c:pt>
              </c:numCache>
            </c:numRef>
          </c:val>
        </c:ser>
        <c:ser>
          <c:idx val="1"/>
          <c:order val="1"/>
          <c:tx>
            <c:strRef>
              <c:f>'July 2nd Sales Report'!$K$1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2nd Sales Report'!$I$2:$I$15</c:f>
              <c:strCache>
                <c:ptCount val="14"/>
                <c:pt idx="0">
                  <c:v>Maltina Pet 33cl</c:v>
                </c:pt>
                <c:pt idx="1">
                  <c:v>Heineken Sleek Can</c:v>
                </c:pt>
                <c:pt idx="2">
                  <c:v>Goldberg Can 50cl</c:v>
                </c:pt>
                <c:pt idx="3">
                  <c:v>4th Street wine</c:v>
                </c:pt>
                <c:pt idx="4">
                  <c:v>Maltina Can</c:v>
                </c:pt>
                <c:pt idx="5">
                  <c:v>Desperados Can</c:v>
                </c:pt>
                <c:pt idx="6">
                  <c:v>Legend Can 44cl</c:v>
                </c:pt>
                <c:pt idx="7">
                  <c:v>Tiger Bottle</c:v>
                </c:pt>
                <c:pt idx="8">
                  <c:v>Turbo King Bottle 60cl</c:v>
                </c:pt>
                <c:pt idx="9">
                  <c:v>Goldberg 60cl</c:v>
                </c:pt>
                <c:pt idx="10">
                  <c:v>Medium Stout</c:v>
                </c:pt>
                <c:pt idx="11">
                  <c:v>Trophy</c:v>
                </c:pt>
                <c:pt idx="12">
                  <c:v>33 Export 60cl</c:v>
                </c:pt>
                <c:pt idx="13">
                  <c:v>Heineken Bottle 60cl</c:v>
                </c:pt>
              </c:strCache>
            </c:strRef>
          </c:cat>
          <c:val>
            <c:numRef>
              <c:f>'July 2nd Sales Report'!$K$2:$K$16</c:f>
              <c:numCache>
                <c:formatCode>_(* #,##0_);_(* \(#,##0\);_(* \-??_);_(@_)</c:formatCode>
                <c:ptCount val="15"/>
                <c:pt idx="0">
                  <c:v>1496000.0</c:v>
                </c:pt>
                <c:pt idx="1">
                  <c:v>558375.0</c:v>
                </c:pt>
                <c:pt idx="2">
                  <c:v>518085.0</c:v>
                </c:pt>
                <c:pt idx="3">
                  <c:v>24235.0</c:v>
                </c:pt>
                <c:pt idx="4">
                  <c:v>517500.0</c:v>
                </c:pt>
                <c:pt idx="5">
                  <c:v>176695.0</c:v>
                </c:pt>
                <c:pt idx="6">
                  <c:v>42340.0</c:v>
                </c:pt>
                <c:pt idx="7">
                  <c:v>93150.0</c:v>
                </c:pt>
                <c:pt idx="8">
                  <c:v>17760.0</c:v>
                </c:pt>
                <c:pt idx="9">
                  <c:v>103200.0</c:v>
                </c:pt>
                <c:pt idx="10">
                  <c:v>17700.0</c:v>
                </c:pt>
                <c:pt idx="11">
                  <c:v>8500.0</c:v>
                </c:pt>
                <c:pt idx="12">
                  <c:v>9200.0</c:v>
                </c:pt>
                <c:pt idx="13">
                  <c:v>26670.0</c:v>
                </c:pt>
                <c:pt idx="14">
                  <c:v>423665.0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2509152"/>
        <c:axId val="412509544"/>
      </c:barChart>
      <c:lineChart>
        <c:grouping val="standard"/>
        <c:varyColors val="0"/>
        <c:ser>
          <c:idx val="2"/>
          <c:order val="2"/>
          <c:tx>
            <c:strRef>
              <c:f>'July 2nd Sales Report'!$L$1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2nd Sales Report'!$I$2:$I$15</c:f>
              <c:strCache>
                <c:ptCount val="14"/>
                <c:pt idx="0">
                  <c:v>Maltina Pet 33cl</c:v>
                </c:pt>
                <c:pt idx="1">
                  <c:v>Heineken Sleek Can</c:v>
                </c:pt>
                <c:pt idx="2">
                  <c:v>Goldberg Can 50cl</c:v>
                </c:pt>
                <c:pt idx="3">
                  <c:v>4th Street wine</c:v>
                </c:pt>
                <c:pt idx="4">
                  <c:v>Maltina Can</c:v>
                </c:pt>
                <c:pt idx="5">
                  <c:v>Desperados Can</c:v>
                </c:pt>
                <c:pt idx="6">
                  <c:v>Legend Can 44cl</c:v>
                </c:pt>
                <c:pt idx="7">
                  <c:v>Tiger Bottle</c:v>
                </c:pt>
                <c:pt idx="8">
                  <c:v>Turbo King Bottle 60cl</c:v>
                </c:pt>
                <c:pt idx="9">
                  <c:v>Goldberg 60cl</c:v>
                </c:pt>
                <c:pt idx="10">
                  <c:v>Medium Stout</c:v>
                </c:pt>
                <c:pt idx="11">
                  <c:v>Trophy</c:v>
                </c:pt>
                <c:pt idx="12">
                  <c:v>33 Export 60cl</c:v>
                </c:pt>
                <c:pt idx="13">
                  <c:v>Heineken Bottle 60cl</c:v>
                </c:pt>
              </c:strCache>
            </c:strRef>
          </c:cat>
          <c:val>
            <c:numRef>
              <c:f>'July 2nd Sales Report'!$L$2:$L$16</c:f>
              <c:numCache>
                <c:formatCode>0%</c:formatCode>
                <c:ptCount val="15"/>
                <c:pt idx="0">
                  <c:v>0.353719911049846</c:v>
                </c:pt>
                <c:pt idx="1">
                  <c:v>0.132024301692819</c:v>
                </c:pt>
                <c:pt idx="2">
                  <c:v>0.122497981361136</c:v>
                </c:pt>
                <c:pt idx="3">
                  <c:v>0.00573021527024934</c:v>
                </c:pt>
                <c:pt idx="4">
                  <c:v>0.122359661743513</c:v>
                </c:pt>
                <c:pt idx="5">
                  <c:v>0.0417784356169469</c:v>
                </c:pt>
                <c:pt idx="6">
                  <c:v>0.0100110301028412</c:v>
                </c:pt>
                <c:pt idx="7">
                  <c:v>0.0220247391138323</c:v>
                </c:pt>
                <c:pt idx="8">
                  <c:v>0.00419924172476288</c:v>
                </c:pt>
                <c:pt idx="9">
                  <c:v>0.02440099921146</c:v>
                </c:pt>
                <c:pt idx="10">
                  <c:v>0.00418505509731435</c:v>
                </c:pt>
                <c:pt idx="11">
                  <c:v>0.00200977222187412</c:v>
                </c:pt>
                <c:pt idx="12">
                  <c:v>0.00217528287544023</c:v>
                </c:pt>
                <c:pt idx="13">
                  <c:v>0.00630595590086858</c:v>
                </c:pt>
                <c:pt idx="14">
                  <c:v>0.100172958632977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2510328"/>
        <c:axId val="412510720"/>
      </c:lineChart>
      <c:catAx>
        <c:axId val="412509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2509544"/>
        <c:crosses val="autoZero"/>
        <c:auto val="1"/>
        <c:lblAlgn val="ctr"/>
        <c:lblOffset val="100"/>
        <c:noMultiLvlLbl val="0"/>
      </c:catAx>
      <c:valAx>
        <c:axId val="41250954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2509152"/>
        <c:crosses val="autoZero"/>
        <c:crossBetween val="between"/>
      </c:valAx>
      <c:catAx>
        <c:axId val="4125103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2510720"/>
        <c:crosses val="autoZero"/>
        <c:auto val="1"/>
        <c:lblAlgn val="ctr"/>
        <c:lblOffset val="100"/>
        <c:noMultiLvlLbl val="0"/>
      </c:catAx>
      <c:valAx>
        <c:axId val="41251072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251032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Sales Rep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2nd Sales Report'!$J$38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2nd Sales Report'!$I$20:$I$25</c:f>
              <c:strCache>
                <c:ptCount val="1"/>
                <c:pt idx="0">
                  <c:v>Grand Total</c:v>
                </c:pt>
              </c:strCache>
            </c:strRef>
          </c:cat>
          <c:val>
            <c:numRef>
              <c:f>'July 2nd Sales Report'!$J$20:$J$25</c:f>
              <c:numCache>
                <c:formatCode>General</c:formatCode>
                <c:ptCount val="6"/>
                <c:pt idx="0" formatCode="#,##0">
                  <c:v>488.0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6419960"/>
        <c:axId val="416422312"/>
      </c:barChart>
      <c:lineChart>
        <c:grouping val="standard"/>
        <c:varyColors val="0"/>
        <c:ser>
          <c:idx val="1"/>
          <c:order val="1"/>
          <c:tx>
            <c:strRef>
              <c:f>'July 2nd Sales Report'!$K$38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2nd Sales Report'!$I$20:$I$25</c:f>
              <c:strCache>
                <c:ptCount val="1"/>
                <c:pt idx="0">
                  <c:v>Grand Total</c:v>
                </c:pt>
              </c:strCache>
            </c:strRef>
          </c:cat>
          <c:val>
            <c:numRef>
              <c:f>'July 2nd Sales Report'!$K$20:$K$25</c:f>
              <c:numCache>
                <c:formatCode>General</c:formatCode>
                <c:ptCount val="6"/>
                <c:pt idx="0" formatCode="_(* #,##0_);_(* \(#,##0\);_(* \-??_);_(@_)">
                  <c:v>4229335.0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6420744"/>
        <c:axId val="416418392"/>
      </c:lineChart>
      <c:catAx>
        <c:axId val="4164199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6422312"/>
        <c:crosses val="autoZero"/>
        <c:auto val="1"/>
        <c:lblAlgn val="ctr"/>
        <c:lblOffset val="100"/>
        <c:noMultiLvlLbl val="0"/>
      </c:catAx>
      <c:valAx>
        <c:axId val="41642231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6419960"/>
        <c:crosses val="autoZero"/>
        <c:crossBetween val="between"/>
      </c:valAx>
      <c:catAx>
        <c:axId val="4164207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6418392"/>
        <c:crosses val="autoZero"/>
        <c:auto val="1"/>
        <c:lblAlgn val="ctr"/>
        <c:lblOffset val="100"/>
        <c:noMultiLvlLbl val="0"/>
      </c:catAx>
      <c:valAx>
        <c:axId val="416418392"/>
        <c:scaling>
          <c:orientation val="minMax"/>
        </c:scaling>
        <c:delete val="0"/>
        <c:axPos val="r"/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642074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2nd Sales Report'!$J$47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2nd Sales Report'!$I$48:$I$60</c:f>
              <c:strCache>
                <c:ptCount val="13"/>
                <c:pt idx="0">
                  <c:v>ann-INV145</c:v>
                </c:pt>
                <c:pt idx="1">
                  <c:v>ann-INV146</c:v>
                </c:pt>
                <c:pt idx="2">
                  <c:v>ann-INV147</c:v>
                </c:pt>
                <c:pt idx="3">
                  <c:v>ann-INV148</c:v>
                </c:pt>
                <c:pt idx="4">
                  <c:v>ann-INV152</c:v>
                </c:pt>
                <c:pt idx="5">
                  <c:v>ann-INV153</c:v>
                </c:pt>
                <c:pt idx="6">
                  <c:v>ann-INV154</c:v>
                </c:pt>
                <c:pt idx="7">
                  <c:v>ann-INV155</c:v>
                </c:pt>
                <c:pt idx="8">
                  <c:v>ann-INV156</c:v>
                </c:pt>
                <c:pt idx="9">
                  <c:v>ann-INV157</c:v>
                </c:pt>
                <c:pt idx="10">
                  <c:v>ann-INV158</c:v>
                </c:pt>
                <c:pt idx="11">
                  <c:v>ann-INV159</c:v>
                </c:pt>
                <c:pt idx="12">
                  <c:v>Total</c:v>
                </c:pt>
              </c:strCache>
            </c:strRef>
          </c:cat>
          <c:val>
            <c:numRef>
              <c:f>'July 2nd Sales Report'!$J$48:$J$60</c:f>
              <c:numCache>
                <c:formatCode>#,##0</c:formatCode>
                <c:ptCount val="13"/>
                <c:pt idx="0">
                  <c:v>821130.0</c:v>
                </c:pt>
                <c:pt idx="1">
                  <c:v>256500.0</c:v>
                </c:pt>
                <c:pt idx="2">
                  <c:v>86000.0</c:v>
                </c:pt>
                <c:pt idx="3">
                  <c:v>62070.0</c:v>
                </c:pt>
                <c:pt idx="4">
                  <c:v>1421000.0</c:v>
                </c:pt>
                <c:pt idx="5">
                  <c:v>56940.0</c:v>
                </c:pt>
                <c:pt idx="6">
                  <c:v>17200.0</c:v>
                </c:pt>
                <c:pt idx="7">
                  <c:v>8880.0</c:v>
                </c:pt>
                <c:pt idx="8">
                  <c:v>1324235.0</c:v>
                </c:pt>
                <c:pt idx="9">
                  <c:v>40100.0</c:v>
                </c:pt>
                <c:pt idx="10">
                  <c:v>80200.0</c:v>
                </c:pt>
                <c:pt idx="11">
                  <c:v>67080.0</c:v>
                </c:pt>
                <c:pt idx="12" formatCode="_(* #,##0_);_(* \(#,##0\);_(* \-??_);_(@_)">
                  <c:v>4241335.0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6418000"/>
        <c:axId val="416416824"/>
      </c:barChart>
      <c:lineChart>
        <c:grouping val="standard"/>
        <c:varyColors val="0"/>
        <c:ser>
          <c:idx val="1"/>
          <c:order val="1"/>
          <c:tx>
            <c:strRef>
              <c:f>'July 2nd Sales Report'!$K$47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2nd Sales Report'!$I$48:$I$60</c:f>
              <c:strCache>
                <c:ptCount val="13"/>
                <c:pt idx="0">
                  <c:v>ann-INV145</c:v>
                </c:pt>
                <c:pt idx="1">
                  <c:v>ann-INV146</c:v>
                </c:pt>
                <c:pt idx="2">
                  <c:v>ann-INV147</c:v>
                </c:pt>
                <c:pt idx="3">
                  <c:v>ann-INV148</c:v>
                </c:pt>
                <c:pt idx="4">
                  <c:v>ann-INV152</c:v>
                </c:pt>
                <c:pt idx="5">
                  <c:v>ann-INV153</c:v>
                </c:pt>
                <c:pt idx="6">
                  <c:v>ann-INV154</c:v>
                </c:pt>
                <c:pt idx="7">
                  <c:v>ann-INV155</c:v>
                </c:pt>
                <c:pt idx="8">
                  <c:v>ann-INV156</c:v>
                </c:pt>
                <c:pt idx="9">
                  <c:v>ann-INV157</c:v>
                </c:pt>
                <c:pt idx="10">
                  <c:v>ann-INV158</c:v>
                </c:pt>
                <c:pt idx="11">
                  <c:v>ann-INV159</c:v>
                </c:pt>
                <c:pt idx="12">
                  <c:v>Total</c:v>
                </c:pt>
              </c:strCache>
            </c:strRef>
          </c:cat>
          <c:val>
            <c:numRef>
              <c:f>'July 2nd Sales Report'!$K$48:$K$60</c:f>
              <c:numCache>
                <c:formatCode>0%</c:formatCode>
                <c:ptCount val="13"/>
                <c:pt idx="0">
                  <c:v>0.01</c:v>
                </c:pt>
                <c:pt idx="1">
                  <c:v>0.0</c:v>
                </c:pt>
                <c:pt idx="2">
                  <c:v>0.0</c:v>
                </c:pt>
                <c:pt idx="3">
                  <c:v>0.04</c:v>
                </c:pt>
                <c:pt idx="4">
                  <c:v>0.0</c:v>
                </c:pt>
                <c:pt idx="5">
                  <c:v>0.02</c:v>
                </c:pt>
                <c:pt idx="6">
                  <c:v>0.0</c:v>
                </c:pt>
                <c:pt idx="7">
                  <c:v>0.04</c:v>
                </c:pt>
                <c:pt idx="8">
                  <c:v>-0.04</c:v>
                </c:pt>
                <c:pt idx="9">
                  <c:v>0.04</c:v>
                </c:pt>
                <c:pt idx="10">
                  <c:v>0.04</c:v>
                </c:pt>
                <c:pt idx="11">
                  <c:v>0.06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6417216"/>
        <c:axId val="416418784"/>
      </c:lineChart>
      <c:catAx>
        <c:axId val="416418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6416824"/>
        <c:crosses val="autoZero"/>
        <c:auto val="1"/>
        <c:lblAlgn val="ctr"/>
        <c:lblOffset val="100"/>
        <c:noMultiLvlLbl val="0"/>
      </c:catAx>
      <c:valAx>
        <c:axId val="41641682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6418000"/>
        <c:crosses val="autoZero"/>
        <c:crossBetween val="between"/>
      </c:valAx>
      <c:catAx>
        <c:axId val="4164172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6418784"/>
        <c:crosses val="autoZero"/>
        <c:auto val="1"/>
        <c:lblAlgn val="ctr"/>
        <c:lblOffset val="100"/>
        <c:noMultiLvlLbl val="0"/>
      </c:catAx>
      <c:valAx>
        <c:axId val="416418784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641721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2nd Sales Report'!$J$47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2nd Sales Report'!$I$48:$I$60</c:f>
              <c:strCache>
                <c:ptCount val="13"/>
                <c:pt idx="0">
                  <c:v>ann-INV145</c:v>
                </c:pt>
                <c:pt idx="1">
                  <c:v>ann-INV146</c:v>
                </c:pt>
                <c:pt idx="2">
                  <c:v>ann-INV147</c:v>
                </c:pt>
                <c:pt idx="3">
                  <c:v>ann-INV148</c:v>
                </c:pt>
                <c:pt idx="4">
                  <c:v>ann-INV152</c:v>
                </c:pt>
                <c:pt idx="5">
                  <c:v>ann-INV153</c:v>
                </c:pt>
                <c:pt idx="6">
                  <c:v>ann-INV154</c:v>
                </c:pt>
                <c:pt idx="7">
                  <c:v>ann-INV155</c:v>
                </c:pt>
                <c:pt idx="8">
                  <c:v>ann-INV156</c:v>
                </c:pt>
                <c:pt idx="9">
                  <c:v>ann-INV157</c:v>
                </c:pt>
                <c:pt idx="10">
                  <c:v>ann-INV158</c:v>
                </c:pt>
                <c:pt idx="11">
                  <c:v>ann-INV159</c:v>
                </c:pt>
                <c:pt idx="12">
                  <c:v>Total</c:v>
                </c:pt>
              </c:strCache>
            </c:strRef>
          </c:cat>
          <c:val>
            <c:numRef>
              <c:f>'July 2nd Sales Report'!$J$48:$J$60</c:f>
              <c:numCache>
                <c:formatCode>#,##0</c:formatCode>
                <c:ptCount val="13"/>
                <c:pt idx="0">
                  <c:v>821130.0</c:v>
                </c:pt>
                <c:pt idx="1">
                  <c:v>256500.0</c:v>
                </c:pt>
                <c:pt idx="2">
                  <c:v>86000.0</c:v>
                </c:pt>
                <c:pt idx="3">
                  <c:v>62070.0</c:v>
                </c:pt>
                <c:pt idx="4">
                  <c:v>1421000.0</c:v>
                </c:pt>
                <c:pt idx="5">
                  <c:v>56940.0</c:v>
                </c:pt>
                <c:pt idx="6">
                  <c:v>17200.0</c:v>
                </c:pt>
                <c:pt idx="7">
                  <c:v>8880.0</c:v>
                </c:pt>
                <c:pt idx="8">
                  <c:v>1324235.0</c:v>
                </c:pt>
                <c:pt idx="9">
                  <c:v>40100.0</c:v>
                </c:pt>
                <c:pt idx="10">
                  <c:v>80200.0</c:v>
                </c:pt>
                <c:pt idx="11">
                  <c:v>67080.0</c:v>
                </c:pt>
                <c:pt idx="12" formatCode="_(* #,##0_);_(* \(#,##0\);_(* \-??_);_(@_)">
                  <c:v>4241335.0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6419176"/>
        <c:axId val="416422704"/>
      </c:barChart>
      <c:lineChart>
        <c:grouping val="standard"/>
        <c:varyColors val="0"/>
        <c:ser>
          <c:idx val="1"/>
          <c:order val="1"/>
          <c:tx>
            <c:strRef>
              <c:f>'July 2nd Sales Report'!$K$47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2nd Sales Report'!$I$48:$I$60</c:f>
              <c:strCache>
                <c:ptCount val="13"/>
                <c:pt idx="0">
                  <c:v>ann-INV145</c:v>
                </c:pt>
                <c:pt idx="1">
                  <c:v>ann-INV146</c:v>
                </c:pt>
                <c:pt idx="2">
                  <c:v>ann-INV147</c:v>
                </c:pt>
                <c:pt idx="3">
                  <c:v>ann-INV148</c:v>
                </c:pt>
                <c:pt idx="4">
                  <c:v>ann-INV152</c:v>
                </c:pt>
                <c:pt idx="5">
                  <c:v>ann-INV153</c:v>
                </c:pt>
                <c:pt idx="6">
                  <c:v>ann-INV154</c:v>
                </c:pt>
                <c:pt idx="7">
                  <c:v>ann-INV155</c:v>
                </c:pt>
                <c:pt idx="8">
                  <c:v>ann-INV156</c:v>
                </c:pt>
                <c:pt idx="9">
                  <c:v>ann-INV157</c:v>
                </c:pt>
                <c:pt idx="10">
                  <c:v>ann-INV158</c:v>
                </c:pt>
                <c:pt idx="11">
                  <c:v>ann-INV159</c:v>
                </c:pt>
                <c:pt idx="12">
                  <c:v>Total</c:v>
                </c:pt>
              </c:strCache>
            </c:strRef>
          </c:cat>
          <c:val>
            <c:numRef>
              <c:f>'July 2nd Sales Report'!$K$48:$K$60</c:f>
              <c:numCache>
                <c:formatCode>0%</c:formatCode>
                <c:ptCount val="13"/>
                <c:pt idx="0">
                  <c:v>0.01</c:v>
                </c:pt>
                <c:pt idx="1">
                  <c:v>0.0</c:v>
                </c:pt>
                <c:pt idx="2">
                  <c:v>0.0</c:v>
                </c:pt>
                <c:pt idx="3">
                  <c:v>0.04</c:v>
                </c:pt>
                <c:pt idx="4">
                  <c:v>0.0</c:v>
                </c:pt>
                <c:pt idx="5">
                  <c:v>0.02</c:v>
                </c:pt>
                <c:pt idx="6">
                  <c:v>0.0</c:v>
                </c:pt>
                <c:pt idx="7">
                  <c:v>0.04</c:v>
                </c:pt>
                <c:pt idx="8">
                  <c:v>-0.04</c:v>
                </c:pt>
                <c:pt idx="9">
                  <c:v>0.04</c:v>
                </c:pt>
                <c:pt idx="10">
                  <c:v>0.04</c:v>
                </c:pt>
                <c:pt idx="11">
                  <c:v>0.06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6419568"/>
        <c:axId val="416416040"/>
      </c:lineChart>
      <c:catAx>
        <c:axId val="416419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6422704"/>
        <c:crosses val="autoZero"/>
        <c:auto val="1"/>
        <c:lblAlgn val="ctr"/>
        <c:lblOffset val="100"/>
        <c:noMultiLvlLbl val="0"/>
      </c:catAx>
      <c:valAx>
        <c:axId val="41642270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6419176"/>
        <c:crosses val="autoZero"/>
        <c:crossBetween val="between"/>
      </c:valAx>
      <c:catAx>
        <c:axId val="4164195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6416040"/>
        <c:crosses val="autoZero"/>
        <c:auto val="1"/>
        <c:lblAlgn val="ctr"/>
        <c:lblOffset val="100"/>
        <c:noMultiLvlLbl val="0"/>
      </c:catAx>
      <c:valAx>
        <c:axId val="41641604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641956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Revenue chart
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3rd Sales Report'!$J$1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3rd Sales Report'!$I$2:$I$14</c:f>
              <c:strCache>
                <c:ptCount val="13"/>
                <c:pt idx="0">
                  <c:v>Heineken Bottle 60cl</c:v>
                </c:pt>
                <c:pt idx="1">
                  <c:v>Goldberg 60cl</c:v>
                </c:pt>
                <c:pt idx="2">
                  <c:v>33 Export 60cl</c:v>
                </c:pt>
                <c:pt idx="3">
                  <c:v>Gulder Bottle</c:v>
                </c:pt>
                <c:pt idx="4">
                  <c:v>Amstel Bottle</c:v>
                </c:pt>
                <c:pt idx="5">
                  <c:v>Fayrouz Can</c:v>
                </c:pt>
                <c:pt idx="6">
                  <c:v>Turbo King Bottle 60cl</c:v>
                </c:pt>
                <c:pt idx="7">
                  <c:v>Tiger Bottle</c:v>
                </c:pt>
                <c:pt idx="8">
                  <c:v>Legend 45cl</c:v>
                </c:pt>
                <c:pt idx="9">
                  <c:v>Heineken Sleek Can</c:v>
                </c:pt>
                <c:pt idx="10">
                  <c:v>Desperados Bottle</c:v>
                </c:pt>
                <c:pt idx="11">
                  <c:v>ACE BITTERS</c:v>
                </c:pt>
                <c:pt idx="12">
                  <c:v>Maltina Pet 33cl</c:v>
                </c:pt>
              </c:strCache>
            </c:strRef>
          </c:cat>
          <c:val>
            <c:numRef>
              <c:f>'July 3rd Sales Report'!$J$2:$J$16</c:f>
              <c:numCache>
                <c:formatCode>General</c:formatCode>
                <c:ptCount val="15"/>
                <c:pt idx="0">
                  <c:v>432.0</c:v>
                </c:pt>
                <c:pt idx="1">
                  <c:v>252.0</c:v>
                </c:pt>
                <c:pt idx="2">
                  <c:v>296.0</c:v>
                </c:pt>
                <c:pt idx="3">
                  <c:v>173.0</c:v>
                </c:pt>
                <c:pt idx="4">
                  <c:v>1.0</c:v>
                </c:pt>
                <c:pt idx="5">
                  <c:v>1.0</c:v>
                </c:pt>
                <c:pt idx="6">
                  <c:v>6.0</c:v>
                </c:pt>
                <c:pt idx="7">
                  <c:v>1.0</c:v>
                </c:pt>
                <c:pt idx="8">
                  <c:v>1.0</c:v>
                </c:pt>
                <c:pt idx="9">
                  <c:v>31.0</c:v>
                </c:pt>
                <c:pt idx="10">
                  <c:v>2.0</c:v>
                </c:pt>
                <c:pt idx="11">
                  <c:v>30.0</c:v>
                </c:pt>
                <c:pt idx="12">
                  <c:v>202.0</c:v>
                </c:pt>
                <c:pt idx="13">
                  <c:v>24.0</c:v>
                </c:pt>
                <c:pt idx="14">
                  <c:v>20.0</c:v>
                </c:pt>
              </c:numCache>
            </c:numRef>
          </c:val>
        </c:ser>
        <c:ser>
          <c:idx val="1"/>
          <c:order val="1"/>
          <c:tx>
            <c:strRef>
              <c:f>'July 3rd Sales Report'!$K$1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3rd Sales Report'!$I$2:$I$14</c:f>
              <c:strCache>
                <c:ptCount val="13"/>
                <c:pt idx="0">
                  <c:v>Heineken Bottle 60cl</c:v>
                </c:pt>
                <c:pt idx="1">
                  <c:v>Goldberg 60cl</c:v>
                </c:pt>
                <c:pt idx="2">
                  <c:v>33 Export 60cl</c:v>
                </c:pt>
                <c:pt idx="3">
                  <c:v>Gulder Bottle</c:v>
                </c:pt>
                <c:pt idx="4">
                  <c:v>Amstel Bottle</c:v>
                </c:pt>
                <c:pt idx="5">
                  <c:v>Fayrouz Can</c:v>
                </c:pt>
                <c:pt idx="6">
                  <c:v>Turbo King Bottle 60cl</c:v>
                </c:pt>
                <c:pt idx="7">
                  <c:v>Tiger Bottle</c:v>
                </c:pt>
                <c:pt idx="8">
                  <c:v>Legend 45cl</c:v>
                </c:pt>
                <c:pt idx="9">
                  <c:v>Heineken Sleek Can</c:v>
                </c:pt>
                <c:pt idx="10">
                  <c:v>Desperados Bottle</c:v>
                </c:pt>
                <c:pt idx="11">
                  <c:v>ACE BITTERS</c:v>
                </c:pt>
                <c:pt idx="12">
                  <c:v>Maltina Pet 33cl</c:v>
                </c:pt>
              </c:strCache>
            </c:strRef>
          </c:cat>
          <c:val>
            <c:numRef>
              <c:f>'July 3rd Sales Report'!$K$2:$K$16</c:f>
              <c:numCache>
                <c:formatCode>_(* #,##0_);_(* \(#,##0\);_(* \-??_);_(@_)</c:formatCode>
                <c:ptCount val="15"/>
                <c:pt idx="0">
                  <c:v>5577850.0</c:v>
                </c:pt>
                <c:pt idx="1">
                  <c:v>2627755.0</c:v>
                </c:pt>
                <c:pt idx="2">
                  <c:v>2664400.0</c:v>
                </c:pt>
                <c:pt idx="3">
                  <c:v>1968870.0</c:v>
                </c:pt>
                <c:pt idx="4">
                  <c:v>14450.0</c:v>
                </c:pt>
                <c:pt idx="5">
                  <c:v>13460.0</c:v>
                </c:pt>
                <c:pt idx="6">
                  <c:v>53600.0</c:v>
                </c:pt>
                <c:pt idx="7">
                  <c:v>15525.0</c:v>
                </c:pt>
                <c:pt idx="8">
                  <c:v>15945.0</c:v>
                </c:pt>
                <c:pt idx="9">
                  <c:v>525300.0</c:v>
                </c:pt>
                <c:pt idx="10">
                  <c:v>45130.0</c:v>
                </c:pt>
                <c:pt idx="11">
                  <c:v>258000.0</c:v>
                </c:pt>
                <c:pt idx="12">
                  <c:v>1010800.0</c:v>
                </c:pt>
                <c:pt idx="13">
                  <c:v>428160.0</c:v>
                </c:pt>
                <c:pt idx="14">
                  <c:v>186900.0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6421528"/>
        <c:axId val="416415648"/>
      </c:barChart>
      <c:lineChart>
        <c:grouping val="standard"/>
        <c:varyColors val="0"/>
        <c:ser>
          <c:idx val="2"/>
          <c:order val="2"/>
          <c:tx>
            <c:strRef>
              <c:f>'July 3rd Sales Report'!$L$1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3rd Sales Report'!$I$2:$I$14</c:f>
              <c:strCache>
                <c:ptCount val="13"/>
                <c:pt idx="0">
                  <c:v>Heineken Bottle 60cl</c:v>
                </c:pt>
                <c:pt idx="1">
                  <c:v>Goldberg 60cl</c:v>
                </c:pt>
                <c:pt idx="2">
                  <c:v>33 Export 60cl</c:v>
                </c:pt>
                <c:pt idx="3">
                  <c:v>Gulder Bottle</c:v>
                </c:pt>
                <c:pt idx="4">
                  <c:v>Amstel Bottle</c:v>
                </c:pt>
                <c:pt idx="5">
                  <c:v>Fayrouz Can</c:v>
                </c:pt>
                <c:pt idx="6">
                  <c:v>Turbo King Bottle 60cl</c:v>
                </c:pt>
                <c:pt idx="7">
                  <c:v>Tiger Bottle</c:v>
                </c:pt>
                <c:pt idx="8">
                  <c:v>Legend 45cl</c:v>
                </c:pt>
                <c:pt idx="9">
                  <c:v>Heineken Sleek Can</c:v>
                </c:pt>
                <c:pt idx="10">
                  <c:v>Desperados Bottle</c:v>
                </c:pt>
                <c:pt idx="11">
                  <c:v>ACE BITTERS</c:v>
                </c:pt>
                <c:pt idx="12">
                  <c:v>Maltina Pet 33cl</c:v>
                </c:pt>
              </c:strCache>
            </c:strRef>
          </c:cat>
          <c:val>
            <c:numRef>
              <c:f>'July 3rd Sales Report'!$L$2:$L$16</c:f>
              <c:numCache>
                <c:formatCode>0%</c:formatCode>
                <c:ptCount val="15"/>
                <c:pt idx="0">
                  <c:v>0.361195499893316</c:v>
                </c:pt>
                <c:pt idx="1">
                  <c:v>0.170161133917577</c:v>
                </c:pt>
                <c:pt idx="2">
                  <c:v>0.172534092870147</c:v>
                </c:pt>
                <c:pt idx="3">
                  <c:v>0.127494820383293</c:v>
                </c:pt>
                <c:pt idx="4">
                  <c:v>0.000935714473042196</c:v>
                </c:pt>
                <c:pt idx="5">
                  <c:v>0.000871606699456606</c:v>
                </c:pt>
                <c:pt idx="6">
                  <c:v>0.00347088551938143</c:v>
                </c:pt>
                <c:pt idx="7">
                  <c:v>0.00100532644941039</c:v>
                </c:pt>
                <c:pt idx="8">
                  <c:v>0.00103252368668912</c:v>
                </c:pt>
                <c:pt idx="9">
                  <c:v>0.0340159731964751</c:v>
                </c:pt>
                <c:pt idx="10">
                  <c:v>0.00292240790092694</c:v>
                </c:pt>
                <c:pt idx="11">
                  <c:v>0.0167068743283658</c:v>
                </c:pt>
                <c:pt idx="12">
                  <c:v>0.0654546843841558</c:v>
                </c:pt>
                <c:pt idx="13">
                  <c:v>0.0277256407458648</c:v>
                </c:pt>
                <c:pt idx="14">
                  <c:v>0.0121027705890371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6416432"/>
        <c:axId val="416421920"/>
      </c:lineChart>
      <c:catAx>
        <c:axId val="4164215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6415648"/>
        <c:crosses val="autoZero"/>
        <c:auto val="1"/>
        <c:lblAlgn val="ctr"/>
        <c:lblOffset val="100"/>
        <c:noMultiLvlLbl val="0"/>
      </c:catAx>
      <c:valAx>
        <c:axId val="41641564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6421528"/>
        <c:crosses val="autoZero"/>
        <c:crossBetween val="between"/>
      </c:valAx>
      <c:catAx>
        <c:axId val="4164164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6421920"/>
        <c:crosses val="autoZero"/>
        <c:auto val="1"/>
        <c:lblAlgn val="ctr"/>
        <c:lblOffset val="100"/>
        <c:noMultiLvlLbl val="0"/>
      </c:catAx>
      <c:valAx>
        <c:axId val="41642192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641643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Customer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3rd Sales Report'!$J$31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3rd Sales Report'!$I$32:$I$42</c:f>
              <c:strCache>
                <c:ptCount val="11"/>
                <c:pt idx="0">
                  <c:v>Abbey Illisan</c:v>
                </c:pt>
                <c:pt idx="1">
                  <c:v>Ameh Mathew</c:v>
                </c:pt>
                <c:pt idx="2">
                  <c:v>TD Odiolowo</c:v>
                </c:pt>
                <c:pt idx="3">
                  <c:v>Eniola Marketer</c:v>
                </c:pt>
                <c:pt idx="4">
                  <c:v>ATW</c:v>
                </c:pt>
                <c:pt idx="5">
                  <c:v>Tmoney NB</c:v>
                </c:pt>
                <c:pt idx="6">
                  <c:v>tomaco</c:v>
                </c:pt>
                <c:pt idx="7">
                  <c:v>Rita SR</c:v>
                </c:pt>
                <c:pt idx="8">
                  <c:v>XXIII LOUNGE</c:v>
                </c:pt>
                <c:pt idx="9">
                  <c:v>WURAOLA</c:v>
                </c:pt>
                <c:pt idx="10">
                  <c:v>Total</c:v>
                </c:pt>
              </c:strCache>
            </c:strRef>
          </c:cat>
          <c:val>
            <c:numRef>
              <c:f>'July 3rd Sales Report'!$J$32:$J$42</c:f>
              <c:numCache>
                <c:formatCode>_(* #,##0_);_(* \(#,##0\);_(* \-??_);_(@_)</c:formatCode>
                <c:ptCount val="11"/>
                <c:pt idx="0">
                  <c:v>7725760.0</c:v>
                </c:pt>
                <c:pt idx="1">
                  <c:v>455335.0</c:v>
                </c:pt>
                <c:pt idx="2">
                  <c:v>258000.0</c:v>
                </c:pt>
                <c:pt idx="3">
                  <c:v>1000000.0</c:v>
                </c:pt>
                <c:pt idx="4">
                  <c:v>428160.0</c:v>
                </c:pt>
                <c:pt idx="5">
                  <c:v>186900.0</c:v>
                </c:pt>
                <c:pt idx="6">
                  <c:v>75000.0</c:v>
                </c:pt>
                <c:pt idx="7">
                  <c:v>1226000.0</c:v>
                </c:pt>
                <c:pt idx="8">
                  <c:v>82330.0</c:v>
                </c:pt>
                <c:pt idx="9">
                  <c:v>4005260.0</c:v>
                </c:pt>
                <c:pt idx="10">
                  <c:v>15442745</c:v>
                </c:pt>
              </c:numCache>
            </c:numRef>
          </c:val>
        </c:ser>
        <c:ser>
          <c:idx val="1"/>
          <c:order val="1"/>
          <c:tx>
            <c:strRef>
              <c:f>'July 3rd Sales Report'!$K$31</c:f>
              <c:strCache>
                <c:ptCount val="1"/>
                <c:pt idx="0">
                  <c:v>% of Total 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3rd Sales Report'!$I$32:$I$42</c:f>
              <c:strCache>
                <c:ptCount val="11"/>
                <c:pt idx="0">
                  <c:v>Abbey Illisan</c:v>
                </c:pt>
                <c:pt idx="1">
                  <c:v>Ameh Mathew</c:v>
                </c:pt>
                <c:pt idx="2">
                  <c:v>TD Odiolowo</c:v>
                </c:pt>
                <c:pt idx="3">
                  <c:v>Eniola Marketer</c:v>
                </c:pt>
                <c:pt idx="4">
                  <c:v>ATW</c:v>
                </c:pt>
                <c:pt idx="5">
                  <c:v>Tmoney NB</c:v>
                </c:pt>
                <c:pt idx="6">
                  <c:v>tomaco</c:v>
                </c:pt>
                <c:pt idx="7">
                  <c:v>Rita SR</c:v>
                </c:pt>
                <c:pt idx="8">
                  <c:v>XXIII LOUNGE</c:v>
                </c:pt>
                <c:pt idx="9">
                  <c:v>WURAOLA</c:v>
                </c:pt>
                <c:pt idx="10">
                  <c:v>Total</c:v>
                </c:pt>
              </c:strCache>
            </c:strRef>
          </c:cat>
          <c:val>
            <c:numRef>
              <c:f>'July 3rd Sales Report'!$K$32:$K$42</c:f>
              <c:numCache>
                <c:formatCode>0%</c:formatCode>
                <c:ptCount val="11"/>
                <c:pt idx="0">
                  <c:v>0.500284113996572</c:v>
                </c:pt>
                <c:pt idx="1">
                  <c:v>0.0294853667531258</c:v>
                </c:pt>
                <c:pt idx="2">
                  <c:v>0.0167068743283658</c:v>
                </c:pt>
                <c:pt idx="3">
                  <c:v>0.0647553268541312</c:v>
                </c:pt>
                <c:pt idx="4">
                  <c:v>0.0277256407458648</c:v>
                </c:pt>
                <c:pt idx="5">
                  <c:v>0.0121027705890371</c:v>
                </c:pt>
                <c:pt idx="6">
                  <c:v>0.00485664951405984</c:v>
                </c:pt>
                <c:pt idx="7">
                  <c:v>0.0793900307231648</c:v>
                </c:pt>
                <c:pt idx="8">
                  <c:v>0.00533130605990062</c:v>
                </c:pt>
                <c:pt idx="9">
                  <c:v>0.259361920435777</c:v>
                </c:pt>
                <c:pt idx="10">
                  <c:v>1.0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2505232"/>
        <c:axId val="412504056"/>
      </c:barChart>
      <c:lineChart>
        <c:grouping val="standard"/>
        <c:varyColors val="0"/>
        <c:ser>
          <c:idx val="2"/>
          <c:order val="2"/>
          <c:tx>
            <c:strRef>
              <c:f>'July 3rd Sales Report'!$L$31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3rd Sales Report'!$I$32:$I$42</c:f>
              <c:strCache>
                <c:ptCount val="11"/>
                <c:pt idx="0">
                  <c:v>Abbey Illisan</c:v>
                </c:pt>
                <c:pt idx="1">
                  <c:v>Ameh Mathew</c:v>
                </c:pt>
                <c:pt idx="2">
                  <c:v>TD Odiolowo</c:v>
                </c:pt>
                <c:pt idx="3">
                  <c:v>Eniola Marketer</c:v>
                </c:pt>
                <c:pt idx="4">
                  <c:v>ATW</c:v>
                </c:pt>
                <c:pt idx="5">
                  <c:v>Tmoney NB</c:v>
                </c:pt>
                <c:pt idx="6">
                  <c:v>tomaco</c:v>
                </c:pt>
                <c:pt idx="7">
                  <c:v>Rita SR</c:v>
                </c:pt>
                <c:pt idx="8">
                  <c:v>XXIII LOUNGE</c:v>
                </c:pt>
                <c:pt idx="9">
                  <c:v>WURAOLA</c:v>
                </c:pt>
                <c:pt idx="10">
                  <c:v>Total</c:v>
                </c:pt>
              </c:strCache>
            </c:strRef>
          </c:cat>
          <c:val>
            <c:numRef>
              <c:f>'July 3rd Sales Report'!$L$32:$L$42</c:f>
              <c:numCache>
                <c:formatCode>0%</c:formatCode>
                <c:ptCount val="11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2505624"/>
        <c:axId val="412504448"/>
      </c:lineChart>
      <c:catAx>
        <c:axId val="4125052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2504056"/>
        <c:crosses val="autoZero"/>
        <c:auto val="1"/>
        <c:lblAlgn val="ctr"/>
        <c:lblOffset val="100"/>
        <c:noMultiLvlLbl val="0"/>
      </c:catAx>
      <c:valAx>
        <c:axId val="41250405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2505232"/>
        <c:crosses val="autoZero"/>
        <c:crossBetween val="between"/>
      </c:valAx>
      <c:catAx>
        <c:axId val="4125056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2504448"/>
        <c:crosses val="autoZero"/>
        <c:auto val="1"/>
        <c:lblAlgn val="ctr"/>
        <c:lblOffset val="100"/>
        <c:noMultiLvlLbl val="0"/>
      </c:catAx>
      <c:valAx>
        <c:axId val="412504448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250562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3rd Sales Report'!$J$45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3rd Sales Report'!$I$46:$I$59</c:f>
              <c:strCache>
                <c:ptCount val="14"/>
                <c:pt idx="0">
                  <c:v>ann-INV160</c:v>
                </c:pt>
                <c:pt idx="1">
                  <c:v>ann-INV161</c:v>
                </c:pt>
                <c:pt idx="2">
                  <c:v>ann-INV162</c:v>
                </c:pt>
                <c:pt idx="3">
                  <c:v>ann-INV163</c:v>
                </c:pt>
                <c:pt idx="4">
                  <c:v>ann-INV164</c:v>
                </c:pt>
                <c:pt idx="5">
                  <c:v>ann-INV165</c:v>
                </c:pt>
                <c:pt idx="6">
                  <c:v>ann-INV166</c:v>
                </c:pt>
                <c:pt idx="7">
                  <c:v>ann-INV167</c:v>
                </c:pt>
                <c:pt idx="8">
                  <c:v>ann-INV168</c:v>
                </c:pt>
                <c:pt idx="9">
                  <c:v>ann-INV169</c:v>
                </c:pt>
                <c:pt idx="11">
                  <c:v>ann-INV171</c:v>
                </c:pt>
                <c:pt idx="12">
                  <c:v>ann-INV172</c:v>
                </c:pt>
                <c:pt idx="13">
                  <c:v>Total</c:v>
                </c:pt>
              </c:strCache>
            </c:strRef>
          </c:cat>
          <c:val>
            <c:numRef>
              <c:f>'July 3rd Sales Report'!$J$46:$J$59</c:f>
              <c:numCache>
                <c:formatCode>#,##0</c:formatCode>
                <c:ptCount val="14"/>
                <c:pt idx="0">
                  <c:v>4026260.0</c:v>
                </c:pt>
                <c:pt idx="1">
                  <c:v>8796760.0</c:v>
                </c:pt>
                <c:pt idx="2">
                  <c:v>491680.0</c:v>
                </c:pt>
                <c:pt idx="3">
                  <c:v>303000.0</c:v>
                </c:pt>
                <c:pt idx="4">
                  <c:v>20655.0</c:v>
                </c:pt>
                <c:pt idx="5">
                  <c:v>428160.0</c:v>
                </c:pt>
                <c:pt idx="6">
                  <c:v>216900.0</c:v>
                </c:pt>
                <c:pt idx="7">
                  <c:v>1000000.0</c:v>
                </c:pt>
                <c:pt idx="8">
                  <c:v>89830.0</c:v>
                </c:pt>
                <c:pt idx="9">
                  <c:v>75000.0</c:v>
                </c:pt>
                <c:pt idx="11">
                  <c:v>710000.0</c:v>
                </c:pt>
                <c:pt idx="12">
                  <c:v>516000.0</c:v>
                </c:pt>
                <c:pt idx="13" formatCode="_(* #,##0_);_(* \(#,##0\);_(* \-??_);_(@_)">
                  <c:v>16674245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7198824"/>
        <c:axId val="417201960"/>
      </c:barChart>
      <c:lineChart>
        <c:grouping val="standard"/>
        <c:varyColors val="0"/>
        <c:ser>
          <c:idx val="1"/>
          <c:order val="1"/>
          <c:tx>
            <c:strRef>
              <c:f>'July 3rd Sales Report'!$K$45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3rd Sales Report'!$I$46:$I$59</c:f>
              <c:strCache>
                <c:ptCount val="14"/>
                <c:pt idx="0">
                  <c:v>ann-INV160</c:v>
                </c:pt>
                <c:pt idx="1">
                  <c:v>ann-INV161</c:v>
                </c:pt>
                <c:pt idx="2">
                  <c:v>ann-INV162</c:v>
                </c:pt>
                <c:pt idx="3">
                  <c:v>ann-INV163</c:v>
                </c:pt>
                <c:pt idx="4">
                  <c:v>ann-INV164</c:v>
                </c:pt>
                <c:pt idx="5">
                  <c:v>ann-INV165</c:v>
                </c:pt>
                <c:pt idx="6">
                  <c:v>ann-INV166</c:v>
                </c:pt>
                <c:pt idx="7">
                  <c:v>ann-INV167</c:v>
                </c:pt>
                <c:pt idx="8">
                  <c:v>ann-INV168</c:v>
                </c:pt>
                <c:pt idx="9">
                  <c:v>ann-INV169</c:v>
                </c:pt>
                <c:pt idx="11">
                  <c:v>ann-INV171</c:v>
                </c:pt>
                <c:pt idx="12">
                  <c:v>ann-INV172</c:v>
                </c:pt>
                <c:pt idx="13">
                  <c:v>Total</c:v>
                </c:pt>
              </c:strCache>
            </c:strRef>
          </c:cat>
          <c:val>
            <c:numRef>
              <c:f>'July 3rd Sales Report'!$K$46:$K$59</c:f>
              <c:numCache>
                <c:formatCode>0%</c:formatCode>
                <c:ptCount val="14"/>
                <c:pt idx="0">
                  <c:v>0.02</c:v>
                </c:pt>
                <c:pt idx="1">
                  <c:v>0.02</c:v>
                </c:pt>
                <c:pt idx="2">
                  <c:v>0.03</c:v>
                </c:pt>
                <c:pt idx="3">
                  <c:v>0.0</c:v>
                </c:pt>
                <c:pt idx="4">
                  <c:v>0.07</c:v>
                </c:pt>
                <c:pt idx="5">
                  <c:v>0.03</c:v>
                </c:pt>
                <c:pt idx="6">
                  <c:v>0.03</c:v>
                </c:pt>
                <c:pt idx="7">
                  <c:v>-0.04</c:v>
                </c:pt>
                <c:pt idx="8">
                  <c:v>0.08</c:v>
                </c:pt>
                <c:pt idx="9">
                  <c:v>0.06</c:v>
                </c:pt>
                <c:pt idx="11">
                  <c:v>0.04</c:v>
                </c:pt>
                <c:pt idx="12">
                  <c:v>0.01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7198432"/>
        <c:axId val="417199216"/>
      </c:lineChart>
      <c:catAx>
        <c:axId val="4171988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7201960"/>
        <c:crosses val="autoZero"/>
        <c:auto val="1"/>
        <c:lblAlgn val="ctr"/>
        <c:lblOffset val="100"/>
        <c:noMultiLvlLbl val="0"/>
      </c:catAx>
      <c:valAx>
        <c:axId val="41720196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7198824"/>
        <c:crosses val="autoZero"/>
        <c:crossBetween val="between"/>
      </c:valAx>
      <c:catAx>
        <c:axId val="4171984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7199216"/>
        <c:crosses val="autoZero"/>
        <c:auto val="1"/>
        <c:lblAlgn val="ctr"/>
        <c:lblOffset val="100"/>
        <c:noMultiLvlLbl val="0"/>
      </c:catAx>
      <c:valAx>
        <c:axId val="41719921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719843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Revenue chart
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4th Sales Report 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4th Sales Report '!$I$2:$I$16</c:f>
              <c:strCache>
                <c:ptCount val="12"/>
                <c:pt idx="0">
                  <c:v>Trophy</c:v>
                </c:pt>
                <c:pt idx="1">
                  <c:v>Maltina Pet 33cl</c:v>
                </c:pt>
                <c:pt idx="2">
                  <c:v>Star Bottle 60cl</c:v>
                </c:pt>
                <c:pt idx="3">
                  <c:v>33 Export Can</c:v>
                </c:pt>
                <c:pt idx="4">
                  <c:v>Maltina Can</c:v>
                </c:pt>
                <c:pt idx="5">
                  <c:v>Fayrouz Can</c:v>
                </c:pt>
                <c:pt idx="6">
                  <c:v>Heineken Bottle 60cl</c:v>
                </c:pt>
                <c:pt idx="7">
                  <c:v>Legend Bottle 60cl</c:v>
                </c:pt>
                <c:pt idx="8">
                  <c:v>Maltina Bottle</c:v>
                </c:pt>
                <c:pt idx="9">
                  <c:v>Goldberg 60cl</c:v>
                </c:pt>
                <c:pt idx="10">
                  <c:v>Heineken Sleek Can</c:v>
                </c:pt>
                <c:pt idx="11">
                  <c:v>Grand Total</c:v>
                </c:pt>
              </c:strCache>
            </c:strRef>
          </c:cat>
          <c:val>
            <c:numRef>
              <c:f>'July 4th Sales Report '!$J$2:$J$16</c:f>
              <c:numCache>
                <c:formatCode>General</c:formatCode>
                <c:ptCount val="15"/>
                <c:pt idx="0">
                  <c:v>53.0</c:v>
                </c:pt>
                <c:pt idx="1">
                  <c:v>283.0</c:v>
                </c:pt>
                <c:pt idx="2">
                  <c:v>5.0</c:v>
                </c:pt>
                <c:pt idx="3">
                  <c:v>20.0</c:v>
                </c:pt>
                <c:pt idx="4">
                  <c:v>30.0</c:v>
                </c:pt>
                <c:pt idx="5">
                  <c:v>3.0</c:v>
                </c:pt>
                <c:pt idx="6">
                  <c:v>300.0</c:v>
                </c:pt>
                <c:pt idx="7">
                  <c:v>40.0</c:v>
                </c:pt>
                <c:pt idx="8">
                  <c:v>10.0</c:v>
                </c:pt>
                <c:pt idx="9">
                  <c:v>1.0</c:v>
                </c:pt>
                <c:pt idx="10">
                  <c:v>11.0</c:v>
                </c:pt>
                <c:pt idx="11" formatCode="#,##0">
                  <c:v>756.0</c:v>
                </c:pt>
              </c:numCache>
            </c:numRef>
          </c:val>
        </c:ser>
        <c:ser>
          <c:idx val="1"/>
          <c:order val="1"/>
          <c:tx>
            <c:strRef>
              <c:f>'July 4th Sales Report 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4th Sales Report '!$I$2:$I$16</c:f>
              <c:strCache>
                <c:ptCount val="12"/>
                <c:pt idx="0">
                  <c:v>Trophy</c:v>
                </c:pt>
                <c:pt idx="1">
                  <c:v>Maltina Pet 33cl</c:v>
                </c:pt>
                <c:pt idx="2">
                  <c:v>Star Bottle 60cl</c:v>
                </c:pt>
                <c:pt idx="3">
                  <c:v>33 Export Can</c:v>
                </c:pt>
                <c:pt idx="4">
                  <c:v>Maltina Can</c:v>
                </c:pt>
                <c:pt idx="5">
                  <c:v>Fayrouz Can</c:v>
                </c:pt>
                <c:pt idx="6">
                  <c:v>Heineken Bottle 60cl</c:v>
                </c:pt>
                <c:pt idx="7">
                  <c:v>Legend Bottle 60cl</c:v>
                </c:pt>
                <c:pt idx="8">
                  <c:v>Maltina Bottle</c:v>
                </c:pt>
                <c:pt idx="9">
                  <c:v>Goldberg 60cl</c:v>
                </c:pt>
                <c:pt idx="10">
                  <c:v>Heineken Sleek Can</c:v>
                </c:pt>
                <c:pt idx="11">
                  <c:v>Grand Total</c:v>
                </c:pt>
              </c:strCache>
            </c:strRef>
          </c:cat>
          <c:val>
            <c:numRef>
              <c:f>'July 4th Sales Report '!$K$2:$K$16</c:f>
              <c:numCache>
                <c:formatCode>_(* #,##0_);_(* \(#,##0\);_(* \-??_);_(@_)</c:formatCode>
                <c:ptCount val="15"/>
                <c:pt idx="0">
                  <c:v>442000.0</c:v>
                </c:pt>
                <c:pt idx="1">
                  <c:v>1416500.0</c:v>
                </c:pt>
                <c:pt idx="2">
                  <c:v>56150.0</c:v>
                </c:pt>
                <c:pt idx="3">
                  <c:v>313100.0</c:v>
                </c:pt>
                <c:pt idx="4">
                  <c:v>387000.0</c:v>
                </c:pt>
                <c:pt idx="5">
                  <c:v>40380.0</c:v>
                </c:pt>
                <c:pt idx="6">
                  <c:v>3849000.0</c:v>
                </c:pt>
                <c:pt idx="7">
                  <c:v>436600.0</c:v>
                </c:pt>
                <c:pt idx="8">
                  <c:v>129200.0</c:v>
                </c:pt>
                <c:pt idx="9">
                  <c:v>9500.0</c:v>
                </c:pt>
                <c:pt idx="10">
                  <c:v>189840.0</c:v>
                </c:pt>
                <c:pt idx="11">
                  <c:v>7269270.0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7203136"/>
        <c:axId val="417200000"/>
      </c:barChart>
      <c:lineChart>
        <c:grouping val="standard"/>
        <c:varyColors val="0"/>
        <c:ser>
          <c:idx val="2"/>
          <c:order val="2"/>
          <c:tx>
            <c:strRef>
              <c:f>'July 4th Sales Report 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4th Sales Report '!$I$2:$I$16</c:f>
              <c:strCache>
                <c:ptCount val="12"/>
                <c:pt idx="0">
                  <c:v>Trophy</c:v>
                </c:pt>
                <c:pt idx="1">
                  <c:v>Maltina Pet 33cl</c:v>
                </c:pt>
                <c:pt idx="2">
                  <c:v>Star Bottle 60cl</c:v>
                </c:pt>
                <c:pt idx="3">
                  <c:v>33 Export Can</c:v>
                </c:pt>
                <c:pt idx="4">
                  <c:v>Maltina Can</c:v>
                </c:pt>
                <c:pt idx="5">
                  <c:v>Fayrouz Can</c:v>
                </c:pt>
                <c:pt idx="6">
                  <c:v>Heineken Bottle 60cl</c:v>
                </c:pt>
                <c:pt idx="7">
                  <c:v>Legend Bottle 60cl</c:v>
                </c:pt>
                <c:pt idx="8">
                  <c:v>Maltina Bottle</c:v>
                </c:pt>
                <c:pt idx="9">
                  <c:v>Goldberg 60cl</c:v>
                </c:pt>
                <c:pt idx="10">
                  <c:v>Heineken Sleek Can</c:v>
                </c:pt>
                <c:pt idx="11">
                  <c:v>Grand Total</c:v>
                </c:pt>
              </c:strCache>
            </c:strRef>
          </c:cat>
          <c:val>
            <c:numRef>
              <c:f>'July 4th Sales Report '!$L$2:$L$16</c:f>
              <c:numCache>
                <c:formatCode>0%</c:formatCode>
                <c:ptCount val="15"/>
                <c:pt idx="0">
                  <c:v>0.0608039046561759</c:v>
                </c:pt>
                <c:pt idx="1">
                  <c:v>0.194861382229577</c:v>
                </c:pt>
                <c:pt idx="2">
                  <c:v>0.00772429693765674</c:v>
                </c:pt>
                <c:pt idx="3">
                  <c:v>0.0430717252213771</c:v>
                </c:pt>
                <c:pt idx="4">
                  <c:v>0.0532378079229414</c:v>
                </c:pt>
                <c:pt idx="5">
                  <c:v>0.00555489065614566</c:v>
                </c:pt>
                <c:pt idx="6">
                  <c:v>0.52948920593127</c:v>
                </c:pt>
                <c:pt idx="7">
                  <c:v>0.0600610515223674</c:v>
                </c:pt>
                <c:pt idx="8">
                  <c:v>0.0177734490533437</c:v>
                </c:pt>
                <c:pt idx="9">
                  <c:v>0.00130687125392233</c:v>
                </c:pt>
                <c:pt idx="10">
                  <c:v>0.0261154146152227</c:v>
                </c:pt>
                <c:pt idx="11">
                  <c:v>1.0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7200392"/>
        <c:axId val="417200784"/>
      </c:lineChart>
      <c:catAx>
        <c:axId val="4172031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7200000"/>
        <c:crosses val="autoZero"/>
        <c:auto val="1"/>
        <c:lblAlgn val="ctr"/>
        <c:lblOffset val="100"/>
        <c:noMultiLvlLbl val="0"/>
      </c:catAx>
      <c:valAx>
        <c:axId val="41720000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7203136"/>
        <c:crosses val="autoZero"/>
        <c:crossBetween val="between"/>
      </c:valAx>
      <c:catAx>
        <c:axId val="4172003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7200784"/>
        <c:crosses val="autoZero"/>
        <c:auto val="1"/>
        <c:lblAlgn val="ctr"/>
        <c:lblOffset val="100"/>
        <c:noMultiLvlLbl val="0"/>
      </c:catAx>
      <c:valAx>
        <c:axId val="417200784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720039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Sales Rep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4th Sales Report '!$J$20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4th Sales Report '!$I$21:$I$25</c:f>
              <c:strCache>
                <c:ptCount val="5"/>
                <c:pt idx="0">
                  <c:v>Walk in Customer 1</c:v>
                </c:pt>
                <c:pt idx="1">
                  <c:v>Walk in Customer 2</c:v>
                </c:pt>
                <c:pt idx="2">
                  <c:v>Eniola Marketer</c:v>
                </c:pt>
                <c:pt idx="3">
                  <c:v>Rita SR</c:v>
                </c:pt>
                <c:pt idx="4">
                  <c:v>Jeff SR</c:v>
                </c:pt>
              </c:strCache>
            </c:strRef>
          </c:cat>
          <c:val>
            <c:numRef>
              <c:f>'July 4th Sales Report '!$J$21:$J$25</c:f>
              <c:numCache>
                <c:formatCode>_(* #,##0_);_(* \(#,##0\);_(* \-??_);_(@_)</c:formatCode>
                <c:ptCount val="5"/>
                <c:pt idx="0">
                  <c:v>27000.0</c:v>
                </c:pt>
                <c:pt idx="1">
                  <c:v>150000.0</c:v>
                </c:pt>
                <c:pt idx="2">
                  <c:v>415000.0</c:v>
                </c:pt>
                <c:pt idx="3">
                  <c:v>2168250.0</c:v>
                </c:pt>
                <c:pt idx="4">
                  <c:v>40380.0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7204312"/>
        <c:axId val="417204704"/>
      </c:barChart>
      <c:lineChart>
        <c:grouping val="standard"/>
        <c:varyColors val="0"/>
        <c:ser>
          <c:idx val="1"/>
          <c:order val="1"/>
          <c:tx>
            <c:strRef>
              <c:f>'July 4th Sales Report '!$K$20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4th Sales Report '!$I$21:$I$25</c:f>
              <c:strCache>
                <c:ptCount val="5"/>
                <c:pt idx="0">
                  <c:v>Walk in Customer 1</c:v>
                </c:pt>
                <c:pt idx="1">
                  <c:v>Walk in Customer 2</c:v>
                </c:pt>
                <c:pt idx="2">
                  <c:v>Eniola Marketer</c:v>
                </c:pt>
                <c:pt idx="3">
                  <c:v>Rita SR</c:v>
                </c:pt>
                <c:pt idx="4">
                  <c:v>Jeff SR</c:v>
                </c:pt>
              </c:strCache>
            </c:strRef>
          </c:cat>
          <c:val>
            <c:numRef>
              <c:f>'July 4th Sales Report '!$K$21:$K$25</c:f>
              <c:numCache>
                <c:formatCode>0%</c:formatCode>
                <c:ptCount val="5"/>
                <c:pt idx="0">
                  <c:v>0.00371426566904242</c:v>
                </c:pt>
                <c:pt idx="1">
                  <c:v>0.0206348092724579</c:v>
                </c:pt>
                <c:pt idx="2">
                  <c:v>0.0570896389871335</c:v>
                </c:pt>
                <c:pt idx="3">
                  <c:v>0.298276168033379</c:v>
                </c:pt>
                <c:pt idx="4">
                  <c:v>0.00555489065614566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7201176"/>
        <c:axId val="417205096"/>
      </c:lineChart>
      <c:catAx>
        <c:axId val="4172043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7204704"/>
        <c:crosses val="autoZero"/>
        <c:auto val="1"/>
        <c:lblAlgn val="ctr"/>
        <c:lblOffset val="100"/>
        <c:noMultiLvlLbl val="0"/>
      </c:catAx>
      <c:valAx>
        <c:axId val="41720470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7204312"/>
        <c:crosses val="autoZero"/>
        <c:crossBetween val="between"/>
      </c:valAx>
      <c:catAx>
        <c:axId val="4172011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7205096"/>
        <c:crosses val="autoZero"/>
        <c:auto val="1"/>
        <c:lblAlgn val="ctr"/>
        <c:lblOffset val="100"/>
        <c:noMultiLvlLbl val="0"/>
      </c:catAx>
      <c:valAx>
        <c:axId val="41720509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720117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Invoice_No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4th Sales Report '!$J$32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4th Sales Report '!$I$33:$I$42</c:f>
              <c:strCache>
                <c:ptCount val="10"/>
                <c:pt idx="0">
                  <c:v>ann-INV173</c:v>
                </c:pt>
                <c:pt idx="1">
                  <c:v>ann-INV174</c:v>
                </c:pt>
                <c:pt idx="2">
                  <c:v>ann-INV175</c:v>
                </c:pt>
                <c:pt idx="3">
                  <c:v>ann-INV176</c:v>
                </c:pt>
                <c:pt idx="4">
                  <c:v>ann-INV177</c:v>
                </c:pt>
                <c:pt idx="5">
                  <c:v>ann-INV178</c:v>
                </c:pt>
                <c:pt idx="6">
                  <c:v>ann-INV179</c:v>
                </c:pt>
                <c:pt idx="7">
                  <c:v>ann-INV180</c:v>
                </c:pt>
                <c:pt idx="8">
                  <c:v>ann-INV181</c:v>
                </c:pt>
                <c:pt idx="9">
                  <c:v>Total</c:v>
                </c:pt>
              </c:strCache>
            </c:strRef>
          </c:cat>
          <c:val>
            <c:numRef>
              <c:f>'July 4th Sales Report '!$J$33:$J$42</c:f>
              <c:numCache>
                <c:formatCode>#,##0</c:formatCode>
                <c:ptCount val="10"/>
                <c:pt idx="0">
                  <c:v>27000.0</c:v>
                </c:pt>
                <c:pt idx="1">
                  <c:v>150000.0</c:v>
                </c:pt>
                <c:pt idx="2">
                  <c:v>1326000.0</c:v>
                </c:pt>
                <c:pt idx="3">
                  <c:v>842250.0</c:v>
                </c:pt>
                <c:pt idx="4">
                  <c:v>4939800.0</c:v>
                </c:pt>
                <c:pt idx="5">
                  <c:v>495000.0</c:v>
                </c:pt>
                <c:pt idx="6">
                  <c:v>40380.0</c:v>
                </c:pt>
                <c:pt idx="7">
                  <c:v>9500.0</c:v>
                </c:pt>
                <c:pt idx="8">
                  <c:v>44340.0</c:v>
                </c:pt>
                <c:pt idx="9" formatCode="_(* #,##0_);_(* \(#,##0\);_(* \-??_);_(@_)">
                  <c:v>7874270.0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7202744"/>
        <c:axId val="417198040"/>
      </c:barChart>
      <c:lineChart>
        <c:grouping val="standard"/>
        <c:varyColors val="0"/>
        <c:ser>
          <c:idx val="1"/>
          <c:order val="1"/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4th Sales Report '!$I$33:$I$42</c:f>
              <c:strCache>
                <c:ptCount val="10"/>
                <c:pt idx="0">
                  <c:v>ann-INV173</c:v>
                </c:pt>
                <c:pt idx="1">
                  <c:v>ann-INV174</c:v>
                </c:pt>
                <c:pt idx="2">
                  <c:v>ann-INV175</c:v>
                </c:pt>
                <c:pt idx="3">
                  <c:v>ann-INV176</c:v>
                </c:pt>
                <c:pt idx="4">
                  <c:v>ann-INV177</c:v>
                </c:pt>
                <c:pt idx="5">
                  <c:v>ann-INV178</c:v>
                </c:pt>
                <c:pt idx="6">
                  <c:v>ann-INV179</c:v>
                </c:pt>
                <c:pt idx="7">
                  <c:v>ann-INV180</c:v>
                </c:pt>
                <c:pt idx="8">
                  <c:v>ann-INV181</c:v>
                </c:pt>
                <c:pt idx="9">
                  <c:v>Total</c:v>
                </c:pt>
              </c:strCache>
            </c:strRef>
          </c:cat>
          <c:val>
            <c:numRef>
              <c:f>'July 4th Sales Report '!$K$42:$K$42</c:f>
              <c:numCache>
                <c:formatCode>0%</c:formatCode>
                <c:ptCount val="1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7201568"/>
        <c:axId val="417203528"/>
      </c:lineChart>
      <c:catAx>
        <c:axId val="4172027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7198040"/>
        <c:crosses val="autoZero"/>
        <c:auto val="1"/>
        <c:lblAlgn val="ctr"/>
        <c:lblOffset val="100"/>
        <c:noMultiLvlLbl val="0"/>
      </c:catAx>
      <c:valAx>
        <c:axId val="41719804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7202744"/>
        <c:crosses val="autoZero"/>
        <c:crossBetween val="between"/>
      </c:valAx>
      <c:catAx>
        <c:axId val="4172015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7203528"/>
        <c:crosses val="autoZero"/>
        <c:auto val="1"/>
        <c:lblAlgn val="ctr"/>
        <c:lblOffset val="100"/>
        <c:noMultiLvlLbl val="0"/>
      </c:catAx>
      <c:valAx>
        <c:axId val="417203528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720156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Customer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6th Sales Report'!$J$17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6th Sales Report'!$I$18:$I$29</c:f>
              <c:strCache>
                <c:ptCount val="12"/>
                <c:pt idx="0">
                  <c:v>AZ Marketer</c:v>
                </c:pt>
                <c:pt idx="1">
                  <c:v>Eniola Marketer</c:v>
                </c:pt>
                <c:pt idx="2">
                  <c:v>Mrs Oladejo</c:v>
                </c:pt>
                <c:pt idx="3">
                  <c:v>Ameh Mathew</c:v>
                </c:pt>
                <c:pt idx="4">
                  <c:v>TD Odiolowo</c:v>
                </c:pt>
                <c:pt idx="5">
                  <c:v>Jeff SR</c:v>
                </c:pt>
                <c:pt idx="6">
                  <c:v>WURAOLA</c:v>
                </c:pt>
                <c:pt idx="7">
                  <c:v>Mr Godswill</c:v>
                </c:pt>
                <c:pt idx="8">
                  <c:v>Tmoney NB</c:v>
                </c:pt>
                <c:pt idx="9">
                  <c:v>Walk in Customer</c:v>
                </c:pt>
                <c:pt idx="10">
                  <c:v>MRS IK.</c:v>
                </c:pt>
                <c:pt idx="11">
                  <c:v>Total</c:v>
                </c:pt>
              </c:strCache>
            </c:strRef>
          </c:cat>
          <c:val>
            <c:numRef>
              <c:f>'July 6th Sales Report'!$J$18:$J$29</c:f>
              <c:numCache>
                <c:formatCode>_(* #,##0_);_(* \(#,##0\);_(* \-??_);_(@_)</c:formatCode>
                <c:ptCount val="12"/>
                <c:pt idx="0">
                  <c:v>3142500.0</c:v>
                </c:pt>
                <c:pt idx="1">
                  <c:v>1628500.0</c:v>
                </c:pt>
                <c:pt idx="2">
                  <c:v>18300.0</c:v>
                </c:pt>
                <c:pt idx="3">
                  <c:v>313030.0</c:v>
                </c:pt>
                <c:pt idx="4">
                  <c:v>34400.0</c:v>
                </c:pt>
                <c:pt idx="5">
                  <c:v>104620.0</c:v>
                </c:pt>
                <c:pt idx="6">
                  <c:v>863040.0</c:v>
                </c:pt>
                <c:pt idx="7">
                  <c:v>31550.0</c:v>
                </c:pt>
                <c:pt idx="8">
                  <c:v>672505.0</c:v>
                </c:pt>
                <c:pt idx="9">
                  <c:v>28500.0</c:v>
                </c:pt>
                <c:pt idx="10">
                  <c:v>19000.0</c:v>
                </c:pt>
                <c:pt idx="11">
                  <c:v>6855945.0</c:v>
                </c:pt>
              </c:numCache>
            </c:numRef>
          </c:val>
        </c:ser>
        <c:ser>
          <c:idx val="1"/>
          <c:order val="1"/>
          <c:tx>
            <c:strRef>
              <c:f>'July 6th Sales Report'!$K$17</c:f>
              <c:strCache>
                <c:ptCount val="1"/>
                <c:pt idx="0">
                  <c:v>% of Total 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6th Sales Report'!$I$18:$I$29</c:f>
              <c:strCache>
                <c:ptCount val="12"/>
                <c:pt idx="0">
                  <c:v>AZ Marketer</c:v>
                </c:pt>
                <c:pt idx="1">
                  <c:v>Eniola Marketer</c:v>
                </c:pt>
                <c:pt idx="2">
                  <c:v>Mrs Oladejo</c:v>
                </c:pt>
                <c:pt idx="3">
                  <c:v>Ameh Mathew</c:v>
                </c:pt>
                <c:pt idx="4">
                  <c:v>TD Odiolowo</c:v>
                </c:pt>
                <c:pt idx="5">
                  <c:v>Jeff SR</c:v>
                </c:pt>
                <c:pt idx="6">
                  <c:v>WURAOLA</c:v>
                </c:pt>
                <c:pt idx="7">
                  <c:v>Mr Godswill</c:v>
                </c:pt>
                <c:pt idx="8">
                  <c:v>Tmoney NB</c:v>
                </c:pt>
                <c:pt idx="9">
                  <c:v>Walk in Customer</c:v>
                </c:pt>
                <c:pt idx="10">
                  <c:v>MRS IK.</c:v>
                </c:pt>
                <c:pt idx="11">
                  <c:v>Total</c:v>
                </c:pt>
              </c:strCache>
            </c:strRef>
          </c:cat>
          <c:val>
            <c:numRef>
              <c:f>'July 6th Sales Report'!$K$18:$K$29</c:f>
              <c:numCache>
                <c:formatCode>0%</c:formatCode>
                <c:ptCount val="12"/>
                <c:pt idx="0">
                  <c:v>0.458361319993086</c:v>
                </c:pt>
                <c:pt idx="1">
                  <c:v>0.237531077043354</c:v>
                </c:pt>
                <c:pt idx="2">
                  <c:v>0.00266921627871869</c:v>
                </c:pt>
                <c:pt idx="3">
                  <c:v>0.045658184247394</c:v>
                </c:pt>
                <c:pt idx="4">
                  <c:v>0.00501754316873896</c:v>
                </c:pt>
                <c:pt idx="5">
                  <c:v>0.0152597490207404</c:v>
                </c:pt>
                <c:pt idx="6">
                  <c:v>0.12588199001013</c:v>
                </c:pt>
                <c:pt idx="7">
                  <c:v>0.00460184555156146</c:v>
                </c:pt>
                <c:pt idx="8">
                  <c:v>0.0980907810666509</c:v>
                </c:pt>
                <c:pt idx="9">
                  <c:v>0.00415697617177501</c:v>
                </c:pt>
                <c:pt idx="10">
                  <c:v>0.00277131744785</c:v>
                </c:pt>
                <c:pt idx="11">
                  <c:v>1.0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7622392"/>
        <c:axId val="417623176"/>
      </c:barChart>
      <c:lineChart>
        <c:grouping val="standard"/>
        <c:varyColors val="0"/>
        <c:ser>
          <c:idx val="2"/>
          <c:order val="2"/>
          <c:tx>
            <c:strRef>
              <c:f>'July 6th Sales Report'!$L$17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6th Sales Report'!$I$18:$I$29</c:f>
              <c:strCache>
                <c:ptCount val="12"/>
                <c:pt idx="0">
                  <c:v>AZ Marketer</c:v>
                </c:pt>
                <c:pt idx="1">
                  <c:v>Eniola Marketer</c:v>
                </c:pt>
                <c:pt idx="2">
                  <c:v>Mrs Oladejo</c:v>
                </c:pt>
                <c:pt idx="3">
                  <c:v>Ameh Mathew</c:v>
                </c:pt>
                <c:pt idx="4">
                  <c:v>TD Odiolowo</c:v>
                </c:pt>
                <c:pt idx="5">
                  <c:v>Jeff SR</c:v>
                </c:pt>
                <c:pt idx="6">
                  <c:v>WURAOLA</c:v>
                </c:pt>
                <c:pt idx="7">
                  <c:v>Mr Godswill</c:v>
                </c:pt>
                <c:pt idx="8">
                  <c:v>Tmoney NB</c:v>
                </c:pt>
                <c:pt idx="9">
                  <c:v>Walk in Customer</c:v>
                </c:pt>
                <c:pt idx="10">
                  <c:v>MRS IK.</c:v>
                </c:pt>
                <c:pt idx="11">
                  <c:v>Total</c:v>
                </c:pt>
              </c:strCache>
            </c:strRef>
          </c:cat>
          <c:val>
            <c:numRef>
              <c:f>'July 6th Sales Report'!$L$18:$L$29</c:f>
              <c:numCache>
                <c:formatCode>0%</c:formatCode>
                <c:ptCount val="12"/>
                <c:pt idx="0">
                  <c:v>-0.0295</c:v>
                </c:pt>
                <c:pt idx="1">
                  <c:v>0.0377</c:v>
                </c:pt>
                <c:pt idx="2">
                  <c:v>0.0628</c:v>
                </c:pt>
                <c:pt idx="3">
                  <c:v>0.0257</c:v>
                </c:pt>
                <c:pt idx="4">
                  <c:v>-0.0044</c:v>
                </c:pt>
                <c:pt idx="5">
                  <c:v>0.0392</c:v>
                </c:pt>
                <c:pt idx="6">
                  <c:v>0.0286</c:v>
                </c:pt>
                <c:pt idx="7">
                  <c:v>0.0498</c:v>
                </c:pt>
                <c:pt idx="8">
                  <c:v>0.0511</c:v>
                </c:pt>
                <c:pt idx="9">
                  <c:v>0.0824</c:v>
                </c:pt>
                <c:pt idx="10">
                  <c:v>0.0908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7621608"/>
        <c:axId val="417623568"/>
      </c:lineChart>
      <c:catAx>
        <c:axId val="4176223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7623176"/>
        <c:crosses val="autoZero"/>
        <c:auto val="1"/>
        <c:lblAlgn val="ctr"/>
        <c:lblOffset val="100"/>
        <c:noMultiLvlLbl val="0"/>
      </c:catAx>
      <c:valAx>
        <c:axId val="41762317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7622392"/>
        <c:crosses val="autoZero"/>
        <c:crossBetween val="between"/>
      </c:valAx>
      <c:catAx>
        <c:axId val="4176216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7623568"/>
        <c:crosses val="autoZero"/>
        <c:auto val="1"/>
        <c:lblAlgn val="ctr"/>
        <c:lblOffset val="100"/>
        <c:noMultiLvlLbl val="0"/>
      </c:catAx>
      <c:valAx>
        <c:axId val="417623568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762160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Invoice No_Gross profit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6th Sales Report'!$J$31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6th Sales Report'!$I$32:$I$45</c:f>
              <c:strCache>
                <c:ptCount val="14"/>
                <c:pt idx="0">
                  <c:v>ann-INV183</c:v>
                </c:pt>
                <c:pt idx="1">
                  <c:v>ann-INV184</c:v>
                </c:pt>
                <c:pt idx="2">
                  <c:v>ann-INV185</c:v>
                </c:pt>
                <c:pt idx="3">
                  <c:v>ann-INV186</c:v>
                </c:pt>
                <c:pt idx="4">
                  <c:v>ann-INV187</c:v>
                </c:pt>
                <c:pt idx="5">
                  <c:v>ann-INV188</c:v>
                </c:pt>
                <c:pt idx="6">
                  <c:v>ann-INV189</c:v>
                </c:pt>
                <c:pt idx="7">
                  <c:v>ann-INV191</c:v>
                </c:pt>
                <c:pt idx="8">
                  <c:v>ann-INV192</c:v>
                </c:pt>
                <c:pt idx="9">
                  <c:v>ann-INV193</c:v>
                </c:pt>
                <c:pt idx="10">
                  <c:v>ann-INV190</c:v>
                </c:pt>
                <c:pt idx="11">
                  <c:v>ann-INV194</c:v>
                </c:pt>
                <c:pt idx="12">
                  <c:v>ann-INV195</c:v>
                </c:pt>
                <c:pt idx="13">
                  <c:v>Total</c:v>
                </c:pt>
              </c:strCache>
            </c:strRef>
          </c:cat>
          <c:val>
            <c:numRef>
              <c:f>'July 6th Sales Report'!$J$32:$J$45</c:f>
              <c:numCache>
                <c:formatCode>_(* #,##0_);_(* \(#,##0\);_(* \-??_);_(@_)</c:formatCode>
                <c:ptCount val="14"/>
                <c:pt idx="0">
                  <c:v>2647500.0</c:v>
                </c:pt>
                <c:pt idx="1">
                  <c:v>890100.0</c:v>
                </c:pt>
                <c:pt idx="2">
                  <c:v>18300.0</c:v>
                </c:pt>
                <c:pt idx="3">
                  <c:v>968400.0</c:v>
                </c:pt>
                <c:pt idx="4">
                  <c:v>358030.0</c:v>
                </c:pt>
                <c:pt idx="5">
                  <c:v>34400.0</c:v>
                </c:pt>
                <c:pt idx="6">
                  <c:v>495000.0</c:v>
                </c:pt>
                <c:pt idx="7">
                  <c:v>119620.0</c:v>
                </c:pt>
                <c:pt idx="8">
                  <c:v>863040.0</c:v>
                </c:pt>
                <c:pt idx="9">
                  <c:v>31550.0</c:v>
                </c:pt>
                <c:pt idx="10">
                  <c:v>777505.0</c:v>
                </c:pt>
                <c:pt idx="11">
                  <c:v>28500.0</c:v>
                </c:pt>
                <c:pt idx="12">
                  <c:v>19000.0</c:v>
                </c:pt>
                <c:pt idx="13">
                  <c:v>7250945.0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7624352"/>
        <c:axId val="417621216"/>
      </c:barChart>
      <c:lineChart>
        <c:grouping val="standard"/>
        <c:varyColors val="0"/>
        <c:ser>
          <c:idx val="1"/>
          <c:order val="1"/>
          <c:tx>
            <c:strRef>
              <c:f>'July 6th Sales Report'!$K$31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6th Sales Report'!$I$32:$I$45</c:f>
              <c:strCache>
                <c:ptCount val="14"/>
                <c:pt idx="0">
                  <c:v>ann-INV183</c:v>
                </c:pt>
                <c:pt idx="1">
                  <c:v>ann-INV184</c:v>
                </c:pt>
                <c:pt idx="2">
                  <c:v>ann-INV185</c:v>
                </c:pt>
                <c:pt idx="3">
                  <c:v>ann-INV186</c:v>
                </c:pt>
                <c:pt idx="4">
                  <c:v>ann-INV187</c:v>
                </c:pt>
                <c:pt idx="5">
                  <c:v>ann-INV188</c:v>
                </c:pt>
                <c:pt idx="6">
                  <c:v>ann-INV189</c:v>
                </c:pt>
                <c:pt idx="7">
                  <c:v>ann-INV191</c:v>
                </c:pt>
                <c:pt idx="8">
                  <c:v>ann-INV192</c:v>
                </c:pt>
                <c:pt idx="9">
                  <c:v>ann-INV193</c:v>
                </c:pt>
                <c:pt idx="10">
                  <c:v>ann-INV190</c:v>
                </c:pt>
                <c:pt idx="11">
                  <c:v>ann-INV194</c:v>
                </c:pt>
                <c:pt idx="12">
                  <c:v>ann-INV195</c:v>
                </c:pt>
                <c:pt idx="13">
                  <c:v>Total</c:v>
                </c:pt>
              </c:strCache>
            </c:strRef>
          </c:cat>
          <c:val>
            <c:numRef>
              <c:f>'July 6th Sales Report'!$K$32:$K$45</c:f>
              <c:numCache>
                <c:formatCode>0%</c:formatCode>
                <c:ptCount val="14"/>
                <c:pt idx="0">
                  <c:v>-0.03</c:v>
                </c:pt>
                <c:pt idx="1">
                  <c:v>0.04</c:v>
                </c:pt>
                <c:pt idx="2">
                  <c:v>0.06</c:v>
                </c:pt>
                <c:pt idx="3">
                  <c:v>0.04</c:v>
                </c:pt>
                <c:pt idx="4">
                  <c:v>0.03</c:v>
                </c:pt>
                <c:pt idx="5">
                  <c:v>0.0</c:v>
                </c:pt>
                <c:pt idx="6">
                  <c:v>-0.05</c:v>
                </c:pt>
                <c:pt idx="7">
                  <c:v>0.04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0.08</c:v>
                </c:pt>
                <c:pt idx="12">
                  <c:v>0.09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7623960"/>
        <c:axId val="417622000"/>
      </c:lineChart>
      <c:catAx>
        <c:axId val="417624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7621216"/>
        <c:crosses val="autoZero"/>
        <c:auto val="1"/>
        <c:lblAlgn val="ctr"/>
        <c:lblOffset val="100"/>
        <c:noMultiLvlLbl val="0"/>
      </c:catAx>
      <c:valAx>
        <c:axId val="41762121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7624352"/>
        <c:crosses val="autoZero"/>
        <c:crossBetween val="between"/>
      </c:valAx>
      <c:catAx>
        <c:axId val="4176239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7622000"/>
        <c:crosses val="autoZero"/>
        <c:auto val="1"/>
        <c:lblAlgn val="ctr"/>
        <c:lblOffset val="100"/>
        <c:noMultiLvlLbl val="0"/>
      </c:catAx>
      <c:valAx>
        <c:axId val="41762200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762396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6th Sales Report'!$J$1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6th Sales Report'!$I$2:$I$15</c:f>
              <c:strCache>
                <c:ptCount val="14"/>
                <c:pt idx="0">
                  <c:v>Maltina Pet 33cl</c:v>
                </c:pt>
                <c:pt idx="1">
                  <c:v>Maltina Pet 50cl</c:v>
                </c:pt>
                <c:pt idx="2">
                  <c:v>Heineken Bottle 60cl</c:v>
                </c:pt>
                <c:pt idx="3">
                  <c:v>Medium Stout</c:v>
                </c:pt>
                <c:pt idx="4">
                  <c:v>33 Export 60cl</c:v>
                </c:pt>
                <c:pt idx="5">
                  <c:v>Goldberg 60cl</c:v>
                </c:pt>
                <c:pt idx="6">
                  <c:v>Trophy</c:v>
                </c:pt>
                <c:pt idx="7">
                  <c:v>Turbo King Bottle 60cl</c:v>
                </c:pt>
                <c:pt idx="8">
                  <c:v>Gulder Bottle</c:v>
                </c:pt>
                <c:pt idx="9">
                  <c:v>Star Radler 45cl</c:v>
                </c:pt>
                <c:pt idx="10">
                  <c:v>Maltina Bottle</c:v>
                </c:pt>
                <c:pt idx="11">
                  <c:v>STK 33cl</c:v>
                </c:pt>
                <c:pt idx="12">
                  <c:v>Desperados Bottle</c:v>
                </c:pt>
                <c:pt idx="13">
                  <c:v>Grand Total</c:v>
                </c:pt>
              </c:strCache>
            </c:strRef>
          </c:cat>
          <c:val>
            <c:numRef>
              <c:f>'July 6th Sales Report'!$J$2:$J$15</c:f>
              <c:numCache>
                <c:formatCode>General</c:formatCode>
                <c:ptCount val="14"/>
                <c:pt idx="0">
                  <c:v>431.0</c:v>
                </c:pt>
                <c:pt idx="1">
                  <c:v>130.0</c:v>
                </c:pt>
                <c:pt idx="2">
                  <c:v>73.0</c:v>
                </c:pt>
                <c:pt idx="3">
                  <c:v>1.0</c:v>
                </c:pt>
                <c:pt idx="4">
                  <c:v>81.0</c:v>
                </c:pt>
                <c:pt idx="5">
                  <c:v>175.0</c:v>
                </c:pt>
                <c:pt idx="6">
                  <c:v>20.0</c:v>
                </c:pt>
                <c:pt idx="7">
                  <c:v>14.0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  <c:pt idx="11">
                  <c:v>2.0</c:v>
                </c:pt>
                <c:pt idx="12">
                  <c:v>1.0</c:v>
                </c:pt>
                <c:pt idx="13">
                  <c:v>931.0</c:v>
                </c:pt>
              </c:numCache>
            </c:numRef>
          </c:val>
        </c:ser>
        <c:ser>
          <c:idx val="1"/>
          <c:order val="1"/>
          <c:tx>
            <c:strRef>
              <c:f>'July 6th Sales Report'!$K$1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6th Sales Report'!$I$2:$I$15</c:f>
              <c:strCache>
                <c:ptCount val="14"/>
                <c:pt idx="0">
                  <c:v>Maltina Pet 33cl</c:v>
                </c:pt>
                <c:pt idx="1">
                  <c:v>Maltina Pet 50cl</c:v>
                </c:pt>
                <c:pt idx="2">
                  <c:v>Heineken Bottle 60cl</c:v>
                </c:pt>
                <c:pt idx="3">
                  <c:v>Medium Stout</c:v>
                </c:pt>
                <c:pt idx="4">
                  <c:v>33 Export 60cl</c:v>
                </c:pt>
                <c:pt idx="5">
                  <c:v>Goldberg 60cl</c:v>
                </c:pt>
                <c:pt idx="6">
                  <c:v>Trophy</c:v>
                </c:pt>
                <c:pt idx="7">
                  <c:v>Turbo King Bottle 60cl</c:v>
                </c:pt>
                <c:pt idx="8">
                  <c:v>Gulder Bottle</c:v>
                </c:pt>
                <c:pt idx="9">
                  <c:v>Star Radler 45cl</c:v>
                </c:pt>
                <c:pt idx="10">
                  <c:v>Maltina Bottle</c:v>
                </c:pt>
                <c:pt idx="11">
                  <c:v>STK 33cl</c:v>
                </c:pt>
                <c:pt idx="12">
                  <c:v>Desperados Bottle</c:v>
                </c:pt>
                <c:pt idx="13">
                  <c:v>Grand Total</c:v>
                </c:pt>
              </c:strCache>
            </c:strRef>
          </c:cat>
          <c:val>
            <c:numRef>
              <c:f>'July 6th Sales Report'!$K$2:$K$15</c:f>
              <c:numCache>
                <c:formatCode>_(* #,##0_);_(* \(#,##0\);_(* \-??_);_(@_)</c:formatCode>
                <c:ptCount val="14"/>
                <c:pt idx="0">
                  <c:v>2133800.0</c:v>
                </c:pt>
                <c:pt idx="1">
                  <c:v>1014000.0</c:v>
                </c:pt>
                <c:pt idx="2">
                  <c:v>973455.0</c:v>
                </c:pt>
                <c:pt idx="3">
                  <c:v>18300.0</c:v>
                </c:pt>
                <c:pt idx="4">
                  <c:v>740040.0</c:v>
                </c:pt>
                <c:pt idx="5">
                  <c:v>1593800.0</c:v>
                </c:pt>
                <c:pt idx="6">
                  <c:v>166000.0</c:v>
                </c:pt>
                <c:pt idx="7">
                  <c:v>128780.0</c:v>
                </c:pt>
                <c:pt idx="8">
                  <c:v>11910.0</c:v>
                </c:pt>
                <c:pt idx="9">
                  <c:v>14575.0</c:v>
                </c:pt>
                <c:pt idx="10">
                  <c:v>13550.0</c:v>
                </c:pt>
                <c:pt idx="11">
                  <c:v>26250.0</c:v>
                </c:pt>
                <c:pt idx="12">
                  <c:v>21485.0</c:v>
                </c:pt>
                <c:pt idx="13">
                  <c:v>6855945.0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7626704"/>
        <c:axId val="417624744"/>
      </c:barChart>
      <c:lineChart>
        <c:grouping val="standard"/>
        <c:varyColors val="0"/>
        <c:ser>
          <c:idx val="2"/>
          <c:order val="2"/>
          <c:tx>
            <c:strRef>
              <c:f>'July 6th Sales Report'!$L$1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6th Sales Report'!$I$2:$I$15</c:f>
              <c:strCache>
                <c:ptCount val="14"/>
                <c:pt idx="0">
                  <c:v>Maltina Pet 33cl</c:v>
                </c:pt>
                <c:pt idx="1">
                  <c:v>Maltina Pet 50cl</c:v>
                </c:pt>
                <c:pt idx="2">
                  <c:v>Heineken Bottle 60cl</c:v>
                </c:pt>
                <c:pt idx="3">
                  <c:v>Medium Stout</c:v>
                </c:pt>
                <c:pt idx="4">
                  <c:v>33 Export 60cl</c:v>
                </c:pt>
                <c:pt idx="5">
                  <c:v>Goldberg 60cl</c:v>
                </c:pt>
                <c:pt idx="6">
                  <c:v>Trophy</c:v>
                </c:pt>
                <c:pt idx="7">
                  <c:v>Turbo King Bottle 60cl</c:v>
                </c:pt>
                <c:pt idx="8">
                  <c:v>Gulder Bottle</c:v>
                </c:pt>
                <c:pt idx="9">
                  <c:v>Star Radler 45cl</c:v>
                </c:pt>
                <c:pt idx="10">
                  <c:v>Maltina Bottle</c:v>
                </c:pt>
                <c:pt idx="11">
                  <c:v>STK 33cl</c:v>
                </c:pt>
                <c:pt idx="12">
                  <c:v>Desperados Bottle</c:v>
                </c:pt>
                <c:pt idx="13">
                  <c:v>Grand Total</c:v>
                </c:pt>
              </c:strCache>
            </c:strRef>
          </c:cat>
          <c:val>
            <c:numRef>
              <c:f>'July 6th Sales Report'!$L$2:$L$15</c:f>
              <c:numCache>
                <c:formatCode>0%</c:formatCode>
                <c:ptCount val="14"/>
                <c:pt idx="0">
                  <c:v>0.31123353527486</c:v>
                </c:pt>
                <c:pt idx="1">
                  <c:v>0.147900836427363</c:v>
                </c:pt>
                <c:pt idx="2">
                  <c:v>0.141986990852465</c:v>
                </c:pt>
                <c:pt idx="3">
                  <c:v>0.00266921627871869</c:v>
                </c:pt>
                <c:pt idx="4">
                  <c:v>0.107941356005627</c:v>
                </c:pt>
                <c:pt idx="5">
                  <c:v>0.232469776230702</c:v>
                </c:pt>
                <c:pt idx="6">
                  <c:v>0.0242125629654264</c:v>
                </c:pt>
                <c:pt idx="7">
                  <c:v>0.0187836979439012</c:v>
                </c:pt>
                <c:pt idx="8">
                  <c:v>0.00173717846336282</c:v>
                </c:pt>
                <c:pt idx="9">
                  <c:v>0.00212589220012704</c:v>
                </c:pt>
                <c:pt idx="10">
                  <c:v>0.00197638691675619</c:v>
                </c:pt>
                <c:pt idx="11">
                  <c:v>0.00382879384242435</c:v>
                </c:pt>
                <c:pt idx="12">
                  <c:v>0.00313377659826618</c:v>
                </c:pt>
                <c:pt idx="13">
                  <c:v>1.0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7619648"/>
        <c:axId val="417625528"/>
      </c:lineChart>
      <c:catAx>
        <c:axId val="4176267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7624744"/>
        <c:crosses val="autoZero"/>
        <c:auto val="1"/>
        <c:lblAlgn val="ctr"/>
        <c:lblOffset val="100"/>
        <c:noMultiLvlLbl val="0"/>
      </c:catAx>
      <c:valAx>
        <c:axId val="41762474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7626704"/>
        <c:crosses val="autoZero"/>
        <c:crossBetween val="between"/>
      </c:valAx>
      <c:catAx>
        <c:axId val="4176196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7625528"/>
        <c:crosses val="autoZero"/>
        <c:auto val="1"/>
        <c:lblAlgn val="ctr"/>
        <c:lblOffset val="100"/>
        <c:noMultiLvlLbl val="0"/>
      </c:catAx>
      <c:valAx>
        <c:axId val="417625528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761964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Product Revenue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7th Sales Report'!$J$1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7th Sales Report'!$I$2:$I$16</c:f>
              <c:strCache>
                <c:ptCount val="15"/>
                <c:pt idx="0">
                  <c:v>Goldberg 60cl</c:v>
                </c:pt>
                <c:pt idx="1">
                  <c:v>33 Export 60cl</c:v>
                </c:pt>
                <c:pt idx="2">
                  <c:v>Maltina Pet 33cl</c:v>
                </c:pt>
                <c:pt idx="3">
                  <c:v>Heineken Sleek Can</c:v>
                </c:pt>
                <c:pt idx="4">
                  <c:v>Heineken Bottle 60cl</c:v>
                </c:pt>
                <c:pt idx="5">
                  <c:v>Turbo King Bottle 60cl</c:v>
                </c:pt>
                <c:pt idx="6">
                  <c:v>Star Radler 45cl</c:v>
                </c:pt>
                <c:pt idx="7">
                  <c:v>Maltina Pet 50cl</c:v>
                </c:pt>
                <c:pt idx="8">
                  <c:v>Gulder Bottle</c:v>
                </c:pt>
                <c:pt idx="9">
                  <c:v>Goldberg Can 50cl</c:v>
                </c:pt>
                <c:pt idx="10">
                  <c:v>Desperados Bottle</c:v>
                </c:pt>
                <c:pt idx="11">
                  <c:v>Legend Bottle 60cl</c:v>
                </c:pt>
                <c:pt idx="12">
                  <c:v>Maltina Bottle</c:v>
                </c:pt>
                <c:pt idx="13">
                  <c:v>Goldberg Black 45cl</c:v>
                </c:pt>
                <c:pt idx="14">
                  <c:v>Grand Total</c:v>
                </c:pt>
              </c:strCache>
            </c:strRef>
          </c:cat>
          <c:val>
            <c:numRef>
              <c:f>'July 7th Sales Report'!$J$2:$J$16</c:f>
              <c:numCache>
                <c:formatCode>General</c:formatCode>
                <c:ptCount val="15"/>
                <c:pt idx="0">
                  <c:v>403.0</c:v>
                </c:pt>
                <c:pt idx="1">
                  <c:v>224.0</c:v>
                </c:pt>
                <c:pt idx="2">
                  <c:v>603.0</c:v>
                </c:pt>
                <c:pt idx="3">
                  <c:v>11.0</c:v>
                </c:pt>
                <c:pt idx="4">
                  <c:v>262.0</c:v>
                </c:pt>
                <c:pt idx="5">
                  <c:v>67.0</c:v>
                </c:pt>
                <c:pt idx="6">
                  <c:v>2.0</c:v>
                </c:pt>
                <c:pt idx="7">
                  <c:v>55.0</c:v>
                </c:pt>
                <c:pt idx="8">
                  <c:v>23.0</c:v>
                </c:pt>
                <c:pt idx="9">
                  <c:v>1.0</c:v>
                </c:pt>
                <c:pt idx="10">
                  <c:v>6.0</c:v>
                </c:pt>
                <c:pt idx="11">
                  <c:v>15.0</c:v>
                </c:pt>
                <c:pt idx="12">
                  <c:v>10.0</c:v>
                </c:pt>
                <c:pt idx="13">
                  <c:v>3.0</c:v>
                </c:pt>
                <c:pt idx="14">
                  <c:v>1685.0</c:v>
                </c:pt>
              </c:numCache>
            </c:numRef>
          </c:val>
        </c:ser>
        <c:ser>
          <c:idx val="1"/>
          <c:order val="1"/>
          <c:tx>
            <c:strRef>
              <c:f>'July 7th Sales Report'!$K$1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7th Sales Report'!$I$2:$I$16</c:f>
              <c:strCache>
                <c:ptCount val="15"/>
                <c:pt idx="0">
                  <c:v>Goldberg 60cl</c:v>
                </c:pt>
                <c:pt idx="1">
                  <c:v>33 Export 60cl</c:v>
                </c:pt>
                <c:pt idx="2">
                  <c:v>Maltina Pet 33cl</c:v>
                </c:pt>
                <c:pt idx="3">
                  <c:v>Heineken Sleek Can</c:v>
                </c:pt>
                <c:pt idx="4">
                  <c:v>Heineken Bottle 60cl</c:v>
                </c:pt>
                <c:pt idx="5">
                  <c:v>Turbo King Bottle 60cl</c:v>
                </c:pt>
                <c:pt idx="6">
                  <c:v>Star Radler 45cl</c:v>
                </c:pt>
                <c:pt idx="7">
                  <c:v>Maltina Pet 50cl</c:v>
                </c:pt>
                <c:pt idx="8">
                  <c:v>Gulder Bottle</c:v>
                </c:pt>
                <c:pt idx="9">
                  <c:v>Goldberg Can 50cl</c:v>
                </c:pt>
                <c:pt idx="10">
                  <c:v>Desperados Bottle</c:v>
                </c:pt>
                <c:pt idx="11">
                  <c:v>Legend Bottle 60cl</c:v>
                </c:pt>
                <c:pt idx="12">
                  <c:v>Maltina Bottle</c:v>
                </c:pt>
                <c:pt idx="13">
                  <c:v>Goldberg Black 45cl</c:v>
                </c:pt>
                <c:pt idx="14">
                  <c:v>Grand Total</c:v>
                </c:pt>
              </c:strCache>
            </c:strRef>
          </c:cat>
          <c:val>
            <c:numRef>
              <c:f>'July 7th Sales Report'!$K$2:$K$16</c:f>
              <c:numCache>
                <c:formatCode>_(* #,##0_);_(* \(#,##0\);_(* \-??_);_(@_)</c:formatCode>
                <c:ptCount val="15"/>
                <c:pt idx="0">
                  <c:v>3540800.0</c:v>
                </c:pt>
                <c:pt idx="1">
                  <c:v>2032510.0</c:v>
                </c:pt>
                <c:pt idx="2">
                  <c:v>3011800.0</c:v>
                </c:pt>
                <c:pt idx="3">
                  <c:v>189100.0</c:v>
                </c:pt>
                <c:pt idx="4">
                  <c:v>3394545.0</c:v>
                </c:pt>
                <c:pt idx="5">
                  <c:v>594160.0</c:v>
                </c:pt>
                <c:pt idx="6">
                  <c:v>29150.0</c:v>
                </c:pt>
                <c:pt idx="7">
                  <c:v>441100.0</c:v>
                </c:pt>
                <c:pt idx="8">
                  <c:v>264030.0</c:v>
                </c:pt>
                <c:pt idx="9">
                  <c:v>16145.0</c:v>
                </c:pt>
                <c:pt idx="10">
                  <c:v>123240.0</c:v>
                </c:pt>
                <c:pt idx="11">
                  <c:v>172200.0</c:v>
                </c:pt>
                <c:pt idx="12">
                  <c:v>130200.0</c:v>
                </c:pt>
                <c:pt idx="13">
                  <c:v>42435.0</c:v>
                </c:pt>
                <c:pt idx="14">
                  <c:v>13981415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7626312"/>
        <c:axId val="417627096"/>
      </c:barChart>
      <c:lineChart>
        <c:grouping val="standard"/>
        <c:varyColors val="0"/>
        <c:ser>
          <c:idx val="2"/>
          <c:order val="2"/>
          <c:tx>
            <c:strRef>
              <c:f>'July 7th Sales Report'!$L$1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7th Sales Report'!$I$2:$I$16</c:f>
              <c:strCache>
                <c:ptCount val="15"/>
                <c:pt idx="0">
                  <c:v>Goldberg 60cl</c:v>
                </c:pt>
                <c:pt idx="1">
                  <c:v>33 Export 60cl</c:v>
                </c:pt>
                <c:pt idx="2">
                  <c:v>Maltina Pet 33cl</c:v>
                </c:pt>
                <c:pt idx="3">
                  <c:v>Heineken Sleek Can</c:v>
                </c:pt>
                <c:pt idx="4">
                  <c:v>Heineken Bottle 60cl</c:v>
                </c:pt>
                <c:pt idx="5">
                  <c:v>Turbo King Bottle 60cl</c:v>
                </c:pt>
                <c:pt idx="6">
                  <c:v>Star Radler 45cl</c:v>
                </c:pt>
                <c:pt idx="7">
                  <c:v>Maltina Pet 50cl</c:v>
                </c:pt>
                <c:pt idx="8">
                  <c:v>Gulder Bottle</c:v>
                </c:pt>
                <c:pt idx="9">
                  <c:v>Goldberg Can 50cl</c:v>
                </c:pt>
                <c:pt idx="10">
                  <c:v>Desperados Bottle</c:v>
                </c:pt>
                <c:pt idx="11">
                  <c:v>Legend Bottle 60cl</c:v>
                </c:pt>
                <c:pt idx="12">
                  <c:v>Maltina Bottle</c:v>
                </c:pt>
                <c:pt idx="13">
                  <c:v>Goldberg Black 45cl</c:v>
                </c:pt>
                <c:pt idx="14">
                  <c:v>Grand Total</c:v>
                </c:pt>
              </c:strCache>
            </c:strRef>
          </c:cat>
          <c:val>
            <c:numRef>
              <c:f>'July 7th Sales Report'!$L$2:$L$16</c:f>
              <c:numCache>
                <c:formatCode>0%</c:formatCode>
                <c:ptCount val="15"/>
                <c:pt idx="0">
                  <c:v>0.253250475720805</c:v>
                </c:pt>
                <c:pt idx="1">
                  <c:v>0.145372267399258</c:v>
                </c:pt>
                <c:pt idx="2">
                  <c:v>0.215414534222752</c:v>
                </c:pt>
                <c:pt idx="3">
                  <c:v>0.0135250974239732</c:v>
                </c:pt>
                <c:pt idx="4">
                  <c:v>0.242789803464099</c:v>
                </c:pt>
                <c:pt idx="5">
                  <c:v>0.0424964139895712</c:v>
                </c:pt>
                <c:pt idx="6">
                  <c:v>0.00208491057593241</c:v>
                </c:pt>
                <c:pt idx="7">
                  <c:v>0.0315490241867508</c:v>
                </c:pt>
                <c:pt idx="8">
                  <c:v>0.0188843546951435</c:v>
                </c:pt>
                <c:pt idx="9">
                  <c:v>0.00115474721263906</c:v>
                </c:pt>
                <c:pt idx="10">
                  <c:v>0.00881455846922504</c:v>
                </c:pt>
                <c:pt idx="11">
                  <c:v>0.0123163499545647</c:v>
                </c:pt>
                <c:pt idx="12">
                  <c:v>0.00931236216076842</c:v>
                </c:pt>
                <c:pt idx="13">
                  <c:v>0.00303510052451773</c:v>
                </c:pt>
                <c:pt idx="14">
                  <c:v>1.0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7620040"/>
        <c:axId val="417620432"/>
      </c:lineChart>
      <c:catAx>
        <c:axId val="4176263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7627096"/>
        <c:crosses val="autoZero"/>
        <c:auto val="1"/>
        <c:lblAlgn val="ctr"/>
        <c:lblOffset val="100"/>
        <c:noMultiLvlLbl val="0"/>
      </c:catAx>
      <c:valAx>
        <c:axId val="41762709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7626312"/>
        <c:crosses val="autoZero"/>
        <c:crossBetween val="between"/>
      </c:valAx>
      <c:catAx>
        <c:axId val="4176200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7620432"/>
        <c:crosses val="autoZero"/>
        <c:auto val="1"/>
        <c:lblAlgn val="ctr"/>
        <c:lblOffset val="100"/>
        <c:noMultiLvlLbl val="0"/>
      </c:catAx>
      <c:valAx>
        <c:axId val="41762043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762004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Customer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7th Sales Report'!$J$18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7th Sales Report'!$I$19:$I$32</c:f>
              <c:strCache>
                <c:ptCount val="14"/>
                <c:pt idx="0">
                  <c:v>WURAOLA</c:v>
                </c:pt>
                <c:pt idx="1">
                  <c:v>DESOLA STORE</c:v>
                </c:pt>
                <c:pt idx="2">
                  <c:v>Demola SR</c:v>
                </c:pt>
                <c:pt idx="3">
                  <c:v>Rita SR</c:v>
                </c:pt>
                <c:pt idx="4">
                  <c:v>Eniola Marketer</c:v>
                </c:pt>
                <c:pt idx="5">
                  <c:v>Rukky bee</c:v>
                </c:pt>
                <c:pt idx="6">
                  <c:v>TD Odiolowo</c:v>
                </c:pt>
                <c:pt idx="7">
                  <c:v>Ameh Mathew</c:v>
                </c:pt>
                <c:pt idx="8">
                  <c:v>Mr Lekan Ojifini</c:v>
                </c:pt>
                <c:pt idx="9">
                  <c:v>Tmoney NB</c:v>
                </c:pt>
                <c:pt idx="10">
                  <c:v>Emmycee</c:v>
                </c:pt>
                <c:pt idx="11">
                  <c:v>Jeff SR</c:v>
                </c:pt>
                <c:pt idx="12">
                  <c:v>Walk in Customer</c:v>
                </c:pt>
                <c:pt idx="13">
                  <c:v>Total</c:v>
                </c:pt>
              </c:strCache>
            </c:strRef>
          </c:cat>
          <c:val>
            <c:numRef>
              <c:f>'July 7th Sales Report'!$J$19:$J$32</c:f>
              <c:numCache>
                <c:formatCode>_(* #,##0_);_(* \(#,##0\);_(* \-??_);_(@_)</c:formatCode>
                <c:ptCount val="14"/>
                <c:pt idx="0">
                  <c:v>1654160.0</c:v>
                </c:pt>
                <c:pt idx="1">
                  <c:v>612000.0</c:v>
                </c:pt>
                <c:pt idx="2">
                  <c:v>1237500.0</c:v>
                </c:pt>
                <c:pt idx="3">
                  <c:v>172000.0</c:v>
                </c:pt>
                <c:pt idx="4">
                  <c:v>548695.0</c:v>
                </c:pt>
                <c:pt idx="5">
                  <c:v>3987900.0</c:v>
                </c:pt>
                <c:pt idx="6">
                  <c:v>94600.0</c:v>
                </c:pt>
                <c:pt idx="7">
                  <c:v>711185.0</c:v>
                </c:pt>
                <c:pt idx="8">
                  <c:v>1170400.0</c:v>
                </c:pt>
                <c:pt idx="9">
                  <c:v>657900.0</c:v>
                </c:pt>
                <c:pt idx="10">
                  <c:v>2969375.0</c:v>
                </c:pt>
                <c:pt idx="11">
                  <c:v>160400.0</c:v>
                </c:pt>
                <c:pt idx="12">
                  <c:v>5300.0</c:v>
                </c:pt>
                <c:pt idx="13">
                  <c:v>13981415</c:v>
                </c:pt>
              </c:numCache>
            </c:numRef>
          </c:val>
        </c:ser>
        <c:ser>
          <c:idx val="1"/>
          <c:order val="1"/>
          <c:tx>
            <c:strRef>
              <c:f>'July 7th Sales Report'!$K$18</c:f>
              <c:strCache>
                <c:ptCount val="1"/>
                <c:pt idx="0">
                  <c:v>% of Total 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7th Sales Report'!$I$19:$I$32</c:f>
              <c:strCache>
                <c:ptCount val="14"/>
                <c:pt idx="0">
                  <c:v>WURAOLA</c:v>
                </c:pt>
                <c:pt idx="1">
                  <c:v>DESOLA STORE</c:v>
                </c:pt>
                <c:pt idx="2">
                  <c:v>Demola SR</c:v>
                </c:pt>
                <c:pt idx="3">
                  <c:v>Rita SR</c:v>
                </c:pt>
                <c:pt idx="4">
                  <c:v>Eniola Marketer</c:v>
                </c:pt>
                <c:pt idx="5">
                  <c:v>Rukky bee</c:v>
                </c:pt>
                <c:pt idx="6">
                  <c:v>TD Odiolowo</c:v>
                </c:pt>
                <c:pt idx="7">
                  <c:v>Ameh Mathew</c:v>
                </c:pt>
                <c:pt idx="8">
                  <c:v>Mr Lekan Ojifini</c:v>
                </c:pt>
                <c:pt idx="9">
                  <c:v>Tmoney NB</c:v>
                </c:pt>
                <c:pt idx="10">
                  <c:v>Emmycee</c:v>
                </c:pt>
                <c:pt idx="11">
                  <c:v>Jeff SR</c:v>
                </c:pt>
                <c:pt idx="12">
                  <c:v>Walk in Customer</c:v>
                </c:pt>
                <c:pt idx="13">
                  <c:v>Total</c:v>
                </c:pt>
              </c:strCache>
            </c:strRef>
          </c:cat>
          <c:val>
            <c:numRef>
              <c:f>'July 7th Sales Report'!$K$19:$K$32</c:f>
              <c:numCache>
                <c:formatCode>0%</c:formatCode>
                <c:ptCount val="14"/>
                <c:pt idx="0">
                  <c:v>0.118311344023477</c:v>
                </c:pt>
                <c:pt idx="1">
                  <c:v>0.0437723935667456</c:v>
                </c:pt>
                <c:pt idx="2">
                  <c:v>0.0885103546386399</c:v>
                </c:pt>
                <c:pt idx="3">
                  <c:v>0.0123020452507847</c:v>
                </c:pt>
                <c:pt idx="4">
                  <c:v>0.0392445972027867</c:v>
                </c:pt>
                <c:pt idx="5">
                  <c:v>0.285228641020955</c:v>
                </c:pt>
                <c:pt idx="6">
                  <c:v>0.00676612488793159</c:v>
                </c:pt>
                <c:pt idx="7">
                  <c:v>0.0508664537888332</c:v>
                </c:pt>
                <c:pt idx="8">
                  <c:v>0.0837111265204559</c:v>
                </c:pt>
                <c:pt idx="9">
                  <c:v>0.0470553230842515</c:v>
                </c:pt>
                <c:pt idx="10">
                  <c:v>0.212380148933423</c:v>
                </c:pt>
                <c:pt idx="11">
                  <c:v>0.0114723724315457</c:v>
                </c:pt>
                <c:pt idx="12">
                  <c:v>0.000379074650169529</c:v>
                </c:pt>
                <c:pt idx="13">
                  <c:v>1.0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8203320"/>
        <c:axId val="418204496"/>
      </c:barChart>
      <c:lineChart>
        <c:grouping val="standard"/>
        <c:varyColors val="0"/>
        <c:ser>
          <c:idx val="2"/>
          <c:order val="2"/>
          <c:tx>
            <c:strRef>
              <c:f>'July 7th Sales Report'!$L$18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7th Sales Report'!$I$19:$I$32</c:f>
              <c:strCache>
                <c:ptCount val="14"/>
                <c:pt idx="0">
                  <c:v>WURAOLA</c:v>
                </c:pt>
                <c:pt idx="1">
                  <c:v>DESOLA STORE</c:v>
                </c:pt>
                <c:pt idx="2">
                  <c:v>Demola SR</c:v>
                </c:pt>
                <c:pt idx="3">
                  <c:v>Rita SR</c:v>
                </c:pt>
                <c:pt idx="4">
                  <c:v>Eniola Marketer</c:v>
                </c:pt>
                <c:pt idx="5">
                  <c:v>Rukky bee</c:v>
                </c:pt>
                <c:pt idx="6">
                  <c:v>TD Odiolowo</c:v>
                </c:pt>
                <c:pt idx="7">
                  <c:v>Ameh Mathew</c:v>
                </c:pt>
                <c:pt idx="8">
                  <c:v>Mr Lekan Ojifini</c:v>
                </c:pt>
                <c:pt idx="9">
                  <c:v>Tmoney NB</c:v>
                </c:pt>
                <c:pt idx="10">
                  <c:v>Emmycee</c:v>
                </c:pt>
                <c:pt idx="11">
                  <c:v>Jeff SR</c:v>
                </c:pt>
                <c:pt idx="12">
                  <c:v>Walk in Customer</c:v>
                </c:pt>
                <c:pt idx="13">
                  <c:v>Total</c:v>
                </c:pt>
              </c:strCache>
            </c:strRef>
          </c:cat>
          <c:val>
            <c:numRef>
              <c:f>'July 7th Sales Report'!$L$19:$L$32</c:f>
              <c:numCache>
                <c:formatCode>0%</c:formatCode>
                <c:ptCount val="14"/>
                <c:pt idx="0">
                  <c:v>0.0256</c:v>
                </c:pt>
                <c:pt idx="1">
                  <c:v>-0.0196</c:v>
                </c:pt>
                <c:pt idx="2">
                  <c:v>-0.0505</c:v>
                </c:pt>
                <c:pt idx="3">
                  <c:v>0.0058</c:v>
                </c:pt>
                <c:pt idx="4">
                  <c:v>0.0491</c:v>
                </c:pt>
                <c:pt idx="5">
                  <c:v>0.0116</c:v>
                </c:pt>
                <c:pt idx="6">
                  <c:v>-0.0037</c:v>
                </c:pt>
                <c:pt idx="7">
                  <c:v>0.0088</c:v>
                </c:pt>
                <c:pt idx="8">
                  <c:v>-0.0288</c:v>
                </c:pt>
                <c:pt idx="9">
                  <c:v>0.0139</c:v>
                </c:pt>
                <c:pt idx="10">
                  <c:v>0.0492</c:v>
                </c:pt>
                <c:pt idx="11">
                  <c:v>0.0418</c:v>
                </c:pt>
                <c:pt idx="12">
                  <c:v>0.0189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8206456"/>
        <c:axId val="418205280"/>
      </c:lineChart>
      <c:catAx>
        <c:axId val="4182033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8204496"/>
        <c:crosses val="autoZero"/>
        <c:auto val="1"/>
        <c:lblAlgn val="ctr"/>
        <c:lblOffset val="100"/>
        <c:noMultiLvlLbl val="0"/>
      </c:catAx>
      <c:valAx>
        <c:axId val="41820449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8203320"/>
        <c:crosses val="autoZero"/>
        <c:crossBetween val="between"/>
      </c:valAx>
      <c:catAx>
        <c:axId val="4182064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8205280"/>
        <c:crosses val="autoZero"/>
        <c:auto val="1"/>
        <c:lblAlgn val="ctr"/>
        <c:lblOffset val="100"/>
        <c:noMultiLvlLbl val="0"/>
      </c:catAx>
      <c:valAx>
        <c:axId val="41820528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820645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Invoice_NO, Gross Profit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7th Sales Report'!$J$34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7th Sales Report'!$I$35:$I$49</c:f>
              <c:strCache>
                <c:ptCount val="15"/>
                <c:pt idx="0">
                  <c:v>ann-INV197</c:v>
                </c:pt>
                <c:pt idx="1">
                  <c:v>ann-INV196</c:v>
                </c:pt>
                <c:pt idx="2">
                  <c:v>ann-INV198</c:v>
                </c:pt>
                <c:pt idx="3">
                  <c:v>ann-INV199</c:v>
                </c:pt>
                <c:pt idx="4">
                  <c:v>ann-INV200</c:v>
                </c:pt>
                <c:pt idx="5">
                  <c:v>ann-INV201</c:v>
                </c:pt>
                <c:pt idx="6">
                  <c:v>ann-INV202</c:v>
                </c:pt>
                <c:pt idx="7">
                  <c:v>ann-INV203</c:v>
                </c:pt>
                <c:pt idx="8">
                  <c:v>ann-INV204</c:v>
                </c:pt>
                <c:pt idx="9">
                  <c:v>ann-INV205</c:v>
                </c:pt>
                <c:pt idx="10">
                  <c:v>ann-INV206</c:v>
                </c:pt>
                <c:pt idx="11">
                  <c:v>ann-INV207</c:v>
                </c:pt>
                <c:pt idx="12">
                  <c:v>ann-INV208</c:v>
                </c:pt>
                <c:pt idx="13">
                  <c:v>ann-INV209</c:v>
                </c:pt>
                <c:pt idx="14">
                  <c:v>Total</c:v>
                </c:pt>
              </c:strCache>
            </c:strRef>
          </c:cat>
          <c:val>
            <c:numRef>
              <c:f>'July 7th Sales Report'!$J$35:$J$49</c:f>
              <c:numCache>
                <c:formatCode>_(* #,##0_);_(* \(#,##0\);_(* \-??_);_(@_)</c:formatCode>
                <c:ptCount val="15"/>
                <c:pt idx="0">
                  <c:v>1930160.0</c:v>
                </c:pt>
                <c:pt idx="1">
                  <c:v>612000.0</c:v>
                </c:pt>
                <c:pt idx="2">
                  <c:v>1237500.0</c:v>
                </c:pt>
                <c:pt idx="3">
                  <c:v>172000.0</c:v>
                </c:pt>
                <c:pt idx="4">
                  <c:v>626695.0</c:v>
                </c:pt>
                <c:pt idx="5">
                  <c:v>4512900.0</c:v>
                </c:pt>
                <c:pt idx="6">
                  <c:v>111100.0</c:v>
                </c:pt>
                <c:pt idx="7">
                  <c:v>756425.0</c:v>
                </c:pt>
                <c:pt idx="8">
                  <c:v>1170400.0</c:v>
                </c:pt>
                <c:pt idx="9">
                  <c:v>747900.0</c:v>
                </c:pt>
                <c:pt idx="10">
                  <c:v>3597375.0</c:v>
                </c:pt>
                <c:pt idx="11">
                  <c:v>17760.0</c:v>
                </c:pt>
                <c:pt idx="12">
                  <c:v>160400.0</c:v>
                </c:pt>
                <c:pt idx="13">
                  <c:v>5300.0</c:v>
                </c:pt>
                <c:pt idx="14">
                  <c:v>15657915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8202144"/>
        <c:axId val="418206848"/>
      </c:barChart>
      <c:lineChart>
        <c:grouping val="standard"/>
        <c:varyColors val="0"/>
        <c:ser>
          <c:idx val="1"/>
          <c:order val="1"/>
          <c:tx>
            <c:strRef>
              <c:f>'July 7th Sales Report'!$K$34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7th Sales Report'!$I$35:$I$49</c:f>
              <c:strCache>
                <c:ptCount val="15"/>
                <c:pt idx="0">
                  <c:v>ann-INV197</c:v>
                </c:pt>
                <c:pt idx="1">
                  <c:v>ann-INV196</c:v>
                </c:pt>
                <c:pt idx="2">
                  <c:v>ann-INV198</c:v>
                </c:pt>
                <c:pt idx="3">
                  <c:v>ann-INV199</c:v>
                </c:pt>
                <c:pt idx="4">
                  <c:v>ann-INV200</c:v>
                </c:pt>
                <c:pt idx="5">
                  <c:v>ann-INV201</c:v>
                </c:pt>
                <c:pt idx="6">
                  <c:v>ann-INV202</c:v>
                </c:pt>
                <c:pt idx="7">
                  <c:v>ann-INV203</c:v>
                </c:pt>
                <c:pt idx="8">
                  <c:v>ann-INV204</c:v>
                </c:pt>
                <c:pt idx="9">
                  <c:v>ann-INV205</c:v>
                </c:pt>
                <c:pt idx="10">
                  <c:v>ann-INV206</c:v>
                </c:pt>
                <c:pt idx="11">
                  <c:v>ann-INV207</c:v>
                </c:pt>
                <c:pt idx="12">
                  <c:v>ann-INV208</c:v>
                </c:pt>
                <c:pt idx="13">
                  <c:v>ann-INV209</c:v>
                </c:pt>
                <c:pt idx="14">
                  <c:v>Total</c:v>
                </c:pt>
              </c:strCache>
            </c:strRef>
          </c:cat>
          <c:val>
            <c:numRef>
              <c:f>'July 7th Sales Report'!$K$35:$K$49</c:f>
              <c:numCache>
                <c:formatCode>0%</c:formatCode>
                <c:ptCount val="15"/>
                <c:pt idx="0">
                  <c:v>0.03</c:v>
                </c:pt>
                <c:pt idx="1">
                  <c:v>-0.02</c:v>
                </c:pt>
                <c:pt idx="2">
                  <c:v>-0.05</c:v>
                </c:pt>
                <c:pt idx="3">
                  <c:v>0.01</c:v>
                </c:pt>
                <c:pt idx="4">
                  <c:v>0.05</c:v>
                </c:pt>
                <c:pt idx="5">
                  <c:v>0.01</c:v>
                </c:pt>
                <c:pt idx="6">
                  <c:v>0.0</c:v>
                </c:pt>
                <c:pt idx="7">
                  <c:v>0.01</c:v>
                </c:pt>
                <c:pt idx="8">
                  <c:v>-0.03</c:v>
                </c:pt>
                <c:pt idx="9">
                  <c:v>0.01</c:v>
                </c:pt>
                <c:pt idx="10">
                  <c:v>0.05</c:v>
                </c:pt>
                <c:pt idx="11">
                  <c:v>0.04</c:v>
                </c:pt>
                <c:pt idx="12">
                  <c:v>0.04</c:v>
                </c:pt>
                <c:pt idx="13">
                  <c:v>0.02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8207240"/>
        <c:axId val="418202536"/>
      </c:lineChart>
      <c:catAx>
        <c:axId val="4182021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8206848"/>
        <c:crosses val="autoZero"/>
        <c:auto val="1"/>
        <c:lblAlgn val="ctr"/>
        <c:lblOffset val="100"/>
        <c:noMultiLvlLbl val="0"/>
      </c:catAx>
      <c:valAx>
        <c:axId val="41820684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8202144"/>
        <c:crosses val="autoZero"/>
        <c:crossBetween val="between"/>
      </c:valAx>
      <c:catAx>
        <c:axId val="4182072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8202536"/>
        <c:crosses val="autoZero"/>
        <c:auto val="1"/>
        <c:lblAlgn val="ctr"/>
        <c:lblOffset val="100"/>
        <c:noMultiLvlLbl val="0"/>
      </c:catAx>
      <c:valAx>
        <c:axId val="41820253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820724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8th Sales Report'!$J$1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8th Sales Report'!$I$2:$I$22</c:f>
              <c:strCache>
                <c:ptCount val="21"/>
                <c:pt idx="0">
                  <c:v>Heineken Bottle 60cl</c:v>
                </c:pt>
                <c:pt idx="1">
                  <c:v>Desperados Bottle</c:v>
                </c:pt>
                <c:pt idx="2">
                  <c:v>Gulder Bottle</c:v>
                </c:pt>
                <c:pt idx="3">
                  <c:v>Maltina Bottle</c:v>
                </c:pt>
                <c:pt idx="4">
                  <c:v>Fayrouz Bottle</c:v>
                </c:pt>
                <c:pt idx="5">
                  <c:v>Tiger Bottle</c:v>
                </c:pt>
                <c:pt idx="6">
                  <c:v>Amstel Bottle</c:v>
                </c:pt>
                <c:pt idx="7">
                  <c:v>Legend Bottle 60cl</c:v>
                </c:pt>
                <c:pt idx="8">
                  <c:v>Heineken Sleek Can</c:v>
                </c:pt>
                <c:pt idx="9">
                  <c:v>Goldberg Can 50cl</c:v>
                </c:pt>
                <c:pt idx="10">
                  <c:v>33 Export 60cl</c:v>
                </c:pt>
                <c:pt idx="11">
                  <c:v>Turbo King Bottle 60cl</c:v>
                </c:pt>
                <c:pt idx="12">
                  <c:v>Maltina Pet 50cl</c:v>
                </c:pt>
                <c:pt idx="13">
                  <c:v>Goldberg 60cl</c:v>
                </c:pt>
                <c:pt idx="14">
                  <c:v>Maltina Pet 33cl</c:v>
                </c:pt>
                <c:pt idx="15">
                  <c:v>STK 33cl</c:v>
                </c:pt>
                <c:pt idx="16">
                  <c:v>Star Bottle 60cl</c:v>
                </c:pt>
                <c:pt idx="17">
                  <c:v>Goldberg Black 45cl</c:v>
                </c:pt>
                <c:pt idx="18">
                  <c:v>Williams Bottle 60cl</c:v>
                </c:pt>
                <c:pt idx="19">
                  <c:v>ACE BITTERS</c:v>
                </c:pt>
                <c:pt idx="20">
                  <c:v>Grand Total</c:v>
                </c:pt>
              </c:strCache>
            </c:strRef>
          </c:cat>
          <c:val>
            <c:numRef>
              <c:f>'July 8th Sales Report'!$J$2:$J$22</c:f>
              <c:numCache>
                <c:formatCode>General</c:formatCode>
                <c:ptCount val="21"/>
                <c:pt idx="0">
                  <c:v>137.0</c:v>
                </c:pt>
                <c:pt idx="1">
                  <c:v>5.0</c:v>
                </c:pt>
                <c:pt idx="2">
                  <c:v>19.0</c:v>
                </c:pt>
                <c:pt idx="3">
                  <c:v>10.0</c:v>
                </c:pt>
                <c:pt idx="4">
                  <c:v>4.0</c:v>
                </c:pt>
                <c:pt idx="5">
                  <c:v>7.0</c:v>
                </c:pt>
                <c:pt idx="6">
                  <c:v>5.0</c:v>
                </c:pt>
                <c:pt idx="7">
                  <c:v>2.0</c:v>
                </c:pt>
                <c:pt idx="8">
                  <c:v>25.0</c:v>
                </c:pt>
                <c:pt idx="9">
                  <c:v>25.0</c:v>
                </c:pt>
                <c:pt idx="10">
                  <c:v>4.0</c:v>
                </c:pt>
                <c:pt idx="11">
                  <c:v>55.0</c:v>
                </c:pt>
                <c:pt idx="12">
                  <c:v>20.0</c:v>
                </c:pt>
                <c:pt idx="13">
                  <c:v>310.0</c:v>
                </c:pt>
                <c:pt idx="14">
                  <c:v>190.0</c:v>
                </c:pt>
                <c:pt idx="15">
                  <c:v>1.0</c:v>
                </c:pt>
                <c:pt idx="16">
                  <c:v>3.0</c:v>
                </c:pt>
                <c:pt idx="17">
                  <c:v>7.0</c:v>
                </c:pt>
                <c:pt idx="18">
                  <c:v>10.0</c:v>
                </c:pt>
                <c:pt idx="19">
                  <c:v>5.0</c:v>
                </c:pt>
                <c:pt idx="20">
                  <c:v>844.0</c:v>
                </c:pt>
              </c:numCache>
            </c:numRef>
          </c:val>
        </c:ser>
        <c:ser>
          <c:idx val="1"/>
          <c:order val="1"/>
          <c:tx>
            <c:strRef>
              <c:f>'July 8th Sales Report'!$K$1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8th Sales Report'!$I$2:$I$22</c:f>
              <c:strCache>
                <c:ptCount val="21"/>
                <c:pt idx="0">
                  <c:v>Heineken Bottle 60cl</c:v>
                </c:pt>
                <c:pt idx="1">
                  <c:v>Desperados Bottle</c:v>
                </c:pt>
                <c:pt idx="2">
                  <c:v>Gulder Bottle</c:v>
                </c:pt>
                <c:pt idx="3">
                  <c:v>Maltina Bottle</c:v>
                </c:pt>
                <c:pt idx="4">
                  <c:v>Fayrouz Bottle</c:v>
                </c:pt>
                <c:pt idx="5">
                  <c:v>Tiger Bottle</c:v>
                </c:pt>
                <c:pt idx="6">
                  <c:v>Amstel Bottle</c:v>
                </c:pt>
                <c:pt idx="7">
                  <c:v>Legend Bottle 60cl</c:v>
                </c:pt>
                <c:pt idx="8">
                  <c:v>Heineken Sleek Can</c:v>
                </c:pt>
                <c:pt idx="9">
                  <c:v>Goldberg Can 50cl</c:v>
                </c:pt>
                <c:pt idx="10">
                  <c:v>33 Export 60cl</c:v>
                </c:pt>
                <c:pt idx="11">
                  <c:v>Turbo King Bottle 60cl</c:v>
                </c:pt>
                <c:pt idx="12">
                  <c:v>Maltina Pet 50cl</c:v>
                </c:pt>
                <c:pt idx="13">
                  <c:v>Goldberg 60cl</c:v>
                </c:pt>
                <c:pt idx="14">
                  <c:v>Maltina Pet 33cl</c:v>
                </c:pt>
                <c:pt idx="15">
                  <c:v>STK 33cl</c:v>
                </c:pt>
                <c:pt idx="16">
                  <c:v>Star Bottle 60cl</c:v>
                </c:pt>
                <c:pt idx="17">
                  <c:v>Goldberg Black 45cl</c:v>
                </c:pt>
                <c:pt idx="18">
                  <c:v>Williams Bottle 60cl</c:v>
                </c:pt>
                <c:pt idx="19">
                  <c:v>ACE BITTERS</c:v>
                </c:pt>
                <c:pt idx="20">
                  <c:v>Grand Total</c:v>
                </c:pt>
              </c:strCache>
            </c:strRef>
          </c:cat>
          <c:val>
            <c:numRef>
              <c:f>'July 8th Sales Report'!$K$2:$K$22</c:f>
              <c:numCache>
                <c:formatCode>_(* #,##0_);_(* \(#,##0\);_(* \-??_);_(@_)</c:formatCode>
                <c:ptCount val="21"/>
                <c:pt idx="0">
                  <c:v>1774245.0</c:v>
                </c:pt>
                <c:pt idx="1">
                  <c:v>107425.0</c:v>
                </c:pt>
                <c:pt idx="2">
                  <c:v>226290.0</c:v>
                </c:pt>
                <c:pt idx="3">
                  <c:v>135500.0</c:v>
                </c:pt>
                <c:pt idx="4">
                  <c:v>41260.0</c:v>
                </c:pt>
                <c:pt idx="5">
                  <c:v>108675.0</c:v>
                </c:pt>
                <c:pt idx="6">
                  <c:v>72250.0</c:v>
                </c:pt>
                <c:pt idx="7">
                  <c:v>22960.0</c:v>
                </c:pt>
                <c:pt idx="8">
                  <c:v>431225.0</c:v>
                </c:pt>
                <c:pt idx="9">
                  <c:v>403625.0</c:v>
                </c:pt>
                <c:pt idx="10">
                  <c:v>36800.0</c:v>
                </c:pt>
                <c:pt idx="11">
                  <c:v>490000.0</c:v>
                </c:pt>
                <c:pt idx="12">
                  <c:v>160400.0</c:v>
                </c:pt>
                <c:pt idx="13">
                  <c:v>2672300.0</c:v>
                </c:pt>
                <c:pt idx="14">
                  <c:v>950000.0</c:v>
                </c:pt>
                <c:pt idx="15">
                  <c:v>13125.0</c:v>
                </c:pt>
                <c:pt idx="16">
                  <c:v>34800.0</c:v>
                </c:pt>
                <c:pt idx="17">
                  <c:v>99015.0</c:v>
                </c:pt>
                <c:pt idx="18">
                  <c:v>93450.0</c:v>
                </c:pt>
                <c:pt idx="19">
                  <c:v>103275.0</c:v>
                </c:pt>
                <c:pt idx="20">
                  <c:v>7976620.0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8201752"/>
        <c:axId val="418202928"/>
      </c:barChart>
      <c:lineChart>
        <c:grouping val="standard"/>
        <c:varyColors val="0"/>
        <c:ser>
          <c:idx val="2"/>
          <c:order val="2"/>
          <c:tx>
            <c:strRef>
              <c:f>'July 8th Sales Report'!$L$1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8th Sales Report'!$I$2:$I$22</c:f>
              <c:strCache>
                <c:ptCount val="21"/>
                <c:pt idx="0">
                  <c:v>Heineken Bottle 60cl</c:v>
                </c:pt>
                <c:pt idx="1">
                  <c:v>Desperados Bottle</c:v>
                </c:pt>
                <c:pt idx="2">
                  <c:v>Gulder Bottle</c:v>
                </c:pt>
                <c:pt idx="3">
                  <c:v>Maltina Bottle</c:v>
                </c:pt>
                <c:pt idx="4">
                  <c:v>Fayrouz Bottle</c:v>
                </c:pt>
                <c:pt idx="5">
                  <c:v>Tiger Bottle</c:v>
                </c:pt>
                <c:pt idx="6">
                  <c:v>Amstel Bottle</c:v>
                </c:pt>
                <c:pt idx="7">
                  <c:v>Legend Bottle 60cl</c:v>
                </c:pt>
                <c:pt idx="8">
                  <c:v>Heineken Sleek Can</c:v>
                </c:pt>
                <c:pt idx="9">
                  <c:v>Goldberg Can 50cl</c:v>
                </c:pt>
                <c:pt idx="10">
                  <c:v>33 Export 60cl</c:v>
                </c:pt>
                <c:pt idx="11">
                  <c:v>Turbo King Bottle 60cl</c:v>
                </c:pt>
                <c:pt idx="12">
                  <c:v>Maltina Pet 50cl</c:v>
                </c:pt>
                <c:pt idx="13">
                  <c:v>Goldberg 60cl</c:v>
                </c:pt>
                <c:pt idx="14">
                  <c:v>Maltina Pet 33cl</c:v>
                </c:pt>
                <c:pt idx="15">
                  <c:v>STK 33cl</c:v>
                </c:pt>
                <c:pt idx="16">
                  <c:v>Star Bottle 60cl</c:v>
                </c:pt>
                <c:pt idx="17">
                  <c:v>Goldberg Black 45cl</c:v>
                </c:pt>
                <c:pt idx="18">
                  <c:v>Williams Bottle 60cl</c:v>
                </c:pt>
                <c:pt idx="19">
                  <c:v>ACE BITTERS</c:v>
                </c:pt>
                <c:pt idx="20">
                  <c:v>Grand Total</c:v>
                </c:pt>
              </c:strCache>
            </c:strRef>
          </c:cat>
          <c:val>
            <c:numRef>
              <c:f>'July 8th Sales Report'!$L$2:$L$22</c:f>
              <c:numCache>
                <c:formatCode>0%</c:formatCode>
                <c:ptCount val="21"/>
                <c:pt idx="0">
                  <c:v>0.222430678658379</c:v>
                </c:pt>
                <c:pt idx="1">
                  <c:v>0.0134674837211751</c:v>
                </c:pt>
                <c:pt idx="2">
                  <c:v>0.0283691588667882</c:v>
                </c:pt>
                <c:pt idx="3">
                  <c:v>0.016987144931061</c:v>
                </c:pt>
                <c:pt idx="4">
                  <c:v>0.0051726169731039</c:v>
                </c:pt>
                <c:pt idx="5">
                  <c:v>0.013624191700244</c:v>
                </c:pt>
                <c:pt idx="6">
                  <c:v>0.0090577211901783</c:v>
                </c:pt>
                <c:pt idx="7">
                  <c:v>0.00287841215953624</c:v>
                </c:pt>
                <c:pt idx="8">
                  <c:v>0.0540611186191645</c:v>
                </c:pt>
                <c:pt idx="9">
                  <c:v>0.0506010064413248</c:v>
                </c:pt>
                <c:pt idx="10">
                  <c:v>0.00461348290378632</c:v>
                </c:pt>
                <c:pt idx="11">
                  <c:v>0.0614295277949808</c:v>
                </c:pt>
                <c:pt idx="12">
                  <c:v>0.0201087678741121</c:v>
                </c:pt>
                <c:pt idx="13">
                  <c:v>0.335016585972505</c:v>
                </c:pt>
                <c:pt idx="14">
                  <c:v>0.11909806409231</c:v>
                </c:pt>
                <c:pt idx="15">
                  <c:v>0.0016454337802227</c:v>
                </c:pt>
                <c:pt idx="16">
                  <c:v>0.00436275013727619</c:v>
                </c:pt>
                <c:pt idx="17">
                  <c:v>0.0124131524380001</c:v>
                </c:pt>
                <c:pt idx="18">
                  <c:v>0.0117154885151856</c:v>
                </c:pt>
                <c:pt idx="19">
                  <c:v>0.0129472132306666</c:v>
                </c:pt>
                <c:pt idx="20">
                  <c:v>1.0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8204888"/>
        <c:axId val="418203712"/>
      </c:lineChart>
      <c:catAx>
        <c:axId val="418201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202928"/>
        <c:crosses val="autoZero"/>
        <c:auto val="1"/>
        <c:lblAlgn val="ctr"/>
        <c:lblOffset val="100"/>
        <c:noMultiLvlLbl val="0"/>
      </c:catAx>
      <c:valAx>
        <c:axId val="41820292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201752"/>
        <c:crosses val="autoZero"/>
        <c:crossBetween val="between"/>
      </c:valAx>
      <c:catAx>
        <c:axId val="418204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203712"/>
        <c:crosses val="autoZero"/>
        <c:auto val="1"/>
        <c:lblAlgn val="ctr"/>
        <c:lblOffset val="100"/>
        <c:noMultiLvlLbl val="0"/>
      </c:catAx>
      <c:valAx>
        <c:axId val="418203712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204888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Sales Rep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8th Sales Report'!$J$24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8th Sales Report'!$I$25:$I$39</c:f>
              <c:strCache>
                <c:ptCount val="15"/>
                <c:pt idx="0">
                  <c:v>Amandla</c:v>
                </c:pt>
                <c:pt idx="1">
                  <c:v>Ameh Mathew</c:v>
                </c:pt>
                <c:pt idx="2">
                  <c:v>Delayers</c:v>
                </c:pt>
                <c:pt idx="3">
                  <c:v>Solomon</c:v>
                </c:pt>
                <c:pt idx="4">
                  <c:v>Remilekun</c:v>
                </c:pt>
                <c:pt idx="5">
                  <c:v>Ahmed SR</c:v>
                </c:pt>
                <c:pt idx="6">
                  <c:v>Walk in Customer</c:v>
                </c:pt>
                <c:pt idx="7">
                  <c:v>Mr Godswill</c:v>
                </c:pt>
                <c:pt idx="8">
                  <c:v>Tmoney NB</c:v>
                </c:pt>
                <c:pt idx="9">
                  <c:v>Eniola Marketer</c:v>
                </c:pt>
                <c:pt idx="10">
                  <c:v>Ola SR</c:v>
                </c:pt>
                <c:pt idx="11">
                  <c:v>Mama Oyin Mowe</c:v>
                </c:pt>
                <c:pt idx="12">
                  <c:v>Mr Musefiu</c:v>
                </c:pt>
                <c:pt idx="13">
                  <c:v>Mr Lekan Ojifini</c:v>
                </c:pt>
                <c:pt idx="14">
                  <c:v>Total</c:v>
                </c:pt>
              </c:strCache>
            </c:strRef>
          </c:cat>
          <c:val>
            <c:numRef>
              <c:f>'July 8th Sales Report'!$J$25:$J$39</c:f>
              <c:numCache>
                <c:formatCode>_(* #,##0_);_(* \(#,##0\);_(* \-??_);_(@_)</c:formatCode>
                <c:ptCount val="15"/>
                <c:pt idx="0">
                  <c:v>301400.0</c:v>
                </c:pt>
                <c:pt idx="1">
                  <c:v>819190.0</c:v>
                </c:pt>
                <c:pt idx="2">
                  <c:v>129300.0</c:v>
                </c:pt>
                <c:pt idx="3">
                  <c:v>204290.0</c:v>
                </c:pt>
                <c:pt idx="4">
                  <c:v>9500.0</c:v>
                </c:pt>
                <c:pt idx="5">
                  <c:v>280200.0</c:v>
                </c:pt>
                <c:pt idx="6">
                  <c:v>46000.0</c:v>
                </c:pt>
                <c:pt idx="7">
                  <c:v>13125.0</c:v>
                </c:pt>
                <c:pt idx="8">
                  <c:v>910720.0</c:v>
                </c:pt>
                <c:pt idx="9">
                  <c:v>839225.0</c:v>
                </c:pt>
                <c:pt idx="10">
                  <c:v>144170.0</c:v>
                </c:pt>
                <c:pt idx="11">
                  <c:v>3024000.0</c:v>
                </c:pt>
                <c:pt idx="12">
                  <c:v>775800.0</c:v>
                </c:pt>
                <c:pt idx="13">
                  <c:v>479700.0</c:v>
                </c:pt>
                <c:pt idx="14">
                  <c:v>7976620.0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8208024"/>
        <c:axId val="418204104"/>
      </c:barChart>
      <c:lineChart>
        <c:grouping val="standard"/>
        <c:varyColors val="0"/>
        <c:ser>
          <c:idx val="1"/>
          <c:order val="1"/>
          <c:tx>
            <c:strRef>
              <c:f>'July 8th Sales Report'!$K$24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8th Sales Report'!$I$25:$I$39</c:f>
              <c:strCache>
                <c:ptCount val="15"/>
                <c:pt idx="0">
                  <c:v>Amandla</c:v>
                </c:pt>
                <c:pt idx="1">
                  <c:v>Ameh Mathew</c:v>
                </c:pt>
                <c:pt idx="2">
                  <c:v>Delayers</c:v>
                </c:pt>
                <c:pt idx="3">
                  <c:v>Solomon</c:v>
                </c:pt>
                <c:pt idx="4">
                  <c:v>Remilekun</c:v>
                </c:pt>
                <c:pt idx="5">
                  <c:v>Ahmed SR</c:v>
                </c:pt>
                <c:pt idx="6">
                  <c:v>Walk in Customer</c:v>
                </c:pt>
                <c:pt idx="7">
                  <c:v>Mr Godswill</c:v>
                </c:pt>
                <c:pt idx="8">
                  <c:v>Tmoney NB</c:v>
                </c:pt>
                <c:pt idx="9">
                  <c:v>Eniola Marketer</c:v>
                </c:pt>
                <c:pt idx="10">
                  <c:v>Ola SR</c:v>
                </c:pt>
                <c:pt idx="11">
                  <c:v>Mama Oyin Mowe</c:v>
                </c:pt>
                <c:pt idx="12">
                  <c:v>Mr Musefiu</c:v>
                </c:pt>
                <c:pt idx="13">
                  <c:v>Mr Lekan Ojifini</c:v>
                </c:pt>
                <c:pt idx="14">
                  <c:v>Total</c:v>
                </c:pt>
              </c:strCache>
            </c:strRef>
          </c:cat>
          <c:val>
            <c:numRef>
              <c:f>'July 8th Sales Report'!$K$25:$K$39</c:f>
              <c:numCache>
                <c:formatCode>0%</c:formatCode>
                <c:ptCount val="15"/>
                <c:pt idx="0">
                  <c:v>0.037785427913076</c:v>
                </c:pt>
                <c:pt idx="1">
                  <c:v>0.102698887498715</c:v>
                </c:pt>
                <c:pt idx="2">
                  <c:v>0.0162098733548796</c:v>
                </c:pt>
                <c:pt idx="3">
                  <c:v>0.0256110984351768</c:v>
                </c:pt>
                <c:pt idx="4">
                  <c:v>0.0011909806409231</c:v>
                </c:pt>
                <c:pt idx="5">
                  <c:v>0.0351276605880686</c:v>
                </c:pt>
                <c:pt idx="6">
                  <c:v>0.00576685362973289</c:v>
                </c:pt>
                <c:pt idx="7">
                  <c:v>0.0016454337802227</c:v>
                </c:pt>
                <c:pt idx="8">
                  <c:v>0.114173672558051</c:v>
                </c:pt>
                <c:pt idx="9">
                  <c:v>0.10521060298723</c:v>
                </c:pt>
                <c:pt idx="10">
                  <c:v>0.0180740714738824</c:v>
                </c:pt>
                <c:pt idx="11">
                  <c:v>0.37910794296331</c:v>
                </c:pt>
                <c:pt idx="12">
                  <c:v>0.0972592401292778</c:v>
                </c:pt>
                <c:pt idx="13">
                  <c:v>0.0601382540474537</c:v>
                </c:pt>
                <c:pt idx="14">
                  <c:v>1.0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8208416"/>
        <c:axId val="418209200"/>
      </c:lineChart>
      <c:catAx>
        <c:axId val="418208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204104"/>
        <c:crosses val="autoZero"/>
        <c:auto val="1"/>
        <c:lblAlgn val="ctr"/>
        <c:lblOffset val="100"/>
        <c:noMultiLvlLbl val="0"/>
      </c:catAx>
      <c:valAx>
        <c:axId val="41820410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_(* #,##0_);_(* \(#,##0\);_(* \-??_);_(@_)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208024"/>
        <c:crosses val="autoZero"/>
        <c:crossBetween val="between"/>
      </c:valAx>
      <c:catAx>
        <c:axId val="41820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209200"/>
        <c:crosses val="autoZero"/>
        <c:auto val="1"/>
        <c:lblAlgn val="ctr"/>
        <c:lblOffset val="100"/>
        <c:noMultiLvlLbl val="0"/>
      </c:catAx>
      <c:valAx>
        <c:axId val="418209200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208416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Invoice Amount &amp; Gross Profit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8th Sales Report'!$J$41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8th Sales Report'!$I$42:$I$57</c:f>
              <c:strCache>
                <c:ptCount val="16"/>
                <c:pt idx="0">
                  <c:v>ann-INV210</c:v>
                </c:pt>
                <c:pt idx="1">
                  <c:v>ann-INV212</c:v>
                </c:pt>
                <c:pt idx="2">
                  <c:v>ann-INV211</c:v>
                </c:pt>
                <c:pt idx="3">
                  <c:v>ann-INV213</c:v>
                </c:pt>
                <c:pt idx="4">
                  <c:v>ann-INV214</c:v>
                </c:pt>
                <c:pt idx="5">
                  <c:v>ann-INV215</c:v>
                </c:pt>
                <c:pt idx="6">
                  <c:v>ann-INV216</c:v>
                </c:pt>
                <c:pt idx="7">
                  <c:v>ann-INV218</c:v>
                </c:pt>
                <c:pt idx="8">
                  <c:v>ann-INV219</c:v>
                </c:pt>
                <c:pt idx="9">
                  <c:v>ann-INV220</c:v>
                </c:pt>
                <c:pt idx="10">
                  <c:v>ann-INV222</c:v>
                </c:pt>
                <c:pt idx="11">
                  <c:v>ann-INV221</c:v>
                </c:pt>
                <c:pt idx="12">
                  <c:v>ann-INV223</c:v>
                </c:pt>
                <c:pt idx="13">
                  <c:v>ann-INV224</c:v>
                </c:pt>
                <c:pt idx="14">
                  <c:v>ann-INV227</c:v>
                </c:pt>
                <c:pt idx="15">
                  <c:v>ann-INV228</c:v>
                </c:pt>
              </c:strCache>
            </c:strRef>
          </c:cat>
          <c:val>
            <c:numRef>
              <c:f>'July 8th Sales Report'!$J$42:$J$57</c:f>
              <c:numCache>
                <c:formatCode>_(* #,##0_);_(* \(#,##0\);_(* \-??_);_(@_)</c:formatCode>
                <c:ptCount val="16"/>
                <c:pt idx="0">
                  <c:v>339400.0</c:v>
                </c:pt>
                <c:pt idx="1">
                  <c:v>84365.0</c:v>
                </c:pt>
                <c:pt idx="2">
                  <c:v>745625.0</c:v>
                </c:pt>
                <c:pt idx="3">
                  <c:v>149300.0</c:v>
                </c:pt>
                <c:pt idx="4">
                  <c:v>226290.0</c:v>
                </c:pt>
                <c:pt idx="5">
                  <c:v>9500.0</c:v>
                </c:pt>
                <c:pt idx="6">
                  <c:v>230200.0</c:v>
                </c:pt>
                <c:pt idx="7">
                  <c:v>55000.0</c:v>
                </c:pt>
                <c:pt idx="8">
                  <c:v>15125.0</c:v>
                </c:pt>
                <c:pt idx="9">
                  <c:v>1048720.0</c:v>
                </c:pt>
                <c:pt idx="10">
                  <c:v>839225.0</c:v>
                </c:pt>
                <c:pt idx="11">
                  <c:v>167570.0</c:v>
                </c:pt>
                <c:pt idx="12">
                  <c:v>3724000.0</c:v>
                </c:pt>
                <c:pt idx="13">
                  <c:v>775800.0</c:v>
                </c:pt>
                <c:pt idx="14">
                  <c:v>535500.0</c:v>
                </c:pt>
                <c:pt idx="15">
                  <c:v>50000.0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8465064"/>
        <c:axId val="418469768"/>
      </c:barChart>
      <c:lineChart>
        <c:grouping val="standard"/>
        <c:varyColors val="0"/>
        <c:ser>
          <c:idx val="1"/>
          <c:order val="1"/>
          <c:tx>
            <c:strRef>
              <c:f>'July 8th Sales Report'!$K$41</c:f>
              <c:strCache>
                <c:ptCount val="1"/>
                <c:pt idx="0">
                  <c:v>Gross Profit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8th Sales Report'!$I$42:$I$57</c:f>
              <c:strCache>
                <c:ptCount val="16"/>
                <c:pt idx="0">
                  <c:v>ann-INV210</c:v>
                </c:pt>
                <c:pt idx="1">
                  <c:v>ann-INV212</c:v>
                </c:pt>
                <c:pt idx="2">
                  <c:v>ann-INV211</c:v>
                </c:pt>
                <c:pt idx="3">
                  <c:v>ann-INV213</c:v>
                </c:pt>
                <c:pt idx="4">
                  <c:v>ann-INV214</c:v>
                </c:pt>
                <c:pt idx="5">
                  <c:v>ann-INV215</c:v>
                </c:pt>
                <c:pt idx="6">
                  <c:v>ann-INV216</c:v>
                </c:pt>
                <c:pt idx="7">
                  <c:v>ann-INV218</c:v>
                </c:pt>
                <c:pt idx="8">
                  <c:v>ann-INV219</c:v>
                </c:pt>
                <c:pt idx="9">
                  <c:v>ann-INV220</c:v>
                </c:pt>
                <c:pt idx="10">
                  <c:v>ann-INV222</c:v>
                </c:pt>
                <c:pt idx="11">
                  <c:v>ann-INV221</c:v>
                </c:pt>
                <c:pt idx="12">
                  <c:v>ann-INV223</c:v>
                </c:pt>
                <c:pt idx="13">
                  <c:v>ann-INV224</c:v>
                </c:pt>
                <c:pt idx="14">
                  <c:v>ann-INV227</c:v>
                </c:pt>
                <c:pt idx="15">
                  <c:v>ann-INV228</c:v>
                </c:pt>
              </c:strCache>
            </c:strRef>
          </c:cat>
          <c:val>
            <c:numRef>
              <c:f>'July 8th Sales Report'!$K$42:$K$57</c:f>
              <c:numCache>
                <c:formatCode>0%</c:formatCode>
                <c:ptCount val="16"/>
                <c:pt idx="0">
                  <c:v>0.11</c:v>
                </c:pt>
                <c:pt idx="1">
                  <c:v>0.06</c:v>
                </c:pt>
                <c:pt idx="2">
                  <c:v>0.03</c:v>
                </c:pt>
                <c:pt idx="3">
                  <c:v>0.14</c:v>
                </c:pt>
                <c:pt idx="4">
                  <c:v>0.07</c:v>
                </c:pt>
                <c:pt idx="5">
                  <c:v>0.09</c:v>
                </c:pt>
                <c:pt idx="6">
                  <c:v>-0.01</c:v>
                </c:pt>
                <c:pt idx="7">
                  <c:v>0.08</c:v>
                </c:pt>
                <c:pt idx="8">
                  <c:v>0.08</c:v>
                </c:pt>
                <c:pt idx="9">
                  <c:v>0.13</c:v>
                </c:pt>
                <c:pt idx="10">
                  <c:v>-0.03</c:v>
                </c:pt>
                <c:pt idx="11">
                  <c:v>0.06</c:v>
                </c:pt>
                <c:pt idx="12">
                  <c:v>0.05</c:v>
                </c:pt>
                <c:pt idx="13">
                  <c:v>0.01</c:v>
                </c:pt>
                <c:pt idx="14">
                  <c:v>0.06</c:v>
                </c:pt>
                <c:pt idx="15">
                  <c:v>-0.04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8470160"/>
        <c:axId val="418470552"/>
      </c:lineChart>
      <c:catAx>
        <c:axId val="418465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469768"/>
        <c:crosses val="autoZero"/>
        <c:auto val="1"/>
        <c:lblAlgn val="ctr"/>
        <c:lblOffset val="100"/>
        <c:noMultiLvlLbl val="0"/>
      </c:catAx>
      <c:valAx>
        <c:axId val="41846976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_(* #,##0_);_(* \(#,##0\);_(* \-??_);_(@_)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465064"/>
        <c:crosses val="autoZero"/>
        <c:crossBetween val="between"/>
      </c:valAx>
      <c:catAx>
        <c:axId val="41847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470552"/>
        <c:crosses val="autoZero"/>
        <c:auto val="1"/>
        <c:lblAlgn val="ctr"/>
        <c:lblOffset val="100"/>
        <c:noMultiLvlLbl val="0"/>
      </c:catAx>
      <c:valAx>
        <c:axId val="418470552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470160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Product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9th Sales Report'!$J$1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9th Sales Report'!$I$2:$I$24</c:f>
              <c:strCache>
                <c:ptCount val="23"/>
                <c:pt idx="0">
                  <c:v>Heineken Bottle 60cl</c:v>
                </c:pt>
                <c:pt idx="1">
                  <c:v>Desperados Can</c:v>
                </c:pt>
                <c:pt idx="2">
                  <c:v>Amstel Bottle</c:v>
                </c:pt>
                <c:pt idx="3">
                  <c:v>Fayrouz Bottle</c:v>
                </c:pt>
                <c:pt idx="4">
                  <c:v>Fayrouz Can</c:v>
                </c:pt>
                <c:pt idx="5">
                  <c:v>ACE BITTERS</c:v>
                </c:pt>
                <c:pt idx="6">
                  <c:v>Gulder Bottle</c:v>
                </c:pt>
                <c:pt idx="7">
                  <c:v>Tiger Bottle</c:v>
                </c:pt>
                <c:pt idx="8">
                  <c:v>33 Export 60cl</c:v>
                </c:pt>
                <c:pt idx="9">
                  <c:v>Maltina Pet 50cl</c:v>
                </c:pt>
                <c:pt idx="10">
                  <c:v>Heineken Can 50cl</c:v>
                </c:pt>
                <c:pt idx="11">
                  <c:v>Williams Bottle 60cl</c:v>
                </c:pt>
                <c:pt idx="12">
                  <c:v>Legend Can 44cl</c:v>
                </c:pt>
                <c:pt idx="13">
                  <c:v>Turbo King Bottle 60cl</c:v>
                </c:pt>
                <c:pt idx="14">
                  <c:v>Trophy</c:v>
                </c:pt>
                <c:pt idx="15">
                  <c:v>Goldberg 60cl</c:v>
                </c:pt>
                <c:pt idx="16">
                  <c:v>Smirnoff Ice.</c:v>
                </c:pt>
                <c:pt idx="17">
                  <c:v>Medium Stout</c:v>
                </c:pt>
                <c:pt idx="18">
                  <c:v>Desperados Bottle</c:v>
                </c:pt>
                <c:pt idx="19">
                  <c:v>Star Bottle 60cl</c:v>
                </c:pt>
                <c:pt idx="20">
                  <c:v>Maltina Bottle</c:v>
                </c:pt>
                <c:pt idx="21">
                  <c:v>Maltina Pet 33cl</c:v>
                </c:pt>
                <c:pt idx="22">
                  <c:v>Grand Total</c:v>
                </c:pt>
              </c:strCache>
            </c:strRef>
          </c:cat>
          <c:val>
            <c:numRef>
              <c:f>'July 9th Sales Report'!$J$2:$J$24</c:f>
              <c:numCache>
                <c:formatCode>General</c:formatCode>
                <c:ptCount val="23"/>
                <c:pt idx="0">
                  <c:v>69.0</c:v>
                </c:pt>
                <c:pt idx="1">
                  <c:v>10.0</c:v>
                </c:pt>
                <c:pt idx="2">
                  <c:v>3.0</c:v>
                </c:pt>
                <c:pt idx="3">
                  <c:v>2.0</c:v>
                </c:pt>
                <c:pt idx="4">
                  <c:v>4.0</c:v>
                </c:pt>
                <c:pt idx="5">
                  <c:v>3.0</c:v>
                </c:pt>
                <c:pt idx="6">
                  <c:v>24.0</c:v>
                </c:pt>
                <c:pt idx="7">
                  <c:v>11.0</c:v>
                </c:pt>
                <c:pt idx="8">
                  <c:v>15.0</c:v>
                </c:pt>
                <c:pt idx="9">
                  <c:v>30.0</c:v>
                </c:pt>
                <c:pt idx="10">
                  <c:v>20.0</c:v>
                </c:pt>
                <c:pt idx="11">
                  <c:v>9.0</c:v>
                </c:pt>
                <c:pt idx="12">
                  <c:v>5.0</c:v>
                </c:pt>
                <c:pt idx="13">
                  <c:v>6.0</c:v>
                </c:pt>
                <c:pt idx="14">
                  <c:v>5.0</c:v>
                </c:pt>
                <c:pt idx="15">
                  <c:v>11.0</c:v>
                </c:pt>
                <c:pt idx="16">
                  <c:v>1.0</c:v>
                </c:pt>
                <c:pt idx="17">
                  <c:v>1.0</c:v>
                </c:pt>
                <c:pt idx="18">
                  <c:v>2.0</c:v>
                </c:pt>
                <c:pt idx="19">
                  <c:v>1.0</c:v>
                </c:pt>
                <c:pt idx="20">
                  <c:v>2.0</c:v>
                </c:pt>
                <c:pt idx="21">
                  <c:v>2.0</c:v>
                </c:pt>
                <c:pt idx="22">
                  <c:v>236.0</c:v>
                </c:pt>
              </c:numCache>
            </c:numRef>
          </c:val>
        </c:ser>
        <c:ser>
          <c:idx val="1"/>
          <c:order val="1"/>
          <c:tx>
            <c:strRef>
              <c:f>'July 9th Sales Report'!$K$1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9th Sales Report'!$I$2:$I$24</c:f>
              <c:strCache>
                <c:ptCount val="23"/>
                <c:pt idx="0">
                  <c:v>Heineken Bottle 60cl</c:v>
                </c:pt>
                <c:pt idx="1">
                  <c:v>Desperados Can</c:v>
                </c:pt>
                <c:pt idx="2">
                  <c:v>Amstel Bottle</c:v>
                </c:pt>
                <c:pt idx="3">
                  <c:v>Fayrouz Bottle</c:v>
                </c:pt>
                <c:pt idx="4">
                  <c:v>Fayrouz Can</c:v>
                </c:pt>
                <c:pt idx="5">
                  <c:v>ACE BITTERS</c:v>
                </c:pt>
                <c:pt idx="6">
                  <c:v>Gulder Bottle</c:v>
                </c:pt>
                <c:pt idx="7">
                  <c:v>Tiger Bottle</c:v>
                </c:pt>
                <c:pt idx="8">
                  <c:v>33 Export 60cl</c:v>
                </c:pt>
                <c:pt idx="9">
                  <c:v>Maltina Pet 50cl</c:v>
                </c:pt>
                <c:pt idx="10">
                  <c:v>Heineken Can 50cl</c:v>
                </c:pt>
                <c:pt idx="11">
                  <c:v>Williams Bottle 60cl</c:v>
                </c:pt>
                <c:pt idx="12">
                  <c:v>Legend Can 44cl</c:v>
                </c:pt>
                <c:pt idx="13">
                  <c:v>Turbo King Bottle 60cl</c:v>
                </c:pt>
                <c:pt idx="14">
                  <c:v>Trophy</c:v>
                </c:pt>
                <c:pt idx="15">
                  <c:v>Goldberg 60cl</c:v>
                </c:pt>
                <c:pt idx="16">
                  <c:v>Smirnoff Ice.</c:v>
                </c:pt>
                <c:pt idx="17">
                  <c:v>Medium Stout</c:v>
                </c:pt>
                <c:pt idx="18">
                  <c:v>Desperados Bottle</c:v>
                </c:pt>
                <c:pt idx="19">
                  <c:v>Star Bottle 60cl</c:v>
                </c:pt>
                <c:pt idx="20">
                  <c:v>Maltina Bottle</c:v>
                </c:pt>
                <c:pt idx="21">
                  <c:v>Maltina Pet 33cl</c:v>
                </c:pt>
                <c:pt idx="22">
                  <c:v>Grand Total</c:v>
                </c:pt>
              </c:strCache>
            </c:strRef>
          </c:cat>
          <c:val>
            <c:numRef>
              <c:f>'July 9th Sales Report'!$K$2:$K$24</c:f>
              <c:numCache>
                <c:formatCode>_(* #,##0_);_(* \(#,##0\);_(* \-??_);_(@_)</c:formatCode>
                <c:ptCount val="23"/>
                <c:pt idx="0">
                  <c:v>895815.0</c:v>
                </c:pt>
                <c:pt idx="1">
                  <c:v>216950.0</c:v>
                </c:pt>
                <c:pt idx="2">
                  <c:v>43350.0</c:v>
                </c:pt>
                <c:pt idx="3">
                  <c:v>20630.0</c:v>
                </c:pt>
                <c:pt idx="4">
                  <c:v>53510.0</c:v>
                </c:pt>
                <c:pt idx="5">
                  <c:v>61965.0</c:v>
                </c:pt>
                <c:pt idx="6">
                  <c:v>285840.0</c:v>
                </c:pt>
                <c:pt idx="7">
                  <c:v>170775.0</c:v>
                </c:pt>
                <c:pt idx="8">
                  <c:v>138000.0</c:v>
                </c:pt>
                <c:pt idx="9">
                  <c:v>240600.0</c:v>
                </c:pt>
                <c:pt idx="10">
                  <c:v>475400.0</c:v>
                </c:pt>
                <c:pt idx="11">
                  <c:v>84105.0</c:v>
                </c:pt>
                <c:pt idx="12">
                  <c:v>105850.0</c:v>
                </c:pt>
                <c:pt idx="13">
                  <c:v>53280.0</c:v>
                </c:pt>
                <c:pt idx="14">
                  <c:v>43000.0</c:v>
                </c:pt>
                <c:pt idx="15">
                  <c:v>98700.0</c:v>
                </c:pt>
                <c:pt idx="16">
                  <c:v>17000.0</c:v>
                </c:pt>
                <c:pt idx="17">
                  <c:v>18300.0</c:v>
                </c:pt>
                <c:pt idx="18">
                  <c:v>42800.0</c:v>
                </c:pt>
                <c:pt idx="19">
                  <c:v>11415.0</c:v>
                </c:pt>
                <c:pt idx="20">
                  <c:v>26040.0</c:v>
                </c:pt>
                <c:pt idx="21">
                  <c:v>10300.0</c:v>
                </c:pt>
                <c:pt idx="22">
                  <c:v>3113625.0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8469376"/>
        <c:axId val="418467024"/>
      </c:barChart>
      <c:lineChart>
        <c:grouping val="standard"/>
        <c:varyColors val="0"/>
        <c:ser>
          <c:idx val="2"/>
          <c:order val="2"/>
          <c:tx>
            <c:strRef>
              <c:f>'July 9th Sales Report'!$L$1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9th Sales Report'!$I$2:$I$24</c:f>
              <c:strCache>
                <c:ptCount val="23"/>
                <c:pt idx="0">
                  <c:v>Heineken Bottle 60cl</c:v>
                </c:pt>
                <c:pt idx="1">
                  <c:v>Desperados Can</c:v>
                </c:pt>
                <c:pt idx="2">
                  <c:v>Amstel Bottle</c:v>
                </c:pt>
                <c:pt idx="3">
                  <c:v>Fayrouz Bottle</c:v>
                </c:pt>
                <c:pt idx="4">
                  <c:v>Fayrouz Can</c:v>
                </c:pt>
                <c:pt idx="5">
                  <c:v>ACE BITTERS</c:v>
                </c:pt>
                <c:pt idx="6">
                  <c:v>Gulder Bottle</c:v>
                </c:pt>
                <c:pt idx="7">
                  <c:v>Tiger Bottle</c:v>
                </c:pt>
                <c:pt idx="8">
                  <c:v>33 Export 60cl</c:v>
                </c:pt>
                <c:pt idx="9">
                  <c:v>Maltina Pet 50cl</c:v>
                </c:pt>
                <c:pt idx="10">
                  <c:v>Heineken Can 50cl</c:v>
                </c:pt>
                <c:pt idx="11">
                  <c:v>Williams Bottle 60cl</c:v>
                </c:pt>
                <c:pt idx="12">
                  <c:v>Legend Can 44cl</c:v>
                </c:pt>
                <c:pt idx="13">
                  <c:v>Turbo King Bottle 60cl</c:v>
                </c:pt>
                <c:pt idx="14">
                  <c:v>Trophy</c:v>
                </c:pt>
                <c:pt idx="15">
                  <c:v>Goldberg 60cl</c:v>
                </c:pt>
                <c:pt idx="16">
                  <c:v>Smirnoff Ice.</c:v>
                </c:pt>
                <c:pt idx="17">
                  <c:v>Medium Stout</c:v>
                </c:pt>
                <c:pt idx="18">
                  <c:v>Desperados Bottle</c:v>
                </c:pt>
                <c:pt idx="19">
                  <c:v>Star Bottle 60cl</c:v>
                </c:pt>
                <c:pt idx="20">
                  <c:v>Maltina Bottle</c:v>
                </c:pt>
                <c:pt idx="21">
                  <c:v>Maltina Pet 33cl</c:v>
                </c:pt>
                <c:pt idx="22">
                  <c:v>Grand Total</c:v>
                </c:pt>
              </c:strCache>
            </c:strRef>
          </c:cat>
          <c:val>
            <c:numRef>
              <c:f>'July 9th Sales Report'!$L$2:$L$24</c:f>
              <c:numCache>
                <c:formatCode>0%</c:formatCode>
                <c:ptCount val="23"/>
                <c:pt idx="0">
                  <c:v>0.287708057328676</c:v>
                </c:pt>
                <c:pt idx="1">
                  <c:v>0.0696776265606809</c:v>
                </c:pt>
                <c:pt idx="2">
                  <c:v>0.0139226785499217</c:v>
                </c:pt>
                <c:pt idx="3">
                  <c:v>0.00662571761210807</c:v>
                </c:pt>
                <c:pt idx="4">
                  <c:v>0.0171857561523947</c:v>
                </c:pt>
                <c:pt idx="5">
                  <c:v>0.0199012405154763</c:v>
                </c:pt>
                <c:pt idx="6">
                  <c:v>0.0918029627845357</c:v>
                </c:pt>
                <c:pt idx="7">
                  <c:v>0.0548476454293629</c:v>
                </c:pt>
                <c:pt idx="8">
                  <c:v>0.0443213296398892</c:v>
                </c:pt>
                <c:pt idx="9">
                  <c:v>0.0772732747199807</c:v>
                </c:pt>
                <c:pt idx="10">
                  <c:v>0.152683768918865</c:v>
                </c:pt>
                <c:pt idx="11">
                  <c:v>0.0270119234011803</c:v>
                </c:pt>
                <c:pt idx="12">
                  <c:v>0.0339957445100165</c:v>
                </c:pt>
                <c:pt idx="13">
                  <c:v>0.0171118872696616</c:v>
                </c:pt>
                <c:pt idx="14">
                  <c:v>0.0138102693805452</c:v>
                </c:pt>
                <c:pt idx="15">
                  <c:v>0.0316993857641816</c:v>
                </c:pt>
                <c:pt idx="16">
                  <c:v>0.00545987394114577</c:v>
                </c:pt>
                <c:pt idx="17">
                  <c:v>0.00587739371311574</c:v>
                </c:pt>
                <c:pt idx="18">
                  <c:v>0.0137460355694729</c:v>
                </c:pt>
                <c:pt idx="19">
                  <c:v>0.0036661447669517</c:v>
                </c:pt>
                <c:pt idx="20">
                  <c:v>0.00836324220161388</c:v>
                </c:pt>
                <c:pt idx="21">
                  <c:v>0.00330804127022361</c:v>
                </c:pt>
                <c:pt idx="22">
                  <c:v>1.0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8465848"/>
        <c:axId val="418470944"/>
      </c:lineChart>
      <c:catAx>
        <c:axId val="4184693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8467024"/>
        <c:crosses val="autoZero"/>
        <c:auto val="1"/>
        <c:lblAlgn val="ctr"/>
        <c:lblOffset val="100"/>
        <c:noMultiLvlLbl val="0"/>
      </c:catAx>
      <c:valAx>
        <c:axId val="41846702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8469376"/>
        <c:crosses val="autoZero"/>
        <c:crossBetween val="between"/>
      </c:valAx>
      <c:catAx>
        <c:axId val="4184658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8470944"/>
        <c:crosses val="autoZero"/>
        <c:auto val="1"/>
        <c:lblAlgn val="ctr"/>
        <c:lblOffset val="100"/>
        <c:noMultiLvlLbl val="0"/>
      </c:catAx>
      <c:valAx>
        <c:axId val="418470944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846584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Customer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9th Sales Report'!$J$26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9th Sales Report'!$I$27:$I$36</c:f>
              <c:strCache>
                <c:ptCount val="10"/>
                <c:pt idx="0">
                  <c:v>Delayers</c:v>
                </c:pt>
                <c:pt idx="1">
                  <c:v>Ameh Mathew</c:v>
                </c:pt>
                <c:pt idx="2">
                  <c:v>Rita SR</c:v>
                </c:pt>
                <c:pt idx="3">
                  <c:v>Ahmed SR</c:v>
                </c:pt>
                <c:pt idx="4">
                  <c:v>tomaco</c:v>
                </c:pt>
                <c:pt idx="5">
                  <c:v>Solomon</c:v>
                </c:pt>
                <c:pt idx="6">
                  <c:v>Walk in Customer</c:v>
                </c:pt>
                <c:pt idx="7">
                  <c:v>Jeff SR</c:v>
                </c:pt>
                <c:pt idx="8">
                  <c:v>MRS IK.</c:v>
                </c:pt>
                <c:pt idx="9">
                  <c:v>Total</c:v>
                </c:pt>
              </c:strCache>
            </c:strRef>
          </c:cat>
          <c:val>
            <c:numRef>
              <c:f>'July 9th Sales Report'!$J$27:$J$36</c:f>
              <c:numCache>
                <c:formatCode>_(* #,##0_);_(* \(#,##0\);_(* \-??_);_(@_)</c:formatCode>
                <c:ptCount val="10"/>
                <c:pt idx="0">
                  <c:v>775800.0</c:v>
                </c:pt>
                <c:pt idx="1">
                  <c:v>727460.0</c:v>
                </c:pt>
                <c:pt idx="2">
                  <c:v>1191685.0</c:v>
                </c:pt>
                <c:pt idx="3">
                  <c:v>121455.0</c:v>
                </c:pt>
                <c:pt idx="4">
                  <c:v>87700.0</c:v>
                </c:pt>
                <c:pt idx="5">
                  <c:v>81855.0</c:v>
                </c:pt>
                <c:pt idx="6">
                  <c:v>18400.0</c:v>
                </c:pt>
                <c:pt idx="7">
                  <c:v>85470.0</c:v>
                </c:pt>
                <c:pt idx="8">
                  <c:v>23800.0</c:v>
                </c:pt>
                <c:pt idx="9">
                  <c:v>3113625.0</c:v>
                </c:pt>
              </c:numCache>
            </c:numRef>
          </c:val>
        </c:ser>
        <c:ser>
          <c:idx val="1"/>
          <c:order val="1"/>
          <c:tx>
            <c:strRef>
              <c:f>'July 9th Sales Report'!$K$26</c:f>
              <c:strCache>
                <c:ptCount val="1"/>
                <c:pt idx="0">
                  <c:v>% of Total 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9th Sales Report'!$I$27:$I$36</c:f>
              <c:strCache>
                <c:ptCount val="10"/>
                <c:pt idx="0">
                  <c:v>Delayers</c:v>
                </c:pt>
                <c:pt idx="1">
                  <c:v>Ameh Mathew</c:v>
                </c:pt>
                <c:pt idx="2">
                  <c:v>Rita SR</c:v>
                </c:pt>
                <c:pt idx="3">
                  <c:v>Ahmed SR</c:v>
                </c:pt>
                <c:pt idx="4">
                  <c:v>tomaco</c:v>
                </c:pt>
                <c:pt idx="5">
                  <c:v>Solomon</c:v>
                </c:pt>
                <c:pt idx="6">
                  <c:v>Walk in Customer</c:v>
                </c:pt>
                <c:pt idx="7">
                  <c:v>Jeff SR</c:v>
                </c:pt>
                <c:pt idx="8">
                  <c:v>MRS IK.</c:v>
                </c:pt>
                <c:pt idx="9">
                  <c:v>Total</c:v>
                </c:pt>
              </c:strCache>
            </c:strRef>
          </c:cat>
          <c:val>
            <c:numRef>
              <c:f>'July 9th Sales Report'!$K$27:$K$36</c:f>
              <c:numCache>
                <c:formatCode>0%</c:formatCode>
                <c:ptCount val="10"/>
                <c:pt idx="0">
                  <c:v>0.249162953149464</c:v>
                </c:pt>
                <c:pt idx="1">
                  <c:v>0.233637641013288</c:v>
                </c:pt>
                <c:pt idx="2">
                  <c:v>0.382732345738488</c:v>
                </c:pt>
                <c:pt idx="3">
                  <c:v>0.0390075876189329</c:v>
                </c:pt>
                <c:pt idx="4">
                  <c:v>0.0281665261552049</c:v>
                </c:pt>
                <c:pt idx="5">
                  <c:v>0.0262892930266169</c:v>
                </c:pt>
                <c:pt idx="6">
                  <c:v>0.00590951061865189</c:v>
                </c:pt>
                <c:pt idx="7">
                  <c:v>0.0274503191617488</c:v>
                </c:pt>
                <c:pt idx="8">
                  <c:v>0.00764382351760408</c:v>
                </c:pt>
                <c:pt idx="9">
                  <c:v>1.0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8467416"/>
        <c:axId val="418468984"/>
      </c:barChart>
      <c:lineChart>
        <c:grouping val="standard"/>
        <c:varyColors val="0"/>
        <c:ser>
          <c:idx val="2"/>
          <c:order val="2"/>
          <c:tx>
            <c:strRef>
              <c:f>'July 9th Sales Report'!$L$26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9th Sales Report'!$I$27:$I$36</c:f>
              <c:strCache>
                <c:ptCount val="10"/>
                <c:pt idx="0">
                  <c:v>Delayers</c:v>
                </c:pt>
                <c:pt idx="1">
                  <c:v>Ameh Mathew</c:v>
                </c:pt>
                <c:pt idx="2">
                  <c:v>Rita SR</c:v>
                </c:pt>
                <c:pt idx="3">
                  <c:v>Ahmed SR</c:v>
                </c:pt>
                <c:pt idx="4">
                  <c:v>tomaco</c:v>
                </c:pt>
                <c:pt idx="5">
                  <c:v>Solomon</c:v>
                </c:pt>
                <c:pt idx="6">
                  <c:v>Walk in Customer</c:v>
                </c:pt>
                <c:pt idx="7">
                  <c:v>Jeff SR</c:v>
                </c:pt>
                <c:pt idx="8">
                  <c:v>MRS IK.</c:v>
                </c:pt>
                <c:pt idx="9">
                  <c:v>Total</c:v>
                </c:pt>
              </c:strCache>
            </c:strRef>
          </c:cat>
          <c:val>
            <c:numRef>
              <c:f>'July 9th Sales Report'!$L$27:$L$36</c:f>
              <c:numCache>
                <c:formatCode>0%</c:formatCode>
                <c:ptCount val="10"/>
                <c:pt idx="0">
                  <c:v>0.137</c:v>
                </c:pt>
                <c:pt idx="1">
                  <c:v>0.0597</c:v>
                </c:pt>
                <c:pt idx="2">
                  <c:v>0.0417</c:v>
                </c:pt>
                <c:pt idx="3">
                  <c:v>0.0604</c:v>
                </c:pt>
                <c:pt idx="4">
                  <c:v>0.0506</c:v>
                </c:pt>
                <c:pt idx="5">
                  <c:v>0.062</c:v>
                </c:pt>
                <c:pt idx="6">
                  <c:v>0.042</c:v>
                </c:pt>
                <c:pt idx="7">
                  <c:v>0.0394</c:v>
                </c:pt>
                <c:pt idx="8">
                  <c:v>0.0774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8466632"/>
        <c:axId val="418467808"/>
      </c:lineChart>
      <c:catAx>
        <c:axId val="4184674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8468984"/>
        <c:crosses val="autoZero"/>
        <c:auto val="1"/>
        <c:lblAlgn val="ctr"/>
        <c:lblOffset val="100"/>
        <c:noMultiLvlLbl val="0"/>
      </c:catAx>
      <c:valAx>
        <c:axId val="41846898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8467416"/>
        <c:crosses val="autoZero"/>
        <c:crossBetween val="between"/>
      </c:valAx>
      <c:catAx>
        <c:axId val="4184666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8467808"/>
        <c:crosses val="autoZero"/>
        <c:auto val="1"/>
        <c:lblAlgn val="ctr"/>
        <c:lblOffset val="100"/>
        <c:noMultiLvlLbl val="0"/>
      </c:catAx>
      <c:valAx>
        <c:axId val="418467808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846663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Invoice_No, Gross Profit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9th Sales Report'!$J$38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9th Sales Report'!$I$39:$I$51</c:f>
              <c:strCache>
                <c:ptCount val="13"/>
                <c:pt idx="0">
                  <c:v>ann-INV229</c:v>
                </c:pt>
                <c:pt idx="1">
                  <c:v>ann-INV230</c:v>
                </c:pt>
                <c:pt idx="2">
                  <c:v>ann-INV231</c:v>
                </c:pt>
                <c:pt idx="3">
                  <c:v>ann-INV232</c:v>
                </c:pt>
                <c:pt idx="4">
                  <c:v>ann-INV233</c:v>
                </c:pt>
                <c:pt idx="5">
                  <c:v>ann-INV234</c:v>
                </c:pt>
                <c:pt idx="6">
                  <c:v>ann-INV235</c:v>
                </c:pt>
                <c:pt idx="7">
                  <c:v>ann-INV236</c:v>
                </c:pt>
                <c:pt idx="8">
                  <c:v>ann-INV237</c:v>
                </c:pt>
                <c:pt idx="9">
                  <c:v>ann-INV238</c:v>
                </c:pt>
                <c:pt idx="10">
                  <c:v>ann-INV239</c:v>
                </c:pt>
                <c:pt idx="11">
                  <c:v>ann-INV240</c:v>
                </c:pt>
                <c:pt idx="12">
                  <c:v>Total</c:v>
                </c:pt>
              </c:strCache>
            </c:strRef>
          </c:cat>
          <c:val>
            <c:numRef>
              <c:f>'July 9th Sales Report'!$J$39:$J$51</c:f>
              <c:numCache>
                <c:formatCode>_(* #,##0_);_(* \(#,##0\);_(* \-??_);_(@_)</c:formatCode>
                <c:ptCount val="13"/>
                <c:pt idx="0">
                  <c:v>895800.0</c:v>
                </c:pt>
                <c:pt idx="1">
                  <c:v>216950.0</c:v>
                </c:pt>
                <c:pt idx="2">
                  <c:v>1224685.0</c:v>
                </c:pt>
                <c:pt idx="3">
                  <c:v>141255.0</c:v>
                </c:pt>
                <c:pt idx="4">
                  <c:v>87700.0</c:v>
                </c:pt>
                <c:pt idx="5">
                  <c:v>94455.0</c:v>
                </c:pt>
                <c:pt idx="6">
                  <c:v>18400.0</c:v>
                </c:pt>
                <c:pt idx="7">
                  <c:v>95970.0</c:v>
                </c:pt>
                <c:pt idx="8">
                  <c:v>411800.0</c:v>
                </c:pt>
                <c:pt idx="9">
                  <c:v>76675.0</c:v>
                </c:pt>
                <c:pt idx="10">
                  <c:v>101635.0</c:v>
                </c:pt>
                <c:pt idx="11">
                  <c:v>23800.0</c:v>
                </c:pt>
                <c:pt idx="12">
                  <c:v>3389125.0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8468200"/>
        <c:axId val="418463888"/>
      </c:barChart>
      <c:lineChart>
        <c:grouping val="standard"/>
        <c:varyColors val="0"/>
        <c:ser>
          <c:idx val="1"/>
          <c:order val="1"/>
          <c:tx>
            <c:strRef>
              <c:f>'July 9th Sales Report'!$K$38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9th Sales Report'!$I$39:$I$51</c:f>
              <c:strCache>
                <c:ptCount val="13"/>
                <c:pt idx="0">
                  <c:v>ann-INV229</c:v>
                </c:pt>
                <c:pt idx="1">
                  <c:v>ann-INV230</c:v>
                </c:pt>
                <c:pt idx="2">
                  <c:v>ann-INV231</c:v>
                </c:pt>
                <c:pt idx="3">
                  <c:v>ann-INV232</c:v>
                </c:pt>
                <c:pt idx="4">
                  <c:v>ann-INV233</c:v>
                </c:pt>
                <c:pt idx="5">
                  <c:v>ann-INV234</c:v>
                </c:pt>
                <c:pt idx="6">
                  <c:v>ann-INV235</c:v>
                </c:pt>
                <c:pt idx="7">
                  <c:v>ann-INV236</c:v>
                </c:pt>
                <c:pt idx="8">
                  <c:v>ann-INV237</c:v>
                </c:pt>
                <c:pt idx="9">
                  <c:v>ann-INV238</c:v>
                </c:pt>
                <c:pt idx="10">
                  <c:v>ann-INV239</c:v>
                </c:pt>
                <c:pt idx="11">
                  <c:v>ann-INV240</c:v>
                </c:pt>
                <c:pt idx="12">
                  <c:v>Total</c:v>
                </c:pt>
              </c:strCache>
            </c:strRef>
          </c:cat>
          <c:val>
            <c:numRef>
              <c:f>'July 9th Sales Report'!$K$39:$K$51</c:f>
              <c:numCache>
                <c:formatCode>0%</c:formatCode>
                <c:ptCount val="13"/>
                <c:pt idx="0">
                  <c:v>0.14</c:v>
                </c:pt>
                <c:pt idx="1">
                  <c:v>0.0</c:v>
                </c:pt>
                <c:pt idx="2">
                  <c:v>0.04</c:v>
                </c:pt>
                <c:pt idx="3">
                  <c:v>0.06</c:v>
                </c:pt>
                <c:pt idx="4">
                  <c:v>0.05</c:v>
                </c:pt>
                <c:pt idx="5">
                  <c:v>0.06</c:v>
                </c:pt>
                <c:pt idx="6">
                  <c:v>0.04</c:v>
                </c:pt>
                <c:pt idx="7">
                  <c:v>0.04</c:v>
                </c:pt>
                <c:pt idx="8">
                  <c:v>0.07</c:v>
                </c:pt>
                <c:pt idx="9">
                  <c:v>0.16</c:v>
                </c:pt>
                <c:pt idx="10">
                  <c:v>0.07</c:v>
                </c:pt>
                <c:pt idx="11">
                  <c:v>0.08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8464280"/>
        <c:axId val="418464672"/>
      </c:lineChart>
      <c:catAx>
        <c:axId val="4184682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8463888"/>
        <c:crosses val="autoZero"/>
        <c:auto val="1"/>
        <c:lblAlgn val="ctr"/>
        <c:lblOffset val="100"/>
        <c:noMultiLvlLbl val="0"/>
      </c:catAx>
      <c:valAx>
        <c:axId val="41846388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8468200"/>
        <c:crosses val="autoZero"/>
        <c:crossBetween val="between"/>
      </c:valAx>
      <c:catAx>
        <c:axId val="4184642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8464672"/>
        <c:crosses val="autoZero"/>
        <c:auto val="1"/>
        <c:lblAlgn val="ctr"/>
        <c:lblOffset val="100"/>
        <c:noMultiLvlLbl val="0"/>
      </c:catAx>
      <c:valAx>
        <c:axId val="41846467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846428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Product Revenue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10th Sales Report'!$J$1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10th Sales Report'!$I$2:$I$12</c:f>
              <c:strCache>
                <c:ptCount val="11"/>
                <c:pt idx="0">
                  <c:v>Chamdor 75cl</c:v>
                </c:pt>
                <c:pt idx="1">
                  <c:v>Maltina Pet 33cl</c:v>
                </c:pt>
                <c:pt idx="2">
                  <c:v>Fayrouz Bottle</c:v>
                </c:pt>
                <c:pt idx="3">
                  <c:v>Gulder Bottle</c:v>
                </c:pt>
                <c:pt idx="4">
                  <c:v>Heineken Bottle 60cl</c:v>
                </c:pt>
                <c:pt idx="5">
                  <c:v>Goldberg 60cl</c:v>
                </c:pt>
                <c:pt idx="6">
                  <c:v>Medium Stout</c:v>
                </c:pt>
                <c:pt idx="7">
                  <c:v>Star Radler 45cl</c:v>
                </c:pt>
                <c:pt idx="8">
                  <c:v>Goldberg Black 45cl</c:v>
                </c:pt>
                <c:pt idx="9">
                  <c:v>Williams Bottle 60cl</c:v>
                </c:pt>
                <c:pt idx="10">
                  <c:v>Grand Total</c:v>
                </c:pt>
              </c:strCache>
            </c:strRef>
          </c:cat>
          <c:val>
            <c:numRef>
              <c:f>'July 10th Sales Report'!$J$2:$J$12</c:f>
              <c:numCache>
                <c:formatCode>General</c:formatCode>
                <c:ptCount val="11"/>
                <c:pt idx="0">
                  <c:v>10.0</c:v>
                </c:pt>
                <c:pt idx="1">
                  <c:v>200.0</c:v>
                </c:pt>
                <c:pt idx="2">
                  <c:v>5.0</c:v>
                </c:pt>
                <c:pt idx="3">
                  <c:v>4.0</c:v>
                </c:pt>
                <c:pt idx="4">
                  <c:v>1.0</c:v>
                </c:pt>
                <c:pt idx="5">
                  <c:v>4.0</c:v>
                </c:pt>
                <c:pt idx="6">
                  <c:v>1.0</c:v>
                </c:pt>
                <c:pt idx="7">
                  <c:v>1.0</c:v>
                </c:pt>
                <c:pt idx="8">
                  <c:v>3.0</c:v>
                </c:pt>
                <c:pt idx="9">
                  <c:v>2.0</c:v>
                </c:pt>
                <c:pt idx="10">
                  <c:v>231.0</c:v>
                </c:pt>
              </c:numCache>
            </c:numRef>
          </c:val>
        </c:ser>
        <c:ser>
          <c:idx val="1"/>
          <c:order val="1"/>
          <c:tx>
            <c:strRef>
              <c:f>'July 10th Sales Report'!$K$1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10th Sales Report'!$I$2:$I$12</c:f>
              <c:strCache>
                <c:ptCount val="11"/>
                <c:pt idx="0">
                  <c:v>Chamdor 75cl</c:v>
                </c:pt>
                <c:pt idx="1">
                  <c:v>Maltina Pet 33cl</c:v>
                </c:pt>
                <c:pt idx="2">
                  <c:v>Fayrouz Bottle</c:v>
                </c:pt>
                <c:pt idx="3">
                  <c:v>Gulder Bottle</c:v>
                </c:pt>
                <c:pt idx="4">
                  <c:v>Heineken Bottle 60cl</c:v>
                </c:pt>
                <c:pt idx="5">
                  <c:v>Goldberg 60cl</c:v>
                </c:pt>
                <c:pt idx="6">
                  <c:v>Medium Stout</c:v>
                </c:pt>
                <c:pt idx="7">
                  <c:v>Star Radler 45cl</c:v>
                </c:pt>
                <c:pt idx="8">
                  <c:v>Goldberg Black 45cl</c:v>
                </c:pt>
                <c:pt idx="9">
                  <c:v>Williams Bottle 60cl</c:v>
                </c:pt>
                <c:pt idx="10">
                  <c:v>Grand Total</c:v>
                </c:pt>
              </c:strCache>
            </c:strRef>
          </c:cat>
          <c:val>
            <c:numRef>
              <c:f>'July 10th Sales Report'!$K$2:$K$12</c:f>
              <c:numCache>
                <c:formatCode>_(* #,##0_);_(* \(#,##0\);_(* \-??_);_(@_)</c:formatCode>
                <c:ptCount val="11"/>
                <c:pt idx="0">
                  <c:v>284450.0</c:v>
                </c:pt>
                <c:pt idx="1">
                  <c:v>1000000.0</c:v>
                </c:pt>
                <c:pt idx="2">
                  <c:v>51575.0</c:v>
                </c:pt>
                <c:pt idx="3">
                  <c:v>47640.0</c:v>
                </c:pt>
                <c:pt idx="4">
                  <c:v>13335.0</c:v>
                </c:pt>
                <c:pt idx="5">
                  <c:v>37700.0</c:v>
                </c:pt>
                <c:pt idx="6">
                  <c:v>18300.0</c:v>
                </c:pt>
                <c:pt idx="7">
                  <c:v>15115.0</c:v>
                </c:pt>
                <c:pt idx="8">
                  <c:v>42435.0</c:v>
                </c:pt>
                <c:pt idx="9">
                  <c:v>18690.0</c:v>
                </c:pt>
                <c:pt idx="10">
                  <c:v>1529240.0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8813256"/>
        <c:axId val="418812080"/>
      </c:barChart>
      <c:lineChart>
        <c:grouping val="standard"/>
        <c:varyColors val="0"/>
        <c:ser>
          <c:idx val="2"/>
          <c:order val="2"/>
          <c:tx>
            <c:strRef>
              <c:f>'July 10th Sales Report'!$L$1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10th Sales Report'!$I$2:$I$12</c:f>
              <c:strCache>
                <c:ptCount val="11"/>
                <c:pt idx="0">
                  <c:v>Chamdor 75cl</c:v>
                </c:pt>
                <c:pt idx="1">
                  <c:v>Maltina Pet 33cl</c:v>
                </c:pt>
                <c:pt idx="2">
                  <c:v>Fayrouz Bottle</c:v>
                </c:pt>
                <c:pt idx="3">
                  <c:v>Gulder Bottle</c:v>
                </c:pt>
                <c:pt idx="4">
                  <c:v>Heineken Bottle 60cl</c:v>
                </c:pt>
                <c:pt idx="5">
                  <c:v>Goldberg 60cl</c:v>
                </c:pt>
                <c:pt idx="6">
                  <c:v>Medium Stout</c:v>
                </c:pt>
                <c:pt idx="7">
                  <c:v>Star Radler 45cl</c:v>
                </c:pt>
                <c:pt idx="8">
                  <c:v>Goldberg Black 45cl</c:v>
                </c:pt>
                <c:pt idx="9">
                  <c:v>Williams Bottle 60cl</c:v>
                </c:pt>
                <c:pt idx="10">
                  <c:v>Grand Total</c:v>
                </c:pt>
              </c:strCache>
            </c:strRef>
          </c:cat>
          <c:val>
            <c:numRef>
              <c:f>'July 10th Sales Report'!$L$2:$L$12</c:f>
              <c:numCache>
                <c:formatCode>0%</c:formatCode>
                <c:ptCount val="11"/>
                <c:pt idx="0">
                  <c:v>0.186007428526588</c:v>
                </c:pt>
                <c:pt idx="1">
                  <c:v>0.653919594046716</c:v>
                </c:pt>
                <c:pt idx="2">
                  <c:v>0.0337259030629594</c:v>
                </c:pt>
                <c:pt idx="3">
                  <c:v>0.0311527294603856</c:v>
                </c:pt>
                <c:pt idx="4">
                  <c:v>0.00872001778661296</c:v>
                </c:pt>
                <c:pt idx="5">
                  <c:v>0.0246527686955612</c:v>
                </c:pt>
                <c:pt idx="6">
                  <c:v>0.0119667285710549</c:v>
                </c:pt>
                <c:pt idx="7">
                  <c:v>0.00988399466401611</c:v>
                </c:pt>
                <c:pt idx="8">
                  <c:v>0.0277490779733724</c:v>
                </c:pt>
                <c:pt idx="9">
                  <c:v>0.0122217572127331</c:v>
                </c:pt>
                <c:pt idx="10">
                  <c:v>1.0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8817960"/>
        <c:axId val="418814040"/>
      </c:lineChart>
      <c:catAx>
        <c:axId val="4188132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8812080"/>
        <c:crosses val="autoZero"/>
        <c:auto val="1"/>
        <c:lblAlgn val="ctr"/>
        <c:lblOffset val="100"/>
        <c:noMultiLvlLbl val="0"/>
      </c:catAx>
      <c:valAx>
        <c:axId val="41881208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8813256"/>
        <c:crosses val="autoZero"/>
        <c:crossBetween val="between"/>
      </c:valAx>
      <c:catAx>
        <c:axId val="4188179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8814040"/>
        <c:crosses val="autoZero"/>
        <c:auto val="1"/>
        <c:lblAlgn val="ctr"/>
        <c:lblOffset val="100"/>
        <c:noMultiLvlLbl val="0"/>
      </c:catAx>
      <c:valAx>
        <c:axId val="41881404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881796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Customer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10th Sales Report'!$J$14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10th Sales Report'!$I$15:$I$21</c:f>
              <c:strCache>
                <c:ptCount val="7"/>
                <c:pt idx="0">
                  <c:v>Mr Godswill</c:v>
                </c:pt>
                <c:pt idx="1">
                  <c:v>Eniola Marketer</c:v>
                </c:pt>
                <c:pt idx="2">
                  <c:v>Ameh Mathew</c:v>
                </c:pt>
                <c:pt idx="3">
                  <c:v>tomaco</c:v>
                </c:pt>
                <c:pt idx="4">
                  <c:v>Ola SR</c:v>
                </c:pt>
                <c:pt idx="5">
                  <c:v>Walk in Customer</c:v>
                </c:pt>
                <c:pt idx="6">
                  <c:v>Total</c:v>
                </c:pt>
              </c:strCache>
            </c:strRef>
          </c:cat>
          <c:val>
            <c:numRef>
              <c:f>'July 10th Sales Report'!$J$15:$J$21</c:f>
              <c:numCache>
                <c:formatCode>_(* #,##0_);_(* \(#,##0\);_(* \-??_);_(@_)</c:formatCode>
                <c:ptCount val="7"/>
                <c:pt idx="0">
                  <c:v>284450.0</c:v>
                </c:pt>
                <c:pt idx="1">
                  <c:v>1000000.0</c:v>
                </c:pt>
                <c:pt idx="2">
                  <c:v>99215.0</c:v>
                </c:pt>
                <c:pt idx="3">
                  <c:v>55950.0</c:v>
                </c:pt>
                <c:pt idx="4">
                  <c:v>61125.0</c:v>
                </c:pt>
                <c:pt idx="5">
                  <c:v>28500.0</c:v>
                </c:pt>
                <c:pt idx="6">
                  <c:v>1529240.0</c:v>
                </c:pt>
              </c:numCache>
            </c:numRef>
          </c:val>
        </c:ser>
        <c:ser>
          <c:idx val="1"/>
          <c:order val="1"/>
          <c:tx>
            <c:strRef>
              <c:f>'July 10th Sales Report'!$K$14</c:f>
              <c:strCache>
                <c:ptCount val="1"/>
                <c:pt idx="0">
                  <c:v>% of Total 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10th Sales Report'!$I$15:$I$21</c:f>
              <c:strCache>
                <c:ptCount val="7"/>
                <c:pt idx="0">
                  <c:v>Mr Godswill</c:v>
                </c:pt>
                <c:pt idx="1">
                  <c:v>Eniola Marketer</c:v>
                </c:pt>
                <c:pt idx="2">
                  <c:v>Ameh Mathew</c:v>
                </c:pt>
                <c:pt idx="3">
                  <c:v>tomaco</c:v>
                </c:pt>
                <c:pt idx="4">
                  <c:v>Ola SR</c:v>
                </c:pt>
                <c:pt idx="5">
                  <c:v>Walk in Customer</c:v>
                </c:pt>
                <c:pt idx="6">
                  <c:v>Total</c:v>
                </c:pt>
              </c:strCache>
            </c:strRef>
          </c:cat>
          <c:val>
            <c:numRef>
              <c:f>'July 10th Sales Report'!$K$15:$K$21</c:f>
              <c:numCache>
                <c:formatCode>0%</c:formatCode>
                <c:ptCount val="7"/>
                <c:pt idx="0">
                  <c:v>0.186007428526588</c:v>
                </c:pt>
                <c:pt idx="1">
                  <c:v>0.653919594046716</c:v>
                </c:pt>
                <c:pt idx="2">
                  <c:v>0.0648786325233449</c:v>
                </c:pt>
                <c:pt idx="3">
                  <c:v>0.0365868012869138</c:v>
                </c:pt>
                <c:pt idx="4">
                  <c:v>0.0399708351861055</c:v>
                </c:pt>
                <c:pt idx="5">
                  <c:v>0.0186367084303314</c:v>
                </c:pt>
                <c:pt idx="6">
                  <c:v>1.0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8815216"/>
        <c:axId val="418818744"/>
      </c:barChart>
      <c:lineChart>
        <c:grouping val="standard"/>
        <c:varyColors val="0"/>
        <c:ser>
          <c:idx val="2"/>
          <c:order val="2"/>
          <c:tx>
            <c:strRef>
              <c:f>'July 10th Sales Report'!$L$14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10th Sales Report'!$I$15:$I$21</c:f>
              <c:strCache>
                <c:ptCount val="7"/>
                <c:pt idx="0">
                  <c:v>Mr Godswill</c:v>
                </c:pt>
                <c:pt idx="1">
                  <c:v>Eniola Marketer</c:v>
                </c:pt>
                <c:pt idx="2">
                  <c:v>Ameh Mathew</c:v>
                </c:pt>
                <c:pt idx="3">
                  <c:v>tomaco</c:v>
                </c:pt>
                <c:pt idx="4">
                  <c:v>Ola SR</c:v>
                </c:pt>
                <c:pt idx="5">
                  <c:v>Walk in Customer</c:v>
                </c:pt>
                <c:pt idx="6">
                  <c:v>Total</c:v>
                </c:pt>
              </c:strCache>
            </c:strRef>
          </c:cat>
          <c:val>
            <c:numRef>
              <c:f>'July 10th Sales Report'!$L$15:$L$21</c:f>
              <c:numCache>
                <c:formatCode>0%</c:formatCode>
                <c:ptCount val="7"/>
                <c:pt idx="0">
                  <c:v>0.0884</c:v>
                </c:pt>
                <c:pt idx="1">
                  <c:v>-0.04</c:v>
                </c:pt>
                <c:pt idx="2">
                  <c:v>0.0607</c:v>
                </c:pt>
                <c:pt idx="3">
                  <c:v>0.0526</c:v>
                </c:pt>
                <c:pt idx="4">
                  <c:v>0.0429</c:v>
                </c:pt>
                <c:pt idx="5">
                  <c:v>0.0992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8815608"/>
        <c:axId val="418819136"/>
      </c:lineChart>
      <c:catAx>
        <c:axId val="4188152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8818744"/>
        <c:crosses val="autoZero"/>
        <c:auto val="1"/>
        <c:lblAlgn val="ctr"/>
        <c:lblOffset val="100"/>
        <c:noMultiLvlLbl val="0"/>
      </c:catAx>
      <c:valAx>
        <c:axId val="41881874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8815216"/>
        <c:crosses val="autoZero"/>
        <c:crossBetween val="between"/>
      </c:valAx>
      <c:catAx>
        <c:axId val="4188156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8819136"/>
        <c:crosses val="autoZero"/>
        <c:auto val="1"/>
        <c:lblAlgn val="ctr"/>
        <c:lblOffset val="100"/>
        <c:noMultiLvlLbl val="0"/>
      </c:catAx>
      <c:valAx>
        <c:axId val="41881913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881560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Invoice_No, Gross Profit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10th Sales Report'!$J$23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10th Sales Report'!$I$24:$I$31</c:f>
              <c:strCache>
                <c:ptCount val="8"/>
                <c:pt idx="0">
                  <c:v>ann-INV241</c:v>
                </c:pt>
                <c:pt idx="1">
                  <c:v>ann-INV242</c:v>
                </c:pt>
                <c:pt idx="2">
                  <c:v>ann-INV243</c:v>
                </c:pt>
                <c:pt idx="3">
                  <c:v>ann-INV244</c:v>
                </c:pt>
                <c:pt idx="4">
                  <c:v>ann-INV245</c:v>
                </c:pt>
                <c:pt idx="5">
                  <c:v>ann-INV247</c:v>
                </c:pt>
                <c:pt idx="6">
                  <c:v>ann-INV246</c:v>
                </c:pt>
                <c:pt idx="7">
                  <c:v>Total</c:v>
                </c:pt>
              </c:strCache>
            </c:strRef>
          </c:cat>
          <c:val>
            <c:numRef>
              <c:f>'July 10th Sales Report'!$J$24:$J$31</c:f>
              <c:numCache>
                <c:formatCode>_(* #,##0_);_(* \(#,##0\);_(* \-??_);_(@_)</c:formatCode>
                <c:ptCount val="8"/>
                <c:pt idx="0">
                  <c:v>284450.0</c:v>
                </c:pt>
                <c:pt idx="1">
                  <c:v>1000000.0</c:v>
                </c:pt>
                <c:pt idx="2">
                  <c:v>115415.0</c:v>
                </c:pt>
                <c:pt idx="3">
                  <c:v>55950.0</c:v>
                </c:pt>
                <c:pt idx="4">
                  <c:v>61125.0</c:v>
                </c:pt>
                <c:pt idx="5">
                  <c:v>22600.0</c:v>
                </c:pt>
                <c:pt idx="6">
                  <c:v>9500.0</c:v>
                </c:pt>
                <c:pt idx="7">
                  <c:v>1549040.0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8814432"/>
        <c:axId val="418812472"/>
      </c:barChart>
      <c:lineChart>
        <c:grouping val="standard"/>
        <c:varyColors val="0"/>
        <c:ser>
          <c:idx val="1"/>
          <c:order val="1"/>
          <c:tx>
            <c:strRef>
              <c:f>'July 10th Sales Report'!$K$23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10th Sales Report'!$I$24:$I$31</c:f>
              <c:strCache>
                <c:ptCount val="8"/>
                <c:pt idx="0">
                  <c:v>ann-INV241</c:v>
                </c:pt>
                <c:pt idx="1">
                  <c:v>ann-INV242</c:v>
                </c:pt>
                <c:pt idx="2">
                  <c:v>ann-INV243</c:v>
                </c:pt>
                <c:pt idx="3">
                  <c:v>ann-INV244</c:v>
                </c:pt>
                <c:pt idx="4">
                  <c:v>ann-INV245</c:v>
                </c:pt>
                <c:pt idx="5">
                  <c:v>ann-INV247</c:v>
                </c:pt>
                <c:pt idx="6">
                  <c:v>ann-INV246</c:v>
                </c:pt>
                <c:pt idx="7">
                  <c:v>Total</c:v>
                </c:pt>
              </c:strCache>
            </c:strRef>
          </c:cat>
          <c:val>
            <c:numRef>
              <c:f>'July 10th Sales Report'!$K$24:$K$31</c:f>
              <c:numCache>
                <c:formatCode>0%</c:formatCode>
                <c:ptCount val="8"/>
                <c:pt idx="0">
                  <c:v>0.09</c:v>
                </c:pt>
                <c:pt idx="1">
                  <c:v>-0.04</c:v>
                </c:pt>
                <c:pt idx="2">
                  <c:v>0.06</c:v>
                </c:pt>
                <c:pt idx="3">
                  <c:v>0.05</c:v>
                </c:pt>
                <c:pt idx="4">
                  <c:v>0.04</c:v>
                </c:pt>
                <c:pt idx="5">
                  <c:v>0.1</c:v>
                </c:pt>
                <c:pt idx="6">
                  <c:v>0.09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8812864"/>
        <c:axId val="418816000"/>
      </c:lineChart>
      <c:catAx>
        <c:axId val="4188144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8812472"/>
        <c:crosses val="autoZero"/>
        <c:auto val="1"/>
        <c:lblAlgn val="ctr"/>
        <c:lblOffset val="100"/>
        <c:noMultiLvlLbl val="0"/>
      </c:catAx>
      <c:valAx>
        <c:axId val="41881247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8814432"/>
        <c:crosses val="autoZero"/>
        <c:crossBetween val="between"/>
      </c:valAx>
      <c:catAx>
        <c:axId val="4188128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8816000"/>
        <c:crosses val="autoZero"/>
        <c:auto val="1"/>
        <c:lblAlgn val="ctr"/>
        <c:lblOffset val="100"/>
        <c:noMultiLvlLbl val="0"/>
      </c:catAx>
      <c:valAx>
        <c:axId val="41881600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881286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Product Revenue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11th Sales Report'!$J$1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11th Sales Report'!$I$2:$I$18</c:f>
              <c:strCache>
                <c:ptCount val="17"/>
                <c:pt idx="0">
                  <c:v>Trophy</c:v>
                </c:pt>
                <c:pt idx="1">
                  <c:v>Goldberg 60cl</c:v>
                </c:pt>
                <c:pt idx="2">
                  <c:v>33 Export 60cl</c:v>
                </c:pt>
                <c:pt idx="3">
                  <c:v>Tiger Bottle</c:v>
                </c:pt>
                <c:pt idx="4">
                  <c:v>Maltina Pet 33cl</c:v>
                </c:pt>
                <c:pt idx="5">
                  <c:v>Heineken Bottle 60cl</c:v>
                </c:pt>
                <c:pt idx="6">
                  <c:v>Desperados Bottle</c:v>
                </c:pt>
                <c:pt idx="7">
                  <c:v>Gulder Bottle</c:v>
                </c:pt>
                <c:pt idx="8">
                  <c:v>Star Bottle 60cl</c:v>
                </c:pt>
                <c:pt idx="9">
                  <c:v>Goldberg Can 50cl</c:v>
                </c:pt>
                <c:pt idx="10">
                  <c:v>Star Radler 45cl</c:v>
                </c:pt>
                <c:pt idx="11">
                  <c:v>Heineken Bottle 45cl</c:v>
                </c:pt>
                <c:pt idx="12">
                  <c:v>Maltina Pet 50cl</c:v>
                </c:pt>
                <c:pt idx="13">
                  <c:v>Turbo King Bottle 60cl</c:v>
                </c:pt>
                <c:pt idx="14">
                  <c:v>Medium Stout</c:v>
                </c:pt>
                <c:pt idx="15">
                  <c:v>Fayrouz Can</c:v>
                </c:pt>
                <c:pt idx="16">
                  <c:v>Grand Total</c:v>
                </c:pt>
              </c:strCache>
            </c:strRef>
          </c:cat>
          <c:val>
            <c:numRef>
              <c:f>'July 11th Sales Report'!$J$2:$J$18</c:f>
              <c:numCache>
                <c:formatCode>General</c:formatCode>
                <c:ptCount val="17"/>
                <c:pt idx="0">
                  <c:v>3.0</c:v>
                </c:pt>
                <c:pt idx="1">
                  <c:v>43.0</c:v>
                </c:pt>
                <c:pt idx="2">
                  <c:v>22.0</c:v>
                </c:pt>
                <c:pt idx="3">
                  <c:v>4.0</c:v>
                </c:pt>
                <c:pt idx="4">
                  <c:v>230.0</c:v>
                </c:pt>
                <c:pt idx="5">
                  <c:v>37.0</c:v>
                </c:pt>
                <c:pt idx="6">
                  <c:v>16.0</c:v>
                </c:pt>
                <c:pt idx="7">
                  <c:v>15.0</c:v>
                </c:pt>
                <c:pt idx="8">
                  <c:v>3.0</c:v>
                </c:pt>
                <c:pt idx="9">
                  <c:v>1.0</c:v>
                </c:pt>
                <c:pt idx="10">
                  <c:v>11.0</c:v>
                </c:pt>
                <c:pt idx="11">
                  <c:v>1.0</c:v>
                </c:pt>
                <c:pt idx="12">
                  <c:v>20.0</c:v>
                </c:pt>
                <c:pt idx="13">
                  <c:v>2.0</c:v>
                </c:pt>
                <c:pt idx="14">
                  <c:v>1.0</c:v>
                </c:pt>
                <c:pt idx="15">
                  <c:v>1.0</c:v>
                </c:pt>
                <c:pt idx="16">
                  <c:v>410.0</c:v>
                </c:pt>
              </c:numCache>
            </c:numRef>
          </c:val>
        </c:ser>
        <c:ser>
          <c:idx val="1"/>
          <c:order val="1"/>
          <c:tx>
            <c:strRef>
              <c:f>'July 11th Sales Report'!$K$1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11th Sales Report'!$I$2:$I$18</c:f>
              <c:strCache>
                <c:ptCount val="17"/>
                <c:pt idx="0">
                  <c:v>Trophy</c:v>
                </c:pt>
                <c:pt idx="1">
                  <c:v>Goldberg 60cl</c:v>
                </c:pt>
                <c:pt idx="2">
                  <c:v>33 Export 60cl</c:v>
                </c:pt>
                <c:pt idx="3">
                  <c:v>Tiger Bottle</c:v>
                </c:pt>
                <c:pt idx="4">
                  <c:v>Maltina Pet 33cl</c:v>
                </c:pt>
                <c:pt idx="5">
                  <c:v>Heineken Bottle 60cl</c:v>
                </c:pt>
                <c:pt idx="6">
                  <c:v>Desperados Bottle</c:v>
                </c:pt>
                <c:pt idx="7">
                  <c:v>Gulder Bottle</c:v>
                </c:pt>
                <c:pt idx="8">
                  <c:v>Star Bottle 60cl</c:v>
                </c:pt>
                <c:pt idx="9">
                  <c:v>Goldberg Can 50cl</c:v>
                </c:pt>
                <c:pt idx="10">
                  <c:v>Star Radler 45cl</c:v>
                </c:pt>
                <c:pt idx="11">
                  <c:v>Heineken Bottle 45cl</c:v>
                </c:pt>
                <c:pt idx="12">
                  <c:v>Maltina Pet 50cl</c:v>
                </c:pt>
                <c:pt idx="13">
                  <c:v>Turbo King Bottle 60cl</c:v>
                </c:pt>
                <c:pt idx="14">
                  <c:v>Medium Stout</c:v>
                </c:pt>
                <c:pt idx="15">
                  <c:v>Fayrouz Can</c:v>
                </c:pt>
                <c:pt idx="16">
                  <c:v>Grand Total</c:v>
                </c:pt>
              </c:strCache>
            </c:strRef>
          </c:cat>
          <c:val>
            <c:numRef>
              <c:f>'July 11th Sales Report'!$K$2:$K$18</c:f>
              <c:numCache>
                <c:formatCode>_(* #,##0_);_(* \(#,##0\);_(* \-??_);_(@_)</c:formatCode>
                <c:ptCount val="17"/>
                <c:pt idx="0">
                  <c:v>27000.0</c:v>
                </c:pt>
                <c:pt idx="1">
                  <c:v>395000.0</c:v>
                </c:pt>
                <c:pt idx="2">
                  <c:v>202700.0</c:v>
                </c:pt>
                <c:pt idx="3">
                  <c:v>62715.0</c:v>
                </c:pt>
                <c:pt idx="4">
                  <c:v>1150000.0</c:v>
                </c:pt>
                <c:pt idx="5">
                  <c:v>500775.0</c:v>
                </c:pt>
                <c:pt idx="6">
                  <c:v>348225.0</c:v>
                </c:pt>
                <c:pt idx="7">
                  <c:v>178650.0</c:v>
                </c:pt>
                <c:pt idx="8">
                  <c:v>34430.0</c:v>
                </c:pt>
                <c:pt idx="9">
                  <c:v>16145.0</c:v>
                </c:pt>
                <c:pt idx="10">
                  <c:v>159325.0</c:v>
                </c:pt>
                <c:pt idx="11">
                  <c:v>17840.0</c:v>
                </c:pt>
                <c:pt idx="12">
                  <c:v>160400.0</c:v>
                </c:pt>
                <c:pt idx="13">
                  <c:v>18700.0</c:v>
                </c:pt>
                <c:pt idx="14">
                  <c:v>18300.0</c:v>
                </c:pt>
                <c:pt idx="15">
                  <c:v>13460.0</c:v>
                </c:pt>
                <c:pt idx="16">
                  <c:v>3303665.0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8811688"/>
        <c:axId val="418814824"/>
      </c:barChart>
      <c:lineChart>
        <c:grouping val="standard"/>
        <c:varyColors val="0"/>
        <c:ser>
          <c:idx val="2"/>
          <c:order val="2"/>
          <c:tx>
            <c:strRef>
              <c:f>'July 11th Sales Report'!$L$1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11th Sales Report'!$I$2:$I$18</c:f>
              <c:strCache>
                <c:ptCount val="17"/>
                <c:pt idx="0">
                  <c:v>Trophy</c:v>
                </c:pt>
                <c:pt idx="1">
                  <c:v>Goldberg 60cl</c:v>
                </c:pt>
                <c:pt idx="2">
                  <c:v>33 Export 60cl</c:v>
                </c:pt>
                <c:pt idx="3">
                  <c:v>Tiger Bottle</c:v>
                </c:pt>
                <c:pt idx="4">
                  <c:v>Maltina Pet 33cl</c:v>
                </c:pt>
                <c:pt idx="5">
                  <c:v>Heineken Bottle 60cl</c:v>
                </c:pt>
                <c:pt idx="6">
                  <c:v>Desperados Bottle</c:v>
                </c:pt>
                <c:pt idx="7">
                  <c:v>Gulder Bottle</c:v>
                </c:pt>
                <c:pt idx="8">
                  <c:v>Star Bottle 60cl</c:v>
                </c:pt>
                <c:pt idx="9">
                  <c:v>Goldberg Can 50cl</c:v>
                </c:pt>
                <c:pt idx="10">
                  <c:v>Star Radler 45cl</c:v>
                </c:pt>
                <c:pt idx="11">
                  <c:v>Heineken Bottle 45cl</c:v>
                </c:pt>
                <c:pt idx="12">
                  <c:v>Maltina Pet 50cl</c:v>
                </c:pt>
                <c:pt idx="13">
                  <c:v>Turbo King Bottle 60cl</c:v>
                </c:pt>
                <c:pt idx="14">
                  <c:v>Medium Stout</c:v>
                </c:pt>
                <c:pt idx="15">
                  <c:v>Fayrouz Can</c:v>
                </c:pt>
                <c:pt idx="16">
                  <c:v>Grand Total</c:v>
                </c:pt>
              </c:strCache>
            </c:strRef>
          </c:cat>
          <c:val>
            <c:numRef>
              <c:f>'July 11th Sales Report'!$L$2:$L$18</c:f>
              <c:numCache>
                <c:formatCode>0%</c:formatCode>
                <c:ptCount val="17"/>
                <c:pt idx="0">
                  <c:v>0.00817274148559252</c:v>
                </c:pt>
                <c:pt idx="1">
                  <c:v>0.119564180992928</c:v>
                </c:pt>
                <c:pt idx="2">
                  <c:v>0.0613560999677631</c:v>
                </c:pt>
                <c:pt idx="3">
                  <c:v>0.0189834623062568</c:v>
                </c:pt>
                <c:pt idx="4">
                  <c:v>0.348098248460422</c:v>
                </c:pt>
                <c:pt idx="5">
                  <c:v>0.151581652498059</c:v>
                </c:pt>
                <c:pt idx="6">
                  <c:v>0.105405663104461</c:v>
                </c:pt>
                <c:pt idx="7">
                  <c:v>0.0540763061630038</c:v>
                </c:pt>
                <c:pt idx="8">
                  <c:v>0.0104217588647759</c:v>
                </c:pt>
                <c:pt idx="9">
                  <c:v>0.00488699671425523</c:v>
                </c:pt>
                <c:pt idx="10">
                  <c:v>0.0482267421182232</c:v>
                </c:pt>
                <c:pt idx="11">
                  <c:v>0.00540006326307298</c:v>
                </c:pt>
                <c:pt idx="12">
                  <c:v>0.0485521383070015</c:v>
                </c:pt>
                <c:pt idx="13">
                  <c:v>0.00566038021409556</c:v>
                </c:pt>
                <c:pt idx="14">
                  <c:v>0.00553930256245715</c:v>
                </c:pt>
                <c:pt idx="15">
                  <c:v>0.00407426297763242</c:v>
                </c:pt>
                <c:pt idx="16">
                  <c:v>1.0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8816392"/>
        <c:axId val="418817176"/>
      </c:lineChart>
      <c:catAx>
        <c:axId val="418811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8814824"/>
        <c:crosses val="autoZero"/>
        <c:auto val="1"/>
        <c:lblAlgn val="ctr"/>
        <c:lblOffset val="100"/>
        <c:noMultiLvlLbl val="0"/>
      </c:catAx>
      <c:valAx>
        <c:axId val="41881482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8811688"/>
        <c:crosses val="autoZero"/>
        <c:crossBetween val="between"/>
      </c:valAx>
      <c:catAx>
        <c:axId val="4188163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8817176"/>
        <c:crosses val="autoZero"/>
        <c:auto val="1"/>
        <c:lblAlgn val="ctr"/>
        <c:lblOffset val="100"/>
        <c:noMultiLvlLbl val="0"/>
      </c:catAx>
      <c:valAx>
        <c:axId val="41881717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881639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Customer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11th Sales Report'!$J$20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11th Sales Report'!$I$21:$I$31</c:f>
              <c:strCache>
                <c:ptCount val="11"/>
                <c:pt idx="0">
                  <c:v>Remilekun</c:v>
                </c:pt>
                <c:pt idx="1">
                  <c:v>Walk in Customer</c:v>
                </c:pt>
                <c:pt idx="2">
                  <c:v>Jeff SR</c:v>
                </c:pt>
                <c:pt idx="3">
                  <c:v>AZ Marketer</c:v>
                </c:pt>
                <c:pt idx="4">
                  <c:v>XXIII LOUNGE</c:v>
                </c:pt>
                <c:pt idx="5">
                  <c:v>Ameh Mathew</c:v>
                </c:pt>
                <c:pt idx="6">
                  <c:v>Eniola Marketer</c:v>
                </c:pt>
                <c:pt idx="7">
                  <c:v>ATW</c:v>
                </c:pt>
                <c:pt idx="8">
                  <c:v>Rita SR</c:v>
                </c:pt>
                <c:pt idx="9">
                  <c:v>MRS IK.</c:v>
                </c:pt>
                <c:pt idx="10">
                  <c:v>Total</c:v>
                </c:pt>
              </c:strCache>
            </c:strRef>
          </c:cat>
          <c:val>
            <c:numRef>
              <c:f>'July 11th Sales Report'!$J$21:$J$31</c:f>
              <c:numCache>
                <c:formatCode>_(* #,##0_);_(* \(#,##0\);_(* \-??_);_(@_)</c:formatCode>
                <c:ptCount val="11"/>
                <c:pt idx="0">
                  <c:v>65500.0</c:v>
                </c:pt>
                <c:pt idx="1">
                  <c:v>30090.0</c:v>
                </c:pt>
                <c:pt idx="2">
                  <c:v>150000.0</c:v>
                </c:pt>
                <c:pt idx="3">
                  <c:v>500000.0</c:v>
                </c:pt>
                <c:pt idx="4">
                  <c:v>298825.0</c:v>
                </c:pt>
                <c:pt idx="5">
                  <c:v>380190.0</c:v>
                </c:pt>
                <c:pt idx="6">
                  <c:v>660400.0</c:v>
                </c:pt>
                <c:pt idx="7">
                  <c:v>257600.0</c:v>
                </c:pt>
                <c:pt idx="8">
                  <c:v>824640.0</c:v>
                </c:pt>
                <c:pt idx="9">
                  <c:v>136420.0</c:v>
                </c:pt>
                <c:pt idx="10">
                  <c:v>3303665.0</c:v>
                </c:pt>
              </c:numCache>
            </c:numRef>
          </c:val>
        </c:ser>
        <c:ser>
          <c:idx val="1"/>
          <c:order val="1"/>
          <c:tx>
            <c:strRef>
              <c:f>'July 11th Sales Report'!$K$20</c:f>
              <c:strCache>
                <c:ptCount val="1"/>
                <c:pt idx="0">
                  <c:v>% of Total 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11th Sales Report'!$I$21:$I$31</c:f>
              <c:strCache>
                <c:ptCount val="11"/>
                <c:pt idx="0">
                  <c:v>Remilekun</c:v>
                </c:pt>
                <c:pt idx="1">
                  <c:v>Walk in Customer</c:v>
                </c:pt>
                <c:pt idx="2">
                  <c:v>Jeff SR</c:v>
                </c:pt>
                <c:pt idx="3">
                  <c:v>AZ Marketer</c:v>
                </c:pt>
                <c:pt idx="4">
                  <c:v>XXIII LOUNGE</c:v>
                </c:pt>
                <c:pt idx="5">
                  <c:v>Ameh Mathew</c:v>
                </c:pt>
                <c:pt idx="6">
                  <c:v>Eniola Marketer</c:v>
                </c:pt>
                <c:pt idx="7">
                  <c:v>ATW</c:v>
                </c:pt>
                <c:pt idx="8">
                  <c:v>Rita SR</c:v>
                </c:pt>
                <c:pt idx="9">
                  <c:v>MRS IK.</c:v>
                </c:pt>
                <c:pt idx="10">
                  <c:v>Total</c:v>
                </c:pt>
              </c:strCache>
            </c:strRef>
          </c:cat>
          <c:val>
            <c:numRef>
              <c:f>'July 11th Sales Report'!$K$21:$K$31</c:f>
              <c:numCache>
                <c:formatCode>0%</c:formatCode>
                <c:ptCount val="11"/>
                <c:pt idx="0">
                  <c:v>0.0198264654557892</c:v>
                </c:pt>
                <c:pt idx="1">
                  <c:v>0.00910806634449922</c:v>
                </c:pt>
                <c:pt idx="2">
                  <c:v>0.0454041193644029</c:v>
                </c:pt>
                <c:pt idx="3">
                  <c:v>0.15134706454801</c:v>
                </c:pt>
                <c:pt idx="4">
                  <c:v>0.0904525731271179</c:v>
                </c:pt>
                <c:pt idx="5">
                  <c:v>0.115081280941016</c:v>
                </c:pt>
                <c:pt idx="6">
                  <c:v>0.199899202855011</c:v>
                </c:pt>
                <c:pt idx="7">
                  <c:v>0.0779740076551345</c:v>
                </c:pt>
                <c:pt idx="8">
                  <c:v>0.249613686617741</c:v>
                </c:pt>
                <c:pt idx="9">
                  <c:v>0.0412935330912789</c:v>
                </c:pt>
                <c:pt idx="10">
                  <c:v>1.0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8000008"/>
        <c:axId val="418003144"/>
      </c:barChart>
      <c:lineChart>
        <c:grouping val="standard"/>
        <c:varyColors val="0"/>
        <c:ser>
          <c:idx val="2"/>
          <c:order val="2"/>
          <c:tx>
            <c:strRef>
              <c:f>'July 11th Sales Report'!$L$20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11th Sales Report'!$I$21:$I$31</c:f>
              <c:strCache>
                <c:ptCount val="11"/>
                <c:pt idx="0">
                  <c:v>Remilekun</c:v>
                </c:pt>
                <c:pt idx="1">
                  <c:v>Walk in Customer</c:v>
                </c:pt>
                <c:pt idx="2">
                  <c:v>Jeff SR</c:v>
                </c:pt>
                <c:pt idx="3">
                  <c:v>AZ Marketer</c:v>
                </c:pt>
                <c:pt idx="4">
                  <c:v>XXIII LOUNGE</c:v>
                </c:pt>
                <c:pt idx="5">
                  <c:v>Ameh Mathew</c:v>
                </c:pt>
                <c:pt idx="6">
                  <c:v>Eniola Marketer</c:v>
                </c:pt>
                <c:pt idx="7">
                  <c:v>ATW</c:v>
                </c:pt>
                <c:pt idx="8">
                  <c:v>Rita SR</c:v>
                </c:pt>
                <c:pt idx="9">
                  <c:v>MRS IK.</c:v>
                </c:pt>
                <c:pt idx="10">
                  <c:v>Total</c:v>
                </c:pt>
              </c:strCache>
            </c:strRef>
          </c:cat>
          <c:val>
            <c:numRef>
              <c:f>'July 11th Sales Report'!$L$21:$L$31</c:f>
              <c:numCache>
                <c:formatCode>0%</c:formatCode>
                <c:ptCount val="11"/>
                <c:pt idx="0">
                  <c:v>0.089</c:v>
                </c:pt>
                <c:pt idx="1">
                  <c:v>0.1341</c:v>
                </c:pt>
                <c:pt idx="2">
                  <c:v>-0.04</c:v>
                </c:pt>
                <c:pt idx="3">
                  <c:v>-0.04</c:v>
                </c:pt>
                <c:pt idx="4">
                  <c:v>0.1638</c:v>
                </c:pt>
                <c:pt idx="5">
                  <c:v>0.0722</c:v>
                </c:pt>
                <c:pt idx="6">
                  <c:v>-0.0201</c:v>
                </c:pt>
                <c:pt idx="7">
                  <c:v>0.0781</c:v>
                </c:pt>
                <c:pt idx="8">
                  <c:v>0.0995</c:v>
                </c:pt>
                <c:pt idx="9">
                  <c:v>0.0577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7996872"/>
        <c:axId val="418004320"/>
      </c:lineChart>
      <c:catAx>
        <c:axId val="4180000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8003144"/>
        <c:crosses val="autoZero"/>
        <c:auto val="1"/>
        <c:lblAlgn val="ctr"/>
        <c:lblOffset val="100"/>
        <c:noMultiLvlLbl val="0"/>
      </c:catAx>
      <c:valAx>
        <c:axId val="41800314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8000008"/>
        <c:crosses val="autoZero"/>
        <c:crossBetween val="between"/>
      </c:valAx>
      <c:catAx>
        <c:axId val="4179968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8004320"/>
        <c:crosses val="autoZero"/>
        <c:auto val="1"/>
        <c:lblAlgn val="ctr"/>
        <c:lblOffset val="100"/>
        <c:noMultiLvlLbl val="0"/>
      </c:catAx>
      <c:valAx>
        <c:axId val="41800432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799687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Invoice_No,Gross Profit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11th Sales Report'!$J$33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11th Sales Report'!$I$34:$I$46</c:f>
              <c:strCache>
                <c:ptCount val="13"/>
                <c:pt idx="0">
                  <c:v>ann-INV248</c:v>
                </c:pt>
                <c:pt idx="1">
                  <c:v>ann-INV251</c:v>
                </c:pt>
                <c:pt idx="2">
                  <c:v>ann-INV249</c:v>
                </c:pt>
                <c:pt idx="3">
                  <c:v>ann-INV250</c:v>
                </c:pt>
                <c:pt idx="4">
                  <c:v>ann-INV255</c:v>
                </c:pt>
                <c:pt idx="5">
                  <c:v>ann-INV252</c:v>
                </c:pt>
                <c:pt idx="6">
                  <c:v>ann-INV253</c:v>
                </c:pt>
                <c:pt idx="7">
                  <c:v>ann-INV254</c:v>
                </c:pt>
                <c:pt idx="8">
                  <c:v>ann-INV256</c:v>
                </c:pt>
                <c:pt idx="9">
                  <c:v>ann-INV257</c:v>
                </c:pt>
                <c:pt idx="10">
                  <c:v>ann-INV258</c:v>
                </c:pt>
                <c:pt idx="11">
                  <c:v>ann-INV259</c:v>
                </c:pt>
                <c:pt idx="12">
                  <c:v>Total</c:v>
                </c:pt>
              </c:strCache>
            </c:strRef>
          </c:cat>
          <c:val>
            <c:numRef>
              <c:f>'July 11th Sales Report'!$J$34:$J$46</c:f>
              <c:numCache>
                <c:formatCode>_(* #,##0_);_(* \(#,##0\);_(* \-??_);_(@_)</c:formatCode>
                <c:ptCount val="13"/>
                <c:pt idx="0">
                  <c:v>56000.0</c:v>
                </c:pt>
                <c:pt idx="1">
                  <c:v>16140.0</c:v>
                </c:pt>
                <c:pt idx="2">
                  <c:v>150000.0</c:v>
                </c:pt>
                <c:pt idx="3">
                  <c:v>15950.0</c:v>
                </c:pt>
                <c:pt idx="4">
                  <c:v>500000.0</c:v>
                </c:pt>
                <c:pt idx="5">
                  <c:v>337825.0</c:v>
                </c:pt>
                <c:pt idx="6">
                  <c:v>438990.0</c:v>
                </c:pt>
                <c:pt idx="7">
                  <c:v>660400.0</c:v>
                </c:pt>
                <c:pt idx="8">
                  <c:v>308000.0</c:v>
                </c:pt>
                <c:pt idx="9">
                  <c:v>936840.0</c:v>
                </c:pt>
                <c:pt idx="10">
                  <c:v>136420.0</c:v>
                </c:pt>
                <c:pt idx="11">
                  <c:v>9500.0</c:v>
                </c:pt>
                <c:pt idx="12">
                  <c:v>3566065.0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8001576"/>
        <c:axId val="417997264"/>
      </c:barChart>
      <c:lineChart>
        <c:grouping val="standard"/>
        <c:varyColors val="0"/>
        <c:ser>
          <c:idx val="1"/>
          <c:order val="1"/>
          <c:tx>
            <c:strRef>
              <c:f>'July 11th Sales Report'!$K$33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11th Sales Report'!$I$34:$I$46</c:f>
              <c:strCache>
                <c:ptCount val="13"/>
                <c:pt idx="0">
                  <c:v>ann-INV248</c:v>
                </c:pt>
                <c:pt idx="1">
                  <c:v>ann-INV251</c:v>
                </c:pt>
                <c:pt idx="2">
                  <c:v>ann-INV249</c:v>
                </c:pt>
                <c:pt idx="3">
                  <c:v>ann-INV250</c:v>
                </c:pt>
                <c:pt idx="4">
                  <c:v>ann-INV255</c:v>
                </c:pt>
                <c:pt idx="5">
                  <c:v>ann-INV252</c:v>
                </c:pt>
                <c:pt idx="6">
                  <c:v>ann-INV253</c:v>
                </c:pt>
                <c:pt idx="7">
                  <c:v>ann-INV254</c:v>
                </c:pt>
                <c:pt idx="8">
                  <c:v>ann-INV256</c:v>
                </c:pt>
                <c:pt idx="9">
                  <c:v>ann-INV257</c:v>
                </c:pt>
                <c:pt idx="10">
                  <c:v>ann-INV258</c:v>
                </c:pt>
                <c:pt idx="11">
                  <c:v>ann-INV259</c:v>
                </c:pt>
                <c:pt idx="12">
                  <c:v>Total</c:v>
                </c:pt>
              </c:strCache>
            </c:strRef>
          </c:cat>
          <c:val>
            <c:numRef>
              <c:f>'July 11th Sales Report'!$K$34:$K$46</c:f>
              <c:numCache>
                <c:formatCode>0%</c:formatCode>
                <c:ptCount val="13"/>
                <c:pt idx="0">
                  <c:v>0.09</c:v>
                </c:pt>
                <c:pt idx="1">
                  <c:v>0.08</c:v>
                </c:pt>
                <c:pt idx="2">
                  <c:v>-0.04</c:v>
                </c:pt>
                <c:pt idx="3">
                  <c:v>0.19</c:v>
                </c:pt>
                <c:pt idx="4">
                  <c:v>-0.04</c:v>
                </c:pt>
                <c:pt idx="5">
                  <c:v>0.16</c:v>
                </c:pt>
                <c:pt idx="6">
                  <c:v>0.07</c:v>
                </c:pt>
                <c:pt idx="7">
                  <c:v>-0.02</c:v>
                </c:pt>
                <c:pt idx="8">
                  <c:v>0.08</c:v>
                </c:pt>
                <c:pt idx="9">
                  <c:v>0.1</c:v>
                </c:pt>
                <c:pt idx="10">
                  <c:v>0.06</c:v>
                </c:pt>
                <c:pt idx="11">
                  <c:v>0.1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8003536"/>
        <c:axId val="418003928"/>
      </c:lineChart>
      <c:catAx>
        <c:axId val="4180015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7997264"/>
        <c:crosses val="autoZero"/>
        <c:auto val="1"/>
        <c:lblAlgn val="ctr"/>
        <c:lblOffset val="100"/>
        <c:noMultiLvlLbl val="0"/>
      </c:catAx>
      <c:valAx>
        <c:axId val="41799726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8001576"/>
        <c:crosses val="autoZero"/>
        <c:crossBetween val="between"/>
      </c:valAx>
      <c:catAx>
        <c:axId val="4180035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8003928"/>
        <c:crosses val="autoZero"/>
        <c:auto val="1"/>
        <c:lblAlgn val="ctr"/>
        <c:lblOffset val="100"/>
        <c:noMultiLvlLbl val="0"/>
      </c:catAx>
      <c:valAx>
        <c:axId val="418003928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800353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Product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13th Sales Report'!$J$1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13th Sales Report'!$I$2:$I$18</c:f>
              <c:strCache>
                <c:ptCount val="17"/>
                <c:pt idx="0">
                  <c:v>Maltina Pet 33cl</c:v>
                </c:pt>
                <c:pt idx="1">
                  <c:v>Goldberg 60cl</c:v>
                </c:pt>
                <c:pt idx="2">
                  <c:v>Heineken Bottle 60cl</c:v>
                </c:pt>
                <c:pt idx="3">
                  <c:v>Gulder Bottle</c:v>
                </c:pt>
                <c:pt idx="4">
                  <c:v>Star Radler 45cl</c:v>
                </c:pt>
                <c:pt idx="5">
                  <c:v>Turbo King Bottle 60cl</c:v>
                </c:pt>
                <c:pt idx="6">
                  <c:v>Tiger Bottle</c:v>
                </c:pt>
                <c:pt idx="7">
                  <c:v>Desperados Bottle</c:v>
                </c:pt>
                <c:pt idx="8">
                  <c:v>Fayrouz Bottle</c:v>
                </c:pt>
                <c:pt idx="9">
                  <c:v>Star Bottle 60cl</c:v>
                </c:pt>
                <c:pt idx="10">
                  <c:v>33 Export 60cl</c:v>
                </c:pt>
                <c:pt idx="11">
                  <c:v>Williams Bottle 60cl</c:v>
                </c:pt>
                <c:pt idx="12">
                  <c:v>Maltina Can</c:v>
                </c:pt>
                <c:pt idx="13">
                  <c:v>Maltina Bottle</c:v>
                </c:pt>
                <c:pt idx="14">
                  <c:v>Chamdor 75cl</c:v>
                </c:pt>
                <c:pt idx="15">
                  <c:v>Maltina Pet 50cl</c:v>
                </c:pt>
                <c:pt idx="16">
                  <c:v>Grand Total</c:v>
                </c:pt>
              </c:strCache>
            </c:strRef>
          </c:cat>
          <c:val>
            <c:numRef>
              <c:f>'July 13th Sales Report'!$J$2:$J$18</c:f>
              <c:numCache>
                <c:formatCode>General</c:formatCode>
                <c:ptCount val="17"/>
                <c:pt idx="0">
                  <c:v>1390.0</c:v>
                </c:pt>
                <c:pt idx="1">
                  <c:v>22.0</c:v>
                </c:pt>
                <c:pt idx="2">
                  <c:v>17.0</c:v>
                </c:pt>
                <c:pt idx="3">
                  <c:v>3.0</c:v>
                </c:pt>
                <c:pt idx="4">
                  <c:v>2.0</c:v>
                </c:pt>
                <c:pt idx="5">
                  <c:v>3.0</c:v>
                </c:pt>
                <c:pt idx="6">
                  <c:v>2.0</c:v>
                </c:pt>
                <c:pt idx="7">
                  <c:v>1.0</c:v>
                </c:pt>
                <c:pt idx="8">
                  <c:v>6.0</c:v>
                </c:pt>
                <c:pt idx="9">
                  <c:v>1.0</c:v>
                </c:pt>
                <c:pt idx="10">
                  <c:v>21.0</c:v>
                </c:pt>
                <c:pt idx="11">
                  <c:v>1.0</c:v>
                </c:pt>
                <c:pt idx="12">
                  <c:v>5.0</c:v>
                </c:pt>
                <c:pt idx="13">
                  <c:v>3.0</c:v>
                </c:pt>
                <c:pt idx="14">
                  <c:v>6.0</c:v>
                </c:pt>
                <c:pt idx="15">
                  <c:v>192.0</c:v>
                </c:pt>
                <c:pt idx="16">
                  <c:v>1675.0</c:v>
                </c:pt>
              </c:numCache>
            </c:numRef>
          </c:val>
        </c:ser>
        <c:ser>
          <c:idx val="1"/>
          <c:order val="1"/>
          <c:tx>
            <c:strRef>
              <c:f>'July 13th Sales Report'!$K$1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13th Sales Report'!$I$2:$I$18</c:f>
              <c:strCache>
                <c:ptCount val="17"/>
                <c:pt idx="0">
                  <c:v>Maltina Pet 33cl</c:v>
                </c:pt>
                <c:pt idx="1">
                  <c:v>Goldberg 60cl</c:v>
                </c:pt>
                <c:pt idx="2">
                  <c:v>Heineken Bottle 60cl</c:v>
                </c:pt>
                <c:pt idx="3">
                  <c:v>Gulder Bottle</c:v>
                </c:pt>
                <c:pt idx="4">
                  <c:v>Star Radler 45cl</c:v>
                </c:pt>
                <c:pt idx="5">
                  <c:v>Turbo King Bottle 60cl</c:v>
                </c:pt>
                <c:pt idx="6">
                  <c:v>Tiger Bottle</c:v>
                </c:pt>
                <c:pt idx="7">
                  <c:v>Desperados Bottle</c:v>
                </c:pt>
                <c:pt idx="8">
                  <c:v>Fayrouz Bottle</c:v>
                </c:pt>
                <c:pt idx="9">
                  <c:v>Star Bottle 60cl</c:v>
                </c:pt>
                <c:pt idx="10">
                  <c:v>33 Export 60cl</c:v>
                </c:pt>
                <c:pt idx="11">
                  <c:v>Williams Bottle 60cl</c:v>
                </c:pt>
                <c:pt idx="12">
                  <c:v>Maltina Can</c:v>
                </c:pt>
                <c:pt idx="13">
                  <c:v>Maltina Bottle</c:v>
                </c:pt>
                <c:pt idx="14">
                  <c:v>Chamdor 75cl</c:v>
                </c:pt>
                <c:pt idx="15">
                  <c:v>Maltina Pet 50cl</c:v>
                </c:pt>
                <c:pt idx="16">
                  <c:v>Grand Total</c:v>
                </c:pt>
              </c:strCache>
            </c:strRef>
          </c:cat>
          <c:val>
            <c:numRef>
              <c:f>'July 13th Sales Report'!$K$2:$K$18</c:f>
              <c:numCache>
                <c:formatCode>_(* #,##0_);_(* \(#,##0\);_(* \-??_);_(@_)</c:formatCode>
                <c:ptCount val="17"/>
                <c:pt idx="0">
                  <c:v>6888000.0</c:v>
                </c:pt>
                <c:pt idx="1">
                  <c:v>195600.0</c:v>
                </c:pt>
                <c:pt idx="2">
                  <c:v>232845.0</c:v>
                </c:pt>
                <c:pt idx="3">
                  <c:v>35730.0</c:v>
                </c:pt>
                <c:pt idx="4">
                  <c:v>29150.0</c:v>
                </c:pt>
                <c:pt idx="5">
                  <c:v>26640.0</c:v>
                </c:pt>
                <c:pt idx="6">
                  <c:v>31050.0</c:v>
                </c:pt>
                <c:pt idx="7">
                  <c:v>21400.0</c:v>
                </c:pt>
                <c:pt idx="8">
                  <c:v>61890.0</c:v>
                </c:pt>
                <c:pt idx="9">
                  <c:v>11415.0</c:v>
                </c:pt>
                <c:pt idx="10">
                  <c:v>193200.0</c:v>
                </c:pt>
                <c:pt idx="11">
                  <c:v>9345.0</c:v>
                </c:pt>
                <c:pt idx="12">
                  <c:v>65750.0</c:v>
                </c:pt>
                <c:pt idx="13">
                  <c:v>43365.0</c:v>
                </c:pt>
                <c:pt idx="14">
                  <c:v>234000.0</c:v>
                </c:pt>
                <c:pt idx="15">
                  <c:v>1488000.0</c:v>
                </c:pt>
                <c:pt idx="16">
                  <c:v>9567380.0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7998048"/>
        <c:axId val="417998440"/>
      </c:barChart>
      <c:lineChart>
        <c:grouping val="standard"/>
        <c:varyColors val="0"/>
        <c:ser>
          <c:idx val="2"/>
          <c:order val="2"/>
          <c:tx>
            <c:strRef>
              <c:f>'July 13th Sales Report'!$L$1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13th Sales Report'!$I$2:$I$18</c:f>
              <c:strCache>
                <c:ptCount val="17"/>
                <c:pt idx="0">
                  <c:v>Maltina Pet 33cl</c:v>
                </c:pt>
                <c:pt idx="1">
                  <c:v>Goldberg 60cl</c:v>
                </c:pt>
                <c:pt idx="2">
                  <c:v>Heineken Bottle 60cl</c:v>
                </c:pt>
                <c:pt idx="3">
                  <c:v>Gulder Bottle</c:v>
                </c:pt>
                <c:pt idx="4">
                  <c:v>Star Radler 45cl</c:v>
                </c:pt>
                <c:pt idx="5">
                  <c:v>Turbo King Bottle 60cl</c:v>
                </c:pt>
                <c:pt idx="6">
                  <c:v>Tiger Bottle</c:v>
                </c:pt>
                <c:pt idx="7">
                  <c:v>Desperados Bottle</c:v>
                </c:pt>
                <c:pt idx="8">
                  <c:v>Fayrouz Bottle</c:v>
                </c:pt>
                <c:pt idx="9">
                  <c:v>Star Bottle 60cl</c:v>
                </c:pt>
                <c:pt idx="10">
                  <c:v>33 Export 60cl</c:v>
                </c:pt>
                <c:pt idx="11">
                  <c:v>Williams Bottle 60cl</c:v>
                </c:pt>
                <c:pt idx="12">
                  <c:v>Maltina Can</c:v>
                </c:pt>
                <c:pt idx="13">
                  <c:v>Maltina Bottle</c:v>
                </c:pt>
                <c:pt idx="14">
                  <c:v>Chamdor 75cl</c:v>
                </c:pt>
                <c:pt idx="15">
                  <c:v>Maltina Pet 50cl</c:v>
                </c:pt>
                <c:pt idx="16">
                  <c:v>Grand Total</c:v>
                </c:pt>
              </c:strCache>
            </c:strRef>
          </c:cat>
          <c:val>
            <c:numRef>
              <c:f>'July 13th Sales Report'!$L$2:$L$18</c:f>
              <c:numCache>
                <c:formatCode>0%</c:formatCode>
                <c:ptCount val="17"/>
                <c:pt idx="0">
                  <c:v>0.71994631759165</c:v>
                </c:pt>
                <c:pt idx="1">
                  <c:v>0.0204444686005991</c:v>
                </c:pt>
                <c:pt idx="2">
                  <c:v>0.024337383902385</c:v>
                </c:pt>
                <c:pt idx="3">
                  <c:v>0.00373456473977202</c:v>
                </c:pt>
                <c:pt idx="4">
                  <c:v>0.00304681114369869</c:v>
                </c:pt>
                <c:pt idx="5">
                  <c:v>0.00278446136768896</c:v>
                </c:pt>
                <c:pt idx="6">
                  <c:v>0.00324540260761044</c:v>
                </c:pt>
                <c:pt idx="7">
                  <c:v>0.00223676701458498</c:v>
                </c:pt>
                <c:pt idx="8">
                  <c:v>0.00646885563236748</c:v>
                </c:pt>
                <c:pt idx="9">
                  <c:v>0.00119311661081717</c:v>
                </c:pt>
                <c:pt idx="10">
                  <c:v>0.0201936162251316</c:v>
                </c:pt>
                <c:pt idx="11">
                  <c:v>0.000976756436976476</c:v>
                </c:pt>
                <c:pt idx="12">
                  <c:v>0.00687230986957767</c:v>
                </c:pt>
                <c:pt idx="13">
                  <c:v>0.00453258885922792</c:v>
                </c:pt>
                <c:pt idx="14">
                  <c:v>0.0244581066080787</c:v>
                </c:pt>
                <c:pt idx="15">
                  <c:v>0.155528472789834</c:v>
                </c:pt>
                <c:pt idx="16">
                  <c:v>1.0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7999224"/>
        <c:axId val="417999616"/>
      </c:lineChart>
      <c:catAx>
        <c:axId val="4179980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7998440"/>
        <c:crosses val="autoZero"/>
        <c:auto val="1"/>
        <c:lblAlgn val="ctr"/>
        <c:lblOffset val="100"/>
        <c:noMultiLvlLbl val="0"/>
      </c:catAx>
      <c:valAx>
        <c:axId val="41799844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7998048"/>
        <c:crosses val="autoZero"/>
        <c:crossBetween val="between"/>
      </c:valAx>
      <c:catAx>
        <c:axId val="4179992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7999616"/>
        <c:crosses val="autoZero"/>
        <c:auto val="1"/>
        <c:lblAlgn val="ctr"/>
        <c:lblOffset val="100"/>
        <c:noMultiLvlLbl val="0"/>
      </c:catAx>
      <c:valAx>
        <c:axId val="41799961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799922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Customer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13th Sales Report'!$J$20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13th Sales Report'!$I$21:$I$27</c:f>
              <c:strCache>
                <c:ptCount val="7"/>
                <c:pt idx="0">
                  <c:v>FINO STORES</c:v>
                </c:pt>
                <c:pt idx="1">
                  <c:v>Mr Olayinka</c:v>
                </c:pt>
                <c:pt idx="2">
                  <c:v>Ameh Mathew</c:v>
                </c:pt>
                <c:pt idx="3">
                  <c:v>Eniola Marketer</c:v>
                </c:pt>
                <c:pt idx="4">
                  <c:v>XXIII LOUNGE</c:v>
                </c:pt>
                <c:pt idx="5">
                  <c:v>Demola SR</c:v>
                </c:pt>
                <c:pt idx="6">
                  <c:v>Total</c:v>
                </c:pt>
              </c:strCache>
            </c:strRef>
          </c:cat>
          <c:val>
            <c:numRef>
              <c:f>'July 13th Sales Report'!$J$21:$J$27</c:f>
              <c:numCache>
                <c:formatCode>_(* #,##0_);_(* \(#,##0\);_(* \-??_);_(@_)</c:formatCode>
                <c:ptCount val="7"/>
                <c:pt idx="0">
                  <c:v>6138000.0</c:v>
                </c:pt>
                <c:pt idx="1">
                  <c:v>46000.0</c:v>
                </c:pt>
                <c:pt idx="2">
                  <c:v>611190.0</c:v>
                </c:pt>
                <c:pt idx="3">
                  <c:v>815750.0</c:v>
                </c:pt>
                <c:pt idx="4">
                  <c:v>468440.0</c:v>
                </c:pt>
                <c:pt idx="5">
                  <c:v>1488000.0</c:v>
                </c:pt>
                <c:pt idx="6">
                  <c:v>9567380.0</c:v>
                </c:pt>
              </c:numCache>
            </c:numRef>
          </c:val>
        </c:ser>
        <c:ser>
          <c:idx val="1"/>
          <c:order val="1"/>
          <c:tx>
            <c:strRef>
              <c:f>'July 13th Sales Report'!$K$20</c:f>
              <c:strCache>
                <c:ptCount val="1"/>
                <c:pt idx="0">
                  <c:v>% of Total 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13th Sales Report'!$I$21:$I$27</c:f>
              <c:strCache>
                <c:ptCount val="7"/>
                <c:pt idx="0">
                  <c:v>FINO STORES</c:v>
                </c:pt>
                <c:pt idx="1">
                  <c:v>Mr Olayinka</c:v>
                </c:pt>
                <c:pt idx="2">
                  <c:v>Ameh Mathew</c:v>
                </c:pt>
                <c:pt idx="3">
                  <c:v>Eniola Marketer</c:v>
                </c:pt>
                <c:pt idx="4">
                  <c:v>XXIII LOUNGE</c:v>
                </c:pt>
                <c:pt idx="5">
                  <c:v>Demola SR</c:v>
                </c:pt>
                <c:pt idx="6">
                  <c:v>Total</c:v>
                </c:pt>
              </c:strCache>
            </c:strRef>
          </c:cat>
          <c:val>
            <c:numRef>
              <c:f>'July 13th Sales Report'!$K$21:$K$27</c:f>
              <c:numCache>
                <c:formatCode>0%</c:formatCode>
                <c:ptCount val="7"/>
                <c:pt idx="0">
                  <c:v>0.641554950258064</c:v>
                </c:pt>
                <c:pt idx="1">
                  <c:v>0.00480800386312658</c:v>
                </c:pt>
                <c:pt idx="2">
                  <c:v>0.0638826930674856</c:v>
                </c:pt>
                <c:pt idx="3">
                  <c:v>0.0852636772031632</c:v>
                </c:pt>
                <c:pt idx="4">
                  <c:v>0.0489622028183264</c:v>
                </c:pt>
                <c:pt idx="5">
                  <c:v>0.155528472789834</c:v>
                </c:pt>
                <c:pt idx="6">
                  <c:v>1.0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8002752"/>
        <c:axId val="418002360"/>
      </c:barChart>
      <c:lineChart>
        <c:grouping val="standard"/>
        <c:varyColors val="0"/>
        <c:ser>
          <c:idx val="2"/>
          <c:order val="2"/>
          <c:tx>
            <c:strRef>
              <c:f>'July 13th Sales Report'!$L$20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13th Sales Report'!$I$21:$I$27</c:f>
              <c:strCache>
                <c:ptCount val="7"/>
                <c:pt idx="0">
                  <c:v>FINO STORES</c:v>
                </c:pt>
                <c:pt idx="1">
                  <c:v>Mr Olayinka</c:v>
                </c:pt>
                <c:pt idx="2">
                  <c:v>Ameh Mathew</c:v>
                </c:pt>
                <c:pt idx="3">
                  <c:v>Eniola Marketer</c:v>
                </c:pt>
                <c:pt idx="4">
                  <c:v>XXIII LOUNGE</c:v>
                </c:pt>
                <c:pt idx="5">
                  <c:v>Demola SR</c:v>
                </c:pt>
                <c:pt idx="6">
                  <c:v>Total</c:v>
                </c:pt>
              </c:strCache>
            </c:strRef>
          </c:cat>
          <c:val>
            <c:numRef>
              <c:f>'July 13th Sales Report'!$L$21:$L$27</c:f>
              <c:numCache>
                <c:formatCode>0%</c:formatCode>
                <c:ptCount val="7"/>
                <c:pt idx="0">
                  <c:v>-0.0505</c:v>
                </c:pt>
                <c:pt idx="1">
                  <c:v>0.059</c:v>
                </c:pt>
                <c:pt idx="2">
                  <c:v>0.0658</c:v>
                </c:pt>
                <c:pt idx="3">
                  <c:v>-0.0389</c:v>
                </c:pt>
                <c:pt idx="4">
                  <c:v>0.2346</c:v>
                </c:pt>
                <c:pt idx="5">
                  <c:v>0.0084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8001184"/>
        <c:axId val="418000792"/>
      </c:lineChart>
      <c:catAx>
        <c:axId val="4180027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8002360"/>
        <c:crosses val="autoZero"/>
        <c:auto val="1"/>
        <c:lblAlgn val="ctr"/>
        <c:lblOffset val="100"/>
        <c:noMultiLvlLbl val="0"/>
      </c:catAx>
      <c:valAx>
        <c:axId val="41800236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8002752"/>
        <c:crosses val="autoZero"/>
        <c:crossBetween val="between"/>
      </c:valAx>
      <c:catAx>
        <c:axId val="4180011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8000792"/>
        <c:crosses val="autoZero"/>
        <c:auto val="1"/>
        <c:lblAlgn val="ctr"/>
        <c:lblOffset val="100"/>
        <c:noMultiLvlLbl val="0"/>
      </c:catAx>
      <c:valAx>
        <c:axId val="41800079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800118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Invoice_No,Gross Profit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13th Sales Report'!$J$29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13th Sales Report'!$I$30:$I$37</c:f>
              <c:strCache>
                <c:ptCount val="8"/>
                <c:pt idx="0">
                  <c:v>ann-INV260</c:v>
                </c:pt>
                <c:pt idx="1">
                  <c:v>ann-INV261</c:v>
                </c:pt>
                <c:pt idx="2">
                  <c:v>ann-INV262</c:v>
                </c:pt>
                <c:pt idx="3">
                  <c:v>ann-INV263</c:v>
                </c:pt>
                <c:pt idx="4">
                  <c:v>ann-INV264</c:v>
                </c:pt>
                <c:pt idx="5">
                  <c:v>ann-INV265</c:v>
                </c:pt>
                <c:pt idx="6">
                  <c:v>ann-INV266</c:v>
                </c:pt>
                <c:pt idx="7">
                  <c:v>Total</c:v>
                </c:pt>
              </c:strCache>
            </c:strRef>
          </c:cat>
          <c:val>
            <c:numRef>
              <c:f>'July 13th Sales Report'!$J$30:$J$37</c:f>
              <c:numCache>
                <c:formatCode>_(* #,##0_);_(* \(#,##0\);_(* \-??_);_(@_)</c:formatCode>
                <c:ptCount val="8"/>
                <c:pt idx="0">
                  <c:v>6138000.0</c:v>
                </c:pt>
                <c:pt idx="1">
                  <c:v>46000.0</c:v>
                </c:pt>
                <c:pt idx="2">
                  <c:v>707845.0</c:v>
                </c:pt>
                <c:pt idx="3">
                  <c:v>11145.0</c:v>
                </c:pt>
                <c:pt idx="4">
                  <c:v>815750.0</c:v>
                </c:pt>
                <c:pt idx="5">
                  <c:v>502840.0</c:v>
                </c:pt>
                <c:pt idx="6">
                  <c:v>1488000.0</c:v>
                </c:pt>
                <c:pt idx="7">
                  <c:v>9709580.0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0293336"/>
        <c:axId val="420292944"/>
      </c:barChart>
      <c:lineChart>
        <c:grouping val="standard"/>
        <c:varyColors val="0"/>
        <c:ser>
          <c:idx val="1"/>
          <c:order val="1"/>
          <c:tx>
            <c:strRef>
              <c:f>'July 13th Sales Report'!$K$29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13th Sales Report'!$I$30:$I$37</c:f>
              <c:strCache>
                <c:ptCount val="8"/>
                <c:pt idx="0">
                  <c:v>ann-INV260</c:v>
                </c:pt>
                <c:pt idx="1">
                  <c:v>ann-INV261</c:v>
                </c:pt>
                <c:pt idx="2">
                  <c:v>ann-INV262</c:v>
                </c:pt>
                <c:pt idx="3">
                  <c:v>ann-INV263</c:v>
                </c:pt>
                <c:pt idx="4">
                  <c:v>ann-INV264</c:v>
                </c:pt>
                <c:pt idx="5">
                  <c:v>ann-INV265</c:v>
                </c:pt>
                <c:pt idx="6">
                  <c:v>ann-INV266</c:v>
                </c:pt>
                <c:pt idx="7">
                  <c:v>Total</c:v>
                </c:pt>
              </c:strCache>
            </c:strRef>
          </c:cat>
          <c:val>
            <c:numRef>
              <c:f>'July 13th Sales Report'!$K$30:$K$37</c:f>
              <c:numCache>
                <c:formatCode>0%</c:formatCode>
                <c:ptCount val="8"/>
                <c:pt idx="0">
                  <c:v>-0.05</c:v>
                </c:pt>
                <c:pt idx="1">
                  <c:v>0.06</c:v>
                </c:pt>
                <c:pt idx="2">
                  <c:v>0.07</c:v>
                </c:pt>
                <c:pt idx="3">
                  <c:v>0.06</c:v>
                </c:pt>
                <c:pt idx="4">
                  <c:v>-0.04</c:v>
                </c:pt>
                <c:pt idx="5">
                  <c:v>0.23</c:v>
                </c:pt>
                <c:pt idx="6">
                  <c:v>0.01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20294512"/>
        <c:axId val="420289024"/>
      </c:lineChart>
      <c:catAx>
        <c:axId val="4202933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20292944"/>
        <c:crosses val="autoZero"/>
        <c:auto val="1"/>
        <c:lblAlgn val="ctr"/>
        <c:lblOffset val="100"/>
        <c:noMultiLvlLbl val="0"/>
      </c:catAx>
      <c:valAx>
        <c:axId val="42029294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20293336"/>
        <c:crosses val="autoZero"/>
        <c:crossBetween val="between"/>
      </c:valAx>
      <c:catAx>
        <c:axId val="4202945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20289024"/>
        <c:crosses val="autoZero"/>
        <c:auto val="1"/>
        <c:lblAlgn val="ctr"/>
        <c:lblOffset val="100"/>
        <c:noMultiLvlLbl val="0"/>
      </c:catAx>
      <c:valAx>
        <c:axId val="420289024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2029451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Product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14th Sales Report'!$J$1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14th Sales Report'!$I$2:$I$24</c:f>
              <c:strCache>
                <c:ptCount val="23"/>
                <c:pt idx="0">
                  <c:v>Goldberg 60cl</c:v>
                </c:pt>
                <c:pt idx="1">
                  <c:v>Maltina Pet 33cl</c:v>
                </c:pt>
                <c:pt idx="2">
                  <c:v>Heineken Sleek Can</c:v>
                </c:pt>
                <c:pt idx="3">
                  <c:v>Amstel Can</c:v>
                </c:pt>
                <c:pt idx="4">
                  <c:v>ACE BITTERS</c:v>
                </c:pt>
                <c:pt idx="5">
                  <c:v>Maltina Can</c:v>
                </c:pt>
                <c:pt idx="6">
                  <c:v>33 Export 60cl</c:v>
                </c:pt>
                <c:pt idx="7">
                  <c:v>Heineken Bottle 60cl</c:v>
                </c:pt>
                <c:pt idx="8">
                  <c:v>Turbo King Bottle 60cl</c:v>
                </c:pt>
                <c:pt idx="9">
                  <c:v>Maltina Pet 50cl</c:v>
                </c:pt>
                <c:pt idx="10">
                  <c:v>Goldberg Can 50cl</c:v>
                </c:pt>
                <c:pt idx="11">
                  <c:v>Legend Can 44cl</c:v>
                </c:pt>
                <c:pt idx="12">
                  <c:v>TROPHY CAN</c:v>
                </c:pt>
                <c:pt idx="13">
                  <c:v>Desperados Can</c:v>
                </c:pt>
                <c:pt idx="14">
                  <c:v>Smirnoff Ice.</c:v>
                </c:pt>
                <c:pt idx="15">
                  <c:v>Trophy</c:v>
                </c:pt>
                <c:pt idx="16">
                  <c:v>Castle Lite</c:v>
                </c:pt>
                <c:pt idx="17">
                  <c:v>Tiger Bottle</c:v>
                </c:pt>
                <c:pt idx="18">
                  <c:v>Medium Stout</c:v>
                </c:pt>
                <c:pt idx="19">
                  <c:v>Gulder Bottle</c:v>
                </c:pt>
                <c:pt idx="20">
                  <c:v>Star Radler 45cl</c:v>
                </c:pt>
                <c:pt idx="21">
                  <c:v>Fayrouz Can</c:v>
                </c:pt>
                <c:pt idx="22">
                  <c:v>Grand Total</c:v>
                </c:pt>
              </c:strCache>
            </c:strRef>
          </c:cat>
          <c:val>
            <c:numRef>
              <c:f>'July 14th Sales Report'!$J$2:$J$24</c:f>
              <c:numCache>
                <c:formatCode>General</c:formatCode>
                <c:ptCount val="23"/>
                <c:pt idx="0">
                  <c:v>189.0</c:v>
                </c:pt>
                <c:pt idx="1">
                  <c:v>518.0</c:v>
                </c:pt>
                <c:pt idx="2">
                  <c:v>15.0</c:v>
                </c:pt>
                <c:pt idx="3">
                  <c:v>2.0</c:v>
                </c:pt>
                <c:pt idx="4">
                  <c:v>1.0</c:v>
                </c:pt>
                <c:pt idx="5">
                  <c:v>2.0</c:v>
                </c:pt>
                <c:pt idx="6">
                  <c:v>88.0</c:v>
                </c:pt>
                <c:pt idx="7">
                  <c:v>81.0</c:v>
                </c:pt>
                <c:pt idx="8">
                  <c:v>79.0</c:v>
                </c:pt>
                <c:pt idx="9">
                  <c:v>12.0</c:v>
                </c:pt>
                <c:pt idx="10">
                  <c:v>5.0</c:v>
                </c:pt>
                <c:pt idx="11">
                  <c:v>3.0</c:v>
                </c:pt>
                <c:pt idx="12">
                  <c:v>5.0</c:v>
                </c:pt>
                <c:pt idx="13">
                  <c:v>6.0</c:v>
                </c:pt>
                <c:pt idx="14">
                  <c:v>60.0</c:v>
                </c:pt>
                <c:pt idx="15">
                  <c:v>3.0</c:v>
                </c:pt>
                <c:pt idx="16">
                  <c:v>8.0</c:v>
                </c:pt>
                <c:pt idx="17">
                  <c:v>3.0</c:v>
                </c:pt>
                <c:pt idx="18">
                  <c:v>1.0</c:v>
                </c:pt>
                <c:pt idx="19">
                  <c:v>5.0</c:v>
                </c:pt>
                <c:pt idx="20">
                  <c:v>2.0</c:v>
                </c:pt>
                <c:pt idx="21">
                  <c:v>5.0</c:v>
                </c:pt>
                <c:pt idx="22">
                  <c:v>1093.0</c:v>
                </c:pt>
              </c:numCache>
            </c:numRef>
          </c:val>
        </c:ser>
        <c:ser>
          <c:idx val="1"/>
          <c:order val="1"/>
          <c:tx>
            <c:strRef>
              <c:f>'July 14th Sales Report'!$K$1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14th Sales Report'!$I$2:$I$24</c:f>
              <c:strCache>
                <c:ptCount val="23"/>
                <c:pt idx="0">
                  <c:v>Goldberg 60cl</c:v>
                </c:pt>
                <c:pt idx="1">
                  <c:v>Maltina Pet 33cl</c:v>
                </c:pt>
                <c:pt idx="2">
                  <c:v>Heineken Sleek Can</c:v>
                </c:pt>
                <c:pt idx="3">
                  <c:v>Amstel Can</c:v>
                </c:pt>
                <c:pt idx="4">
                  <c:v>ACE BITTERS</c:v>
                </c:pt>
                <c:pt idx="5">
                  <c:v>Maltina Can</c:v>
                </c:pt>
                <c:pt idx="6">
                  <c:v>33 Export 60cl</c:v>
                </c:pt>
                <c:pt idx="7">
                  <c:v>Heineken Bottle 60cl</c:v>
                </c:pt>
                <c:pt idx="8">
                  <c:v>Turbo King Bottle 60cl</c:v>
                </c:pt>
                <c:pt idx="9">
                  <c:v>Maltina Pet 50cl</c:v>
                </c:pt>
                <c:pt idx="10">
                  <c:v>Goldberg Can 50cl</c:v>
                </c:pt>
                <c:pt idx="11">
                  <c:v>Legend Can 44cl</c:v>
                </c:pt>
                <c:pt idx="12">
                  <c:v>TROPHY CAN</c:v>
                </c:pt>
                <c:pt idx="13">
                  <c:v>Desperados Can</c:v>
                </c:pt>
                <c:pt idx="14">
                  <c:v>Smirnoff Ice.</c:v>
                </c:pt>
                <c:pt idx="15">
                  <c:v>Trophy</c:v>
                </c:pt>
                <c:pt idx="16">
                  <c:v>Castle Lite</c:v>
                </c:pt>
                <c:pt idx="17">
                  <c:v>Tiger Bottle</c:v>
                </c:pt>
                <c:pt idx="18">
                  <c:v>Medium Stout</c:v>
                </c:pt>
                <c:pt idx="19">
                  <c:v>Gulder Bottle</c:v>
                </c:pt>
                <c:pt idx="20">
                  <c:v>Star Radler 45cl</c:v>
                </c:pt>
                <c:pt idx="21">
                  <c:v>Fayrouz Can</c:v>
                </c:pt>
                <c:pt idx="22">
                  <c:v>Grand Total</c:v>
                </c:pt>
              </c:strCache>
            </c:strRef>
          </c:cat>
          <c:val>
            <c:numRef>
              <c:f>'July 14th Sales Report'!$K$2:$K$24</c:f>
              <c:numCache>
                <c:formatCode>_(* #,##0_);_(* \(#,##0\);_(* \-??_);_(@_)</c:formatCode>
                <c:ptCount val="23"/>
                <c:pt idx="0">
                  <c:v>1691400.0</c:v>
                </c:pt>
                <c:pt idx="1">
                  <c:v>2596000.0</c:v>
                </c:pt>
                <c:pt idx="2">
                  <c:v>256500.0</c:v>
                </c:pt>
                <c:pt idx="3">
                  <c:v>28860.0</c:v>
                </c:pt>
                <c:pt idx="4">
                  <c:v>20655.0</c:v>
                </c:pt>
                <c:pt idx="5">
                  <c:v>26400.0</c:v>
                </c:pt>
                <c:pt idx="6">
                  <c:v>794900.0</c:v>
                </c:pt>
                <c:pt idx="7">
                  <c:v>1079985.0</c:v>
                </c:pt>
                <c:pt idx="8">
                  <c:v>703560.0</c:v>
                </c:pt>
                <c:pt idx="9">
                  <c:v>96240.0</c:v>
                </c:pt>
                <c:pt idx="10">
                  <c:v>80725.0</c:v>
                </c:pt>
                <c:pt idx="11">
                  <c:v>63510.0</c:v>
                </c:pt>
                <c:pt idx="12">
                  <c:v>77450.0</c:v>
                </c:pt>
                <c:pt idx="13">
                  <c:v>136440.0</c:v>
                </c:pt>
                <c:pt idx="14">
                  <c:v>1014000.0</c:v>
                </c:pt>
                <c:pt idx="15">
                  <c:v>27000.0</c:v>
                </c:pt>
                <c:pt idx="16">
                  <c:v>77600.0</c:v>
                </c:pt>
                <c:pt idx="17">
                  <c:v>46500.0</c:v>
                </c:pt>
                <c:pt idx="18">
                  <c:v>18100.0</c:v>
                </c:pt>
                <c:pt idx="19">
                  <c:v>59550.0</c:v>
                </c:pt>
                <c:pt idx="20">
                  <c:v>30230.0</c:v>
                </c:pt>
                <c:pt idx="21">
                  <c:v>67300.0</c:v>
                </c:pt>
                <c:pt idx="22">
                  <c:v>8992905.0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0291376"/>
        <c:axId val="420289808"/>
      </c:barChart>
      <c:lineChart>
        <c:grouping val="standard"/>
        <c:varyColors val="0"/>
        <c:ser>
          <c:idx val="2"/>
          <c:order val="2"/>
          <c:tx>
            <c:strRef>
              <c:f>'July 14th Sales Report'!$L$1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14th Sales Report'!$I$2:$I$24</c:f>
              <c:strCache>
                <c:ptCount val="23"/>
                <c:pt idx="0">
                  <c:v>Goldberg 60cl</c:v>
                </c:pt>
                <c:pt idx="1">
                  <c:v>Maltina Pet 33cl</c:v>
                </c:pt>
                <c:pt idx="2">
                  <c:v>Heineken Sleek Can</c:v>
                </c:pt>
                <c:pt idx="3">
                  <c:v>Amstel Can</c:v>
                </c:pt>
                <c:pt idx="4">
                  <c:v>ACE BITTERS</c:v>
                </c:pt>
                <c:pt idx="5">
                  <c:v>Maltina Can</c:v>
                </c:pt>
                <c:pt idx="6">
                  <c:v>33 Export 60cl</c:v>
                </c:pt>
                <c:pt idx="7">
                  <c:v>Heineken Bottle 60cl</c:v>
                </c:pt>
                <c:pt idx="8">
                  <c:v>Turbo King Bottle 60cl</c:v>
                </c:pt>
                <c:pt idx="9">
                  <c:v>Maltina Pet 50cl</c:v>
                </c:pt>
                <c:pt idx="10">
                  <c:v>Goldberg Can 50cl</c:v>
                </c:pt>
                <c:pt idx="11">
                  <c:v>Legend Can 44cl</c:v>
                </c:pt>
                <c:pt idx="12">
                  <c:v>TROPHY CAN</c:v>
                </c:pt>
                <c:pt idx="13">
                  <c:v>Desperados Can</c:v>
                </c:pt>
                <c:pt idx="14">
                  <c:v>Smirnoff Ice.</c:v>
                </c:pt>
                <c:pt idx="15">
                  <c:v>Trophy</c:v>
                </c:pt>
                <c:pt idx="16">
                  <c:v>Castle Lite</c:v>
                </c:pt>
                <c:pt idx="17">
                  <c:v>Tiger Bottle</c:v>
                </c:pt>
                <c:pt idx="18">
                  <c:v>Medium Stout</c:v>
                </c:pt>
                <c:pt idx="19">
                  <c:v>Gulder Bottle</c:v>
                </c:pt>
                <c:pt idx="20">
                  <c:v>Star Radler 45cl</c:v>
                </c:pt>
                <c:pt idx="21">
                  <c:v>Fayrouz Can</c:v>
                </c:pt>
                <c:pt idx="22">
                  <c:v>Grand Total</c:v>
                </c:pt>
              </c:strCache>
            </c:strRef>
          </c:cat>
          <c:val>
            <c:numRef>
              <c:f>'July 14th Sales Report'!$L$2:$L$24</c:f>
              <c:numCache>
                <c:formatCode>0%</c:formatCode>
                <c:ptCount val="23"/>
                <c:pt idx="0">
                  <c:v>0.188081604331415</c:v>
                </c:pt>
                <c:pt idx="1">
                  <c:v>0.288672014215651</c:v>
                </c:pt>
                <c:pt idx="2">
                  <c:v>0.028522485225853</c:v>
                </c:pt>
                <c:pt idx="3">
                  <c:v>0.00320919658330651</c:v>
                </c:pt>
                <c:pt idx="4">
                  <c:v>0.00229681065239764</c:v>
                </c:pt>
                <c:pt idx="5">
                  <c:v>0.00293564760219306</c:v>
                </c:pt>
                <c:pt idx="6">
                  <c:v>0.0883919045069419</c:v>
                </c:pt>
                <c:pt idx="7">
                  <c:v>0.120093006653579</c:v>
                </c:pt>
                <c:pt idx="8">
                  <c:v>0.0782350085984451</c:v>
                </c:pt>
                <c:pt idx="9">
                  <c:v>0.0107017698952674</c:v>
                </c:pt>
                <c:pt idx="10">
                  <c:v>0.00897652093511496</c:v>
                </c:pt>
                <c:pt idx="11">
                  <c:v>0.0070622340611849</c:v>
                </c:pt>
                <c:pt idx="12">
                  <c:v>0.00861234495416109</c:v>
                </c:pt>
                <c:pt idx="13">
                  <c:v>0.0151719605622432</c:v>
                </c:pt>
                <c:pt idx="14">
                  <c:v>0.112755555629688</c:v>
                </c:pt>
                <c:pt idx="15">
                  <c:v>0.00300236686587927</c:v>
                </c:pt>
                <c:pt idx="16">
                  <c:v>0.00862902477008264</c:v>
                </c:pt>
                <c:pt idx="17">
                  <c:v>0.00517074293568096</c:v>
                </c:pt>
                <c:pt idx="18">
                  <c:v>0.00201269778786721</c:v>
                </c:pt>
                <c:pt idx="19">
                  <c:v>0.00662188692085594</c:v>
                </c:pt>
                <c:pt idx="20">
                  <c:v>0.00336153890205668</c:v>
                </c:pt>
                <c:pt idx="21">
                  <c:v>0.0074836774101361</c:v>
                </c:pt>
                <c:pt idx="22">
                  <c:v>1.0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20286672"/>
        <c:axId val="420288632"/>
      </c:lineChart>
      <c:catAx>
        <c:axId val="4202913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20289808"/>
        <c:crosses val="autoZero"/>
        <c:auto val="1"/>
        <c:lblAlgn val="ctr"/>
        <c:lblOffset val="100"/>
        <c:noMultiLvlLbl val="0"/>
      </c:catAx>
      <c:valAx>
        <c:axId val="42028980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20291376"/>
        <c:crosses val="autoZero"/>
        <c:crossBetween val="between"/>
      </c:valAx>
      <c:catAx>
        <c:axId val="4202866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20288632"/>
        <c:crosses val="autoZero"/>
        <c:auto val="1"/>
        <c:lblAlgn val="ctr"/>
        <c:lblOffset val="100"/>
        <c:noMultiLvlLbl val="0"/>
      </c:catAx>
      <c:valAx>
        <c:axId val="42028863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2028667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Customer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14th Sales Report'!$J$26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14th Sales Report'!$I$27:$I$38</c:f>
              <c:strCache>
                <c:ptCount val="12"/>
                <c:pt idx="0">
                  <c:v>Staff Debit</c:v>
                </c:pt>
                <c:pt idx="1">
                  <c:v>Rita SR</c:v>
                </c:pt>
                <c:pt idx="2">
                  <c:v>Ameh Mathew</c:v>
                </c:pt>
                <c:pt idx="3">
                  <c:v>Solomon</c:v>
                </c:pt>
                <c:pt idx="4">
                  <c:v>Mr Godswill</c:v>
                </c:pt>
                <c:pt idx="5">
                  <c:v>Eniola Marketer</c:v>
                </c:pt>
                <c:pt idx="6">
                  <c:v>Jeff SR</c:v>
                </c:pt>
                <c:pt idx="7">
                  <c:v>Etigwam Nig Ltd</c:v>
                </c:pt>
                <c:pt idx="8">
                  <c:v>Walk in Customer</c:v>
                </c:pt>
                <c:pt idx="9">
                  <c:v>Y k BAR</c:v>
                </c:pt>
                <c:pt idx="10">
                  <c:v>Ahmed SR</c:v>
                </c:pt>
                <c:pt idx="11">
                  <c:v>Total</c:v>
                </c:pt>
              </c:strCache>
            </c:strRef>
          </c:cat>
          <c:val>
            <c:numRef>
              <c:f>'July 14th Sales Report'!$J$27:$J$38</c:f>
              <c:numCache>
                <c:formatCode>_(* #,##0_);_(* \(#,##0\);_(* \-??_);_(@_)</c:formatCode>
                <c:ptCount val="12"/>
                <c:pt idx="0">
                  <c:v>9200.0</c:v>
                </c:pt>
                <c:pt idx="1">
                  <c:v>1265000.0</c:v>
                </c:pt>
                <c:pt idx="2">
                  <c:v>1109040.0</c:v>
                </c:pt>
                <c:pt idx="3">
                  <c:v>100000.0</c:v>
                </c:pt>
                <c:pt idx="4">
                  <c:v>106000.0</c:v>
                </c:pt>
                <c:pt idx="5">
                  <c:v>835385.0</c:v>
                </c:pt>
                <c:pt idx="6">
                  <c:v>250000.0</c:v>
                </c:pt>
                <c:pt idx="7">
                  <c:v>4458140.0</c:v>
                </c:pt>
                <c:pt idx="8">
                  <c:v>314600.0</c:v>
                </c:pt>
                <c:pt idx="9">
                  <c:v>98040.0</c:v>
                </c:pt>
                <c:pt idx="10">
                  <c:v>447500.0</c:v>
                </c:pt>
                <c:pt idx="11">
                  <c:v>8992905.0</c:v>
                </c:pt>
              </c:numCache>
            </c:numRef>
          </c:val>
        </c:ser>
        <c:ser>
          <c:idx val="1"/>
          <c:order val="1"/>
          <c:tx>
            <c:strRef>
              <c:f>'July 14th Sales Report'!$K$26</c:f>
              <c:strCache>
                <c:ptCount val="1"/>
                <c:pt idx="0">
                  <c:v>% of Total 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14th Sales Report'!$I$27:$I$38</c:f>
              <c:strCache>
                <c:ptCount val="12"/>
                <c:pt idx="0">
                  <c:v>Staff Debit</c:v>
                </c:pt>
                <c:pt idx="1">
                  <c:v>Rita SR</c:v>
                </c:pt>
                <c:pt idx="2">
                  <c:v>Ameh Mathew</c:v>
                </c:pt>
                <c:pt idx="3">
                  <c:v>Solomon</c:v>
                </c:pt>
                <c:pt idx="4">
                  <c:v>Mr Godswill</c:v>
                </c:pt>
                <c:pt idx="5">
                  <c:v>Eniola Marketer</c:v>
                </c:pt>
                <c:pt idx="6">
                  <c:v>Jeff SR</c:v>
                </c:pt>
                <c:pt idx="7">
                  <c:v>Etigwam Nig Ltd</c:v>
                </c:pt>
                <c:pt idx="8">
                  <c:v>Walk in Customer</c:v>
                </c:pt>
                <c:pt idx="9">
                  <c:v>Y k BAR</c:v>
                </c:pt>
                <c:pt idx="10">
                  <c:v>Ahmed SR</c:v>
                </c:pt>
                <c:pt idx="11">
                  <c:v>Total</c:v>
                </c:pt>
              </c:strCache>
            </c:strRef>
          </c:cat>
          <c:val>
            <c:numRef>
              <c:f>'July 14th Sales Report'!$K$27:$K$38</c:f>
              <c:numCache>
                <c:formatCode>0%</c:formatCode>
                <c:ptCount val="12"/>
                <c:pt idx="0">
                  <c:v>0.00102302870985516</c:v>
                </c:pt>
                <c:pt idx="1">
                  <c:v>0.140666447605084</c:v>
                </c:pt>
                <c:pt idx="2">
                  <c:v>0.123323886997583</c:v>
                </c:pt>
                <c:pt idx="3">
                  <c:v>0.0111198772810343</c:v>
                </c:pt>
                <c:pt idx="4">
                  <c:v>0.0117870699178964</c:v>
                </c:pt>
                <c:pt idx="5">
                  <c:v>0.0928937868241686</c:v>
                </c:pt>
                <c:pt idx="6">
                  <c:v>0.0277996932025858</c:v>
                </c:pt>
                <c:pt idx="7">
                  <c:v>0.495739697016704</c:v>
                </c:pt>
                <c:pt idx="8">
                  <c:v>0.034983133926134</c:v>
                </c:pt>
                <c:pt idx="9">
                  <c:v>0.0109019276863261</c:v>
                </c:pt>
                <c:pt idx="10">
                  <c:v>0.0497614508326286</c:v>
                </c:pt>
                <c:pt idx="11">
                  <c:v>1.0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0298040"/>
        <c:axId val="420289416"/>
      </c:barChart>
      <c:lineChart>
        <c:grouping val="standard"/>
        <c:varyColors val="0"/>
        <c:ser>
          <c:idx val="2"/>
          <c:order val="2"/>
          <c:tx>
            <c:strRef>
              <c:f>'July 14th Sales Report'!$L$26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14th Sales Report'!$I$27:$I$38</c:f>
              <c:strCache>
                <c:ptCount val="12"/>
                <c:pt idx="0">
                  <c:v>Staff Debit</c:v>
                </c:pt>
                <c:pt idx="1">
                  <c:v>Rita SR</c:v>
                </c:pt>
                <c:pt idx="2">
                  <c:v>Ameh Mathew</c:v>
                </c:pt>
                <c:pt idx="3">
                  <c:v>Solomon</c:v>
                </c:pt>
                <c:pt idx="4">
                  <c:v>Mr Godswill</c:v>
                </c:pt>
                <c:pt idx="5">
                  <c:v>Eniola Marketer</c:v>
                </c:pt>
                <c:pt idx="6">
                  <c:v>Jeff SR</c:v>
                </c:pt>
                <c:pt idx="7">
                  <c:v>Etigwam Nig Ltd</c:v>
                </c:pt>
                <c:pt idx="8">
                  <c:v>Walk in Customer</c:v>
                </c:pt>
                <c:pt idx="9">
                  <c:v>Y k BAR</c:v>
                </c:pt>
                <c:pt idx="10">
                  <c:v>Ahmed SR</c:v>
                </c:pt>
                <c:pt idx="11">
                  <c:v>Total</c:v>
                </c:pt>
              </c:strCache>
            </c:strRef>
          </c:cat>
          <c:val>
            <c:numRef>
              <c:f>'July 14th Sales Report'!$L$27:$L$38</c:f>
              <c:numCache>
                <c:formatCode>0%</c:formatCode>
                <c:ptCount val="12"/>
                <c:pt idx="0">
                  <c:v>0.059</c:v>
                </c:pt>
                <c:pt idx="1">
                  <c:v>-0.04</c:v>
                </c:pt>
                <c:pt idx="2">
                  <c:v>0.037</c:v>
                </c:pt>
                <c:pt idx="3">
                  <c:v>-0.04</c:v>
                </c:pt>
                <c:pt idx="4">
                  <c:v>0.0189</c:v>
                </c:pt>
                <c:pt idx="5">
                  <c:v>0.0</c:v>
                </c:pt>
                <c:pt idx="6">
                  <c:v>-0.04</c:v>
                </c:pt>
                <c:pt idx="7">
                  <c:v>0.0628</c:v>
                </c:pt>
                <c:pt idx="8">
                  <c:v>0.0483</c:v>
                </c:pt>
                <c:pt idx="9">
                  <c:v>0.0887</c:v>
                </c:pt>
                <c:pt idx="10">
                  <c:v>-0.0126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20290984"/>
        <c:axId val="420290200"/>
      </c:lineChart>
      <c:catAx>
        <c:axId val="4202980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20289416"/>
        <c:crosses val="autoZero"/>
        <c:auto val="1"/>
        <c:lblAlgn val="ctr"/>
        <c:lblOffset val="100"/>
        <c:noMultiLvlLbl val="0"/>
      </c:catAx>
      <c:valAx>
        <c:axId val="42028941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20298040"/>
        <c:crosses val="autoZero"/>
        <c:crossBetween val="between"/>
      </c:valAx>
      <c:catAx>
        <c:axId val="4202909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20290200"/>
        <c:crosses val="autoZero"/>
        <c:auto val="1"/>
        <c:lblAlgn val="ctr"/>
        <c:lblOffset val="100"/>
        <c:noMultiLvlLbl val="0"/>
      </c:catAx>
      <c:valAx>
        <c:axId val="42029020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2029098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Invoice_No, Gross Profit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14th Sales Report'!$J$40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14th Sales Report'!$I$41:$I$54</c:f>
              <c:strCache>
                <c:ptCount val="14"/>
                <c:pt idx="0">
                  <c:v>ann-INV267</c:v>
                </c:pt>
                <c:pt idx="1">
                  <c:v>ann-INV268</c:v>
                </c:pt>
                <c:pt idx="2">
                  <c:v>ann-INV269</c:v>
                </c:pt>
                <c:pt idx="3">
                  <c:v>ann-INV270</c:v>
                </c:pt>
                <c:pt idx="4">
                  <c:v>ann-INV271</c:v>
                </c:pt>
                <c:pt idx="5">
                  <c:v>ann-INV272</c:v>
                </c:pt>
                <c:pt idx="6">
                  <c:v>ann-INV273</c:v>
                </c:pt>
                <c:pt idx="7">
                  <c:v>ann-INV274</c:v>
                </c:pt>
                <c:pt idx="8">
                  <c:v>Tayo-INV138</c:v>
                </c:pt>
                <c:pt idx="9">
                  <c:v>ann-INV275</c:v>
                </c:pt>
                <c:pt idx="10">
                  <c:v>ann-INV277</c:v>
                </c:pt>
                <c:pt idx="11">
                  <c:v>ann-INV278</c:v>
                </c:pt>
                <c:pt idx="12">
                  <c:v>ann-INV276</c:v>
                </c:pt>
                <c:pt idx="13">
                  <c:v>Total</c:v>
                </c:pt>
              </c:strCache>
            </c:strRef>
          </c:cat>
          <c:val>
            <c:numRef>
              <c:f>'July 14th Sales Report'!$J$41:$J$54</c:f>
              <c:numCache>
                <c:formatCode>_(* #,##0_);_(* \(#,##0\);_(* \-??_);_(@_)</c:formatCode>
                <c:ptCount val="14"/>
                <c:pt idx="0">
                  <c:v>9200.0</c:v>
                </c:pt>
                <c:pt idx="1">
                  <c:v>1265000.0</c:v>
                </c:pt>
                <c:pt idx="2">
                  <c:v>407415.0</c:v>
                </c:pt>
                <c:pt idx="3">
                  <c:v>394075.0</c:v>
                </c:pt>
                <c:pt idx="4">
                  <c:v>100000.0</c:v>
                </c:pt>
                <c:pt idx="5">
                  <c:v>106000.0</c:v>
                </c:pt>
                <c:pt idx="6">
                  <c:v>835385.0</c:v>
                </c:pt>
                <c:pt idx="7">
                  <c:v>250000.0</c:v>
                </c:pt>
                <c:pt idx="8">
                  <c:v>4538140.0</c:v>
                </c:pt>
                <c:pt idx="9">
                  <c:v>314600.0</c:v>
                </c:pt>
                <c:pt idx="10">
                  <c:v>439950.0</c:v>
                </c:pt>
                <c:pt idx="11">
                  <c:v>110040.0</c:v>
                </c:pt>
                <c:pt idx="12">
                  <c:v>447500.0</c:v>
                </c:pt>
                <c:pt idx="13">
                  <c:v>9217305.0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0294904"/>
        <c:axId val="420296472"/>
      </c:barChart>
      <c:lineChart>
        <c:grouping val="standard"/>
        <c:varyColors val="0"/>
        <c:ser>
          <c:idx val="1"/>
          <c:order val="1"/>
          <c:tx>
            <c:strRef>
              <c:f>'July 14th Sales Report'!$K$40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14th Sales Report'!$I$41:$I$54</c:f>
              <c:strCache>
                <c:ptCount val="14"/>
                <c:pt idx="0">
                  <c:v>ann-INV267</c:v>
                </c:pt>
                <c:pt idx="1">
                  <c:v>ann-INV268</c:v>
                </c:pt>
                <c:pt idx="2">
                  <c:v>ann-INV269</c:v>
                </c:pt>
                <c:pt idx="3">
                  <c:v>ann-INV270</c:v>
                </c:pt>
                <c:pt idx="4">
                  <c:v>ann-INV271</c:v>
                </c:pt>
                <c:pt idx="5">
                  <c:v>ann-INV272</c:v>
                </c:pt>
                <c:pt idx="6">
                  <c:v>ann-INV273</c:v>
                </c:pt>
                <c:pt idx="7">
                  <c:v>ann-INV274</c:v>
                </c:pt>
                <c:pt idx="8">
                  <c:v>Tayo-INV138</c:v>
                </c:pt>
                <c:pt idx="9">
                  <c:v>ann-INV275</c:v>
                </c:pt>
                <c:pt idx="10">
                  <c:v>ann-INV277</c:v>
                </c:pt>
                <c:pt idx="11">
                  <c:v>ann-INV278</c:v>
                </c:pt>
                <c:pt idx="12">
                  <c:v>ann-INV276</c:v>
                </c:pt>
                <c:pt idx="13">
                  <c:v>Total</c:v>
                </c:pt>
              </c:strCache>
            </c:strRef>
          </c:cat>
          <c:val>
            <c:numRef>
              <c:f>'July 14th Sales Report'!$K$41:$K$54</c:f>
              <c:numCache>
                <c:formatCode>0%</c:formatCode>
                <c:ptCount val="14"/>
                <c:pt idx="0">
                  <c:v>0.06</c:v>
                </c:pt>
                <c:pt idx="1">
                  <c:v>-0.04</c:v>
                </c:pt>
                <c:pt idx="2">
                  <c:v>0.01</c:v>
                </c:pt>
                <c:pt idx="3">
                  <c:v>0.05</c:v>
                </c:pt>
                <c:pt idx="4">
                  <c:v>-0.04</c:v>
                </c:pt>
                <c:pt idx="5">
                  <c:v>0.02</c:v>
                </c:pt>
                <c:pt idx="6">
                  <c:v>0.0</c:v>
                </c:pt>
                <c:pt idx="7">
                  <c:v>-0.04</c:v>
                </c:pt>
                <c:pt idx="8">
                  <c:v>0.06</c:v>
                </c:pt>
                <c:pt idx="9">
                  <c:v>0.05</c:v>
                </c:pt>
                <c:pt idx="10">
                  <c:v>0.05</c:v>
                </c:pt>
                <c:pt idx="11">
                  <c:v>0.09</c:v>
                </c:pt>
                <c:pt idx="12">
                  <c:v>-0.01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20295688"/>
        <c:axId val="420290592"/>
      </c:lineChart>
      <c:catAx>
        <c:axId val="4202949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20296472"/>
        <c:crosses val="autoZero"/>
        <c:auto val="1"/>
        <c:lblAlgn val="ctr"/>
        <c:lblOffset val="100"/>
        <c:noMultiLvlLbl val="0"/>
      </c:catAx>
      <c:valAx>
        <c:axId val="42029647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20294904"/>
        <c:crosses val="autoZero"/>
        <c:crossBetween val="between"/>
      </c:valAx>
      <c:catAx>
        <c:axId val="4202956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20290592"/>
        <c:crosses val="autoZero"/>
        <c:auto val="1"/>
        <c:lblAlgn val="ctr"/>
        <c:lblOffset val="100"/>
        <c:noMultiLvlLbl val="0"/>
      </c:catAx>
      <c:valAx>
        <c:axId val="42029059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2029568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Product revenueChart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15th Sales Report'!$J$1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15th Sales Report'!$I$2:$I$27</c:f>
              <c:strCache>
                <c:ptCount val="26"/>
                <c:pt idx="0">
                  <c:v>Desperados Bottle</c:v>
                </c:pt>
                <c:pt idx="1">
                  <c:v>Heineken Bottle 45cl</c:v>
                </c:pt>
                <c:pt idx="2">
                  <c:v>Heineken Bottle 60cl</c:v>
                </c:pt>
                <c:pt idx="3">
                  <c:v>Star Bottle 60cl</c:v>
                </c:pt>
                <c:pt idx="4">
                  <c:v>Maltina Pet 33cl</c:v>
                </c:pt>
                <c:pt idx="5">
                  <c:v>Maltina Pet 50cl</c:v>
                </c:pt>
                <c:pt idx="6">
                  <c:v>Legend 45cl</c:v>
                </c:pt>
                <c:pt idx="7">
                  <c:v>Legend Can 44cl</c:v>
                </c:pt>
                <c:pt idx="8">
                  <c:v>Goldberg Can 50cl</c:v>
                </c:pt>
                <c:pt idx="9">
                  <c:v>Goldberg Black 45cl</c:v>
                </c:pt>
                <c:pt idx="10">
                  <c:v>Desperados Can</c:v>
                </c:pt>
                <c:pt idx="11">
                  <c:v>Fayrouz Can</c:v>
                </c:pt>
                <c:pt idx="12">
                  <c:v>Amstel Can</c:v>
                </c:pt>
                <c:pt idx="13">
                  <c:v>Maltina Can</c:v>
                </c:pt>
                <c:pt idx="14">
                  <c:v>Heineken Can 50cl</c:v>
                </c:pt>
                <c:pt idx="15">
                  <c:v>Heineken Sleek Can</c:v>
                </c:pt>
                <c:pt idx="16">
                  <c:v>Chamdor 75cl</c:v>
                </c:pt>
                <c:pt idx="17">
                  <c:v>4th Street wine</c:v>
                </c:pt>
                <c:pt idx="18">
                  <c:v>Star Radler 45cl</c:v>
                </c:pt>
                <c:pt idx="19">
                  <c:v>ACE BITTERS</c:v>
                </c:pt>
                <c:pt idx="20">
                  <c:v>Amstel Bottle</c:v>
                </c:pt>
                <c:pt idx="21">
                  <c:v>Goldberg 60cl</c:v>
                </c:pt>
                <c:pt idx="22">
                  <c:v>33 Export 60cl</c:v>
                </c:pt>
                <c:pt idx="23">
                  <c:v>Turbo King Bottle 60cl</c:v>
                </c:pt>
                <c:pt idx="24">
                  <c:v>Trophy</c:v>
                </c:pt>
                <c:pt idx="25">
                  <c:v>Grand Total</c:v>
                </c:pt>
              </c:strCache>
            </c:strRef>
          </c:cat>
          <c:val>
            <c:numRef>
              <c:f>'July 15th Sales Report'!$J$2:$J$27</c:f>
              <c:numCache>
                <c:formatCode>General</c:formatCode>
                <c:ptCount val="26"/>
                <c:pt idx="0">
                  <c:v>5.0</c:v>
                </c:pt>
                <c:pt idx="1">
                  <c:v>20.0</c:v>
                </c:pt>
                <c:pt idx="2">
                  <c:v>18.0</c:v>
                </c:pt>
                <c:pt idx="3">
                  <c:v>5.0</c:v>
                </c:pt>
                <c:pt idx="4">
                  <c:v>100.0</c:v>
                </c:pt>
                <c:pt idx="5">
                  <c:v>20.0</c:v>
                </c:pt>
                <c:pt idx="6">
                  <c:v>10.0</c:v>
                </c:pt>
                <c:pt idx="7">
                  <c:v>10.0</c:v>
                </c:pt>
                <c:pt idx="8">
                  <c:v>10.0</c:v>
                </c:pt>
                <c:pt idx="9">
                  <c:v>10.0</c:v>
                </c:pt>
                <c:pt idx="10">
                  <c:v>5.0</c:v>
                </c:pt>
                <c:pt idx="11">
                  <c:v>50.0</c:v>
                </c:pt>
                <c:pt idx="12">
                  <c:v>11.0</c:v>
                </c:pt>
                <c:pt idx="13">
                  <c:v>51.0</c:v>
                </c:pt>
                <c:pt idx="14">
                  <c:v>10.0</c:v>
                </c:pt>
                <c:pt idx="15">
                  <c:v>10.0</c:v>
                </c:pt>
                <c:pt idx="16">
                  <c:v>2.0</c:v>
                </c:pt>
                <c:pt idx="17">
                  <c:v>2.0</c:v>
                </c:pt>
                <c:pt idx="18">
                  <c:v>5.0</c:v>
                </c:pt>
                <c:pt idx="19">
                  <c:v>1.0</c:v>
                </c:pt>
                <c:pt idx="20">
                  <c:v>1.0</c:v>
                </c:pt>
                <c:pt idx="21">
                  <c:v>3.0</c:v>
                </c:pt>
                <c:pt idx="22">
                  <c:v>3.0</c:v>
                </c:pt>
                <c:pt idx="23">
                  <c:v>1.0</c:v>
                </c:pt>
                <c:pt idx="24">
                  <c:v>1.0</c:v>
                </c:pt>
                <c:pt idx="25">
                  <c:v>364.0</c:v>
                </c:pt>
              </c:numCache>
            </c:numRef>
          </c:val>
        </c:ser>
        <c:ser>
          <c:idx val="1"/>
          <c:order val="1"/>
          <c:tx>
            <c:strRef>
              <c:f>'July 15th Sales Report'!$K$1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15th Sales Report'!$I$2:$I$27</c:f>
              <c:strCache>
                <c:ptCount val="26"/>
                <c:pt idx="0">
                  <c:v>Desperados Bottle</c:v>
                </c:pt>
                <c:pt idx="1">
                  <c:v>Heineken Bottle 45cl</c:v>
                </c:pt>
                <c:pt idx="2">
                  <c:v>Heineken Bottle 60cl</c:v>
                </c:pt>
                <c:pt idx="3">
                  <c:v>Star Bottle 60cl</c:v>
                </c:pt>
                <c:pt idx="4">
                  <c:v>Maltina Pet 33cl</c:v>
                </c:pt>
                <c:pt idx="5">
                  <c:v>Maltina Pet 50cl</c:v>
                </c:pt>
                <c:pt idx="6">
                  <c:v>Legend 45cl</c:v>
                </c:pt>
                <c:pt idx="7">
                  <c:v>Legend Can 44cl</c:v>
                </c:pt>
                <c:pt idx="8">
                  <c:v>Goldberg Can 50cl</c:v>
                </c:pt>
                <c:pt idx="9">
                  <c:v>Goldberg Black 45cl</c:v>
                </c:pt>
                <c:pt idx="10">
                  <c:v>Desperados Can</c:v>
                </c:pt>
                <c:pt idx="11">
                  <c:v>Fayrouz Can</c:v>
                </c:pt>
                <c:pt idx="12">
                  <c:v>Amstel Can</c:v>
                </c:pt>
                <c:pt idx="13">
                  <c:v>Maltina Can</c:v>
                </c:pt>
                <c:pt idx="14">
                  <c:v>Heineken Can 50cl</c:v>
                </c:pt>
                <c:pt idx="15">
                  <c:v>Heineken Sleek Can</c:v>
                </c:pt>
                <c:pt idx="16">
                  <c:v>Chamdor 75cl</c:v>
                </c:pt>
                <c:pt idx="17">
                  <c:v>4th Street wine</c:v>
                </c:pt>
                <c:pt idx="18">
                  <c:v>Star Radler 45cl</c:v>
                </c:pt>
                <c:pt idx="19">
                  <c:v>ACE BITTERS</c:v>
                </c:pt>
                <c:pt idx="20">
                  <c:v>Amstel Bottle</c:v>
                </c:pt>
                <c:pt idx="21">
                  <c:v>Goldberg 60cl</c:v>
                </c:pt>
                <c:pt idx="22">
                  <c:v>33 Export 60cl</c:v>
                </c:pt>
                <c:pt idx="23">
                  <c:v>Turbo King Bottle 60cl</c:v>
                </c:pt>
                <c:pt idx="24">
                  <c:v>Trophy</c:v>
                </c:pt>
                <c:pt idx="25">
                  <c:v>Grand Total</c:v>
                </c:pt>
              </c:strCache>
            </c:strRef>
          </c:cat>
          <c:val>
            <c:numRef>
              <c:f>'July 15th Sales Report'!$K$2:$K$27</c:f>
              <c:numCache>
                <c:formatCode>_(* #,##0_);_(* \(#,##0\);_(* \-??_);_(@_)</c:formatCode>
                <c:ptCount val="26"/>
                <c:pt idx="0">
                  <c:v>107425.0</c:v>
                </c:pt>
                <c:pt idx="1">
                  <c:v>356800.0</c:v>
                </c:pt>
                <c:pt idx="2">
                  <c:v>240000.0</c:v>
                </c:pt>
                <c:pt idx="3">
                  <c:v>58000.0</c:v>
                </c:pt>
                <c:pt idx="4">
                  <c:v>535850.0</c:v>
                </c:pt>
                <c:pt idx="5">
                  <c:v>160400.0</c:v>
                </c:pt>
                <c:pt idx="6">
                  <c:v>159450.0</c:v>
                </c:pt>
                <c:pt idx="7">
                  <c:v>211700.0</c:v>
                </c:pt>
                <c:pt idx="8">
                  <c:v>161450.0</c:v>
                </c:pt>
                <c:pt idx="9">
                  <c:v>141450.0</c:v>
                </c:pt>
                <c:pt idx="10">
                  <c:v>113700.0</c:v>
                </c:pt>
                <c:pt idx="11">
                  <c:v>673000.0</c:v>
                </c:pt>
                <c:pt idx="12">
                  <c:v>158730.0</c:v>
                </c:pt>
                <c:pt idx="13">
                  <c:v>709400.0</c:v>
                </c:pt>
                <c:pt idx="14">
                  <c:v>237700.0</c:v>
                </c:pt>
                <c:pt idx="15">
                  <c:v>178450.0</c:v>
                </c:pt>
                <c:pt idx="16">
                  <c:v>56890.0</c:v>
                </c:pt>
                <c:pt idx="17">
                  <c:v>48370.0</c:v>
                </c:pt>
                <c:pt idx="18">
                  <c:v>75575.0</c:v>
                </c:pt>
                <c:pt idx="19">
                  <c:v>20655.0</c:v>
                </c:pt>
                <c:pt idx="20">
                  <c:v>14450.0</c:v>
                </c:pt>
                <c:pt idx="21">
                  <c:v>27600.0</c:v>
                </c:pt>
                <c:pt idx="22">
                  <c:v>27600.0</c:v>
                </c:pt>
                <c:pt idx="23">
                  <c:v>9200.0</c:v>
                </c:pt>
                <c:pt idx="24">
                  <c:v>9000.0</c:v>
                </c:pt>
                <c:pt idx="25">
                  <c:v>4492845.0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0291768"/>
        <c:axId val="420287456"/>
      </c:barChart>
      <c:lineChart>
        <c:grouping val="standard"/>
        <c:varyColors val="0"/>
        <c:ser>
          <c:idx val="2"/>
          <c:order val="2"/>
          <c:tx>
            <c:strRef>
              <c:f>'July 15th Sales Report'!$L$1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15th Sales Report'!$I$2:$I$27</c:f>
              <c:strCache>
                <c:ptCount val="26"/>
                <c:pt idx="0">
                  <c:v>Desperados Bottle</c:v>
                </c:pt>
                <c:pt idx="1">
                  <c:v>Heineken Bottle 45cl</c:v>
                </c:pt>
                <c:pt idx="2">
                  <c:v>Heineken Bottle 60cl</c:v>
                </c:pt>
                <c:pt idx="3">
                  <c:v>Star Bottle 60cl</c:v>
                </c:pt>
                <c:pt idx="4">
                  <c:v>Maltina Pet 33cl</c:v>
                </c:pt>
                <c:pt idx="5">
                  <c:v>Maltina Pet 50cl</c:v>
                </c:pt>
                <c:pt idx="6">
                  <c:v>Legend 45cl</c:v>
                </c:pt>
                <c:pt idx="7">
                  <c:v>Legend Can 44cl</c:v>
                </c:pt>
                <c:pt idx="8">
                  <c:v>Goldberg Can 50cl</c:v>
                </c:pt>
                <c:pt idx="9">
                  <c:v>Goldberg Black 45cl</c:v>
                </c:pt>
                <c:pt idx="10">
                  <c:v>Desperados Can</c:v>
                </c:pt>
                <c:pt idx="11">
                  <c:v>Fayrouz Can</c:v>
                </c:pt>
                <c:pt idx="12">
                  <c:v>Amstel Can</c:v>
                </c:pt>
                <c:pt idx="13">
                  <c:v>Maltina Can</c:v>
                </c:pt>
                <c:pt idx="14">
                  <c:v>Heineken Can 50cl</c:v>
                </c:pt>
                <c:pt idx="15">
                  <c:v>Heineken Sleek Can</c:v>
                </c:pt>
                <c:pt idx="16">
                  <c:v>Chamdor 75cl</c:v>
                </c:pt>
                <c:pt idx="17">
                  <c:v>4th Street wine</c:v>
                </c:pt>
                <c:pt idx="18">
                  <c:v>Star Radler 45cl</c:v>
                </c:pt>
                <c:pt idx="19">
                  <c:v>ACE BITTERS</c:v>
                </c:pt>
                <c:pt idx="20">
                  <c:v>Amstel Bottle</c:v>
                </c:pt>
                <c:pt idx="21">
                  <c:v>Goldberg 60cl</c:v>
                </c:pt>
                <c:pt idx="22">
                  <c:v>33 Export 60cl</c:v>
                </c:pt>
                <c:pt idx="23">
                  <c:v>Turbo King Bottle 60cl</c:v>
                </c:pt>
                <c:pt idx="24">
                  <c:v>Trophy</c:v>
                </c:pt>
                <c:pt idx="25">
                  <c:v>Grand Total</c:v>
                </c:pt>
              </c:strCache>
            </c:strRef>
          </c:cat>
          <c:val>
            <c:numRef>
              <c:f>'July 15th Sales Report'!$L$2:$L$27</c:f>
              <c:numCache>
                <c:formatCode>0%</c:formatCode>
                <c:ptCount val="26"/>
                <c:pt idx="0">
                  <c:v>0.023910239503032</c:v>
                </c:pt>
                <c:pt idx="1">
                  <c:v>0.0794151589916857</c:v>
                </c:pt>
                <c:pt idx="2">
                  <c:v>0.0534182683800576</c:v>
                </c:pt>
                <c:pt idx="3">
                  <c:v>0.0129094148585139</c:v>
                </c:pt>
                <c:pt idx="4">
                  <c:v>0.119267412964391</c:v>
                </c:pt>
                <c:pt idx="5">
                  <c:v>0.0357012093673385</c:v>
                </c:pt>
                <c:pt idx="6">
                  <c:v>0.0354897620550008</c:v>
                </c:pt>
                <c:pt idx="7">
                  <c:v>0.0471193642335758</c:v>
                </c:pt>
                <c:pt idx="8">
                  <c:v>0.0359349142915013</c:v>
                </c:pt>
                <c:pt idx="9">
                  <c:v>0.0314833919264965</c:v>
                </c:pt>
                <c:pt idx="10">
                  <c:v>0.0253069046450523</c:v>
                </c:pt>
                <c:pt idx="11">
                  <c:v>0.149793727582412</c:v>
                </c:pt>
                <c:pt idx="12">
                  <c:v>0.0353295072498606</c:v>
                </c:pt>
                <c:pt idx="13">
                  <c:v>0.15789549828672</c:v>
                </c:pt>
                <c:pt idx="14">
                  <c:v>0.0529063433080821</c:v>
                </c:pt>
                <c:pt idx="15">
                  <c:v>0.0397187083017554</c:v>
                </c:pt>
                <c:pt idx="16">
                  <c:v>0.0126623553672562</c:v>
                </c:pt>
                <c:pt idx="17">
                  <c:v>0.0107660068397641</c:v>
                </c:pt>
                <c:pt idx="18">
                  <c:v>0.0168211901367619</c:v>
                </c:pt>
                <c:pt idx="19">
                  <c:v>0.00459730972245871</c:v>
                </c:pt>
                <c:pt idx="20">
                  <c:v>0.00321622490871597</c:v>
                </c:pt>
                <c:pt idx="21">
                  <c:v>0.00614310086370663</c:v>
                </c:pt>
                <c:pt idx="22">
                  <c:v>0.00614310086370663</c:v>
                </c:pt>
                <c:pt idx="23">
                  <c:v>0.00204770028790221</c:v>
                </c:pt>
                <c:pt idx="24">
                  <c:v>0.00200318506425216</c:v>
                </c:pt>
                <c:pt idx="25">
                  <c:v>1.0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20292160"/>
        <c:axId val="420288240"/>
      </c:lineChart>
      <c:catAx>
        <c:axId val="4202917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20287456"/>
        <c:crosses val="autoZero"/>
        <c:auto val="1"/>
        <c:lblAlgn val="ctr"/>
        <c:lblOffset val="100"/>
        <c:noMultiLvlLbl val="0"/>
      </c:catAx>
      <c:valAx>
        <c:axId val="42028745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20291768"/>
        <c:crosses val="autoZero"/>
        <c:crossBetween val="between"/>
      </c:valAx>
      <c:catAx>
        <c:axId val="4202921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20288240"/>
        <c:crosses val="autoZero"/>
        <c:auto val="1"/>
        <c:lblAlgn val="ctr"/>
        <c:lblOffset val="100"/>
        <c:noMultiLvlLbl val="0"/>
      </c:catAx>
      <c:valAx>
        <c:axId val="42028824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2029216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Customer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15th Sales Report'!$J$29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15th Sales Report'!$I$30:$I$35</c:f>
              <c:strCache>
                <c:ptCount val="6"/>
                <c:pt idx="0">
                  <c:v>ATW</c:v>
                </c:pt>
                <c:pt idx="1">
                  <c:v>Mr Godswill</c:v>
                </c:pt>
                <c:pt idx="2">
                  <c:v>Jeff SR</c:v>
                </c:pt>
                <c:pt idx="3">
                  <c:v>Eniola Marketer</c:v>
                </c:pt>
                <c:pt idx="4">
                  <c:v>Walk in Customer</c:v>
                </c:pt>
                <c:pt idx="5">
                  <c:v>Total</c:v>
                </c:pt>
              </c:strCache>
            </c:strRef>
          </c:cat>
          <c:val>
            <c:numRef>
              <c:f>'July 15th Sales Report'!$J$30:$J$35</c:f>
              <c:numCache>
                <c:formatCode>_(* #,##0_);_(* \(#,##0\);_(* \-??_);_(@_)</c:formatCode>
                <c:ptCount val="6"/>
                <c:pt idx="0">
                  <c:v>3731320.0</c:v>
                </c:pt>
                <c:pt idx="1">
                  <c:v>20655.0</c:v>
                </c:pt>
                <c:pt idx="2">
                  <c:v>87120.0</c:v>
                </c:pt>
                <c:pt idx="3">
                  <c:v>613000.0</c:v>
                </c:pt>
                <c:pt idx="4">
                  <c:v>40750.0</c:v>
                </c:pt>
                <c:pt idx="5">
                  <c:v>4492845.0</c:v>
                </c:pt>
              </c:numCache>
            </c:numRef>
          </c:val>
        </c:ser>
        <c:ser>
          <c:idx val="1"/>
          <c:order val="1"/>
          <c:tx>
            <c:strRef>
              <c:f>'July 15th Sales Report'!$K$29</c:f>
              <c:strCache>
                <c:ptCount val="1"/>
                <c:pt idx="0">
                  <c:v>% of Total 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15th Sales Report'!$I$30:$I$35</c:f>
              <c:strCache>
                <c:ptCount val="6"/>
                <c:pt idx="0">
                  <c:v>ATW</c:v>
                </c:pt>
                <c:pt idx="1">
                  <c:v>Mr Godswill</c:v>
                </c:pt>
                <c:pt idx="2">
                  <c:v>Jeff SR</c:v>
                </c:pt>
                <c:pt idx="3">
                  <c:v>Eniola Marketer</c:v>
                </c:pt>
                <c:pt idx="4">
                  <c:v>Walk in Customer</c:v>
                </c:pt>
                <c:pt idx="5">
                  <c:v>Total</c:v>
                </c:pt>
              </c:strCache>
            </c:strRef>
          </c:cat>
          <c:val>
            <c:numRef>
              <c:f>'July 15th Sales Report'!$K$30:$K$35</c:f>
              <c:numCache>
                <c:formatCode>0%</c:formatCode>
                <c:ptCount val="6"/>
                <c:pt idx="0">
                  <c:v>0.830502721549486</c:v>
                </c:pt>
                <c:pt idx="1">
                  <c:v>0.00459730972245871</c:v>
                </c:pt>
                <c:pt idx="2">
                  <c:v>0.0193908314219609</c:v>
                </c:pt>
                <c:pt idx="3">
                  <c:v>0.136439160487397</c:v>
                </c:pt>
                <c:pt idx="4">
                  <c:v>0.00906997681869728</c:v>
                </c:pt>
                <c:pt idx="5">
                  <c:v>1.0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0293728"/>
        <c:axId val="420294120"/>
      </c:barChart>
      <c:lineChart>
        <c:grouping val="standard"/>
        <c:varyColors val="0"/>
        <c:ser>
          <c:idx val="2"/>
          <c:order val="2"/>
          <c:tx>
            <c:strRef>
              <c:f>'July 15th Sales Report'!$L$29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15th Sales Report'!$I$30:$I$35</c:f>
              <c:strCache>
                <c:ptCount val="6"/>
                <c:pt idx="0">
                  <c:v>ATW</c:v>
                </c:pt>
                <c:pt idx="1">
                  <c:v>Mr Godswill</c:v>
                </c:pt>
                <c:pt idx="2">
                  <c:v>Jeff SR</c:v>
                </c:pt>
                <c:pt idx="3">
                  <c:v>Eniola Marketer</c:v>
                </c:pt>
                <c:pt idx="4">
                  <c:v>Walk in Customer</c:v>
                </c:pt>
                <c:pt idx="5">
                  <c:v>Total</c:v>
                </c:pt>
              </c:strCache>
            </c:strRef>
          </c:cat>
          <c:val>
            <c:numRef>
              <c:f>'July 15th Sales Report'!$L$30:$L$35</c:f>
              <c:numCache>
                <c:formatCode>0%</c:formatCode>
                <c:ptCount val="6"/>
                <c:pt idx="0">
                  <c:v>0.0713</c:v>
                </c:pt>
                <c:pt idx="1">
                  <c:v>0.0654</c:v>
                </c:pt>
                <c:pt idx="2">
                  <c:v>0.0462</c:v>
                </c:pt>
                <c:pt idx="3">
                  <c:v>-0.0343</c:v>
                </c:pt>
                <c:pt idx="4">
                  <c:v>0.0548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20295296"/>
        <c:axId val="420296080"/>
      </c:lineChart>
      <c:catAx>
        <c:axId val="4202937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20294120"/>
        <c:crosses val="autoZero"/>
        <c:auto val="1"/>
        <c:lblAlgn val="ctr"/>
        <c:lblOffset val="100"/>
        <c:noMultiLvlLbl val="0"/>
      </c:catAx>
      <c:valAx>
        <c:axId val="42029412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20293728"/>
        <c:crosses val="autoZero"/>
        <c:crossBetween val="between"/>
      </c:valAx>
      <c:catAx>
        <c:axId val="4202952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20296080"/>
        <c:crosses val="autoZero"/>
        <c:auto val="1"/>
        <c:lblAlgn val="ctr"/>
        <c:lblOffset val="100"/>
        <c:noMultiLvlLbl val="0"/>
      </c:catAx>
      <c:valAx>
        <c:axId val="42029608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2029529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Invoice_No, Gross Profit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15th Sales Report'!$J$37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15th Sales Report'!$I$38:$I$43</c:f>
              <c:strCache>
                <c:ptCount val="6"/>
                <c:pt idx="0">
                  <c:v>Tayo-INV139</c:v>
                </c:pt>
                <c:pt idx="1">
                  <c:v>ann-INV279</c:v>
                </c:pt>
                <c:pt idx="2">
                  <c:v>ann-INV280</c:v>
                </c:pt>
                <c:pt idx="3">
                  <c:v>ann-INV281</c:v>
                </c:pt>
                <c:pt idx="4">
                  <c:v>ann-INV282</c:v>
                </c:pt>
                <c:pt idx="5">
                  <c:v>Total</c:v>
                </c:pt>
              </c:strCache>
            </c:strRef>
          </c:cat>
          <c:val>
            <c:numRef>
              <c:f>'July 15th Sales Report'!$J$38:$J$43</c:f>
              <c:numCache>
                <c:formatCode>_(* #,##0_);_(* \(#,##0\);_(* \-??_);_(@_)</c:formatCode>
                <c:ptCount val="6"/>
                <c:pt idx="0">
                  <c:v>3865320.0</c:v>
                </c:pt>
                <c:pt idx="1">
                  <c:v>20655.0</c:v>
                </c:pt>
                <c:pt idx="2">
                  <c:v>87120.0</c:v>
                </c:pt>
                <c:pt idx="3">
                  <c:v>613000.0</c:v>
                </c:pt>
                <c:pt idx="4">
                  <c:v>40750.0</c:v>
                </c:pt>
                <c:pt idx="5">
                  <c:v>4626845.0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0298824"/>
        <c:axId val="420287064"/>
      </c:barChart>
      <c:lineChart>
        <c:grouping val="standard"/>
        <c:varyColors val="0"/>
        <c:ser>
          <c:idx val="1"/>
          <c:order val="1"/>
          <c:tx>
            <c:strRef>
              <c:f>'July 15th Sales Report'!$K$37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'July 15th Sales Report'!$I$38:$I$43</c:f>
              <c:strCache>
                <c:ptCount val="6"/>
                <c:pt idx="0">
                  <c:v>Tayo-INV139</c:v>
                </c:pt>
                <c:pt idx="1">
                  <c:v>ann-INV279</c:v>
                </c:pt>
                <c:pt idx="2">
                  <c:v>ann-INV280</c:v>
                </c:pt>
                <c:pt idx="3">
                  <c:v>ann-INV281</c:v>
                </c:pt>
                <c:pt idx="4">
                  <c:v>ann-INV282</c:v>
                </c:pt>
                <c:pt idx="5">
                  <c:v>Total</c:v>
                </c:pt>
              </c:strCache>
            </c:strRef>
          </c:cat>
          <c:val>
            <c:numRef>
              <c:f>'July 15th Sales Report'!$K$38:$K$43</c:f>
              <c:numCache>
                <c:formatCode>0%</c:formatCode>
                <c:ptCount val="6"/>
                <c:pt idx="0">
                  <c:v>0.07</c:v>
                </c:pt>
                <c:pt idx="1">
                  <c:v>0.07</c:v>
                </c:pt>
                <c:pt idx="2">
                  <c:v>0.05</c:v>
                </c:pt>
                <c:pt idx="3">
                  <c:v>-0.03</c:v>
                </c:pt>
                <c:pt idx="4">
                  <c:v>0.05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20301176"/>
        <c:axId val="420300784"/>
      </c:lineChart>
      <c:catAx>
        <c:axId val="4202988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20287064"/>
        <c:crosses val="autoZero"/>
        <c:auto val="1"/>
        <c:lblAlgn val="ctr"/>
        <c:lblOffset val="100"/>
        <c:noMultiLvlLbl val="0"/>
      </c:catAx>
      <c:valAx>
        <c:axId val="42028706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20298824"/>
        <c:crosses val="autoZero"/>
        <c:crossBetween val="between"/>
      </c:valAx>
      <c:catAx>
        <c:axId val="4203011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20300784"/>
        <c:crosses val="autoZero"/>
        <c:auto val="1"/>
        <c:lblAlgn val="ctr"/>
        <c:lblOffset val="100"/>
        <c:noMultiLvlLbl val="0"/>
      </c:catAx>
      <c:valAx>
        <c:axId val="420300784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2030117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Product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16th Sales Report'!$J$1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16th Sales Report'!$I$2:$I$15</c:f>
              <c:strCache>
                <c:ptCount val="14"/>
                <c:pt idx="0">
                  <c:v>Desperados Can</c:v>
                </c:pt>
                <c:pt idx="1">
                  <c:v>CLIMAX CAN</c:v>
                </c:pt>
                <c:pt idx="2">
                  <c:v>Maltina Pet 33cl</c:v>
                </c:pt>
                <c:pt idx="3">
                  <c:v>Goldberg Can 50cl</c:v>
                </c:pt>
                <c:pt idx="4">
                  <c:v>Heineken Sleek Can</c:v>
                </c:pt>
                <c:pt idx="5">
                  <c:v>33 Export Can</c:v>
                </c:pt>
                <c:pt idx="6">
                  <c:v>Maltina Can</c:v>
                </c:pt>
                <c:pt idx="7">
                  <c:v>Fayrouz Can</c:v>
                </c:pt>
                <c:pt idx="8">
                  <c:v>Goldberg 60cl</c:v>
                </c:pt>
                <c:pt idx="9">
                  <c:v>Trophy</c:v>
                </c:pt>
                <c:pt idx="10">
                  <c:v>33 Export 60cl</c:v>
                </c:pt>
                <c:pt idx="11">
                  <c:v>Heineken Bottle 60cl</c:v>
                </c:pt>
                <c:pt idx="12">
                  <c:v>Star Bottle 60cl</c:v>
                </c:pt>
                <c:pt idx="13">
                  <c:v>Grand Total</c:v>
                </c:pt>
              </c:strCache>
            </c:strRef>
          </c:cat>
          <c:val>
            <c:numRef>
              <c:f>'July 16th Sales Report'!$J$2:$J$15</c:f>
              <c:numCache>
                <c:formatCode>General</c:formatCode>
                <c:ptCount val="14"/>
                <c:pt idx="0">
                  <c:v>5.0</c:v>
                </c:pt>
                <c:pt idx="1">
                  <c:v>5.0</c:v>
                </c:pt>
                <c:pt idx="2">
                  <c:v>104.0</c:v>
                </c:pt>
                <c:pt idx="3">
                  <c:v>30.0</c:v>
                </c:pt>
                <c:pt idx="4">
                  <c:v>15.0</c:v>
                </c:pt>
                <c:pt idx="5">
                  <c:v>25.0</c:v>
                </c:pt>
                <c:pt idx="6">
                  <c:v>20.0</c:v>
                </c:pt>
                <c:pt idx="7">
                  <c:v>1.0</c:v>
                </c:pt>
                <c:pt idx="8">
                  <c:v>28.0</c:v>
                </c:pt>
                <c:pt idx="9">
                  <c:v>26.0</c:v>
                </c:pt>
                <c:pt idx="10">
                  <c:v>6.0</c:v>
                </c:pt>
                <c:pt idx="11">
                  <c:v>1.0</c:v>
                </c:pt>
                <c:pt idx="12">
                  <c:v>1.0</c:v>
                </c:pt>
                <c:pt idx="13">
                  <c:v>267.0</c:v>
                </c:pt>
              </c:numCache>
            </c:numRef>
          </c:val>
        </c:ser>
        <c:ser>
          <c:idx val="1"/>
          <c:order val="1"/>
          <c:tx>
            <c:strRef>
              <c:f>'July 16th Sales Report'!$K$1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16th Sales Report'!$I$2:$I$15</c:f>
              <c:strCache>
                <c:ptCount val="14"/>
                <c:pt idx="0">
                  <c:v>Desperados Can</c:v>
                </c:pt>
                <c:pt idx="1">
                  <c:v>CLIMAX CAN</c:v>
                </c:pt>
                <c:pt idx="2">
                  <c:v>Maltina Pet 33cl</c:v>
                </c:pt>
                <c:pt idx="3">
                  <c:v>Goldberg Can 50cl</c:v>
                </c:pt>
                <c:pt idx="4">
                  <c:v>Heineken Sleek Can</c:v>
                </c:pt>
                <c:pt idx="5">
                  <c:v>33 Export Can</c:v>
                </c:pt>
                <c:pt idx="6">
                  <c:v>Maltina Can</c:v>
                </c:pt>
                <c:pt idx="7">
                  <c:v>Fayrouz Can</c:v>
                </c:pt>
                <c:pt idx="8">
                  <c:v>Goldberg 60cl</c:v>
                </c:pt>
                <c:pt idx="9">
                  <c:v>Trophy</c:v>
                </c:pt>
                <c:pt idx="10">
                  <c:v>33 Export 60cl</c:v>
                </c:pt>
                <c:pt idx="11">
                  <c:v>Heineken Bottle 60cl</c:v>
                </c:pt>
                <c:pt idx="12">
                  <c:v>Star Bottle 60cl</c:v>
                </c:pt>
                <c:pt idx="13">
                  <c:v>Grand Total</c:v>
                </c:pt>
              </c:strCache>
            </c:strRef>
          </c:cat>
          <c:val>
            <c:numRef>
              <c:f>'July 16th Sales Report'!$K$2:$K$15</c:f>
              <c:numCache>
                <c:formatCode>_(* #,##0_);_(* \(#,##0\);_(* \-??_);_(@_)</c:formatCode>
                <c:ptCount val="14"/>
                <c:pt idx="0">
                  <c:v>113700.0</c:v>
                </c:pt>
                <c:pt idx="1">
                  <c:v>64425.0</c:v>
                </c:pt>
                <c:pt idx="2">
                  <c:v>521200.0</c:v>
                </c:pt>
                <c:pt idx="3">
                  <c:v>469650.0</c:v>
                </c:pt>
                <c:pt idx="4">
                  <c:v>258000.0</c:v>
                </c:pt>
                <c:pt idx="5">
                  <c:v>391375.0</c:v>
                </c:pt>
                <c:pt idx="6">
                  <c:v>258000.0</c:v>
                </c:pt>
                <c:pt idx="7">
                  <c:v>13460.0</c:v>
                </c:pt>
                <c:pt idx="8">
                  <c:v>257600.0</c:v>
                </c:pt>
                <c:pt idx="9">
                  <c:v>214000.0</c:v>
                </c:pt>
                <c:pt idx="10">
                  <c:v>55500.0</c:v>
                </c:pt>
                <c:pt idx="11">
                  <c:v>13350.0</c:v>
                </c:pt>
                <c:pt idx="12">
                  <c:v>11600.0</c:v>
                </c:pt>
                <c:pt idx="13">
                  <c:v>2641860.0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0299608"/>
        <c:axId val="420300000"/>
      </c:barChart>
      <c:lineChart>
        <c:grouping val="standard"/>
        <c:varyColors val="0"/>
        <c:ser>
          <c:idx val="2"/>
          <c:order val="2"/>
          <c:tx>
            <c:strRef>
              <c:f>'July 16th Sales Report'!$L$1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16th Sales Report'!$I$2:$I$15</c:f>
              <c:strCache>
                <c:ptCount val="14"/>
                <c:pt idx="0">
                  <c:v>Desperados Can</c:v>
                </c:pt>
                <c:pt idx="1">
                  <c:v>CLIMAX CAN</c:v>
                </c:pt>
                <c:pt idx="2">
                  <c:v>Maltina Pet 33cl</c:v>
                </c:pt>
                <c:pt idx="3">
                  <c:v>Goldberg Can 50cl</c:v>
                </c:pt>
                <c:pt idx="4">
                  <c:v>Heineken Sleek Can</c:v>
                </c:pt>
                <c:pt idx="5">
                  <c:v>33 Export Can</c:v>
                </c:pt>
                <c:pt idx="6">
                  <c:v>Maltina Can</c:v>
                </c:pt>
                <c:pt idx="7">
                  <c:v>Fayrouz Can</c:v>
                </c:pt>
                <c:pt idx="8">
                  <c:v>Goldberg 60cl</c:v>
                </c:pt>
                <c:pt idx="9">
                  <c:v>Trophy</c:v>
                </c:pt>
                <c:pt idx="10">
                  <c:v>33 Export 60cl</c:v>
                </c:pt>
                <c:pt idx="11">
                  <c:v>Heineken Bottle 60cl</c:v>
                </c:pt>
                <c:pt idx="12">
                  <c:v>Star Bottle 60cl</c:v>
                </c:pt>
                <c:pt idx="13">
                  <c:v>Grand Total</c:v>
                </c:pt>
              </c:strCache>
            </c:strRef>
          </c:cat>
          <c:val>
            <c:numRef>
              <c:f>'July 16th Sales Report'!$L$2:$L$15</c:f>
              <c:numCache>
                <c:formatCode>0%</c:formatCode>
                <c:ptCount val="14"/>
                <c:pt idx="0">
                  <c:v>0.043037859689764</c:v>
                </c:pt>
                <c:pt idx="1">
                  <c:v>0.0243862278848993</c:v>
                </c:pt>
                <c:pt idx="2">
                  <c:v>0.197285246000924</c:v>
                </c:pt>
                <c:pt idx="3">
                  <c:v>0.17777247848107</c:v>
                </c:pt>
                <c:pt idx="4">
                  <c:v>0.0976584678976176</c:v>
                </c:pt>
                <c:pt idx="5">
                  <c:v>0.148143732067558</c:v>
                </c:pt>
                <c:pt idx="6">
                  <c:v>0.0976584678976176</c:v>
                </c:pt>
                <c:pt idx="7">
                  <c:v>0.00509489526318579</c:v>
                </c:pt>
                <c:pt idx="8">
                  <c:v>0.0975070594202569</c:v>
                </c:pt>
                <c:pt idx="9">
                  <c:v>0.0810035353879464</c:v>
                </c:pt>
                <c:pt idx="10">
                  <c:v>0.0210079262337898</c:v>
                </c:pt>
                <c:pt idx="11">
                  <c:v>0.00505325793191161</c:v>
                </c:pt>
                <c:pt idx="12">
                  <c:v>0.00439084584345878</c:v>
                </c:pt>
                <c:pt idx="13">
                  <c:v>1.0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20301568"/>
        <c:axId val="420299216"/>
      </c:lineChart>
      <c:catAx>
        <c:axId val="4202996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20300000"/>
        <c:crosses val="autoZero"/>
        <c:auto val="1"/>
        <c:lblAlgn val="ctr"/>
        <c:lblOffset val="100"/>
        <c:noMultiLvlLbl val="0"/>
      </c:catAx>
      <c:valAx>
        <c:axId val="42030000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20299608"/>
        <c:crosses val="autoZero"/>
        <c:crossBetween val="between"/>
      </c:valAx>
      <c:catAx>
        <c:axId val="4203015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20299216"/>
        <c:crosses val="autoZero"/>
        <c:auto val="1"/>
        <c:lblAlgn val="ctr"/>
        <c:lblOffset val="100"/>
        <c:noMultiLvlLbl val="0"/>
      </c:catAx>
      <c:valAx>
        <c:axId val="42029921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2030156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Customer Revenue 
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16th Sales Report'!$J$17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16th Sales Report'!$I$18:$I$24</c:f>
              <c:strCache>
                <c:ptCount val="7"/>
                <c:pt idx="0">
                  <c:v>Taiwo SR</c:v>
                </c:pt>
                <c:pt idx="1">
                  <c:v>Walk in Customer</c:v>
                </c:pt>
                <c:pt idx="2">
                  <c:v>Rita SR</c:v>
                </c:pt>
                <c:pt idx="3">
                  <c:v>Eniola Marketer</c:v>
                </c:pt>
                <c:pt idx="4">
                  <c:v>MRS IK.</c:v>
                </c:pt>
                <c:pt idx="5">
                  <c:v>Remilekun</c:v>
                </c:pt>
                <c:pt idx="6">
                  <c:v>Total</c:v>
                </c:pt>
              </c:strCache>
            </c:strRef>
          </c:cat>
          <c:val>
            <c:numRef>
              <c:f>'July 16th Sales Report'!$J$18:$J$24</c:f>
              <c:numCache>
                <c:formatCode>_(* #,##0_);_(* \(#,##0\);_(* \-??_);_(@_)</c:formatCode>
                <c:ptCount val="7"/>
                <c:pt idx="0">
                  <c:v>178125.0</c:v>
                </c:pt>
                <c:pt idx="1">
                  <c:v>68810.0</c:v>
                </c:pt>
                <c:pt idx="2">
                  <c:v>1877025.0</c:v>
                </c:pt>
                <c:pt idx="3">
                  <c:v>481000.0</c:v>
                </c:pt>
                <c:pt idx="4">
                  <c:v>27400.0</c:v>
                </c:pt>
                <c:pt idx="5">
                  <c:v>9500.0</c:v>
                </c:pt>
                <c:pt idx="6">
                  <c:v>2641860.0</c:v>
                </c:pt>
              </c:numCache>
            </c:numRef>
          </c:val>
        </c:ser>
        <c:ser>
          <c:idx val="1"/>
          <c:order val="1"/>
          <c:tx>
            <c:strRef>
              <c:f>'July 16th Sales Report'!$K$17</c:f>
              <c:strCache>
                <c:ptCount val="1"/>
                <c:pt idx="0">
                  <c:v>% of Total 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16th Sales Report'!$I$18:$I$24</c:f>
              <c:strCache>
                <c:ptCount val="7"/>
                <c:pt idx="0">
                  <c:v>Taiwo SR</c:v>
                </c:pt>
                <c:pt idx="1">
                  <c:v>Walk in Customer</c:v>
                </c:pt>
                <c:pt idx="2">
                  <c:v>Rita SR</c:v>
                </c:pt>
                <c:pt idx="3">
                  <c:v>Eniola Marketer</c:v>
                </c:pt>
                <c:pt idx="4">
                  <c:v>MRS IK.</c:v>
                </c:pt>
                <c:pt idx="5">
                  <c:v>Remilekun</c:v>
                </c:pt>
                <c:pt idx="6">
                  <c:v>Total</c:v>
                </c:pt>
              </c:strCache>
            </c:strRef>
          </c:cat>
          <c:val>
            <c:numRef>
              <c:f>'July 16th Sales Report'!$K$18:$K$24</c:f>
              <c:numCache>
                <c:formatCode>0%</c:formatCode>
                <c:ptCount val="7"/>
                <c:pt idx="0">
                  <c:v>0.0674240875746633</c:v>
                </c:pt>
                <c:pt idx="1">
                  <c:v>0.0260460433179654</c:v>
                </c:pt>
                <c:pt idx="2">
                  <c:v>0.710493743044673</c:v>
                </c:pt>
                <c:pt idx="3">
                  <c:v>0.182068694026179</c:v>
                </c:pt>
                <c:pt idx="4">
                  <c:v>0.0103714806992043</c:v>
                </c:pt>
                <c:pt idx="5">
                  <c:v>0.00359595133731538</c:v>
                </c:pt>
                <c:pt idx="6">
                  <c:v>1.0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0300392"/>
        <c:axId val="451045072"/>
      </c:barChart>
      <c:lineChart>
        <c:grouping val="standard"/>
        <c:varyColors val="0"/>
        <c:ser>
          <c:idx val="2"/>
          <c:order val="2"/>
          <c:tx>
            <c:strRef>
              <c:f>'July 16th Sales Report'!$L$17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16th Sales Report'!$I$18:$I$24</c:f>
              <c:strCache>
                <c:ptCount val="7"/>
                <c:pt idx="0">
                  <c:v>Taiwo SR</c:v>
                </c:pt>
                <c:pt idx="1">
                  <c:v>Walk in Customer</c:v>
                </c:pt>
                <c:pt idx="2">
                  <c:v>Rita SR</c:v>
                </c:pt>
                <c:pt idx="3">
                  <c:v>Eniola Marketer</c:v>
                </c:pt>
                <c:pt idx="4">
                  <c:v>MRS IK.</c:v>
                </c:pt>
                <c:pt idx="5">
                  <c:v>Remilekun</c:v>
                </c:pt>
                <c:pt idx="6">
                  <c:v>Total</c:v>
                </c:pt>
              </c:strCache>
            </c:strRef>
          </c:cat>
          <c:val>
            <c:numRef>
              <c:f>'July 16th Sales Report'!$L$18:$L$24</c:f>
              <c:numCache>
                <c:formatCode>0%</c:formatCode>
                <c:ptCount val="7"/>
                <c:pt idx="0">
                  <c:v>0.0536</c:v>
                </c:pt>
                <c:pt idx="1">
                  <c:v>0.0381</c:v>
                </c:pt>
                <c:pt idx="2">
                  <c:v>-0.0084</c:v>
                </c:pt>
                <c:pt idx="3">
                  <c:v>0.0438</c:v>
                </c:pt>
                <c:pt idx="4">
                  <c:v>0.0717</c:v>
                </c:pt>
                <c:pt idx="5">
                  <c:v>0.0537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1043112"/>
        <c:axId val="451048208"/>
      </c:lineChart>
      <c:catAx>
        <c:axId val="4203003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1045072"/>
        <c:crosses val="autoZero"/>
        <c:auto val="1"/>
        <c:lblAlgn val="ctr"/>
        <c:lblOffset val="100"/>
        <c:noMultiLvlLbl val="0"/>
      </c:catAx>
      <c:valAx>
        <c:axId val="45104507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20300392"/>
        <c:crosses val="autoZero"/>
        <c:crossBetween val="between"/>
      </c:valAx>
      <c:catAx>
        <c:axId val="4510431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1048208"/>
        <c:crosses val="autoZero"/>
        <c:auto val="1"/>
        <c:lblAlgn val="ctr"/>
        <c:lblOffset val="100"/>
        <c:noMultiLvlLbl val="0"/>
      </c:catAx>
      <c:valAx>
        <c:axId val="451048208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104311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Invoice_No &amp; Gross Profit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16th Sales Report'!$J$26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16th Sales Report'!$I$27:$I$37</c:f>
              <c:strCache>
                <c:ptCount val="11"/>
                <c:pt idx="0">
                  <c:v>ann-INV283</c:v>
                </c:pt>
                <c:pt idx="1">
                  <c:v>ann-INV284</c:v>
                </c:pt>
                <c:pt idx="2">
                  <c:v>ann-INV285</c:v>
                </c:pt>
                <c:pt idx="3">
                  <c:v>ann-INV286</c:v>
                </c:pt>
                <c:pt idx="4">
                  <c:v>ann-INV287</c:v>
                </c:pt>
                <c:pt idx="5">
                  <c:v>ann-INV288</c:v>
                </c:pt>
                <c:pt idx="6">
                  <c:v>ann-INV289</c:v>
                </c:pt>
                <c:pt idx="7">
                  <c:v>ann-INV290</c:v>
                </c:pt>
                <c:pt idx="8">
                  <c:v>ann-INV291</c:v>
                </c:pt>
                <c:pt idx="9">
                  <c:v>ann-INV292</c:v>
                </c:pt>
                <c:pt idx="10">
                  <c:v>Total</c:v>
                </c:pt>
              </c:strCache>
            </c:strRef>
          </c:cat>
          <c:val>
            <c:numRef>
              <c:f>'July 16th Sales Report'!$J$27:$J$37</c:f>
              <c:numCache>
                <c:formatCode>_(* #,##0_);_(* \(#,##0\);_(* \-??_);_(@_)</c:formatCode>
                <c:ptCount val="11"/>
                <c:pt idx="0">
                  <c:v>178125.0</c:v>
                </c:pt>
                <c:pt idx="1">
                  <c:v>5300.0</c:v>
                </c:pt>
                <c:pt idx="2">
                  <c:v>1877025.0</c:v>
                </c:pt>
                <c:pt idx="3">
                  <c:v>24060.0</c:v>
                </c:pt>
                <c:pt idx="4">
                  <c:v>5300.0</c:v>
                </c:pt>
                <c:pt idx="5">
                  <c:v>575000.0</c:v>
                </c:pt>
                <c:pt idx="6">
                  <c:v>27400.0</c:v>
                </c:pt>
                <c:pt idx="7">
                  <c:v>24950.0</c:v>
                </c:pt>
                <c:pt idx="8">
                  <c:v>9200.0</c:v>
                </c:pt>
                <c:pt idx="9">
                  <c:v>9500.0</c:v>
                </c:pt>
                <c:pt idx="10">
                  <c:v>2735860.0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1048600"/>
        <c:axId val="451047816"/>
      </c:barChart>
      <c:lineChart>
        <c:grouping val="standard"/>
        <c:varyColors val="0"/>
        <c:ser>
          <c:idx val="1"/>
          <c:order val="1"/>
          <c:tx>
            <c:strRef>
              <c:f>'July 16th Sales Report'!$K$26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16th Sales Report'!$I$27:$I$37</c:f>
              <c:strCache>
                <c:ptCount val="11"/>
                <c:pt idx="0">
                  <c:v>ann-INV283</c:v>
                </c:pt>
                <c:pt idx="1">
                  <c:v>ann-INV284</c:v>
                </c:pt>
                <c:pt idx="2">
                  <c:v>ann-INV285</c:v>
                </c:pt>
                <c:pt idx="3">
                  <c:v>ann-INV286</c:v>
                </c:pt>
                <c:pt idx="4">
                  <c:v>ann-INV287</c:v>
                </c:pt>
                <c:pt idx="5">
                  <c:v>ann-INV288</c:v>
                </c:pt>
                <c:pt idx="6">
                  <c:v>ann-INV289</c:v>
                </c:pt>
                <c:pt idx="7">
                  <c:v>ann-INV290</c:v>
                </c:pt>
                <c:pt idx="8">
                  <c:v>ann-INV291</c:v>
                </c:pt>
                <c:pt idx="9">
                  <c:v>ann-INV292</c:v>
                </c:pt>
                <c:pt idx="10">
                  <c:v>Total</c:v>
                </c:pt>
              </c:strCache>
            </c:strRef>
          </c:cat>
          <c:val>
            <c:numRef>
              <c:f>'July 16th Sales Report'!$K$27:$K$37</c:f>
              <c:numCache>
                <c:formatCode>0%</c:formatCode>
                <c:ptCount val="11"/>
                <c:pt idx="0">
                  <c:v>0.05</c:v>
                </c:pt>
                <c:pt idx="1">
                  <c:v>0.02</c:v>
                </c:pt>
                <c:pt idx="2">
                  <c:v>-0.01</c:v>
                </c:pt>
                <c:pt idx="3">
                  <c:v>0.03</c:v>
                </c:pt>
                <c:pt idx="4">
                  <c:v>0.02</c:v>
                </c:pt>
                <c:pt idx="5">
                  <c:v>0.04</c:v>
                </c:pt>
                <c:pt idx="6">
                  <c:v>0.07</c:v>
                </c:pt>
                <c:pt idx="7">
                  <c:v>0.04</c:v>
                </c:pt>
                <c:pt idx="8">
                  <c:v>0.06</c:v>
                </c:pt>
                <c:pt idx="9">
                  <c:v>0.05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1043896"/>
        <c:axId val="451049384"/>
      </c:lineChart>
      <c:catAx>
        <c:axId val="4510486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1047816"/>
        <c:crosses val="autoZero"/>
        <c:auto val="1"/>
        <c:lblAlgn val="ctr"/>
        <c:lblOffset val="100"/>
        <c:noMultiLvlLbl val="0"/>
      </c:catAx>
      <c:valAx>
        <c:axId val="45104781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1048600"/>
        <c:crosses val="autoZero"/>
        <c:crossBetween val="between"/>
      </c:valAx>
      <c:catAx>
        <c:axId val="4510438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1049384"/>
        <c:crosses val="autoZero"/>
        <c:auto val="1"/>
        <c:lblAlgn val="ctr"/>
        <c:lblOffset val="100"/>
        <c:noMultiLvlLbl val="0"/>
      </c:catAx>
      <c:valAx>
        <c:axId val="451049384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104389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Product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17th Sales Report'!$J$1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17th Sales Report'!$I$2:$I$19</c:f>
              <c:strCache>
                <c:ptCount val="18"/>
                <c:pt idx="0">
                  <c:v>Maltina Can</c:v>
                </c:pt>
                <c:pt idx="1">
                  <c:v>Fayrouz Can</c:v>
                </c:pt>
                <c:pt idx="2">
                  <c:v>Goldberg 60cl</c:v>
                </c:pt>
                <c:pt idx="3">
                  <c:v>Heineken Bottle 60cl</c:v>
                </c:pt>
                <c:pt idx="4">
                  <c:v>Turbo King Bottle 60cl</c:v>
                </c:pt>
                <c:pt idx="5">
                  <c:v>33 Export 60cl</c:v>
                </c:pt>
                <c:pt idx="6">
                  <c:v>Maltina Pet 33cl</c:v>
                </c:pt>
                <c:pt idx="7">
                  <c:v>Gulder Bottle</c:v>
                </c:pt>
                <c:pt idx="8">
                  <c:v>Budweiser</c:v>
                </c:pt>
                <c:pt idx="9">
                  <c:v>Trophy</c:v>
                </c:pt>
                <c:pt idx="10">
                  <c:v>Medium Stout</c:v>
                </c:pt>
                <c:pt idx="11">
                  <c:v>Desperados Bottle</c:v>
                </c:pt>
                <c:pt idx="12">
                  <c:v>Star Bottle 60cl</c:v>
                </c:pt>
                <c:pt idx="13">
                  <c:v>Maltina Pet 50cl</c:v>
                </c:pt>
                <c:pt idx="14">
                  <c:v>Legend Bottle 60cl</c:v>
                </c:pt>
                <c:pt idx="15">
                  <c:v>Legend 45cl</c:v>
                </c:pt>
                <c:pt idx="16">
                  <c:v>Heineken Bottle 45cl</c:v>
                </c:pt>
                <c:pt idx="17">
                  <c:v>Grand Total</c:v>
                </c:pt>
              </c:strCache>
            </c:strRef>
          </c:cat>
          <c:val>
            <c:numRef>
              <c:f>'July 17th Sales Report'!$J$2:$J$19</c:f>
              <c:numCache>
                <c:formatCode>General</c:formatCode>
                <c:ptCount val="18"/>
                <c:pt idx="0">
                  <c:v>56.0</c:v>
                </c:pt>
                <c:pt idx="1">
                  <c:v>32.0</c:v>
                </c:pt>
                <c:pt idx="2">
                  <c:v>23.0</c:v>
                </c:pt>
                <c:pt idx="3">
                  <c:v>9.0</c:v>
                </c:pt>
                <c:pt idx="4">
                  <c:v>10.0</c:v>
                </c:pt>
                <c:pt idx="5">
                  <c:v>16.0</c:v>
                </c:pt>
                <c:pt idx="6">
                  <c:v>251.0</c:v>
                </c:pt>
                <c:pt idx="7">
                  <c:v>3.0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6.0</c:v>
                </c:pt>
                <c:pt idx="13">
                  <c:v>384.0</c:v>
                </c:pt>
                <c:pt idx="14">
                  <c:v>1.0</c:v>
                </c:pt>
                <c:pt idx="15">
                  <c:v>1.0</c:v>
                </c:pt>
                <c:pt idx="16">
                  <c:v>2.0</c:v>
                </c:pt>
                <c:pt idx="17">
                  <c:v>798.0</c:v>
                </c:pt>
              </c:numCache>
            </c:numRef>
          </c:val>
        </c:ser>
        <c:ser>
          <c:idx val="1"/>
          <c:order val="1"/>
          <c:tx>
            <c:strRef>
              <c:f>'July 17th Sales Report'!$K$1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17th Sales Report'!$I$2:$I$19</c:f>
              <c:strCache>
                <c:ptCount val="18"/>
                <c:pt idx="0">
                  <c:v>Maltina Can</c:v>
                </c:pt>
                <c:pt idx="1">
                  <c:v>Fayrouz Can</c:v>
                </c:pt>
                <c:pt idx="2">
                  <c:v>Goldberg 60cl</c:v>
                </c:pt>
                <c:pt idx="3">
                  <c:v>Heineken Bottle 60cl</c:v>
                </c:pt>
                <c:pt idx="4">
                  <c:v>Turbo King Bottle 60cl</c:v>
                </c:pt>
                <c:pt idx="5">
                  <c:v>33 Export 60cl</c:v>
                </c:pt>
                <c:pt idx="6">
                  <c:v>Maltina Pet 33cl</c:v>
                </c:pt>
                <c:pt idx="7">
                  <c:v>Gulder Bottle</c:v>
                </c:pt>
                <c:pt idx="8">
                  <c:v>Budweiser</c:v>
                </c:pt>
                <c:pt idx="9">
                  <c:v>Trophy</c:v>
                </c:pt>
                <c:pt idx="10">
                  <c:v>Medium Stout</c:v>
                </c:pt>
                <c:pt idx="11">
                  <c:v>Desperados Bottle</c:v>
                </c:pt>
                <c:pt idx="12">
                  <c:v>Star Bottle 60cl</c:v>
                </c:pt>
                <c:pt idx="13">
                  <c:v>Maltina Pet 50cl</c:v>
                </c:pt>
                <c:pt idx="14">
                  <c:v>Legend Bottle 60cl</c:v>
                </c:pt>
                <c:pt idx="15">
                  <c:v>Legend 45cl</c:v>
                </c:pt>
                <c:pt idx="16">
                  <c:v>Heineken Bottle 45cl</c:v>
                </c:pt>
                <c:pt idx="17">
                  <c:v>Grand Total</c:v>
                </c:pt>
              </c:strCache>
            </c:strRef>
          </c:cat>
          <c:val>
            <c:numRef>
              <c:f>'July 17th Sales Report'!$K$2:$K$19</c:f>
              <c:numCache>
                <c:formatCode>_(* #,##0_);_(* \(#,##0\);_(* \-??_);_(@_)</c:formatCode>
                <c:ptCount val="18"/>
                <c:pt idx="0">
                  <c:v>722700.0</c:v>
                </c:pt>
                <c:pt idx="1">
                  <c:v>419920.0</c:v>
                </c:pt>
                <c:pt idx="2">
                  <c:v>202800.0</c:v>
                </c:pt>
                <c:pt idx="3">
                  <c:v>121860.0</c:v>
                </c:pt>
                <c:pt idx="4">
                  <c:v>89120.0</c:v>
                </c:pt>
                <c:pt idx="5">
                  <c:v>147500.0</c:v>
                </c:pt>
                <c:pt idx="6">
                  <c:v>1255300.0</c:v>
                </c:pt>
                <c:pt idx="7">
                  <c:v>35730.0</c:v>
                </c:pt>
                <c:pt idx="8">
                  <c:v>11320.0</c:v>
                </c:pt>
                <c:pt idx="9">
                  <c:v>9000.0</c:v>
                </c:pt>
                <c:pt idx="10">
                  <c:v>18300.0</c:v>
                </c:pt>
                <c:pt idx="11">
                  <c:v>21400.0</c:v>
                </c:pt>
                <c:pt idx="12">
                  <c:v>69600.0</c:v>
                </c:pt>
                <c:pt idx="13">
                  <c:v>2976000.0</c:v>
                </c:pt>
                <c:pt idx="14">
                  <c:v>11480.0</c:v>
                </c:pt>
                <c:pt idx="15">
                  <c:v>15945.0</c:v>
                </c:pt>
                <c:pt idx="16">
                  <c:v>35680.0</c:v>
                </c:pt>
                <c:pt idx="17">
                  <c:v>6163655.0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1047424"/>
        <c:axId val="451045856"/>
      </c:barChart>
      <c:lineChart>
        <c:grouping val="standard"/>
        <c:varyColors val="0"/>
        <c:ser>
          <c:idx val="2"/>
          <c:order val="2"/>
          <c:tx>
            <c:strRef>
              <c:f>'July 17th Sales Report'!$L$1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17th Sales Report'!$I$2:$I$19</c:f>
              <c:strCache>
                <c:ptCount val="18"/>
                <c:pt idx="0">
                  <c:v>Maltina Can</c:v>
                </c:pt>
                <c:pt idx="1">
                  <c:v>Fayrouz Can</c:v>
                </c:pt>
                <c:pt idx="2">
                  <c:v>Goldberg 60cl</c:v>
                </c:pt>
                <c:pt idx="3">
                  <c:v>Heineken Bottle 60cl</c:v>
                </c:pt>
                <c:pt idx="4">
                  <c:v>Turbo King Bottle 60cl</c:v>
                </c:pt>
                <c:pt idx="5">
                  <c:v>33 Export 60cl</c:v>
                </c:pt>
                <c:pt idx="6">
                  <c:v>Maltina Pet 33cl</c:v>
                </c:pt>
                <c:pt idx="7">
                  <c:v>Gulder Bottle</c:v>
                </c:pt>
                <c:pt idx="8">
                  <c:v>Budweiser</c:v>
                </c:pt>
                <c:pt idx="9">
                  <c:v>Trophy</c:v>
                </c:pt>
                <c:pt idx="10">
                  <c:v>Medium Stout</c:v>
                </c:pt>
                <c:pt idx="11">
                  <c:v>Desperados Bottle</c:v>
                </c:pt>
                <c:pt idx="12">
                  <c:v>Star Bottle 60cl</c:v>
                </c:pt>
                <c:pt idx="13">
                  <c:v>Maltina Pet 50cl</c:v>
                </c:pt>
                <c:pt idx="14">
                  <c:v>Legend Bottle 60cl</c:v>
                </c:pt>
                <c:pt idx="15">
                  <c:v>Legend 45cl</c:v>
                </c:pt>
                <c:pt idx="16">
                  <c:v>Heineken Bottle 45cl</c:v>
                </c:pt>
                <c:pt idx="17">
                  <c:v>Grand Total</c:v>
                </c:pt>
              </c:strCache>
            </c:strRef>
          </c:cat>
          <c:val>
            <c:numRef>
              <c:f>'July 17th Sales Report'!$L$2:$L$19</c:f>
              <c:numCache>
                <c:formatCode>0%</c:formatCode>
                <c:ptCount val="18"/>
                <c:pt idx="0">
                  <c:v>0.117251857866801</c:v>
                </c:pt>
                <c:pt idx="1">
                  <c:v>0.0681284075763488</c:v>
                </c:pt>
                <c:pt idx="2">
                  <c:v>0.032902555383129</c:v>
                </c:pt>
                <c:pt idx="3">
                  <c:v>0.0197707366814009</c:v>
                </c:pt>
                <c:pt idx="4">
                  <c:v>0.0144589533320733</c:v>
                </c:pt>
                <c:pt idx="5">
                  <c:v>0.0239306061095243</c:v>
                </c:pt>
                <c:pt idx="6">
                  <c:v>0.203661626096853</c:v>
                </c:pt>
                <c:pt idx="7">
                  <c:v>0.00579688512741223</c:v>
                </c:pt>
                <c:pt idx="8">
                  <c:v>0.00183657261803264</c:v>
                </c:pt>
                <c:pt idx="9">
                  <c:v>0.00146017257617436</c:v>
                </c:pt>
                <c:pt idx="10">
                  <c:v>0.00296901757155454</c:v>
                </c:pt>
                <c:pt idx="11">
                  <c:v>0.00347196590334793</c:v>
                </c:pt>
                <c:pt idx="12">
                  <c:v>0.0112920012557484</c:v>
                </c:pt>
                <c:pt idx="13">
                  <c:v>0.482830398521656</c:v>
                </c:pt>
                <c:pt idx="14">
                  <c:v>0.00186253124160908</c:v>
                </c:pt>
                <c:pt idx="15">
                  <c:v>0.00258693908078892</c:v>
                </c:pt>
                <c:pt idx="16">
                  <c:v>0.00578877305754459</c:v>
                </c:pt>
                <c:pt idx="17">
                  <c:v>1.0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1049776"/>
        <c:axId val="451042328"/>
      </c:lineChart>
      <c:catAx>
        <c:axId val="4510474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1045856"/>
        <c:crosses val="autoZero"/>
        <c:auto val="1"/>
        <c:lblAlgn val="ctr"/>
        <c:lblOffset val="100"/>
        <c:noMultiLvlLbl val="0"/>
      </c:catAx>
      <c:valAx>
        <c:axId val="45104585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1047424"/>
        <c:crosses val="autoZero"/>
        <c:crossBetween val="between"/>
      </c:valAx>
      <c:catAx>
        <c:axId val="4510497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1042328"/>
        <c:crosses val="autoZero"/>
        <c:auto val="1"/>
        <c:lblAlgn val="ctr"/>
        <c:lblOffset val="100"/>
        <c:noMultiLvlLbl val="0"/>
      </c:catAx>
      <c:valAx>
        <c:axId val="451042328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104977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Customer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17th Sales Report'!$J$21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17th Sales Report'!$I$22:$I$30</c:f>
              <c:strCache>
                <c:ptCount val="9"/>
                <c:pt idx="0">
                  <c:v>Rita SR</c:v>
                </c:pt>
                <c:pt idx="1">
                  <c:v>Mr Godswill</c:v>
                </c:pt>
                <c:pt idx="2">
                  <c:v>Ameh Mathew</c:v>
                </c:pt>
                <c:pt idx="3">
                  <c:v>Walk in Customer</c:v>
                </c:pt>
                <c:pt idx="4">
                  <c:v>MRS IK.</c:v>
                </c:pt>
                <c:pt idx="5">
                  <c:v>OGUNDE SR</c:v>
                </c:pt>
                <c:pt idx="6">
                  <c:v>Ola SR</c:v>
                </c:pt>
                <c:pt idx="7">
                  <c:v>Eniola Marketer</c:v>
                </c:pt>
                <c:pt idx="8">
                  <c:v>Total</c:v>
                </c:pt>
              </c:strCache>
            </c:strRef>
          </c:cat>
          <c:val>
            <c:numRef>
              <c:f>'July 17th Sales Report'!$J$22:$J$30</c:f>
              <c:numCache>
                <c:formatCode>_(* #,##0_);_(* \(#,##0\);_(* \-??_);_(@_)</c:formatCode>
                <c:ptCount val="9"/>
                <c:pt idx="0">
                  <c:v>1102500.0</c:v>
                </c:pt>
                <c:pt idx="1">
                  <c:v>13460.0</c:v>
                </c:pt>
                <c:pt idx="2">
                  <c:v>805290.0</c:v>
                </c:pt>
                <c:pt idx="3">
                  <c:v>48720.0</c:v>
                </c:pt>
                <c:pt idx="4">
                  <c:v>130660.0</c:v>
                </c:pt>
                <c:pt idx="5">
                  <c:v>2976000.0</c:v>
                </c:pt>
                <c:pt idx="6">
                  <c:v>87025.0</c:v>
                </c:pt>
                <c:pt idx="7">
                  <c:v>1000000.0</c:v>
                </c:pt>
                <c:pt idx="8">
                  <c:v>6163655.0</c:v>
                </c:pt>
              </c:numCache>
            </c:numRef>
          </c:val>
        </c:ser>
        <c:ser>
          <c:idx val="1"/>
          <c:order val="1"/>
          <c:tx>
            <c:strRef>
              <c:f>'July 17th Sales Report'!$K$21</c:f>
              <c:strCache>
                <c:ptCount val="1"/>
                <c:pt idx="0">
                  <c:v>% of Total 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17th Sales Report'!$I$22:$I$30</c:f>
              <c:strCache>
                <c:ptCount val="9"/>
                <c:pt idx="0">
                  <c:v>Rita SR</c:v>
                </c:pt>
                <c:pt idx="1">
                  <c:v>Mr Godswill</c:v>
                </c:pt>
                <c:pt idx="2">
                  <c:v>Ameh Mathew</c:v>
                </c:pt>
                <c:pt idx="3">
                  <c:v>Walk in Customer</c:v>
                </c:pt>
                <c:pt idx="4">
                  <c:v>MRS IK.</c:v>
                </c:pt>
                <c:pt idx="5">
                  <c:v>OGUNDE SR</c:v>
                </c:pt>
                <c:pt idx="6">
                  <c:v>Ola SR</c:v>
                </c:pt>
                <c:pt idx="7">
                  <c:v>Eniola Marketer</c:v>
                </c:pt>
                <c:pt idx="8">
                  <c:v>Total</c:v>
                </c:pt>
              </c:strCache>
            </c:strRef>
          </c:cat>
          <c:val>
            <c:numRef>
              <c:f>'July 17th Sales Report'!$K$22:$K$30</c:f>
              <c:numCache>
                <c:formatCode>0%</c:formatCode>
                <c:ptCount val="9"/>
                <c:pt idx="0">
                  <c:v>0.17887114058136</c:v>
                </c:pt>
                <c:pt idx="1">
                  <c:v>0.00218376920836744</c:v>
                </c:pt>
                <c:pt idx="2">
                  <c:v>0.130651374874162</c:v>
                </c:pt>
                <c:pt idx="3">
                  <c:v>0.00790440087902389</c:v>
                </c:pt>
                <c:pt idx="4">
                  <c:v>0.0211984609781047</c:v>
                </c:pt>
                <c:pt idx="5">
                  <c:v>0.482830398521656</c:v>
                </c:pt>
                <c:pt idx="6">
                  <c:v>0.0141190576046193</c:v>
                </c:pt>
                <c:pt idx="7">
                  <c:v>0.162241397352707</c:v>
                </c:pt>
                <c:pt idx="8">
                  <c:v>1.0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1043504"/>
        <c:axId val="451044680"/>
      </c:barChart>
      <c:lineChart>
        <c:grouping val="standard"/>
        <c:varyColors val="0"/>
        <c:ser>
          <c:idx val="2"/>
          <c:order val="2"/>
          <c:tx>
            <c:strRef>
              <c:f>'July 17th Sales Report'!$L$21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17th Sales Report'!$I$22:$I$30</c:f>
              <c:strCache>
                <c:ptCount val="9"/>
                <c:pt idx="0">
                  <c:v>Rita SR</c:v>
                </c:pt>
                <c:pt idx="1">
                  <c:v>Mr Godswill</c:v>
                </c:pt>
                <c:pt idx="2">
                  <c:v>Ameh Mathew</c:v>
                </c:pt>
                <c:pt idx="3">
                  <c:v>Walk in Customer</c:v>
                </c:pt>
                <c:pt idx="4">
                  <c:v>MRS IK.</c:v>
                </c:pt>
                <c:pt idx="5">
                  <c:v>OGUNDE SR</c:v>
                </c:pt>
                <c:pt idx="6">
                  <c:v>Ola SR</c:v>
                </c:pt>
                <c:pt idx="7">
                  <c:v>Eniola Marketer</c:v>
                </c:pt>
                <c:pt idx="8">
                  <c:v>Total</c:v>
                </c:pt>
              </c:strCache>
            </c:strRef>
          </c:cat>
          <c:val>
            <c:numRef>
              <c:f>'July 17th Sales Report'!$L$22:$L$30</c:f>
              <c:numCache>
                <c:formatCode>0%</c:formatCode>
                <c:ptCount val="9"/>
                <c:pt idx="0">
                  <c:v>-0.0233</c:v>
                </c:pt>
                <c:pt idx="1">
                  <c:v>0.0449</c:v>
                </c:pt>
                <c:pt idx="2">
                  <c:v>0.0378</c:v>
                </c:pt>
                <c:pt idx="3">
                  <c:v>0.0785</c:v>
                </c:pt>
                <c:pt idx="4">
                  <c:v>0.0701</c:v>
                </c:pt>
                <c:pt idx="5">
                  <c:v>0.0084</c:v>
                </c:pt>
                <c:pt idx="6">
                  <c:v>0.0453</c:v>
                </c:pt>
                <c:pt idx="7">
                  <c:v>-0.04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1045464"/>
        <c:axId val="451047032"/>
      </c:lineChart>
      <c:catAx>
        <c:axId val="4510435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1044680"/>
        <c:crosses val="autoZero"/>
        <c:auto val="1"/>
        <c:lblAlgn val="ctr"/>
        <c:lblOffset val="100"/>
        <c:noMultiLvlLbl val="0"/>
      </c:catAx>
      <c:valAx>
        <c:axId val="45104468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1043504"/>
        <c:crosses val="autoZero"/>
        <c:crossBetween val="between"/>
      </c:valAx>
      <c:catAx>
        <c:axId val="4510454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1047032"/>
        <c:crosses val="autoZero"/>
        <c:auto val="1"/>
        <c:lblAlgn val="ctr"/>
        <c:lblOffset val="100"/>
        <c:noMultiLvlLbl val="0"/>
      </c:catAx>
      <c:valAx>
        <c:axId val="45104703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104546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Invoice_No &amp; Gross Profit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17th Sales Report'!$J$32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17th Sales Report'!$I$33:$I$44</c:f>
              <c:strCache>
                <c:ptCount val="12"/>
                <c:pt idx="0">
                  <c:v>ann-INV293</c:v>
                </c:pt>
                <c:pt idx="1">
                  <c:v>ann-INV296</c:v>
                </c:pt>
                <c:pt idx="2">
                  <c:v>ann-INV297</c:v>
                </c:pt>
                <c:pt idx="3">
                  <c:v>ann-INV294</c:v>
                </c:pt>
                <c:pt idx="4">
                  <c:v>ann-INV295</c:v>
                </c:pt>
                <c:pt idx="5">
                  <c:v>ann-INV298</c:v>
                </c:pt>
                <c:pt idx="6">
                  <c:v>ann-INV299</c:v>
                </c:pt>
                <c:pt idx="7">
                  <c:v>ann-INV300</c:v>
                </c:pt>
                <c:pt idx="8">
                  <c:v>ann-INV301</c:v>
                </c:pt>
                <c:pt idx="9">
                  <c:v>ann-INV302</c:v>
                </c:pt>
                <c:pt idx="10">
                  <c:v>ann-INV303</c:v>
                </c:pt>
                <c:pt idx="11">
                  <c:v>Total</c:v>
                </c:pt>
              </c:strCache>
            </c:strRef>
          </c:cat>
          <c:val>
            <c:numRef>
              <c:f>'July 17th Sales Report'!$J$33:$J$44</c:f>
              <c:numCache>
                <c:formatCode>_(* #,##0_);_(* \(#,##0\);_(* \-??_);_(@_)</c:formatCode>
                <c:ptCount val="12"/>
                <c:pt idx="0">
                  <c:v>780000.0</c:v>
                </c:pt>
                <c:pt idx="1">
                  <c:v>322500.0</c:v>
                </c:pt>
                <c:pt idx="2">
                  <c:v>13460.0</c:v>
                </c:pt>
                <c:pt idx="3">
                  <c:v>866210.0</c:v>
                </c:pt>
                <c:pt idx="4">
                  <c:v>48720.0</c:v>
                </c:pt>
                <c:pt idx="5">
                  <c:v>134460.0</c:v>
                </c:pt>
                <c:pt idx="6">
                  <c:v>2976000.0</c:v>
                </c:pt>
                <c:pt idx="7">
                  <c:v>13200.0</c:v>
                </c:pt>
                <c:pt idx="8">
                  <c:v>1000000.0</c:v>
                </c:pt>
                <c:pt idx="9">
                  <c:v>84625.0</c:v>
                </c:pt>
                <c:pt idx="10">
                  <c:v>39680.0</c:v>
                </c:pt>
                <c:pt idx="11">
                  <c:v>6278855.0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1046640"/>
        <c:axId val="419604360"/>
      </c:barChart>
      <c:lineChart>
        <c:grouping val="standard"/>
        <c:varyColors val="0"/>
        <c:ser>
          <c:idx val="1"/>
          <c:order val="1"/>
          <c:tx>
            <c:strRef>
              <c:f>'July 17th Sales Report'!$K$32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17th Sales Report'!$I$33:$I$44</c:f>
              <c:strCache>
                <c:ptCount val="12"/>
                <c:pt idx="0">
                  <c:v>ann-INV293</c:v>
                </c:pt>
                <c:pt idx="1">
                  <c:v>ann-INV296</c:v>
                </c:pt>
                <c:pt idx="2">
                  <c:v>ann-INV297</c:v>
                </c:pt>
                <c:pt idx="3">
                  <c:v>ann-INV294</c:v>
                </c:pt>
                <c:pt idx="4">
                  <c:v>ann-INV295</c:v>
                </c:pt>
                <c:pt idx="5">
                  <c:v>ann-INV298</c:v>
                </c:pt>
                <c:pt idx="6">
                  <c:v>ann-INV299</c:v>
                </c:pt>
                <c:pt idx="7">
                  <c:v>ann-INV300</c:v>
                </c:pt>
                <c:pt idx="8">
                  <c:v>ann-INV301</c:v>
                </c:pt>
                <c:pt idx="9">
                  <c:v>ann-INV302</c:v>
                </c:pt>
                <c:pt idx="10">
                  <c:v>ann-INV303</c:v>
                </c:pt>
                <c:pt idx="11">
                  <c:v>Total</c:v>
                </c:pt>
              </c:strCache>
            </c:strRef>
          </c:cat>
          <c:val>
            <c:numRef>
              <c:f>'July 17th Sales Report'!$K$33:$K$44</c:f>
              <c:numCache>
                <c:formatCode>0%</c:formatCode>
                <c:ptCount val="12"/>
                <c:pt idx="0">
                  <c:v>-0.01</c:v>
                </c:pt>
                <c:pt idx="1">
                  <c:v>-0.05</c:v>
                </c:pt>
                <c:pt idx="2">
                  <c:v>0.04</c:v>
                </c:pt>
                <c:pt idx="3">
                  <c:v>0.03</c:v>
                </c:pt>
                <c:pt idx="4">
                  <c:v>0.08</c:v>
                </c:pt>
                <c:pt idx="5">
                  <c:v>0.07</c:v>
                </c:pt>
                <c:pt idx="6">
                  <c:v>0.01</c:v>
                </c:pt>
                <c:pt idx="7">
                  <c:v>-0.02</c:v>
                </c:pt>
                <c:pt idx="8">
                  <c:v>-0.04</c:v>
                </c:pt>
                <c:pt idx="9">
                  <c:v>0.06</c:v>
                </c:pt>
                <c:pt idx="10">
                  <c:v>0.12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9601616"/>
        <c:axId val="419609064"/>
      </c:lineChart>
      <c:catAx>
        <c:axId val="4510466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9604360"/>
        <c:crosses val="autoZero"/>
        <c:auto val="1"/>
        <c:lblAlgn val="ctr"/>
        <c:lblOffset val="100"/>
        <c:noMultiLvlLbl val="0"/>
      </c:catAx>
      <c:valAx>
        <c:axId val="41960436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1046640"/>
        <c:crosses val="autoZero"/>
        <c:crossBetween val="between"/>
      </c:valAx>
      <c:catAx>
        <c:axId val="4196016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9609064"/>
        <c:crosses val="autoZero"/>
        <c:auto val="1"/>
        <c:lblAlgn val="ctr"/>
        <c:lblOffset val="100"/>
        <c:noMultiLvlLbl val="0"/>
      </c:catAx>
      <c:valAx>
        <c:axId val="419609064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960161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Product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18th Sales Report'!$J$1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18th Sales Report'!$I$2:$I$21</c:f>
              <c:strCache>
                <c:ptCount val="20"/>
                <c:pt idx="0">
                  <c:v>Heineken Bottle 60cl</c:v>
                </c:pt>
                <c:pt idx="1">
                  <c:v>33 Export 60cl</c:v>
                </c:pt>
                <c:pt idx="2">
                  <c:v>Tiger Bottle</c:v>
                </c:pt>
                <c:pt idx="3">
                  <c:v>Star Radler 45cl</c:v>
                </c:pt>
                <c:pt idx="4">
                  <c:v>Maltina Can</c:v>
                </c:pt>
                <c:pt idx="5">
                  <c:v>Heineken Sleek Can</c:v>
                </c:pt>
                <c:pt idx="6">
                  <c:v>Goldberg Can 50cl</c:v>
                </c:pt>
                <c:pt idx="7">
                  <c:v>Fayrouz Can</c:v>
                </c:pt>
                <c:pt idx="8">
                  <c:v>Medium Stout</c:v>
                </c:pt>
                <c:pt idx="9">
                  <c:v>Goldberg 60cl</c:v>
                </c:pt>
                <c:pt idx="10">
                  <c:v>Star Bottle 60cl</c:v>
                </c:pt>
                <c:pt idx="11">
                  <c:v>Turbo King Bottle 60cl</c:v>
                </c:pt>
                <c:pt idx="12">
                  <c:v>Williams Bottle 60cl</c:v>
                </c:pt>
                <c:pt idx="13">
                  <c:v>Desperados Bottle</c:v>
                </c:pt>
                <c:pt idx="14">
                  <c:v>Gulder Bottle</c:v>
                </c:pt>
                <c:pt idx="15">
                  <c:v>Legend 45cl</c:v>
                </c:pt>
                <c:pt idx="16">
                  <c:v>Maltina Pet 33cl</c:v>
                </c:pt>
                <c:pt idx="17">
                  <c:v>Maltina Bottle</c:v>
                </c:pt>
                <c:pt idx="18">
                  <c:v>Trophy</c:v>
                </c:pt>
                <c:pt idx="19">
                  <c:v>Grand Total</c:v>
                </c:pt>
              </c:strCache>
            </c:strRef>
          </c:cat>
          <c:val>
            <c:numRef>
              <c:f>'July 18th Sales Report'!$J$2:$J$21</c:f>
              <c:numCache>
                <c:formatCode>General</c:formatCode>
                <c:ptCount val="20"/>
                <c:pt idx="0">
                  <c:v>304.0</c:v>
                </c:pt>
                <c:pt idx="1">
                  <c:v>155.0</c:v>
                </c:pt>
                <c:pt idx="2">
                  <c:v>62.0</c:v>
                </c:pt>
                <c:pt idx="3">
                  <c:v>91.0</c:v>
                </c:pt>
                <c:pt idx="4">
                  <c:v>45.0</c:v>
                </c:pt>
                <c:pt idx="5">
                  <c:v>10.0</c:v>
                </c:pt>
                <c:pt idx="6">
                  <c:v>10.0</c:v>
                </c:pt>
                <c:pt idx="7">
                  <c:v>10.0</c:v>
                </c:pt>
                <c:pt idx="8">
                  <c:v>31.0</c:v>
                </c:pt>
                <c:pt idx="9">
                  <c:v>179.0</c:v>
                </c:pt>
                <c:pt idx="10">
                  <c:v>10.0</c:v>
                </c:pt>
                <c:pt idx="11">
                  <c:v>75.0</c:v>
                </c:pt>
                <c:pt idx="12">
                  <c:v>1.0</c:v>
                </c:pt>
                <c:pt idx="13">
                  <c:v>1.0</c:v>
                </c:pt>
                <c:pt idx="14">
                  <c:v>2.0</c:v>
                </c:pt>
                <c:pt idx="15">
                  <c:v>1.0</c:v>
                </c:pt>
                <c:pt idx="16">
                  <c:v>30.0</c:v>
                </c:pt>
                <c:pt idx="17">
                  <c:v>30.0</c:v>
                </c:pt>
                <c:pt idx="18">
                  <c:v>70.0</c:v>
                </c:pt>
                <c:pt idx="19">
                  <c:v>1117.0</c:v>
                </c:pt>
              </c:numCache>
            </c:numRef>
          </c:val>
        </c:ser>
        <c:ser>
          <c:idx val="1"/>
          <c:order val="1"/>
          <c:tx>
            <c:strRef>
              <c:f>'July 18th Sales Report'!$K$1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18th Sales Report'!$I$2:$I$21</c:f>
              <c:strCache>
                <c:ptCount val="20"/>
                <c:pt idx="0">
                  <c:v>Heineken Bottle 60cl</c:v>
                </c:pt>
                <c:pt idx="1">
                  <c:v>33 Export 60cl</c:v>
                </c:pt>
                <c:pt idx="2">
                  <c:v>Tiger Bottle</c:v>
                </c:pt>
                <c:pt idx="3">
                  <c:v>Star Radler 45cl</c:v>
                </c:pt>
                <c:pt idx="4">
                  <c:v>Maltina Can</c:v>
                </c:pt>
                <c:pt idx="5">
                  <c:v>Heineken Sleek Can</c:v>
                </c:pt>
                <c:pt idx="6">
                  <c:v>Goldberg Can 50cl</c:v>
                </c:pt>
                <c:pt idx="7">
                  <c:v>Fayrouz Can</c:v>
                </c:pt>
                <c:pt idx="8">
                  <c:v>Medium Stout</c:v>
                </c:pt>
                <c:pt idx="9">
                  <c:v>Goldberg 60cl</c:v>
                </c:pt>
                <c:pt idx="10">
                  <c:v>Star Bottle 60cl</c:v>
                </c:pt>
                <c:pt idx="11">
                  <c:v>Turbo King Bottle 60cl</c:v>
                </c:pt>
                <c:pt idx="12">
                  <c:v>Williams Bottle 60cl</c:v>
                </c:pt>
                <c:pt idx="13">
                  <c:v>Desperados Bottle</c:v>
                </c:pt>
                <c:pt idx="14">
                  <c:v>Gulder Bottle</c:v>
                </c:pt>
                <c:pt idx="15">
                  <c:v>Legend 45cl</c:v>
                </c:pt>
                <c:pt idx="16">
                  <c:v>Maltina Pet 33cl</c:v>
                </c:pt>
                <c:pt idx="17">
                  <c:v>Maltina Bottle</c:v>
                </c:pt>
                <c:pt idx="18">
                  <c:v>Trophy</c:v>
                </c:pt>
                <c:pt idx="19">
                  <c:v>Grand Total</c:v>
                </c:pt>
              </c:strCache>
            </c:strRef>
          </c:cat>
          <c:val>
            <c:numRef>
              <c:f>'July 18th Sales Report'!$K$2:$K$21</c:f>
              <c:numCache>
                <c:formatCode>_(* #,##0_);_(* \(#,##0\);_(* \-??_);_(@_)</c:formatCode>
                <c:ptCount val="20"/>
                <c:pt idx="0">
                  <c:v>3898440.0</c:v>
                </c:pt>
                <c:pt idx="1">
                  <c:v>1395500.0</c:v>
                </c:pt>
                <c:pt idx="2">
                  <c:v>925050.0</c:v>
                </c:pt>
                <c:pt idx="3">
                  <c:v>1320325.0</c:v>
                </c:pt>
                <c:pt idx="4">
                  <c:v>591750.0</c:v>
                </c:pt>
                <c:pt idx="5">
                  <c:v>178450.0</c:v>
                </c:pt>
                <c:pt idx="6">
                  <c:v>161450.0</c:v>
                </c:pt>
                <c:pt idx="7">
                  <c:v>134600.0</c:v>
                </c:pt>
                <c:pt idx="8">
                  <c:v>551300.0</c:v>
                </c:pt>
                <c:pt idx="9">
                  <c:v>1537880.0</c:v>
                </c:pt>
                <c:pt idx="10">
                  <c:v>116000.0</c:v>
                </c:pt>
                <c:pt idx="11">
                  <c:v>666620.0</c:v>
                </c:pt>
                <c:pt idx="12">
                  <c:v>9345.0</c:v>
                </c:pt>
                <c:pt idx="13">
                  <c:v>21400.0</c:v>
                </c:pt>
                <c:pt idx="14">
                  <c:v>23820.0</c:v>
                </c:pt>
                <c:pt idx="15">
                  <c:v>15945.0</c:v>
                </c:pt>
                <c:pt idx="16">
                  <c:v>150000.0</c:v>
                </c:pt>
                <c:pt idx="17">
                  <c:v>390600.0</c:v>
                </c:pt>
                <c:pt idx="18">
                  <c:v>567000.0</c:v>
                </c:pt>
                <c:pt idx="19">
                  <c:v>12655475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9602008"/>
        <c:axId val="419602400"/>
      </c:barChart>
      <c:lineChart>
        <c:grouping val="standard"/>
        <c:varyColors val="0"/>
        <c:ser>
          <c:idx val="2"/>
          <c:order val="2"/>
          <c:tx>
            <c:strRef>
              <c:f>'July 18th Sales Report'!$L$1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18th Sales Report'!$I$2:$I$21</c:f>
              <c:strCache>
                <c:ptCount val="20"/>
                <c:pt idx="0">
                  <c:v>Heineken Bottle 60cl</c:v>
                </c:pt>
                <c:pt idx="1">
                  <c:v>33 Export 60cl</c:v>
                </c:pt>
                <c:pt idx="2">
                  <c:v>Tiger Bottle</c:v>
                </c:pt>
                <c:pt idx="3">
                  <c:v>Star Radler 45cl</c:v>
                </c:pt>
                <c:pt idx="4">
                  <c:v>Maltina Can</c:v>
                </c:pt>
                <c:pt idx="5">
                  <c:v>Heineken Sleek Can</c:v>
                </c:pt>
                <c:pt idx="6">
                  <c:v>Goldberg Can 50cl</c:v>
                </c:pt>
                <c:pt idx="7">
                  <c:v>Fayrouz Can</c:v>
                </c:pt>
                <c:pt idx="8">
                  <c:v>Medium Stout</c:v>
                </c:pt>
                <c:pt idx="9">
                  <c:v>Goldberg 60cl</c:v>
                </c:pt>
                <c:pt idx="10">
                  <c:v>Star Bottle 60cl</c:v>
                </c:pt>
                <c:pt idx="11">
                  <c:v>Turbo King Bottle 60cl</c:v>
                </c:pt>
                <c:pt idx="12">
                  <c:v>Williams Bottle 60cl</c:v>
                </c:pt>
                <c:pt idx="13">
                  <c:v>Desperados Bottle</c:v>
                </c:pt>
                <c:pt idx="14">
                  <c:v>Gulder Bottle</c:v>
                </c:pt>
                <c:pt idx="15">
                  <c:v>Legend 45cl</c:v>
                </c:pt>
                <c:pt idx="16">
                  <c:v>Maltina Pet 33cl</c:v>
                </c:pt>
                <c:pt idx="17">
                  <c:v>Maltina Bottle</c:v>
                </c:pt>
                <c:pt idx="18">
                  <c:v>Trophy</c:v>
                </c:pt>
                <c:pt idx="19">
                  <c:v>Grand Total</c:v>
                </c:pt>
              </c:strCache>
            </c:strRef>
          </c:cat>
          <c:val>
            <c:numRef>
              <c:f>'July 18th Sales Report'!$L$2:$L$21</c:f>
              <c:numCache>
                <c:formatCode>0%</c:formatCode>
                <c:ptCount val="20"/>
                <c:pt idx="0">
                  <c:v>0.308043751814926</c:v>
                </c:pt>
                <c:pt idx="1">
                  <c:v>0.110268480637827</c:v>
                </c:pt>
                <c:pt idx="2">
                  <c:v>0.0730948463016995</c:v>
                </c:pt>
                <c:pt idx="3">
                  <c:v>0.10432836381092</c:v>
                </c:pt>
                <c:pt idx="4">
                  <c:v>0.0467584187871257</c:v>
                </c:pt>
                <c:pt idx="5">
                  <c:v>0.0141006165315802</c:v>
                </c:pt>
                <c:pt idx="6">
                  <c:v>0.0127573243991237</c:v>
                </c:pt>
                <c:pt idx="7">
                  <c:v>0.010635713001685</c:v>
                </c:pt>
                <c:pt idx="8">
                  <c:v>0.0435621736837219</c:v>
                </c:pt>
                <c:pt idx="9">
                  <c:v>0.121518947333071</c:v>
                </c:pt>
                <c:pt idx="10">
                  <c:v>0.0091659933744091</c:v>
                </c:pt>
                <c:pt idx="11">
                  <c:v>0.0526744353728327</c:v>
                </c:pt>
                <c:pt idx="12">
                  <c:v>0.000738415586929768</c:v>
                </c:pt>
                <c:pt idx="13">
                  <c:v>0.00169096774320995</c:v>
                </c:pt>
                <c:pt idx="14">
                  <c:v>0.00188218932912435</c:v>
                </c:pt>
                <c:pt idx="15">
                  <c:v>0.00125992900305994</c:v>
                </c:pt>
                <c:pt idx="16">
                  <c:v>0.0118525776393221</c:v>
                </c:pt>
                <c:pt idx="17">
                  <c:v>0.0308641121727948</c:v>
                </c:pt>
                <c:pt idx="18">
                  <c:v>0.0448027434766376</c:v>
                </c:pt>
                <c:pt idx="19">
                  <c:v>1.0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9599264"/>
        <c:axId val="419604752"/>
      </c:lineChart>
      <c:catAx>
        <c:axId val="4196020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9602400"/>
        <c:crosses val="autoZero"/>
        <c:auto val="1"/>
        <c:lblAlgn val="ctr"/>
        <c:lblOffset val="100"/>
        <c:noMultiLvlLbl val="0"/>
      </c:catAx>
      <c:valAx>
        <c:axId val="41960240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9602008"/>
        <c:crosses val="autoZero"/>
        <c:crossBetween val="between"/>
      </c:valAx>
      <c:catAx>
        <c:axId val="419599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9604752"/>
        <c:crosses val="autoZero"/>
        <c:auto val="1"/>
        <c:lblAlgn val="ctr"/>
        <c:lblOffset val="100"/>
        <c:noMultiLvlLbl val="0"/>
      </c:catAx>
      <c:valAx>
        <c:axId val="41960475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959926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Customer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18th Sales Report'!$J$23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18th Sales Report'!$I$24:$I$33</c:f>
              <c:strCache>
                <c:ptCount val="10"/>
                <c:pt idx="0">
                  <c:v>Abbey Illisan</c:v>
                </c:pt>
                <c:pt idx="1">
                  <c:v>Eniola Marketer</c:v>
                </c:pt>
                <c:pt idx="2">
                  <c:v>Rita SR</c:v>
                </c:pt>
                <c:pt idx="3">
                  <c:v>Ameh Mathew</c:v>
                </c:pt>
                <c:pt idx="4">
                  <c:v>Alhaja GRA Road</c:v>
                </c:pt>
                <c:pt idx="5">
                  <c:v>LAKE AND RIVER FOODS</c:v>
                </c:pt>
                <c:pt idx="6">
                  <c:v>MAADE HOTEL</c:v>
                </c:pt>
                <c:pt idx="7">
                  <c:v>Remilekun</c:v>
                </c:pt>
                <c:pt idx="8">
                  <c:v>June Target Achievement Incentive Scheme</c:v>
                </c:pt>
                <c:pt idx="9">
                  <c:v>Total</c:v>
                </c:pt>
              </c:strCache>
            </c:strRef>
          </c:cat>
          <c:val>
            <c:numRef>
              <c:f>'July 18th Sales Report'!$J$24:$J$33</c:f>
              <c:numCache>
                <c:formatCode>_(* #,##0_);_(* \(#,##0\);_(* \-??_);_(@_)</c:formatCode>
                <c:ptCount val="10"/>
                <c:pt idx="0">
                  <c:v>4803300.0</c:v>
                </c:pt>
                <c:pt idx="1">
                  <c:v>1243250.0</c:v>
                </c:pt>
                <c:pt idx="2">
                  <c:v>608700.0</c:v>
                </c:pt>
                <c:pt idx="3">
                  <c:v>425660.0</c:v>
                </c:pt>
                <c:pt idx="4">
                  <c:v>4435650.0</c:v>
                </c:pt>
                <c:pt idx="5">
                  <c:v>1013900.0</c:v>
                </c:pt>
                <c:pt idx="6">
                  <c:v>40835.0</c:v>
                </c:pt>
                <c:pt idx="7">
                  <c:v>9500.0</c:v>
                </c:pt>
                <c:pt idx="8">
                  <c:v>74680.0</c:v>
                </c:pt>
                <c:pt idx="9">
                  <c:v>12655475</c:v>
                </c:pt>
              </c:numCache>
            </c:numRef>
          </c:val>
        </c:ser>
        <c:ser>
          <c:idx val="1"/>
          <c:order val="1"/>
          <c:tx>
            <c:strRef>
              <c:f>'July 18th Sales Report'!$K$23</c:f>
              <c:strCache>
                <c:ptCount val="1"/>
                <c:pt idx="0">
                  <c:v>% of Total 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18th Sales Report'!$I$24:$I$33</c:f>
              <c:strCache>
                <c:ptCount val="10"/>
                <c:pt idx="0">
                  <c:v>Abbey Illisan</c:v>
                </c:pt>
                <c:pt idx="1">
                  <c:v>Eniola Marketer</c:v>
                </c:pt>
                <c:pt idx="2">
                  <c:v>Rita SR</c:v>
                </c:pt>
                <c:pt idx="3">
                  <c:v>Ameh Mathew</c:v>
                </c:pt>
                <c:pt idx="4">
                  <c:v>Alhaja GRA Road</c:v>
                </c:pt>
                <c:pt idx="5">
                  <c:v>LAKE AND RIVER FOODS</c:v>
                </c:pt>
                <c:pt idx="6">
                  <c:v>MAADE HOTEL</c:v>
                </c:pt>
                <c:pt idx="7">
                  <c:v>Remilekun</c:v>
                </c:pt>
                <c:pt idx="8">
                  <c:v>June Target Achievement Incentive Scheme</c:v>
                </c:pt>
                <c:pt idx="9">
                  <c:v>Total</c:v>
                </c:pt>
              </c:strCache>
            </c:strRef>
          </c:cat>
          <c:val>
            <c:numRef>
              <c:f>'July 18th Sales Report'!$K$24:$K$33</c:f>
              <c:numCache>
                <c:formatCode>0%</c:formatCode>
                <c:ptCount val="10"/>
                <c:pt idx="0">
                  <c:v>0.379543241166373</c:v>
                </c:pt>
                <c:pt idx="1">
                  <c:v>0.0982381143339148</c:v>
                </c:pt>
                <c:pt idx="2">
                  <c:v>0.0480977600603691</c:v>
                </c:pt>
                <c:pt idx="3">
                  <c:v>0.0336344546530257</c:v>
                </c:pt>
                <c:pt idx="4">
                  <c:v>0.350492573372394</c:v>
                </c:pt>
                <c:pt idx="5">
                  <c:v>0.0801155231233913</c:v>
                </c:pt>
                <c:pt idx="6">
                  <c:v>0.00322666671934479</c:v>
                </c:pt>
                <c:pt idx="7">
                  <c:v>0.0007506632504904</c:v>
                </c:pt>
                <c:pt idx="8">
                  <c:v>0.00590100332069717</c:v>
                </c:pt>
                <c:pt idx="9">
                  <c:v>1.0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9605144"/>
        <c:axId val="419602792"/>
      </c:barChart>
      <c:lineChart>
        <c:grouping val="standard"/>
        <c:varyColors val="0"/>
        <c:ser>
          <c:idx val="2"/>
          <c:order val="2"/>
          <c:tx>
            <c:strRef>
              <c:f>'July 18th Sales Report'!$L$23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18th Sales Report'!$I$24:$I$33</c:f>
              <c:strCache>
                <c:ptCount val="10"/>
                <c:pt idx="0">
                  <c:v>Abbey Illisan</c:v>
                </c:pt>
                <c:pt idx="1">
                  <c:v>Eniola Marketer</c:v>
                </c:pt>
                <c:pt idx="2">
                  <c:v>Rita SR</c:v>
                </c:pt>
                <c:pt idx="3">
                  <c:v>Ameh Mathew</c:v>
                </c:pt>
                <c:pt idx="4">
                  <c:v>Alhaja GRA Road</c:v>
                </c:pt>
                <c:pt idx="5">
                  <c:v>LAKE AND RIVER FOODS</c:v>
                </c:pt>
                <c:pt idx="6">
                  <c:v>MAADE HOTEL</c:v>
                </c:pt>
                <c:pt idx="7">
                  <c:v>Remilekun</c:v>
                </c:pt>
                <c:pt idx="8">
                  <c:v>June Target Achievement Incentive Scheme</c:v>
                </c:pt>
                <c:pt idx="9">
                  <c:v>Total</c:v>
                </c:pt>
              </c:strCache>
            </c:strRef>
          </c:cat>
          <c:val>
            <c:numRef>
              <c:f>'July 18th Sales Report'!$L$24:$L$33</c:f>
              <c:numCache>
                <c:formatCode>0%</c:formatCode>
                <c:ptCount val="10"/>
                <c:pt idx="0">
                  <c:v>0.0603</c:v>
                </c:pt>
                <c:pt idx="1">
                  <c:v>0.0761</c:v>
                </c:pt>
                <c:pt idx="2">
                  <c:v>0.0903</c:v>
                </c:pt>
                <c:pt idx="3">
                  <c:v>0.0396</c:v>
                </c:pt>
                <c:pt idx="4">
                  <c:v>0.0694</c:v>
                </c:pt>
                <c:pt idx="5">
                  <c:v>0.1509</c:v>
                </c:pt>
                <c:pt idx="6">
                  <c:v>0.0559</c:v>
                </c:pt>
                <c:pt idx="7">
                  <c:v>0.1026</c:v>
                </c:pt>
                <c:pt idx="8">
                  <c:v>0.0727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9600440"/>
        <c:axId val="419610632"/>
      </c:lineChart>
      <c:catAx>
        <c:axId val="4196051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9602792"/>
        <c:crosses val="autoZero"/>
        <c:auto val="1"/>
        <c:lblAlgn val="ctr"/>
        <c:lblOffset val="100"/>
        <c:noMultiLvlLbl val="0"/>
      </c:catAx>
      <c:valAx>
        <c:axId val="41960279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9605144"/>
        <c:crosses val="autoZero"/>
        <c:crossBetween val="between"/>
      </c:valAx>
      <c:catAx>
        <c:axId val="4196004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9610632"/>
        <c:crosses val="autoZero"/>
        <c:auto val="1"/>
        <c:lblAlgn val="ctr"/>
        <c:lblOffset val="100"/>
        <c:noMultiLvlLbl val="0"/>
      </c:catAx>
      <c:valAx>
        <c:axId val="41961063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960044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Invoice_No &amp; Gross Profit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18th Sales Report'!$J$35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18th Sales Report'!$I$36:$I$50</c:f>
              <c:strCache>
                <c:ptCount val="15"/>
                <c:pt idx="0">
                  <c:v>ann-INV304</c:v>
                </c:pt>
                <c:pt idx="1">
                  <c:v>ann-INV305</c:v>
                </c:pt>
                <c:pt idx="2">
                  <c:v>ann-INV306</c:v>
                </c:pt>
                <c:pt idx="3">
                  <c:v>ann-INV311</c:v>
                </c:pt>
                <c:pt idx="4">
                  <c:v>ann-INV310</c:v>
                </c:pt>
                <c:pt idx="5">
                  <c:v>ann-INV309</c:v>
                </c:pt>
                <c:pt idx="6">
                  <c:v>ann-INV312</c:v>
                </c:pt>
                <c:pt idx="7">
                  <c:v>ann-INV316</c:v>
                </c:pt>
                <c:pt idx="8">
                  <c:v>ann-INV313</c:v>
                </c:pt>
                <c:pt idx="9">
                  <c:v>ann-INV314</c:v>
                </c:pt>
                <c:pt idx="10">
                  <c:v>ann-INV308</c:v>
                </c:pt>
                <c:pt idx="11">
                  <c:v>ann-INV315</c:v>
                </c:pt>
                <c:pt idx="12">
                  <c:v>ann-INV307</c:v>
                </c:pt>
                <c:pt idx="13">
                  <c:v>ann-INV317</c:v>
                </c:pt>
                <c:pt idx="14">
                  <c:v>Total</c:v>
                </c:pt>
              </c:strCache>
            </c:strRef>
          </c:cat>
          <c:val>
            <c:numRef>
              <c:f>'July 18th Sales Report'!$J$36:$J$50</c:f>
              <c:numCache>
                <c:formatCode>_(* #,##0_);_(* \(#,##0\);_(* \-??_);_(@_)</c:formatCode>
                <c:ptCount val="15"/>
                <c:pt idx="0">
                  <c:v>5551300.0</c:v>
                </c:pt>
                <c:pt idx="1">
                  <c:v>931650.0</c:v>
                </c:pt>
                <c:pt idx="2">
                  <c:v>361600.0</c:v>
                </c:pt>
                <c:pt idx="3">
                  <c:v>212000.0</c:v>
                </c:pt>
                <c:pt idx="4">
                  <c:v>440700.0</c:v>
                </c:pt>
                <c:pt idx="5">
                  <c:v>17760.0</c:v>
                </c:pt>
                <c:pt idx="6">
                  <c:v>458900.0</c:v>
                </c:pt>
                <c:pt idx="7">
                  <c:v>5201650.0</c:v>
                </c:pt>
                <c:pt idx="8">
                  <c:v>50000.0</c:v>
                </c:pt>
                <c:pt idx="9">
                  <c:v>564900.0</c:v>
                </c:pt>
                <c:pt idx="10">
                  <c:v>40835.0</c:v>
                </c:pt>
                <c:pt idx="11">
                  <c:v>9500.0</c:v>
                </c:pt>
                <c:pt idx="12">
                  <c:v>679000.0</c:v>
                </c:pt>
                <c:pt idx="13">
                  <c:v>74680.0</c:v>
                </c:pt>
                <c:pt idx="14">
                  <c:v>14594475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9603184"/>
        <c:axId val="419607496"/>
      </c:barChart>
      <c:lineChart>
        <c:grouping val="standard"/>
        <c:varyColors val="0"/>
        <c:ser>
          <c:idx val="1"/>
          <c:order val="1"/>
          <c:tx>
            <c:strRef>
              <c:f>'July 18th Sales Report'!$K$35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18th Sales Report'!$I$36:$I$50</c:f>
              <c:strCache>
                <c:ptCount val="15"/>
                <c:pt idx="0">
                  <c:v>ann-INV304</c:v>
                </c:pt>
                <c:pt idx="1">
                  <c:v>ann-INV305</c:v>
                </c:pt>
                <c:pt idx="2">
                  <c:v>ann-INV306</c:v>
                </c:pt>
                <c:pt idx="3">
                  <c:v>ann-INV311</c:v>
                </c:pt>
                <c:pt idx="4">
                  <c:v>ann-INV310</c:v>
                </c:pt>
                <c:pt idx="5">
                  <c:v>ann-INV309</c:v>
                </c:pt>
                <c:pt idx="6">
                  <c:v>ann-INV312</c:v>
                </c:pt>
                <c:pt idx="7">
                  <c:v>ann-INV316</c:v>
                </c:pt>
                <c:pt idx="8">
                  <c:v>ann-INV313</c:v>
                </c:pt>
                <c:pt idx="9">
                  <c:v>ann-INV314</c:v>
                </c:pt>
                <c:pt idx="10">
                  <c:v>ann-INV308</c:v>
                </c:pt>
                <c:pt idx="11">
                  <c:v>ann-INV315</c:v>
                </c:pt>
                <c:pt idx="12">
                  <c:v>ann-INV307</c:v>
                </c:pt>
                <c:pt idx="13">
                  <c:v>ann-INV317</c:v>
                </c:pt>
                <c:pt idx="14">
                  <c:v>Total</c:v>
                </c:pt>
              </c:strCache>
            </c:strRef>
          </c:cat>
          <c:val>
            <c:numRef>
              <c:f>'July 18th Sales Report'!$K$36:$K$50</c:f>
              <c:numCache>
                <c:formatCode>0%</c:formatCode>
                <c:ptCount val="15"/>
                <c:pt idx="0">
                  <c:v>0.06</c:v>
                </c:pt>
                <c:pt idx="1">
                  <c:v>0.0</c:v>
                </c:pt>
                <c:pt idx="2">
                  <c:v>0.27</c:v>
                </c:pt>
                <c:pt idx="3">
                  <c:v>0.04</c:v>
                </c:pt>
                <c:pt idx="4">
                  <c:v>0.13</c:v>
                </c:pt>
                <c:pt idx="5">
                  <c:v>0.04</c:v>
                </c:pt>
                <c:pt idx="6">
                  <c:v>0.04</c:v>
                </c:pt>
                <c:pt idx="7">
                  <c:v>0.07</c:v>
                </c:pt>
                <c:pt idx="8">
                  <c:v>-0.04</c:v>
                </c:pt>
                <c:pt idx="9">
                  <c:v>0.34</c:v>
                </c:pt>
                <c:pt idx="10">
                  <c:v>0.06</c:v>
                </c:pt>
                <c:pt idx="11">
                  <c:v>0.1</c:v>
                </c:pt>
                <c:pt idx="12">
                  <c:v>0.0</c:v>
                </c:pt>
                <c:pt idx="13">
                  <c:v>0.07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9603968"/>
        <c:axId val="419608280"/>
      </c:lineChart>
      <c:catAx>
        <c:axId val="4196031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9607496"/>
        <c:crosses val="autoZero"/>
        <c:auto val="1"/>
        <c:lblAlgn val="ctr"/>
        <c:lblOffset val="100"/>
        <c:noMultiLvlLbl val="0"/>
      </c:catAx>
      <c:valAx>
        <c:axId val="41960749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9603184"/>
        <c:crosses val="autoZero"/>
        <c:crossBetween val="between"/>
      </c:valAx>
      <c:catAx>
        <c:axId val="4196039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9608280"/>
        <c:crosses val="autoZero"/>
        <c:auto val="1"/>
        <c:lblAlgn val="ctr"/>
        <c:lblOffset val="100"/>
        <c:noMultiLvlLbl val="0"/>
      </c:catAx>
      <c:valAx>
        <c:axId val="41960828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960396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Product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20th Sales Report'!$J$1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20th Sales Report'!$I$2:$I$21</c:f>
              <c:strCache>
                <c:ptCount val="20"/>
                <c:pt idx="0">
                  <c:v>Goldberg 60cl</c:v>
                </c:pt>
                <c:pt idx="1">
                  <c:v>Trophy</c:v>
                </c:pt>
                <c:pt idx="2">
                  <c:v>Maltina Pet 33cl</c:v>
                </c:pt>
                <c:pt idx="3">
                  <c:v>33 Export 60cl</c:v>
                </c:pt>
                <c:pt idx="4">
                  <c:v>Heineken Bottle 60cl</c:v>
                </c:pt>
                <c:pt idx="5">
                  <c:v>Fayrouz Bottle</c:v>
                </c:pt>
                <c:pt idx="6">
                  <c:v>Desperados Bottle</c:v>
                </c:pt>
                <c:pt idx="7">
                  <c:v>Heineken Sleek Can</c:v>
                </c:pt>
                <c:pt idx="8">
                  <c:v>Desperados Can</c:v>
                </c:pt>
                <c:pt idx="9">
                  <c:v>Goldberg Can 50cl</c:v>
                </c:pt>
                <c:pt idx="10">
                  <c:v>Gulder Bottle</c:v>
                </c:pt>
                <c:pt idx="11">
                  <c:v>Star Radler 45cl</c:v>
                </c:pt>
                <c:pt idx="12">
                  <c:v>Maltina Can</c:v>
                </c:pt>
                <c:pt idx="13">
                  <c:v>CLIMAX CAN</c:v>
                </c:pt>
                <c:pt idx="14">
                  <c:v>Maltina Bottle</c:v>
                </c:pt>
                <c:pt idx="15">
                  <c:v>Star Bottle 60cl</c:v>
                </c:pt>
                <c:pt idx="16">
                  <c:v>Maltina Pet 50cl</c:v>
                </c:pt>
                <c:pt idx="17">
                  <c:v>Turbo King Bottle 60cl</c:v>
                </c:pt>
                <c:pt idx="18">
                  <c:v>Legend Bottle 60cl</c:v>
                </c:pt>
                <c:pt idx="19">
                  <c:v>Grand Total</c:v>
                </c:pt>
              </c:strCache>
            </c:strRef>
          </c:cat>
          <c:val>
            <c:numRef>
              <c:f>'July 20th Sales Report'!$J$2:$J$21</c:f>
              <c:numCache>
                <c:formatCode>General</c:formatCode>
                <c:ptCount val="20"/>
                <c:pt idx="0">
                  <c:v>536.0</c:v>
                </c:pt>
                <c:pt idx="1">
                  <c:v>41.0</c:v>
                </c:pt>
                <c:pt idx="2">
                  <c:v>335.0</c:v>
                </c:pt>
                <c:pt idx="3">
                  <c:v>82.0</c:v>
                </c:pt>
                <c:pt idx="4">
                  <c:v>55.0</c:v>
                </c:pt>
                <c:pt idx="5">
                  <c:v>12.0</c:v>
                </c:pt>
                <c:pt idx="6">
                  <c:v>13.0</c:v>
                </c:pt>
                <c:pt idx="7">
                  <c:v>13.0</c:v>
                </c:pt>
                <c:pt idx="8">
                  <c:v>1.0</c:v>
                </c:pt>
                <c:pt idx="9">
                  <c:v>1.0</c:v>
                </c:pt>
                <c:pt idx="10">
                  <c:v>13.0</c:v>
                </c:pt>
                <c:pt idx="11">
                  <c:v>6.0</c:v>
                </c:pt>
                <c:pt idx="12">
                  <c:v>10.0</c:v>
                </c:pt>
                <c:pt idx="13">
                  <c:v>1.0</c:v>
                </c:pt>
                <c:pt idx="14">
                  <c:v>20.0</c:v>
                </c:pt>
                <c:pt idx="15">
                  <c:v>15.0</c:v>
                </c:pt>
                <c:pt idx="16">
                  <c:v>15.0</c:v>
                </c:pt>
                <c:pt idx="17">
                  <c:v>30.0</c:v>
                </c:pt>
                <c:pt idx="18">
                  <c:v>1.0</c:v>
                </c:pt>
                <c:pt idx="19">
                  <c:v>1200.0</c:v>
                </c:pt>
              </c:numCache>
            </c:numRef>
          </c:val>
        </c:ser>
        <c:ser>
          <c:idx val="1"/>
          <c:order val="1"/>
          <c:tx>
            <c:strRef>
              <c:f>'July 20th Sales Report'!$K$1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20th Sales Report'!$I$2:$I$21</c:f>
              <c:strCache>
                <c:ptCount val="20"/>
                <c:pt idx="0">
                  <c:v>Goldberg 60cl</c:v>
                </c:pt>
                <c:pt idx="1">
                  <c:v>Trophy</c:v>
                </c:pt>
                <c:pt idx="2">
                  <c:v>Maltina Pet 33cl</c:v>
                </c:pt>
                <c:pt idx="3">
                  <c:v>33 Export 60cl</c:v>
                </c:pt>
                <c:pt idx="4">
                  <c:v>Heineken Bottle 60cl</c:v>
                </c:pt>
                <c:pt idx="5">
                  <c:v>Fayrouz Bottle</c:v>
                </c:pt>
                <c:pt idx="6">
                  <c:v>Desperados Bottle</c:v>
                </c:pt>
                <c:pt idx="7">
                  <c:v>Heineken Sleek Can</c:v>
                </c:pt>
                <c:pt idx="8">
                  <c:v>Desperados Can</c:v>
                </c:pt>
                <c:pt idx="9">
                  <c:v>Goldberg Can 50cl</c:v>
                </c:pt>
                <c:pt idx="10">
                  <c:v>Gulder Bottle</c:v>
                </c:pt>
                <c:pt idx="11">
                  <c:v>Star Radler 45cl</c:v>
                </c:pt>
                <c:pt idx="12">
                  <c:v>Maltina Can</c:v>
                </c:pt>
                <c:pt idx="13">
                  <c:v>CLIMAX CAN</c:v>
                </c:pt>
                <c:pt idx="14">
                  <c:v>Maltina Bottle</c:v>
                </c:pt>
                <c:pt idx="15">
                  <c:v>Star Bottle 60cl</c:v>
                </c:pt>
                <c:pt idx="16">
                  <c:v>Maltina Pet 50cl</c:v>
                </c:pt>
                <c:pt idx="17">
                  <c:v>Turbo King Bottle 60cl</c:v>
                </c:pt>
                <c:pt idx="18">
                  <c:v>Legend Bottle 60cl</c:v>
                </c:pt>
                <c:pt idx="19">
                  <c:v>Grand Total</c:v>
                </c:pt>
              </c:strCache>
            </c:strRef>
          </c:cat>
          <c:val>
            <c:numRef>
              <c:f>'July 20th Sales Report'!$K$2:$K$21</c:f>
              <c:numCache>
                <c:formatCode>_(* #,##0_);_(* \(#,##0\);_(* \-??_);_(@_)</c:formatCode>
                <c:ptCount val="20"/>
                <c:pt idx="0">
                  <c:v>4586400.0</c:v>
                </c:pt>
                <c:pt idx="1">
                  <c:v>339400.0</c:v>
                </c:pt>
                <c:pt idx="2">
                  <c:v>1675600.0</c:v>
                </c:pt>
                <c:pt idx="3">
                  <c:v>746700.0</c:v>
                </c:pt>
                <c:pt idx="4">
                  <c:v>712770.0</c:v>
                </c:pt>
                <c:pt idx="5">
                  <c:v>121880.0</c:v>
                </c:pt>
                <c:pt idx="6">
                  <c:v>268910.0</c:v>
                </c:pt>
                <c:pt idx="7">
                  <c:v>222300.0</c:v>
                </c:pt>
                <c:pt idx="8">
                  <c:v>21695.0</c:v>
                </c:pt>
                <c:pt idx="9">
                  <c:v>16145.0</c:v>
                </c:pt>
                <c:pt idx="10">
                  <c:v>149385.0</c:v>
                </c:pt>
                <c:pt idx="11">
                  <c:v>87950.0</c:v>
                </c:pt>
                <c:pt idx="12">
                  <c:v>132000.0</c:v>
                </c:pt>
                <c:pt idx="13">
                  <c:v>12885.0</c:v>
                </c:pt>
                <c:pt idx="14">
                  <c:v>260400.0</c:v>
                </c:pt>
                <c:pt idx="15">
                  <c:v>169950.0</c:v>
                </c:pt>
                <c:pt idx="16">
                  <c:v>120300.0</c:v>
                </c:pt>
                <c:pt idx="17">
                  <c:v>264000.0</c:v>
                </c:pt>
                <c:pt idx="18">
                  <c:v>11480.0</c:v>
                </c:pt>
                <c:pt idx="19">
                  <c:v>9920150.0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9605928"/>
        <c:axId val="419606320"/>
      </c:barChart>
      <c:lineChart>
        <c:grouping val="standard"/>
        <c:varyColors val="0"/>
        <c:ser>
          <c:idx val="2"/>
          <c:order val="2"/>
          <c:tx>
            <c:strRef>
              <c:f>'July 20th Sales Report'!$L$1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20th Sales Report'!$I$2:$I$21</c:f>
              <c:strCache>
                <c:ptCount val="20"/>
                <c:pt idx="0">
                  <c:v>Goldberg 60cl</c:v>
                </c:pt>
                <c:pt idx="1">
                  <c:v>Trophy</c:v>
                </c:pt>
                <c:pt idx="2">
                  <c:v>Maltina Pet 33cl</c:v>
                </c:pt>
                <c:pt idx="3">
                  <c:v>33 Export 60cl</c:v>
                </c:pt>
                <c:pt idx="4">
                  <c:v>Heineken Bottle 60cl</c:v>
                </c:pt>
                <c:pt idx="5">
                  <c:v>Fayrouz Bottle</c:v>
                </c:pt>
                <c:pt idx="6">
                  <c:v>Desperados Bottle</c:v>
                </c:pt>
                <c:pt idx="7">
                  <c:v>Heineken Sleek Can</c:v>
                </c:pt>
                <c:pt idx="8">
                  <c:v>Desperados Can</c:v>
                </c:pt>
                <c:pt idx="9">
                  <c:v>Goldberg Can 50cl</c:v>
                </c:pt>
                <c:pt idx="10">
                  <c:v>Gulder Bottle</c:v>
                </c:pt>
                <c:pt idx="11">
                  <c:v>Star Radler 45cl</c:v>
                </c:pt>
                <c:pt idx="12">
                  <c:v>Maltina Can</c:v>
                </c:pt>
                <c:pt idx="13">
                  <c:v>CLIMAX CAN</c:v>
                </c:pt>
                <c:pt idx="14">
                  <c:v>Maltina Bottle</c:v>
                </c:pt>
                <c:pt idx="15">
                  <c:v>Star Bottle 60cl</c:v>
                </c:pt>
                <c:pt idx="16">
                  <c:v>Maltina Pet 50cl</c:v>
                </c:pt>
                <c:pt idx="17">
                  <c:v>Turbo King Bottle 60cl</c:v>
                </c:pt>
                <c:pt idx="18">
                  <c:v>Legend Bottle 60cl</c:v>
                </c:pt>
                <c:pt idx="19">
                  <c:v>Grand Total</c:v>
                </c:pt>
              </c:strCache>
            </c:strRef>
          </c:cat>
          <c:val>
            <c:numRef>
              <c:f>'July 20th Sales Report'!$L$2:$L$21</c:f>
              <c:numCache>
                <c:formatCode>0%</c:formatCode>
                <c:ptCount val="20"/>
                <c:pt idx="0">
                  <c:v>0.462331718774414</c:v>
                </c:pt>
                <c:pt idx="1">
                  <c:v>0.0342131923408416</c:v>
                </c:pt>
                <c:pt idx="2">
                  <c:v>0.168908736259028</c:v>
                </c:pt>
                <c:pt idx="3">
                  <c:v>0.0752710392483985</c:v>
                </c:pt>
                <c:pt idx="4">
                  <c:v>0.0718507280635878</c:v>
                </c:pt>
                <c:pt idx="5">
                  <c:v>0.0122861045447902</c:v>
                </c:pt>
                <c:pt idx="6">
                  <c:v>0.0271074530123032</c:v>
                </c:pt>
                <c:pt idx="7">
                  <c:v>0.0224089353487598</c:v>
                </c:pt>
                <c:pt idx="8">
                  <c:v>0.00218696289874649</c:v>
                </c:pt>
                <c:pt idx="9">
                  <c:v>0.00162749555198258</c:v>
                </c:pt>
                <c:pt idx="10">
                  <c:v>0.0150587440714102</c:v>
                </c:pt>
                <c:pt idx="11">
                  <c:v>0.00886579335997944</c:v>
                </c:pt>
                <c:pt idx="12">
                  <c:v>0.01330625040952</c:v>
                </c:pt>
                <c:pt idx="13">
                  <c:v>0.00129887148883837</c:v>
                </c:pt>
                <c:pt idx="14">
                  <c:v>0.0262496030805986</c:v>
                </c:pt>
                <c:pt idx="15">
                  <c:v>0.017131797402257</c:v>
                </c:pt>
                <c:pt idx="16">
                  <c:v>0.0121268327595853</c:v>
                </c:pt>
                <c:pt idx="17">
                  <c:v>0.02661250081904</c:v>
                </c:pt>
                <c:pt idx="18">
                  <c:v>0.00115724056591886</c:v>
                </c:pt>
                <c:pt idx="19">
                  <c:v>1.0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9607104"/>
        <c:axId val="419599656"/>
      </c:lineChart>
      <c:catAx>
        <c:axId val="4196059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9606320"/>
        <c:crosses val="autoZero"/>
        <c:auto val="1"/>
        <c:lblAlgn val="ctr"/>
        <c:lblOffset val="100"/>
        <c:noMultiLvlLbl val="0"/>
      </c:catAx>
      <c:valAx>
        <c:axId val="41960632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9605928"/>
        <c:crosses val="autoZero"/>
        <c:crossBetween val="between"/>
      </c:valAx>
      <c:catAx>
        <c:axId val="4196071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9599656"/>
        <c:crosses val="autoZero"/>
        <c:auto val="1"/>
        <c:lblAlgn val="ctr"/>
        <c:lblOffset val="100"/>
        <c:noMultiLvlLbl val="0"/>
      </c:catAx>
      <c:valAx>
        <c:axId val="41959965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960710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Customer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20th Sales Report'!$J$23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20th Sales Report'!$I$24:$I$33</c:f>
              <c:strCache>
                <c:ptCount val="10"/>
                <c:pt idx="0">
                  <c:v>Mr Olayinka</c:v>
                </c:pt>
                <c:pt idx="1">
                  <c:v>Rita SR</c:v>
                </c:pt>
                <c:pt idx="2">
                  <c:v>Delayers</c:v>
                </c:pt>
                <c:pt idx="3">
                  <c:v>Eniola Marketer</c:v>
                </c:pt>
                <c:pt idx="4">
                  <c:v>Solomon</c:v>
                </c:pt>
                <c:pt idx="5">
                  <c:v>Ameh Mathew</c:v>
                </c:pt>
                <c:pt idx="6">
                  <c:v>Tmoney NB</c:v>
                </c:pt>
                <c:pt idx="7">
                  <c:v>Walk in Customer</c:v>
                </c:pt>
                <c:pt idx="8">
                  <c:v>Emmycee</c:v>
                </c:pt>
                <c:pt idx="9">
                  <c:v>Total</c:v>
                </c:pt>
              </c:strCache>
            </c:strRef>
          </c:cat>
          <c:val>
            <c:numRef>
              <c:f>'July 20th Sales Report'!$J$24:$J$33</c:f>
              <c:numCache>
                <c:formatCode>_(* #,##0_);_(* \(#,##0\);_(* \-??_);_(@_)</c:formatCode>
                <c:ptCount val="10"/>
                <c:pt idx="0">
                  <c:v>54600.0</c:v>
                </c:pt>
                <c:pt idx="1">
                  <c:v>1240000.0</c:v>
                </c:pt>
                <c:pt idx="2">
                  <c:v>3611300.0</c:v>
                </c:pt>
                <c:pt idx="3">
                  <c:v>384000.0</c:v>
                </c:pt>
                <c:pt idx="4">
                  <c:v>135340.0</c:v>
                </c:pt>
                <c:pt idx="5">
                  <c:v>949335.0</c:v>
                </c:pt>
                <c:pt idx="6">
                  <c:v>12885.0</c:v>
                </c:pt>
                <c:pt idx="7">
                  <c:v>10600.0</c:v>
                </c:pt>
                <c:pt idx="8">
                  <c:v>3522090.0</c:v>
                </c:pt>
                <c:pt idx="9">
                  <c:v>9920150.0</c:v>
                </c:pt>
              </c:numCache>
            </c:numRef>
          </c:val>
        </c:ser>
        <c:ser>
          <c:idx val="1"/>
          <c:order val="1"/>
          <c:tx>
            <c:strRef>
              <c:f>'July 20th Sales Report'!$K$23</c:f>
              <c:strCache>
                <c:ptCount val="1"/>
                <c:pt idx="0">
                  <c:v>% of Total 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20th Sales Report'!$I$24:$I$33</c:f>
              <c:strCache>
                <c:ptCount val="10"/>
                <c:pt idx="0">
                  <c:v>Mr Olayinka</c:v>
                </c:pt>
                <c:pt idx="1">
                  <c:v>Rita SR</c:v>
                </c:pt>
                <c:pt idx="2">
                  <c:v>Delayers</c:v>
                </c:pt>
                <c:pt idx="3">
                  <c:v>Eniola Marketer</c:v>
                </c:pt>
                <c:pt idx="4">
                  <c:v>Solomon</c:v>
                </c:pt>
                <c:pt idx="5">
                  <c:v>Ameh Mathew</c:v>
                </c:pt>
                <c:pt idx="6">
                  <c:v>Tmoney NB</c:v>
                </c:pt>
                <c:pt idx="7">
                  <c:v>Walk in Customer</c:v>
                </c:pt>
                <c:pt idx="8">
                  <c:v>Emmycee</c:v>
                </c:pt>
                <c:pt idx="9">
                  <c:v>Total</c:v>
                </c:pt>
              </c:strCache>
            </c:strRef>
          </c:cat>
          <c:val>
            <c:numRef>
              <c:f>'July 20th Sales Report'!$K$24:$K$33</c:f>
              <c:numCache>
                <c:formatCode>0%</c:formatCode>
                <c:ptCount val="10"/>
                <c:pt idx="0">
                  <c:v>0.00550394903302873</c:v>
                </c:pt>
                <c:pt idx="1">
                  <c:v>0.124998109907612</c:v>
                </c:pt>
                <c:pt idx="2">
                  <c:v>0.364036834120452</c:v>
                </c:pt>
                <c:pt idx="3">
                  <c:v>0.0387090921004219</c:v>
                </c:pt>
                <c:pt idx="4">
                  <c:v>0.0136429388668518</c:v>
                </c:pt>
                <c:pt idx="5">
                  <c:v>0.0956976457009219</c:v>
                </c:pt>
                <c:pt idx="6">
                  <c:v>0.00129887148883837</c:v>
                </c:pt>
                <c:pt idx="7">
                  <c:v>0.0010685322298554</c:v>
                </c:pt>
                <c:pt idx="8">
                  <c:v>0.355044026552018</c:v>
                </c:pt>
                <c:pt idx="9">
                  <c:v>1.0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9607888"/>
        <c:axId val="419600048"/>
      </c:barChart>
      <c:lineChart>
        <c:grouping val="standard"/>
        <c:varyColors val="0"/>
        <c:ser>
          <c:idx val="2"/>
          <c:order val="2"/>
          <c:tx>
            <c:strRef>
              <c:f>'July 20th Sales Report'!$L$23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20th Sales Report'!$I$24:$I$33</c:f>
              <c:strCache>
                <c:ptCount val="10"/>
                <c:pt idx="0">
                  <c:v>Mr Olayinka</c:v>
                </c:pt>
                <c:pt idx="1">
                  <c:v>Rita SR</c:v>
                </c:pt>
                <c:pt idx="2">
                  <c:v>Delayers</c:v>
                </c:pt>
                <c:pt idx="3">
                  <c:v>Eniola Marketer</c:v>
                </c:pt>
                <c:pt idx="4">
                  <c:v>Solomon</c:v>
                </c:pt>
                <c:pt idx="5">
                  <c:v>Ameh Mathew</c:v>
                </c:pt>
                <c:pt idx="6">
                  <c:v>Tmoney NB</c:v>
                </c:pt>
                <c:pt idx="7">
                  <c:v>Walk in Customer</c:v>
                </c:pt>
                <c:pt idx="8">
                  <c:v>Emmycee</c:v>
                </c:pt>
                <c:pt idx="9">
                  <c:v>Total</c:v>
                </c:pt>
              </c:strCache>
            </c:strRef>
          </c:cat>
          <c:val>
            <c:numRef>
              <c:f>'July 20th Sales Report'!$L$24:$L$33</c:f>
              <c:numCache>
                <c:formatCode>0%</c:formatCode>
                <c:ptCount val="10"/>
                <c:pt idx="0">
                  <c:v>0.0781</c:v>
                </c:pt>
                <c:pt idx="1">
                  <c:v>-0.04</c:v>
                </c:pt>
                <c:pt idx="2">
                  <c:v>-0.0133</c:v>
                </c:pt>
                <c:pt idx="3">
                  <c:v>0.0322</c:v>
                </c:pt>
                <c:pt idx="4">
                  <c:v>0.119</c:v>
                </c:pt>
                <c:pt idx="5">
                  <c:v>-0.0098</c:v>
                </c:pt>
                <c:pt idx="6">
                  <c:v>0.0594</c:v>
                </c:pt>
                <c:pt idx="7">
                  <c:v>0.0189</c:v>
                </c:pt>
                <c:pt idx="8">
                  <c:v>0.052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9608672"/>
        <c:axId val="419609848"/>
      </c:lineChart>
      <c:catAx>
        <c:axId val="4196078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9600048"/>
        <c:crosses val="autoZero"/>
        <c:auto val="1"/>
        <c:lblAlgn val="ctr"/>
        <c:lblOffset val="100"/>
        <c:noMultiLvlLbl val="0"/>
      </c:catAx>
      <c:valAx>
        <c:axId val="41960004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9607888"/>
        <c:crosses val="autoZero"/>
        <c:crossBetween val="between"/>
      </c:valAx>
      <c:catAx>
        <c:axId val="4196086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9609848"/>
        <c:crosses val="autoZero"/>
        <c:auto val="1"/>
        <c:lblAlgn val="ctr"/>
        <c:lblOffset val="100"/>
        <c:noMultiLvlLbl val="0"/>
      </c:catAx>
      <c:valAx>
        <c:axId val="419609848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960867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Invoice_No &amp; Gross Profit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20th Sales Report'!$J$35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20th Sales Report'!$I$36:$I$46</c:f>
              <c:strCache>
                <c:ptCount val="11"/>
                <c:pt idx="0">
                  <c:v>ann-INV318</c:v>
                </c:pt>
                <c:pt idx="1">
                  <c:v>ann-INV321</c:v>
                </c:pt>
                <c:pt idx="2">
                  <c:v>ann-INV319</c:v>
                </c:pt>
                <c:pt idx="3">
                  <c:v>ann-INV325</c:v>
                </c:pt>
                <c:pt idx="4">
                  <c:v>ann-INV323</c:v>
                </c:pt>
                <c:pt idx="5">
                  <c:v>ann-INV320</c:v>
                </c:pt>
                <c:pt idx="6">
                  <c:v>ann-INV324</c:v>
                </c:pt>
                <c:pt idx="7">
                  <c:v>ann-INV326</c:v>
                </c:pt>
                <c:pt idx="8">
                  <c:v>ann-INV327</c:v>
                </c:pt>
                <c:pt idx="9">
                  <c:v>ann-INV328</c:v>
                </c:pt>
                <c:pt idx="10">
                  <c:v>Total</c:v>
                </c:pt>
              </c:strCache>
            </c:strRef>
          </c:cat>
          <c:val>
            <c:numRef>
              <c:f>'July 20th Sales Report'!$J$36:$J$46</c:f>
              <c:numCache>
                <c:formatCode>_(* #,##0_);_(* \(#,##0\);_(* \-??_);_(@_)</c:formatCode>
                <c:ptCount val="11"/>
                <c:pt idx="0">
                  <c:v>54600.0</c:v>
                </c:pt>
                <c:pt idx="1">
                  <c:v>1240000.0</c:v>
                </c:pt>
                <c:pt idx="2">
                  <c:v>3611300.0</c:v>
                </c:pt>
                <c:pt idx="3">
                  <c:v>459000.0</c:v>
                </c:pt>
                <c:pt idx="4">
                  <c:v>154540.0</c:v>
                </c:pt>
                <c:pt idx="5">
                  <c:v>89140.0</c:v>
                </c:pt>
                <c:pt idx="6">
                  <c:v>888995.0</c:v>
                </c:pt>
                <c:pt idx="7">
                  <c:v>12885.0</c:v>
                </c:pt>
                <c:pt idx="8">
                  <c:v>10600.0</c:v>
                </c:pt>
                <c:pt idx="9">
                  <c:v>4121490.0</c:v>
                </c:pt>
                <c:pt idx="10">
                  <c:v>1.064255E+7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9610240"/>
        <c:axId val="419598480"/>
      </c:barChart>
      <c:lineChart>
        <c:grouping val="standard"/>
        <c:varyColors val="0"/>
        <c:ser>
          <c:idx val="1"/>
          <c:order val="1"/>
          <c:tx>
            <c:strRef>
              <c:f>'July 20th Sales Report'!$K$35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20th Sales Report'!$I$36:$I$46</c:f>
              <c:strCache>
                <c:ptCount val="11"/>
                <c:pt idx="0">
                  <c:v>ann-INV318</c:v>
                </c:pt>
                <c:pt idx="1">
                  <c:v>ann-INV321</c:v>
                </c:pt>
                <c:pt idx="2">
                  <c:v>ann-INV319</c:v>
                </c:pt>
                <c:pt idx="3">
                  <c:v>ann-INV325</c:v>
                </c:pt>
                <c:pt idx="4">
                  <c:v>ann-INV323</c:v>
                </c:pt>
                <c:pt idx="5">
                  <c:v>ann-INV320</c:v>
                </c:pt>
                <c:pt idx="6">
                  <c:v>ann-INV324</c:v>
                </c:pt>
                <c:pt idx="7">
                  <c:v>ann-INV326</c:v>
                </c:pt>
                <c:pt idx="8">
                  <c:v>ann-INV327</c:v>
                </c:pt>
                <c:pt idx="9">
                  <c:v>ann-INV328</c:v>
                </c:pt>
                <c:pt idx="10">
                  <c:v>Total</c:v>
                </c:pt>
              </c:strCache>
            </c:strRef>
          </c:cat>
          <c:val>
            <c:numRef>
              <c:f>'July 20th Sales Report'!$K$36:$K$46</c:f>
              <c:numCache>
                <c:formatCode>0%</c:formatCode>
                <c:ptCount val="11"/>
                <c:pt idx="0">
                  <c:v>0.08</c:v>
                </c:pt>
                <c:pt idx="1">
                  <c:v>-0.04</c:v>
                </c:pt>
                <c:pt idx="2">
                  <c:v>-0.01</c:v>
                </c:pt>
                <c:pt idx="3">
                  <c:v>0.03</c:v>
                </c:pt>
                <c:pt idx="4">
                  <c:v>0.12</c:v>
                </c:pt>
                <c:pt idx="5">
                  <c:v>0.01</c:v>
                </c:pt>
                <c:pt idx="6">
                  <c:v>-0.01</c:v>
                </c:pt>
                <c:pt idx="7">
                  <c:v>0.06</c:v>
                </c:pt>
                <c:pt idx="8">
                  <c:v>0.02</c:v>
                </c:pt>
                <c:pt idx="9">
                  <c:v>0.05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9598872"/>
        <c:axId val="419611024"/>
      </c:lineChart>
      <c:catAx>
        <c:axId val="4196102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9598480"/>
        <c:crosses val="autoZero"/>
        <c:auto val="1"/>
        <c:lblAlgn val="ctr"/>
        <c:lblOffset val="100"/>
        <c:noMultiLvlLbl val="0"/>
      </c:catAx>
      <c:valAx>
        <c:axId val="41959848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9610240"/>
        <c:crosses val="autoZero"/>
        <c:crossBetween val="between"/>
      </c:valAx>
      <c:catAx>
        <c:axId val="4195988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9611024"/>
        <c:crosses val="autoZero"/>
        <c:auto val="1"/>
        <c:lblAlgn val="ctr"/>
        <c:lblOffset val="100"/>
        <c:noMultiLvlLbl val="0"/>
      </c:catAx>
      <c:valAx>
        <c:axId val="419611024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959887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Product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21st Sales Report'!$J$1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21st Sales Report'!$I$2:$I$19</c:f>
              <c:strCache>
                <c:ptCount val="18"/>
                <c:pt idx="0">
                  <c:v>Maltina Pet 33cl</c:v>
                </c:pt>
                <c:pt idx="1">
                  <c:v>33 Export 60cl</c:v>
                </c:pt>
                <c:pt idx="2">
                  <c:v>Desperados Bottle</c:v>
                </c:pt>
                <c:pt idx="3">
                  <c:v>Turbo King Bottle 60cl</c:v>
                </c:pt>
                <c:pt idx="4">
                  <c:v>Amstel Bottle</c:v>
                </c:pt>
                <c:pt idx="5">
                  <c:v>Fayrouz Bottle</c:v>
                </c:pt>
                <c:pt idx="6">
                  <c:v>Goldberg 60cl</c:v>
                </c:pt>
                <c:pt idx="7">
                  <c:v>Heineken Bottle 60cl</c:v>
                </c:pt>
                <c:pt idx="8">
                  <c:v>Maltina Can</c:v>
                </c:pt>
                <c:pt idx="9">
                  <c:v>Fayrouz Can</c:v>
                </c:pt>
                <c:pt idx="10">
                  <c:v>CLIMAX CAN</c:v>
                </c:pt>
                <c:pt idx="11">
                  <c:v>Goldberg Can 50cl</c:v>
                </c:pt>
                <c:pt idx="12">
                  <c:v>33 Export Can</c:v>
                </c:pt>
                <c:pt idx="13">
                  <c:v>Desperados Can</c:v>
                </c:pt>
                <c:pt idx="14">
                  <c:v>Star Radler 45cl</c:v>
                </c:pt>
                <c:pt idx="15">
                  <c:v>Trophy</c:v>
                </c:pt>
                <c:pt idx="16">
                  <c:v>Maltina Pet 50cl</c:v>
                </c:pt>
                <c:pt idx="17">
                  <c:v>Grand Total</c:v>
                </c:pt>
              </c:strCache>
            </c:strRef>
          </c:cat>
          <c:val>
            <c:numRef>
              <c:f>'July 21st Sales Report'!$J$2:$J$19</c:f>
              <c:numCache>
                <c:formatCode>General</c:formatCode>
                <c:ptCount val="18"/>
                <c:pt idx="0">
                  <c:v>380.0</c:v>
                </c:pt>
                <c:pt idx="1">
                  <c:v>11.0</c:v>
                </c:pt>
                <c:pt idx="2">
                  <c:v>8.0</c:v>
                </c:pt>
                <c:pt idx="3">
                  <c:v>5.0</c:v>
                </c:pt>
                <c:pt idx="4">
                  <c:v>2.0</c:v>
                </c:pt>
                <c:pt idx="5">
                  <c:v>1.0</c:v>
                </c:pt>
                <c:pt idx="6">
                  <c:v>21.0</c:v>
                </c:pt>
                <c:pt idx="7">
                  <c:v>9.0</c:v>
                </c:pt>
                <c:pt idx="8">
                  <c:v>3.0</c:v>
                </c:pt>
                <c:pt idx="9">
                  <c:v>2.0</c:v>
                </c:pt>
                <c:pt idx="10">
                  <c:v>1.0</c:v>
                </c:pt>
                <c:pt idx="11">
                  <c:v>2.0</c:v>
                </c:pt>
                <c:pt idx="12">
                  <c:v>2.0</c:v>
                </c:pt>
                <c:pt idx="13">
                  <c:v>1.0</c:v>
                </c:pt>
                <c:pt idx="14">
                  <c:v>5.0</c:v>
                </c:pt>
                <c:pt idx="15">
                  <c:v>3.0</c:v>
                </c:pt>
                <c:pt idx="16">
                  <c:v>5.0</c:v>
                </c:pt>
                <c:pt idx="17">
                  <c:v>461.0</c:v>
                </c:pt>
              </c:numCache>
            </c:numRef>
          </c:val>
        </c:ser>
        <c:ser>
          <c:idx val="1"/>
          <c:order val="1"/>
          <c:tx>
            <c:strRef>
              <c:f>'July 21st Sales Report'!$K$1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21st Sales Report'!$I$2:$I$19</c:f>
              <c:strCache>
                <c:ptCount val="18"/>
                <c:pt idx="0">
                  <c:v>Maltina Pet 33cl</c:v>
                </c:pt>
                <c:pt idx="1">
                  <c:v>33 Export 60cl</c:v>
                </c:pt>
                <c:pt idx="2">
                  <c:v>Desperados Bottle</c:v>
                </c:pt>
                <c:pt idx="3">
                  <c:v>Turbo King Bottle 60cl</c:v>
                </c:pt>
                <c:pt idx="4">
                  <c:v>Amstel Bottle</c:v>
                </c:pt>
                <c:pt idx="5">
                  <c:v>Fayrouz Bottle</c:v>
                </c:pt>
                <c:pt idx="6">
                  <c:v>Goldberg 60cl</c:v>
                </c:pt>
                <c:pt idx="7">
                  <c:v>Heineken Bottle 60cl</c:v>
                </c:pt>
                <c:pt idx="8">
                  <c:v>Maltina Can</c:v>
                </c:pt>
                <c:pt idx="9">
                  <c:v>Fayrouz Can</c:v>
                </c:pt>
                <c:pt idx="10">
                  <c:v>CLIMAX CAN</c:v>
                </c:pt>
                <c:pt idx="11">
                  <c:v>Goldberg Can 50cl</c:v>
                </c:pt>
                <c:pt idx="12">
                  <c:v>33 Export Can</c:v>
                </c:pt>
                <c:pt idx="13">
                  <c:v>Desperados Can</c:v>
                </c:pt>
                <c:pt idx="14">
                  <c:v>Star Radler 45cl</c:v>
                </c:pt>
                <c:pt idx="15">
                  <c:v>Trophy</c:v>
                </c:pt>
                <c:pt idx="16">
                  <c:v>Maltina Pet 50cl</c:v>
                </c:pt>
                <c:pt idx="17">
                  <c:v>Grand Total</c:v>
                </c:pt>
              </c:strCache>
            </c:strRef>
          </c:cat>
          <c:val>
            <c:numRef>
              <c:f>'July 21st Sales Report'!$K$2:$K$19</c:f>
              <c:numCache>
                <c:formatCode>_(* #,##0_);_(* \(#,##0\);_(* \-??_);_(@_)</c:formatCode>
                <c:ptCount val="18"/>
                <c:pt idx="0">
                  <c:v>1900300.0</c:v>
                </c:pt>
                <c:pt idx="1">
                  <c:v>101200.0</c:v>
                </c:pt>
                <c:pt idx="2">
                  <c:v>174695.0</c:v>
                </c:pt>
                <c:pt idx="3">
                  <c:v>46000.0</c:v>
                </c:pt>
                <c:pt idx="4">
                  <c:v>28900.0</c:v>
                </c:pt>
                <c:pt idx="5">
                  <c:v>10315.0</c:v>
                </c:pt>
                <c:pt idx="6">
                  <c:v>186000.0</c:v>
                </c:pt>
                <c:pt idx="7">
                  <c:v>122475.0</c:v>
                </c:pt>
                <c:pt idx="8">
                  <c:v>39600.0</c:v>
                </c:pt>
                <c:pt idx="9">
                  <c:v>26920.0</c:v>
                </c:pt>
                <c:pt idx="10">
                  <c:v>12885.0</c:v>
                </c:pt>
                <c:pt idx="11">
                  <c:v>32290.0</c:v>
                </c:pt>
                <c:pt idx="12">
                  <c:v>32290.0</c:v>
                </c:pt>
                <c:pt idx="13">
                  <c:v>22740.0</c:v>
                </c:pt>
                <c:pt idx="14">
                  <c:v>76245.0</c:v>
                </c:pt>
                <c:pt idx="15">
                  <c:v>26000.0</c:v>
                </c:pt>
                <c:pt idx="16">
                  <c:v>40100.0</c:v>
                </c:pt>
                <c:pt idx="17">
                  <c:v>2878955.0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9611808"/>
        <c:axId val="419612200"/>
      </c:barChart>
      <c:lineChart>
        <c:grouping val="standard"/>
        <c:varyColors val="0"/>
        <c:ser>
          <c:idx val="2"/>
          <c:order val="2"/>
          <c:tx>
            <c:strRef>
              <c:f>'July 21st Sales Report'!$L$1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21st Sales Report'!$I$2:$I$19</c:f>
              <c:strCache>
                <c:ptCount val="18"/>
                <c:pt idx="0">
                  <c:v>Maltina Pet 33cl</c:v>
                </c:pt>
                <c:pt idx="1">
                  <c:v>33 Export 60cl</c:v>
                </c:pt>
                <c:pt idx="2">
                  <c:v>Desperados Bottle</c:v>
                </c:pt>
                <c:pt idx="3">
                  <c:v>Turbo King Bottle 60cl</c:v>
                </c:pt>
                <c:pt idx="4">
                  <c:v>Amstel Bottle</c:v>
                </c:pt>
                <c:pt idx="5">
                  <c:v>Fayrouz Bottle</c:v>
                </c:pt>
                <c:pt idx="6">
                  <c:v>Goldberg 60cl</c:v>
                </c:pt>
                <c:pt idx="7">
                  <c:v>Heineken Bottle 60cl</c:v>
                </c:pt>
                <c:pt idx="8">
                  <c:v>Maltina Can</c:v>
                </c:pt>
                <c:pt idx="9">
                  <c:v>Fayrouz Can</c:v>
                </c:pt>
                <c:pt idx="10">
                  <c:v>CLIMAX CAN</c:v>
                </c:pt>
                <c:pt idx="11">
                  <c:v>Goldberg Can 50cl</c:v>
                </c:pt>
                <c:pt idx="12">
                  <c:v>33 Export Can</c:v>
                </c:pt>
                <c:pt idx="13">
                  <c:v>Desperados Can</c:v>
                </c:pt>
                <c:pt idx="14">
                  <c:v>Star Radler 45cl</c:v>
                </c:pt>
                <c:pt idx="15">
                  <c:v>Trophy</c:v>
                </c:pt>
                <c:pt idx="16">
                  <c:v>Maltina Pet 50cl</c:v>
                </c:pt>
                <c:pt idx="17">
                  <c:v>Grand Total</c:v>
                </c:pt>
              </c:strCache>
            </c:strRef>
          </c:cat>
          <c:val>
            <c:numRef>
              <c:f>'July 21st Sales Report'!$L$2:$L$19</c:f>
              <c:numCache>
                <c:formatCode>0%</c:formatCode>
                <c:ptCount val="18"/>
                <c:pt idx="0">
                  <c:v>0.660065891964272</c:v>
                </c:pt>
                <c:pt idx="1">
                  <c:v>0.035151643565113</c:v>
                </c:pt>
                <c:pt idx="2">
                  <c:v>0.0606800036818915</c:v>
                </c:pt>
                <c:pt idx="3">
                  <c:v>0.0159780198023241</c:v>
                </c:pt>
                <c:pt idx="4">
                  <c:v>0.0100383646149384</c:v>
                </c:pt>
                <c:pt idx="5">
                  <c:v>0.00358289726654289</c:v>
                </c:pt>
                <c:pt idx="6">
                  <c:v>0.064606775722441</c:v>
                </c:pt>
                <c:pt idx="7">
                  <c:v>0.0425414777236879</c:v>
                </c:pt>
                <c:pt idx="8">
                  <c:v>0.0137549909602616</c:v>
                </c:pt>
                <c:pt idx="9">
                  <c:v>0.00935061506692533</c:v>
                </c:pt>
                <c:pt idx="10">
                  <c:v>0.00447558228593361</c:v>
                </c:pt>
                <c:pt idx="11">
                  <c:v>0.0112158752047184</c:v>
                </c:pt>
                <c:pt idx="12">
                  <c:v>0.0112158752047184</c:v>
                </c:pt>
                <c:pt idx="13">
                  <c:v>0.00789869935445327</c:v>
                </c:pt>
                <c:pt idx="14">
                  <c:v>0.0264835678223522</c:v>
                </c:pt>
                <c:pt idx="15">
                  <c:v>0.00903105467087884</c:v>
                </c:pt>
                <c:pt idx="16">
                  <c:v>0.0139286650885478</c:v>
                </c:pt>
                <c:pt idx="17">
                  <c:v>1.0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9612984"/>
        <c:axId val="419613376"/>
      </c:lineChart>
      <c:catAx>
        <c:axId val="4196118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9612200"/>
        <c:crosses val="autoZero"/>
        <c:auto val="1"/>
        <c:lblAlgn val="ctr"/>
        <c:lblOffset val="100"/>
        <c:noMultiLvlLbl val="0"/>
      </c:catAx>
      <c:valAx>
        <c:axId val="41961220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9611808"/>
        <c:crosses val="autoZero"/>
        <c:crossBetween val="between"/>
      </c:valAx>
      <c:catAx>
        <c:axId val="4196129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9613376"/>
        <c:crosses val="autoZero"/>
        <c:auto val="1"/>
        <c:lblAlgn val="ctr"/>
        <c:lblOffset val="100"/>
        <c:noMultiLvlLbl val="0"/>
      </c:catAx>
      <c:valAx>
        <c:axId val="41961337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961298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Customer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21st Sales Report'!$J$21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21st Sales Report'!$I$22:$I$30</c:f>
              <c:strCache>
                <c:ptCount val="9"/>
                <c:pt idx="0">
                  <c:v>Rita SR</c:v>
                </c:pt>
                <c:pt idx="1">
                  <c:v>Ameh Mathew</c:v>
                </c:pt>
                <c:pt idx="2">
                  <c:v>Eniola Marketer</c:v>
                </c:pt>
                <c:pt idx="3">
                  <c:v>XXIII LOUNGE</c:v>
                </c:pt>
                <c:pt idx="4">
                  <c:v>MRS IK.</c:v>
                </c:pt>
                <c:pt idx="5">
                  <c:v>MAADE HOTEL</c:v>
                </c:pt>
                <c:pt idx="6">
                  <c:v>Solomon</c:v>
                </c:pt>
                <c:pt idx="7">
                  <c:v>Jeff SR</c:v>
                </c:pt>
                <c:pt idx="8">
                  <c:v>Total</c:v>
                </c:pt>
              </c:strCache>
            </c:strRef>
          </c:cat>
          <c:val>
            <c:numRef>
              <c:f>'July 21st Sales Report'!$J$22:$J$30</c:f>
              <c:numCache>
                <c:formatCode>_(* #,##0_);_(* \(#,##0\);_(* \-??_);_(@_)</c:formatCode>
                <c:ptCount val="9"/>
                <c:pt idx="0">
                  <c:v>884215.0</c:v>
                </c:pt>
                <c:pt idx="1">
                  <c:v>370725.0</c:v>
                </c:pt>
                <c:pt idx="2">
                  <c:v>1200000.0</c:v>
                </c:pt>
                <c:pt idx="3">
                  <c:v>179580.0</c:v>
                </c:pt>
                <c:pt idx="4">
                  <c:v>46650.0</c:v>
                </c:pt>
                <c:pt idx="5">
                  <c:v>48735.0</c:v>
                </c:pt>
                <c:pt idx="6">
                  <c:v>33950.0</c:v>
                </c:pt>
                <c:pt idx="7">
                  <c:v>115100.0</c:v>
                </c:pt>
                <c:pt idx="8">
                  <c:v>2878955.0</c:v>
                </c:pt>
              </c:numCache>
            </c:numRef>
          </c:val>
        </c:ser>
        <c:ser>
          <c:idx val="1"/>
          <c:order val="1"/>
          <c:tx>
            <c:strRef>
              <c:f>'July 21st Sales Report'!$K$21</c:f>
              <c:strCache>
                <c:ptCount val="1"/>
                <c:pt idx="0">
                  <c:v>% of Total 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21st Sales Report'!$I$22:$I$30</c:f>
              <c:strCache>
                <c:ptCount val="9"/>
                <c:pt idx="0">
                  <c:v>Rita SR</c:v>
                </c:pt>
                <c:pt idx="1">
                  <c:v>Ameh Mathew</c:v>
                </c:pt>
                <c:pt idx="2">
                  <c:v>Eniola Marketer</c:v>
                </c:pt>
                <c:pt idx="3">
                  <c:v>XXIII LOUNGE</c:v>
                </c:pt>
                <c:pt idx="4">
                  <c:v>MRS IK.</c:v>
                </c:pt>
                <c:pt idx="5">
                  <c:v>MAADE HOTEL</c:v>
                </c:pt>
                <c:pt idx="6">
                  <c:v>Solomon</c:v>
                </c:pt>
                <c:pt idx="7">
                  <c:v>Jeff SR</c:v>
                </c:pt>
                <c:pt idx="8">
                  <c:v>Total</c:v>
                </c:pt>
              </c:strCache>
            </c:strRef>
          </c:cat>
          <c:val>
            <c:numRef>
              <c:f>'July 21st Sales Report'!$K$22:$K$30</c:f>
              <c:numCache>
                <c:formatCode>0%</c:formatCode>
                <c:ptCount val="9"/>
                <c:pt idx="0">
                  <c:v>0.307130538685044</c:v>
                </c:pt>
                <c:pt idx="1">
                  <c:v>0.128770682417752</c:v>
                </c:pt>
                <c:pt idx="2">
                  <c:v>0.416817907886716</c:v>
                </c:pt>
                <c:pt idx="3">
                  <c:v>0.062376799915247</c:v>
                </c:pt>
                <c:pt idx="4">
                  <c:v>0.0162037961690961</c:v>
                </c:pt>
                <c:pt idx="5">
                  <c:v>0.0169280172840492</c:v>
                </c:pt>
                <c:pt idx="6">
                  <c:v>0.0117924733106283</c:v>
                </c:pt>
                <c:pt idx="7">
                  <c:v>0.0399797843314675</c:v>
                </c:pt>
                <c:pt idx="8">
                  <c:v>1.0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9614160"/>
        <c:axId val="419612592"/>
      </c:barChart>
      <c:lineChart>
        <c:grouping val="standard"/>
        <c:varyColors val="0"/>
        <c:ser>
          <c:idx val="2"/>
          <c:order val="2"/>
          <c:tx>
            <c:strRef>
              <c:f>'July 21st Sales Report'!$L$21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21st Sales Report'!$I$22:$I$30</c:f>
              <c:strCache>
                <c:ptCount val="9"/>
                <c:pt idx="0">
                  <c:v>Rita SR</c:v>
                </c:pt>
                <c:pt idx="1">
                  <c:v>Ameh Mathew</c:v>
                </c:pt>
                <c:pt idx="2">
                  <c:v>Eniola Marketer</c:v>
                </c:pt>
                <c:pt idx="3">
                  <c:v>XXIII LOUNGE</c:v>
                </c:pt>
                <c:pt idx="4">
                  <c:v>MRS IK.</c:v>
                </c:pt>
                <c:pt idx="5">
                  <c:v>MAADE HOTEL</c:v>
                </c:pt>
                <c:pt idx="6">
                  <c:v>Solomon</c:v>
                </c:pt>
                <c:pt idx="7">
                  <c:v>Jeff SR</c:v>
                </c:pt>
                <c:pt idx="8">
                  <c:v>Total</c:v>
                </c:pt>
              </c:strCache>
            </c:strRef>
          </c:cat>
          <c:val>
            <c:numRef>
              <c:f>'July 21st Sales Report'!$L$22:$L$30</c:f>
              <c:numCache>
                <c:formatCode>0%</c:formatCode>
                <c:ptCount val="9"/>
                <c:pt idx="0">
                  <c:v>0.0027</c:v>
                </c:pt>
                <c:pt idx="1">
                  <c:v>0.0511</c:v>
                </c:pt>
                <c:pt idx="2">
                  <c:v>-0.04</c:v>
                </c:pt>
                <c:pt idx="3">
                  <c:v>0.1377</c:v>
                </c:pt>
                <c:pt idx="4">
                  <c:v>0.0629</c:v>
                </c:pt>
                <c:pt idx="5">
                  <c:v>0.0499</c:v>
                </c:pt>
                <c:pt idx="6">
                  <c:v>0.0099</c:v>
                </c:pt>
                <c:pt idx="7">
                  <c:v>-0.0115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2819056"/>
        <c:axId val="452820624"/>
      </c:lineChart>
      <c:catAx>
        <c:axId val="4196141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9612592"/>
        <c:crosses val="autoZero"/>
        <c:auto val="1"/>
        <c:lblAlgn val="ctr"/>
        <c:lblOffset val="100"/>
        <c:noMultiLvlLbl val="0"/>
      </c:catAx>
      <c:valAx>
        <c:axId val="41961259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9614160"/>
        <c:crosses val="autoZero"/>
        <c:crossBetween val="between"/>
      </c:valAx>
      <c:catAx>
        <c:axId val="4528190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2820624"/>
        <c:crosses val="autoZero"/>
        <c:auto val="1"/>
        <c:lblAlgn val="ctr"/>
        <c:lblOffset val="100"/>
        <c:noMultiLvlLbl val="0"/>
      </c:catAx>
      <c:valAx>
        <c:axId val="452820624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281905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Invoice_No &amp; Gross Profit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21st Sales Report'!$J$32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21st Sales Report'!$I$33:$I$43</c:f>
              <c:strCache>
                <c:ptCount val="11"/>
                <c:pt idx="0">
                  <c:v>ann-INV329</c:v>
                </c:pt>
                <c:pt idx="1">
                  <c:v>ann-INV330</c:v>
                </c:pt>
                <c:pt idx="2">
                  <c:v>ann-INV332</c:v>
                </c:pt>
                <c:pt idx="3">
                  <c:v>ann-INV333</c:v>
                </c:pt>
                <c:pt idx="4">
                  <c:v>ann-INV337</c:v>
                </c:pt>
                <c:pt idx="5">
                  <c:v>ann-INV335</c:v>
                </c:pt>
                <c:pt idx="6">
                  <c:v>ann-INV334</c:v>
                </c:pt>
                <c:pt idx="7">
                  <c:v>ann-INV336</c:v>
                </c:pt>
                <c:pt idx="8">
                  <c:v>ann-INV338</c:v>
                </c:pt>
                <c:pt idx="9">
                  <c:v>ann-INV331</c:v>
                </c:pt>
                <c:pt idx="10">
                  <c:v>Total</c:v>
                </c:pt>
              </c:strCache>
            </c:strRef>
          </c:cat>
          <c:val>
            <c:numRef>
              <c:f>'July 21st Sales Report'!$J$33:$J$43</c:f>
              <c:numCache>
                <c:formatCode>_(* #,##0_);_(* \(#,##0\);_(* \-??_);_(@_)</c:formatCode>
                <c:ptCount val="11"/>
                <c:pt idx="0">
                  <c:v>600000.0</c:v>
                </c:pt>
                <c:pt idx="1">
                  <c:v>326615.0</c:v>
                </c:pt>
                <c:pt idx="2">
                  <c:v>411125.0</c:v>
                </c:pt>
                <c:pt idx="3">
                  <c:v>1200000.0</c:v>
                </c:pt>
                <c:pt idx="4">
                  <c:v>196980.0</c:v>
                </c:pt>
                <c:pt idx="5">
                  <c:v>46650.0</c:v>
                </c:pt>
                <c:pt idx="6">
                  <c:v>48735.0</c:v>
                </c:pt>
                <c:pt idx="7">
                  <c:v>5000.0</c:v>
                </c:pt>
                <c:pt idx="8">
                  <c:v>115100.0</c:v>
                </c:pt>
                <c:pt idx="9">
                  <c:v>32550.0</c:v>
                </c:pt>
                <c:pt idx="10">
                  <c:v>2982755.0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2818272"/>
        <c:axId val="452820232"/>
      </c:barChart>
      <c:lineChart>
        <c:grouping val="standard"/>
        <c:varyColors val="0"/>
        <c:ser>
          <c:idx val="1"/>
          <c:order val="1"/>
          <c:tx>
            <c:strRef>
              <c:f>'July 21st Sales Report'!$K$32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21st Sales Report'!$I$33:$I$43</c:f>
              <c:strCache>
                <c:ptCount val="11"/>
                <c:pt idx="0">
                  <c:v>ann-INV329</c:v>
                </c:pt>
                <c:pt idx="1">
                  <c:v>ann-INV330</c:v>
                </c:pt>
                <c:pt idx="2">
                  <c:v>ann-INV332</c:v>
                </c:pt>
                <c:pt idx="3">
                  <c:v>ann-INV333</c:v>
                </c:pt>
                <c:pt idx="4">
                  <c:v>ann-INV337</c:v>
                </c:pt>
                <c:pt idx="5">
                  <c:v>ann-INV335</c:v>
                </c:pt>
                <c:pt idx="6">
                  <c:v>ann-INV334</c:v>
                </c:pt>
                <c:pt idx="7">
                  <c:v>ann-INV336</c:v>
                </c:pt>
                <c:pt idx="8">
                  <c:v>ann-INV338</c:v>
                </c:pt>
                <c:pt idx="9">
                  <c:v>ann-INV331</c:v>
                </c:pt>
                <c:pt idx="10">
                  <c:v>Total</c:v>
                </c:pt>
              </c:strCache>
            </c:strRef>
          </c:cat>
          <c:val>
            <c:numRef>
              <c:f>'July 21st Sales Report'!$K$33:$K$43</c:f>
              <c:numCache>
                <c:formatCode>0%</c:formatCode>
                <c:ptCount val="11"/>
                <c:pt idx="0">
                  <c:v>-0.04</c:v>
                </c:pt>
                <c:pt idx="1">
                  <c:v>0.08</c:v>
                </c:pt>
                <c:pt idx="2">
                  <c:v>0.05</c:v>
                </c:pt>
                <c:pt idx="3">
                  <c:v>-0.04</c:v>
                </c:pt>
                <c:pt idx="4">
                  <c:v>0.14</c:v>
                </c:pt>
                <c:pt idx="5">
                  <c:v>0.06</c:v>
                </c:pt>
                <c:pt idx="6">
                  <c:v>0.05</c:v>
                </c:pt>
                <c:pt idx="7">
                  <c:v>-0.04</c:v>
                </c:pt>
                <c:pt idx="8">
                  <c:v>-0.01</c:v>
                </c:pt>
                <c:pt idx="9">
                  <c:v>0.02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2819840"/>
        <c:axId val="452821408"/>
      </c:lineChart>
      <c:catAx>
        <c:axId val="4528182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2820232"/>
        <c:crosses val="autoZero"/>
        <c:auto val="1"/>
        <c:lblAlgn val="ctr"/>
        <c:lblOffset val="100"/>
        <c:noMultiLvlLbl val="0"/>
      </c:catAx>
      <c:valAx>
        <c:axId val="45282023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2818272"/>
        <c:crosses val="autoZero"/>
        <c:crossBetween val="between"/>
      </c:valAx>
      <c:catAx>
        <c:axId val="4528198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2821408"/>
        <c:crosses val="autoZero"/>
        <c:auto val="1"/>
        <c:lblAlgn val="ctr"/>
        <c:lblOffset val="100"/>
        <c:noMultiLvlLbl val="0"/>
      </c:catAx>
      <c:valAx>
        <c:axId val="452821408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281984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Product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22nd Sales Report'!$J$1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22nd Sales Report'!$I$2:$I$15</c:f>
              <c:strCache>
                <c:ptCount val="14"/>
                <c:pt idx="0">
                  <c:v>33 Export Can</c:v>
                </c:pt>
                <c:pt idx="1">
                  <c:v>Goldberg Can 50cl</c:v>
                </c:pt>
                <c:pt idx="2">
                  <c:v>Fayrouz Can</c:v>
                </c:pt>
                <c:pt idx="3">
                  <c:v>Heineken Sleek Can</c:v>
                </c:pt>
                <c:pt idx="4">
                  <c:v>Maltina Pet 33cl</c:v>
                </c:pt>
                <c:pt idx="5">
                  <c:v>Goldberg 60cl</c:v>
                </c:pt>
                <c:pt idx="6">
                  <c:v>Chamdor 75cl</c:v>
                </c:pt>
                <c:pt idx="7">
                  <c:v>4th Street wine</c:v>
                </c:pt>
                <c:pt idx="8">
                  <c:v>Trophy</c:v>
                </c:pt>
                <c:pt idx="9">
                  <c:v>33 Export 60cl</c:v>
                </c:pt>
                <c:pt idx="10">
                  <c:v>Heineken Bottle 60cl</c:v>
                </c:pt>
                <c:pt idx="11">
                  <c:v>STK 33cl</c:v>
                </c:pt>
                <c:pt idx="12">
                  <c:v>Turbo King Bottle 60cl</c:v>
                </c:pt>
                <c:pt idx="13">
                  <c:v>Grand Total</c:v>
                </c:pt>
              </c:strCache>
            </c:strRef>
          </c:cat>
          <c:val>
            <c:numRef>
              <c:f>'July 22nd Sales Report'!$J$2:$J$15</c:f>
              <c:numCache>
                <c:formatCode>General</c:formatCode>
                <c:ptCount val="14"/>
                <c:pt idx="0">
                  <c:v>30.0</c:v>
                </c:pt>
                <c:pt idx="1">
                  <c:v>15.0</c:v>
                </c:pt>
                <c:pt idx="2">
                  <c:v>21.0</c:v>
                </c:pt>
                <c:pt idx="3">
                  <c:v>40.0</c:v>
                </c:pt>
                <c:pt idx="4">
                  <c:v>598.0</c:v>
                </c:pt>
                <c:pt idx="5">
                  <c:v>64.0</c:v>
                </c:pt>
                <c:pt idx="6">
                  <c:v>1.0</c:v>
                </c:pt>
                <c:pt idx="7">
                  <c:v>1.0</c:v>
                </c:pt>
                <c:pt idx="8">
                  <c:v>2.0</c:v>
                </c:pt>
                <c:pt idx="9">
                  <c:v>2.0</c:v>
                </c:pt>
                <c:pt idx="10">
                  <c:v>2.0</c:v>
                </c:pt>
                <c:pt idx="11">
                  <c:v>1.0</c:v>
                </c:pt>
                <c:pt idx="12">
                  <c:v>1.0</c:v>
                </c:pt>
                <c:pt idx="13">
                  <c:v>778.0</c:v>
                </c:pt>
              </c:numCache>
            </c:numRef>
          </c:val>
        </c:ser>
        <c:ser>
          <c:idx val="1"/>
          <c:order val="1"/>
          <c:tx>
            <c:strRef>
              <c:f>'July 22nd Sales Report'!$K$1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22nd Sales Report'!$I$2:$I$15</c:f>
              <c:strCache>
                <c:ptCount val="14"/>
                <c:pt idx="0">
                  <c:v>33 Export Can</c:v>
                </c:pt>
                <c:pt idx="1">
                  <c:v>Goldberg Can 50cl</c:v>
                </c:pt>
                <c:pt idx="2">
                  <c:v>Fayrouz Can</c:v>
                </c:pt>
                <c:pt idx="3">
                  <c:v>Heineken Sleek Can</c:v>
                </c:pt>
                <c:pt idx="4">
                  <c:v>Maltina Pet 33cl</c:v>
                </c:pt>
                <c:pt idx="5">
                  <c:v>Goldberg 60cl</c:v>
                </c:pt>
                <c:pt idx="6">
                  <c:v>Chamdor 75cl</c:v>
                </c:pt>
                <c:pt idx="7">
                  <c:v>4th Street wine</c:v>
                </c:pt>
                <c:pt idx="8">
                  <c:v>Trophy</c:v>
                </c:pt>
                <c:pt idx="9">
                  <c:v>33 Export 60cl</c:v>
                </c:pt>
                <c:pt idx="10">
                  <c:v>Heineken Bottle 60cl</c:v>
                </c:pt>
                <c:pt idx="11">
                  <c:v>STK 33cl</c:v>
                </c:pt>
                <c:pt idx="12">
                  <c:v>Turbo King Bottle 60cl</c:v>
                </c:pt>
                <c:pt idx="13">
                  <c:v>Grand Total</c:v>
                </c:pt>
              </c:strCache>
            </c:strRef>
          </c:cat>
          <c:val>
            <c:numRef>
              <c:f>'July 22nd Sales Report'!$K$2:$K$15</c:f>
              <c:numCache>
                <c:formatCode>_(* #,##0_);_(* \(#,##0\);_(* \-??_);_(@_)</c:formatCode>
                <c:ptCount val="14"/>
                <c:pt idx="0">
                  <c:v>469650.0</c:v>
                </c:pt>
                <c:pt idx="1">
                  <c:v>234825.0</c:v>
                </c:pt>
                <c:pt idx="2">
                  <c:v>275460.0</c:v>
                </c:pt>
                <c:pt idx="3">
                  <c:v>688000.0</c:v>
                </c:pt>
                <c:pt idx="4">
                  <c:v>2990000.0</c:v>
                </c:pt>
                <c:pt idx="5">
                  <c:v>589700.0</c:v>
                </c:pt>
                <c:pt idx="6">
                  <c:v>28445.0</c:v>
                </c:pt>
                <c:pt idx="7">
                  <c:v>24235.0</c:v>
                </c:pt>
                <c:pt idx="8">
                  <c:v>18000.0</c:v>
                </c:pt>
                <c:pt idx="9">
                  <c:v>18700.0</c:v>
                </c:pt>
                <c:pt idx="10">
                  <c:v>27900.0</c:v>
                </c:pt>
                <c:pt idx="11">
                  <c:v>13900.0</c:v>
                </c:pt>
                <c:pt idx="12">
                  <c:v>9200.0</c:v>
                </c:pt>
                <c:pt idx="13">
                  <c:v>5388015.0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2819448"/>
        <c:axId val="452805728"/>
      </c:barChart>
      <c:lineChart>
        <c:grouping val="standard"/>
        <c:varyColors val="0"/>
        <c:ser>
          <c:idx val="2"/>
          <c:order val="2"/>
          <c:tx>
            <c:strRef>
              <c:f>'July 22nd Sales Report'!$L$1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22nd Sales Report'!$I$2:$I$15</c:f>
              <c:strCache>
                <c:ptCount val="14"/>
                <c:pt idx="0">
                  <c:v>33 Export Can</c:v>
                </c:pt>
                <c:pt idx="1">
                  <c:v>Goldberg Can 50cl</c:v>
                </c:pt>
                <c:pt idx="2">
                  <c:v>Fayrouz Can</c:v>
                </c:pt>
                <c:pt idx="3">
                  <c:v>Heineken Sleek Can</c:v>
                </c:pt>
                <c:pt idx="4">
                  <c:v>Maltina Pet 33cl</c:v>
                </c:pt>
                <c:pt idx="5">
                  <c:v>Goldberg 60cl</c:v>
                </c:pt>
                <c:pt idx="6">
                  <c:v>Chamdor 75cl</c:v>
                </c:pt>
                <c:pt idx="7">
                  <c:v>4th Street wine</c:v>
                </c:pt>
                <c:pt idx="8">
                  <c:v>Trophy</c:v>
                </c:pt>
                <c:pt idx="9">
                  <c:v>33 Export 60cl</c:v>
                </c:pt>
                <c:pt idx="10">
                  <c:v>Heineken Bottle 60cl</c:v>
                </c:pt>
                <c:pt idx="11">
                  <c:v>STK 33cl</c:v>
                </c:pt>
                <c:pt idx="12">
                  <c:v>Turbo King Bottle 60cl</c:v>
                </c:pt>
                <c:pt idx="13">
                  <c:v>Grand Total</c:v>
                </c:pt>
              </c:strCache>
            </c:strRef>
          </c:cat>
          <c:val>
            <c:numRef>
              <c:f>'July 22nd Sales Report'!$L$2:$L$15</c:f>
              <c:numCache>
                <c:formatCode>0%</c:formatCode>
                <c:ptCount val="14"/>
                <c:pt idx="0">
                  <c:v>0.0871656816100178</c:v>
                </c:pt>
                <c:pt idx="1">
                  <c:v>0.0435828408050089</c:v>
                </c:pt>
                <c:pt idx="2">
                  <c:v>0.0511245792745566</c:v>
                </c:pt>
                <c:pt idx="3">
                  <c:v>0.127690810066416</c:v>
                </c:pt>
                <c:pt idx="4">
                  <c:v>0.554935351887476</c:v>
                </c:pt>
                <c:pt idx="5">
                  <c:v>0.109446614383961</c:v>
                </c:pt>
                <c:pt idx="6">
                  <c:v>0.00527930972723721</c:v>
                </c:pt>
                <c:pt idx="7">
                  <c:v>0.00449794590401103</c:v>
                </c:pt>
                <c:pt idx="8">
                  <c:v>0.00334074793778414</c:v>
                </c:pt>
                <c:pt idx="9">
                  <c:v>0.00347066591314241</c:v>
                </c:pt>
                <c:pt idx="10">
                  <c:v>0.00517815930356541</c:v>
                </c:pt>
                <c:pt idx="11">
                  <c:v>0.00257979979639997</c:v>
                </c:pt>
                <c:pt idx="12">
                  <c:v>0.001707493390423</c:v>
                </c:pt>
                <c:pt idx="13">
                  <c:v>1.0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2814352"/>
        <c:axId val="452809648"/>
      </c:lineChart>
      <c:catAx>
        <c:axId val="452819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2805728"/>
        <c:crosses val="autoZero"/>
        <c:auto val="1"/>
        <c:lblAlgn val="ctr"/>
        <c:lblOffset val="100"/>
        <c:noMultiLvlLbl val="0"/>
      </c:catAx>
      <c:valAx>
        <c:axId val="45280572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2819448"/>
        <c:crosses val="autoZero"/>
        <c:crossBetween val="between"/>
      </c:valAx>
      <c:catAx>
        <c:axId val="4528143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2809648"/>
        <c:crosses val="autoZero"/>
        <c:auto val="1"/>
        <c:lblAlgn val="ctr"/>
        <c:lblOffset val="100"/>
        <c:noMultiLvlLbl val="0"/>
      </c:catAx>
      <c:valAx>
        <c:axId val="452809648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281435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Customer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22nd Sales Report'!$J$17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22nd Sales Report'!$I$18:$I$24</c:f>
              <c:strCache>
                <c:ptCount val="7"/>
                <c:pt idx="0">
                  <c:v>Rita SR</c:v>
                </c:pt>
                <c:pt idx="1">
                  <c:v>ATW</c:v>
                </c:pt>
                <c:pt idx="2">
                  <c:v>Stella SR</c:v>
                </c:pt>
                <c:pt idx="3">
                  <c:v>Walk in Customer</c:v>
                </c:pt>
                <c:pt idx="4">
                  <c:v>Eniola Marketer</c:v>
                </c:pt>
                <c:pt idx="5">
                  <c:v>MRS IK.</c:v>
                </c:pt>
                <c:pt idx="6">
                  <c:v>Total</c:v>
                </c:pt>
              </c:strCache>
            </c:strRef>
          </c:cat>
          <c:val>
            <c:numRef>
              <c:f>'July 22nd Sales Report'!$J$18:$J$24</c:f>
              <c:numCache>
                <c:formatCode>_(* #,##0_);_(* \(#,##0\);_(* \-??_);_(@_)</c:formatCode>
                <c:ptCount val="7"/>
                <c:pt idx="0">
                  <c:v>2894475.0</c:v>
                </c:pt>
                <c:pt idx="1">
                  <c:v>752000.0</c:v>
                </c:pt>
                <c:pt idx="2">
                  <c:v>500000.0</c:v>
                </c:pt>
                <c:pt idx="3">
                  <c:v>84050.0</c:v>
                </c:pt>
                <c:pt idx="4">
                  <c:v>1102680.0</c:v>
                </c:pt>
                <c:pt idx="5">
                  <c:v>54810.0</c:v>
                </c:pt>
                <c:pt idx="6">
                  <c:v>5388015.0</c:v>
                </c:pt>
              </c:numCache>
            </c:numRef>
          </c:val>
        </c:ser>
        <c:ser>
          <c:idx val="1"/>
          <c:order val="1"/>
          <c:tx>
            <c:strRef>
              <c:f>'July 22nd Sales Report'!$K$17</c:f>
              <c:strCache>
                <c:ptCount val="1"/>
                <c:pt idx="0">
                  <c:v>% of Total 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22nd Sales Report'!$I$18:$I$24</c:f>
              <c:strCache>
                <c:ptCount val="7"/>
                <c:pt idx="0">
                  <c:v>Rita SR</c:v>
                </c:pt>
                <c:pt idx="1">
                  <c:v>ATW</c:v>
                </c:pt>
                <c:pt idx="2">
                  <c:v>Stella SR</c:v>
                </c:pt>
                <c:pt idx="3">
                  <c:v>Walk in Customer</c:v>
                </c:pt>
                <c:pt idx="4">
                  <c:v>Eniola Marketer</c:v>
                </c:pt>
                <c:pt idx="5">
                  <c:v>MRS IK.</c:v>
                </c:pt>
                <c:pt idx="6">
                  <c:v>Total</c:v>
                </c:pt>
              </c:strCache>
            </c:strRef>
          </c:cat>
          <c:val>
            <c:numRef>
              <c:f>'July 22nd Sales Report'!$K$18:$K$24</c:f>
              <c:numCache>
                <c:formatCode>0%</c:formatCode>
                <c:ptCount val="7"/>
                <c:pt idx="0">
                  <c:v>0.537206188178763</c:v>
                </c:pt>
                <c:pt idx="1">
                  <c:v>0.139569024956315</c:v>
                </c:pt>
                <c:pt idx="2">
                  <c:v>0.0927985538273372</c:v>
                </c:pt>
                <c:pt idx="3">
                  <c:v>0.0155994368983754</c:v>
                </c:pt>
                <c:pt idx="4">
                  <c:v>0.204654218668656</c:v>
                </c:pt>
                <c:pt idx="5">
                  <c:v>0.0101725774705527</c:v>
                </c:pt>
                <c:pt idx="6">
                  <c:v>1.0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2810040"/>
        <c:axId val="452810432"/>
      </c:barChart>
      <c:lineChart>
        <c:grouping val="standard"/>
        <c:varyColors val="0"/>
        <c:ser>
          <c:idx val="2"/>
          <c:order val="2"/>
          <c:tx>
            <c:strRef>
              <c:f>'July 22nd Sales Report'!$L$17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22nd Sales Report'!$I$18:$I$24</c:f>
              <c:strCache>
                <c:ptCount val="7"/>
                <c:pt idx="0">
                  <c:v>Rita SR</c:v>
                </c:pt>
                <c:pt idx="1">
                  <c:v>ATW</c:v>
                </c:pt>
                <c:pt idx="2">
                  <c:v>Stella SR</c:v>
                </c:pt>
                <c:pt idx="3">
                  <c:v>Walk in Customer</c:v>
                </c:pt>
                <c:pt idx="4">
                  <c:v>Eniola Marketer</c:v>
                </c:pt>
                <c:pt idx="5">
                  <c:v>MRS IK.</c:v>
                </c:pt>
                <c:pt idx="6">
                  <c:v>Total</c:v>
                </c:pt>
              </c:strCache>
            </c:strRef>
          </c:cat>
          <c:val>
            <c:numRef>
              <c:f>'July 22nd Sales Report'!$L$18:$L$24</c:f>
              <c:numCache>
                <c:formatCode>0%</c:formatCode>
                <c:ptCount val="7"/>
                <c:pt idx="0">
                  <c:v>-0.0109</c:v>
                </c:pt>
                <c:pt idx="1">
                  <c:v>0.0327</c:v>
                </c:pt>
                <c:pt idx="2">
                  <c:v>-0.04</c:v>
                </c:pt>
                <c:pt idx="3">
                  <c:v>0.0869</c:v>
                </c:pt>
                <c:pt idx="4">
                  <c:v>-0.034</c:v>
                </c:pt>
                <c:pt idx="5">
                  <c:v>0.0627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2806904"/>
        <c:axId val="452807296"/>
      </c:lineChart>
      <c:catAx>
        <c:axId val="4528100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2810432"/>
        <c:crosses val="autoZero"/>
        <c:auto val="1"/>
        <c:lblAlgn val="ctr"/>
        <c:lblOffset val="100"/>
        <c:noMultiLvlLbl val="0"/>
      </c:catAx>
      <c:valAx>
        <c:axId val="45281043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2810040"/>
        <c:crosses val="autoZero"/>
        <c:crossBetween val="between"/>
      </c:valAx>
      <c:catAx>
        <c:axId val="4528069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2807296"/>
        <c:crosses val="autoZero"/>
        <c:auto val="1"/>
        <c:lblAlgn val="ctr"/>
        <c:lblOffset val="100"/>
        <c:noMultiLvlLbl val="0"/>
      </c:catAx>
      <c:valAx>
        <c:axId val="45280729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280690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Invoice_No &amp; Gross Profit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22nd Sales Report'!$J$26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22nd Sales Report'!$I$27:$I$38</c:f>
              <c:strCache>
                <c:ptCount val="12"/>
                <c:pt idx="0">
                  <c:v>ann-INV340</c:v>
                </c:pt>
                <c:pt idx="1">
                  <c:v>ann-INV342</c:v>
                </c:pt>
                <c:pt idx="2">
                  <c:v>ann-INV341</c:v>
                </c:pt>
                <c:pt idx="3">
                  <c:v>ann-INV343</c:v>
                </c:pt>
                <c:pt idx="4">
                  <c:v>ann-INV339</c:v>
                </c:pt>
                <c:pt idx="5">
                  <c:v>ann-INV345</c:v>
                </c:pt>
                <c:pt idx="6">
                  <c:v>ann-INV344</c:v>
                </c:pt>
                <c:pt idx="7">
                  <c:v>ann-INV346</c:v>
                </c:pt>
                <c:pt idx="8">
                  <c:v>ann-INV347</c:v>
                </c:pt>
                <c:pt idx="9">
                  <c:v>ann-INV348</c:v>
                </c:pt>
                <c:pt idx="10">
                  <c:v>ann-INV349</c:v>
                </c:pt>
                <c:pt idx="11">
                  <c:v>Total</c:v>
                </c:pt>
              </c:strCache>
            </c:strRef>
          </c:cat>
          <c:val>
            <c:numRef>
              <c:f>'July 22nd Sales Report'!$J$27:$J$38</c:f>
              <c:numCache>
                <c:formatCode>_(* #,##0_);_(* \(#,##0\);_(* \-??_);_(@_)</c:formatCode>
                <c:ptCount val="12"/>
                <c:pt idx="0">
                  <c:v>1654475.0</c:v>
                </c:pt>
                <c:pt idx="1">
                  <c:v>200000.0</c:v>
                </c:pt>
                <c:pt idx="2">
                  <c:v>500000.0</c:v>
                </c:pt>
                <c:pt idx="3">
                  <c:v>19000.0</c:v>
                </c:pt>
                <c:pt idx="4">
                  <c:v>1240000.0</c:v>
                </c:pt>
                <c:pt idx="5">
                  <c:v>52680.0</c:v>
                </c:pt>
                <c:pt idx="6">
                  <c:v>1050000.0</c:v>
                </c:pt>
                <c:pt idx="7">
                  <c:v>41950.0</c:v>
                </c:pt>
                <c:pt idx="8">
                  <c:v>552000.0</c:v>
                </c:pt>
                <c:pt idx="9">
                  <c:v>54810.0</c:v>
                </c:pt>
                <c:pt idx="10">
                  <c:v>23100.0</c:v>
                </c:pt>
                <c:pt idx="11">
                  <c:v>5388015.0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2807688"/>
        <c:axId val="452814744"/>
      </c:barChart>
      <c:lineChart>
        <c:grouping val="standard"/>
        <c:varyColors val="0"/>
        <c:ser>
          <c:idx val="1"/>
          <c:order val="1"/>
          <c:tx>
            <c:strRef>
              <c:f>'July 22nd Sales Report'!$K$26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22nd Sales Report'!$I$27:$I$38</c:f>
              <c:strCache>
                <c:ptCount val="12"/>
                <c:pt idx="0">
                  <c:v>ann-INV340</c:v>
                </c:pt>
                <c:pt idx="1">
                  <c:v>ann-INV342</c:v>
                </c:pt>
                <c:pt idx="2">
                  <c:v>ann-INV341</c:v>
                </c:pt>
                <c:pt idx="3">
                  <c:v>ann-INV343</c:v>
                </c:pt>
                <c:pt idx="4">
                  <c:v>ann-INV339</c:v>
                </c:pt>
                <c:pt idx="5">
                  <c:v>ann-INV345</c:v>
                </c:pt>
                <c:pt idx="6">
                  <c:v>ann-INV344</c:v>
                </c:pt>
                <c:pt idx="7">
                  <c:v>ann-INV346</c:v>
                </c:pt>
                <c:pt idx="8">
                  <c:v>ann-INV347</c:v>
                </c:pt>
                <c:pt idx="9">
                  <c:v>ann-INV348</c:v>
                </c:pt>
                <c:pt idx="10">
                  <c:v>ann-INV349</c:v>
                </c:pt>
                <c:pt idx="11">
                  <c:v>Total</c:v>
                </c:pt>
              </c:strCache>
            </c:strRef>
          </c:cat>
          <c:val>
            <c:numRef>
              <c:f>'July 22nd Sales Report'!$K$27:$K$38</c:f>
              <c:numCache>
                <c:formatCode>0%</c:formatCode>
                <c:ptCount val="12"/>
                <c:pt idx="0">
                  <c:v>0.01</c:v>
                </c:pt>
                <c:pt idx="1">
                  <c:v>-0.04</c:v>
                </c:pt>
                <c:pt idx="2">
                  <c:v>-0.04</c:v>
                </c:pt>
                <c:pt idx="3">
                  <c:v>0.09</c:v>
                </c:pt>
                <c:pt idx="4">
                  <c:v>-0.04</c:v>
                </c:pt>
                <c:pt idx="5">
                  <c:v>0.09</c:v>
                </c:pt>
                <c:pt idx="6">
                  <c:v>-0.04</c:v>
                </c:pt>
                <c:pt idx="7">
                  <c:v>0.08</c:v>
                </c:pt>
                <c:pt idx="8">
                  <c:v>0.06</c:v>
                </c:pt>
                <c:pt idx="9">
                  <c:v>0.06</c:v>
                </c:pt>
                <c:pt idx="10">
                  <c:v>0.09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2813960"/>
        <c:axId val="452808080"/>
      </c:lineChart>
      <c:catAx>
        <c:axId val="452807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2814744"/>
        <c:crosses val="autoZero"/>
        <c:auto val="1"/>
        <c:lblAlgn val="ctr"/>
        <c:lblOffset val="100"/>
        <c:noMultiLvlLbl val="0"/>
      </c:catAx>
      <c:valAx>
        <c:axId val="45281474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2807688"/>
        <c:crosses val="autoZero"/>
        <c:crossBetween val="between"/>
      </c:valAx>
      <c:catAx>
        <c:axId val="4528139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2808080"/>
        <c:crosses val="autoZero"/>
        <c:auto val="1"/>
        <c:lblAlgn val="ctr"/>
        <c:lblOffset val="100"/>
        <c:noMultiLvlLbl val="0"/>
      </c:catAx>
      <c:valAx>
        <c:axId val="45280808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281396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Product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23rd Sales Report'!$J$1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23rd Sales Report'!$I$2:$I$15</c:f>
              <c:strCache>
                <c:ptCount val="14"/>
                <c:pt idx="0">
                  <c:v>Maltina Pet 33cl</c:v>
                </c:pt>
                <c:pt idx="1">
                  <c:v>Maltina Bottle</c:v>
                </c:pt>
                <c:pt idx="2">
                  <c:v>Goldberg 60cl</c:v>
                </c:pt>
                <c:pt idx="3">
                  <c:v>Heineken Bottle 60cl</c:v>
                </c:pt>
                <c:pt idx="4">
                  <c:v>33 Export 60cl</c:v>
                </c:pt>
                <c:pt idx="5">
                  <c:v>Desperados Bottle</c:v>
                </c:pt>
                <c:pt idx="6">
                  <c:v>Tiger Bottle</c:v>
                </c:pt>
                <c:pt idx="7">
                  <c:v>Fayrouz Can</c:v>
                </c:pt>
                <c:pt idx="8">
                  <c:v>Gulder Bottle</c:v>
                </c:pt>
                <c:pt idx="9">
                  <c:v>Turbo King Bottle 60cl</c:v>
                </c:pt>
                <c:pt idx="10">
                  <c:v>Legend Bottle 60cl</c:v>
                </c:pt>
                <c:pt idx="11">
                  <c:v>Williams Bottle 60cl</c:v>
                </c:pt>
                <c:pt idx="12">
                  <c:v>Trophy</c:v>
                </c:pt>
                <c:pt idx="13">
                  <c:v>Grand Total</c:v>
                </c:pt>
              </c:strCache>
            </c:strRef>
          </c:cat>
          <c:val>
            <c:numRef>
              <c:f>'July 23rd Sales Report'!$J$2:$J$15</c:f>
              <c:numCache>
                <c:formatCode>General</c:formatCode>
                <c:ptCount val="14"/>
                <c:pt idx="0">
                  <c:v>804.0</c:v>
                </c:pt>
                <c:pt idx="1">
                  <c:v>5.0</c:v>
                </c:pt>
                <c:pt idx="2">
                  <c:v>51.0</c:v>
                </c:pt>
                <c:pt idx="3">
                  <c:v>9.0</c:v>
                </c:pt>
                <c:pt idx="4">
                  <c:v>16.0</c:v>
                </c:pt>
                <c:pt idx="5">
                  <c:v>1.0</c:v>
                </c:pt>
                <c:pt idx="6">
                  <c:v>2.0</c:v>
                </c:pt>
                <c:pt idx="7">
                  <c:v>1.0</c:v>
                </c:pt>
                <c:pt idx="8">
                  <c:v>2.0</c:v>
                </c:pt>
                <c:pt idx="9">
                  <c:v>5.0</c:v>
                </c:pt>
                <c:pt idx="10">
                  <c:v>2.0</c:v>
                </c:pt>
                <c:pt idx="11">
                  <c:v>2.0</c:v>
                </c:pt>
                <c:pt idx="12">
                  <c:v>16.0</c:v>
                </c:pt>
                <c:pt idx="13">
                  <c:v>916.0</c:v>
                </c:pt>
              </c:numCache>
            </c:numRef>
          </c:val>
        </c:ser>
        <c:ser>
          <c:idx val="1"/>
          <c:order val="1"/>
          <c:tx>
            <c:strRef>
              <c:f>'July 23rd Sales Report'!$K$1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23rd Sales Report'!$I$2:$I$15</c:f>
              <c:strCache>
                <c:ptCount val="14"/>
                <c:pt idx="0">
                  <c:v>Maltina Pet 33cl</c:v>
                </c:pt>
                <c:pt idx="1">
                  <c:v>Maltina Bottle</c:v>
                </c:pt>
                <c:pt idx="2">
                  <c:v>Goldberg 60cl</c:v>
                </c:pt>
                <c:pt idx="3">
                  <c:v>Heineken Bottle 60cl</c:v>
                </c:pt>
                <c:pt idx="4">
                  <c:v>33 Export 60cl</c:v>
                </c:pt>
                <c:pt idx="5">
                  <c:v>Desperados Bottle</c:v>
                </c:pt>
                <c:pt idx="6">
                  <c:v>Tiger Bottle</c:v>
                </c:pt>
                <c:pt idx="7">
                  <c:v>Fayrouz Can</c:v>
                </c:pt>
                <c:pt idx="8">
                  <c:v>Gulder Bottle</c:v>
                </c:pt>
                <c:pt idx="9">
                  <c:v>Turbo King Bottle 60cl</c:v>
                </c:pt>
                <c:pt idx="10">
                  <c:v>Legend Bottle 60cl</c:v>
                </c:pt>
                <c:pt idx="11">
                  <c:v>Williams Bottle 60cl</c:v>
                </c:pt>
                <c:pt idx="12">
                  <c:v>Trophy</c:v>
                </c:pt>
                <c:pt idx="13">
                  <c:v>Grand Total</c:v>
                </c:pt>
              </c:strCache>
            </c:strRef>
          </c:cat>
          <c:val>
            <c:numRef>
              <c:f>'July 23rd Sales Report'!$K$2:$K$15</c:f>
              <c:numCache>
                <c:formatCode>_(* #,##0_);_(* \(#,##0\);_(* \-??_);_(@_)</c:formatCode>
                <c:ptCount val="14"/>
                <c:pt idx="0">
                  <c:v>4020000.0</c:v>
                </c:pt>
                <c:pt idx="1">
                  <c:v>67750.0</c:v>
                </c:pt>
                <c:pt idx="2">
                  <c:v>465740.0</c:v>
                </c:pt>
                <c:pt idx="3">
                  <c:v>120015.0</c:v>
                </c:pt>
                <c:pt idx="4">
                  <c:v>147200.0</c:v>
                </c:pt>
                <c:pt idx="5">
                  <c:v>21400.0</c:v>
                </c:pt>
                <c:pt idx="6">
                  <c:v>31050.0</c:v>
                </c:pt>
                <c:pt idx="7">
                  <c:v>13460.0</c:v>
                </c:pt>
                <c:pt idx="8">
                  <c:v>23820.0</c:v>
                </c:pt>
                <c:pt idx="9">
                  <c:v>44400.0</c:v>
                </c:pt>
                <c:pt idx="10">
                  <c:v>22960.0</c:v>
                </c:pt>
                <c:pt idx="11">
                  <c:v>18690.0</c:v>
                </c:pt>
                <c:pt idx="12">
                  <c:v>131500.0</c:v>
                </c:pt>
                <c:pt idx="13">
                  <c:v>5127985.0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2817880"/>
        <c:axId val="452815136"/>
      </c:barChart>
      <c:lineChart>
        <c:grouping val="standard"/>
        <c:varyColors val="0"/>
        <c:ser>
          <c:idx val="2"/>
          <c:order val="2"/>
          <c:tx>
            <c:strRef>
              <c:f>'July 23rd Sales Report'!$L$1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23rd Sales Report'!$I$2:$I$15</c:f>
              <c:strCache>
                <c:ptCount val="14"/>
                <c:pt idx="0">
                  <c:v>Maltina Pet 33cl</c:v>
                </c:pt>
                <c:pt idx="1">
                  <c:v>Maltina Bottle</c:v>
                </c:pt>
                <c:pt idx="2">
                  <c:v>Goldberg 60cl</c:v>
                </c:pt>
                <c:pt idx="3">
                  <c:v>Heineken Bottle 60cl</c:v>
                </c:pt>
                <c:pt idx="4">
                  <c:v>33 Export 60cl</c:v>
                </c:pt>
                <c:pt idx="5">
                  <c:v>Desperados Bottle</c:v>
                </c:pt>
                <c:pt idx="6">
                  <c:v>Tiger Bottle</c:v>
                </c:pt>
                <c:pt idx="7">
                  <c:v>Fayrouz Can</c:v>
                </c:pt>
                <c:pt idx="8">
                  <c:v>Gulder Bottle</c:v>
                </c:pt>
                <c:pt idx="9">
                  <c:v>Turbo King Bottle 60cl</c:v>
                </c:pt>
                <c:pt idx="10">
                  <c:v>Legend Bottle 60cl</c:v>
                </c:pt>
                <c:pt idx="11">
                  <c:v>Williams Bottle 60cl</c:v>
                </c:pt>
                <c:pt idx="12">
                  <c:v>Trophy</c:v>
                </c:pt>
                <c:pt idx="13">
                  <c:v>Grand Total</c:v>
                </c:pt>
              </c:strCache>
            </c:strRef>
          </c:cat>
          <c:val>
            <c:numRef>
              <c:f>'July 23rd Sales Report'!$L$2:$L$15</c:f>
              <c:numCache>
                <c:formatCode>0%</c:formatCode>
                <c:ptCount val="14"/>
                <c:pt idx="0">
                  <c:v>0.783933650351941</c:v>
                </c:pt>
                <c:pt idx="1">
                  <c:v>0.0132118171172498</c:v>
                </c:pt>
                <c:pt idx="2">
                  <c:v>0.0908231985857993</c:v>
                </c:pt>
                <c:pt idx="3">
                  <c:v>0.0234039296136787</c:v>
                </c:pt>
                <c:pt idx="4">
                  <c:v>0.028705232172091</c:v>
                </c:pt>
                <c:pt idx="5">
                  <c:v>0.00417317913371432</c:v>
                </c:pt>
                <c:pt idx="6">
                  <c:v>0.00605500991130044</c:v>
                </c:pt>
                <c:pt idx="7">
                  <c:v>0.00262481267008386</c:v>
                </c:pt>
                <c:pt idx="8">
                  <c:v>0.00464509939089135</c:v>
                </c:pt>
                <c:pt idx="9">
                  <c:v>0.00865837166060353</c:v>
                </c:pt>
                <c:pt idx="10">
                  <c:v>0.00447739219205984</c:v>
                </c:pt>
                <c:pt idx="11">
                  <c:v>0.00364470644902432</c:v>
                </c:pt>
                <c:pt idx="12">
                  <c:v>0.0256436007515623</c:v>
                </c:pt>
                <c:pt idx="13">
                  <c:v>1.0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2811216"/>
        <c:axId val="452812392"/>
      </c:lineChart>
      <c:catAx>
        <c:axId val="4528178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2815136"/>
        <c:crosses val="autoZero"/>
        <c:auto val="1"/>
        <c:lblAlgn val="ctr"/>
        <c:lblOffset val="100"/>
        <c:noMultiLvlLbl val="0"/>
      </c:catAx>
      <c:valAx>
        <c:axId val="45281513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2817880"/>
        <c:crosses val="autoZero"/>
        <c:crossBetween val="between"/>
      </c:valAx>
      <c:catAx>
        <c:axId val="4528112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2812392"/>
        <c:crosses val="autoZero"/>
        <c:auto val="1"/>
        <c:lblAlgn val="ctr"/>
        <c:lblOffset val="100"/>
        <c:noMultiLvlLbl val="0"/>
      </c:catAx>
      <c:valAx>
        <c:axId val="45281239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281121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Customer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23rd Sales Report'!$J$17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23rd Sales Report'!$I$18:$I$24</c:f>
              <c:strCache>
                <c:ptCount val="7"/>
                <c:pt idx="0">
                  <c:v>Rita SR</c:v>
                </c:pt>
                <c:pt idx="1">
                  <c:v>Eniola Marketer</c:v>
                </c:pt>
                <c:pt idx="2">
                  <c:v>June Target Achievement Incentive Scheme</c:v>
                </c:pt>
                <c:pt idx="3">
                  <c:v>Ameh Mathew</c:v>
                </c:pt>
                <c:pt idx="4">
                  <c:v>Ahmed SR</c:v>
                </c:pt>
                <c:pt idx="5">
                  <c:v>MAADE HOTEL</c:v>
                </c:pt>
                <c:pt idx="6">
                  <c:v>Total</c:v>
                </c:pt>
              </c:strCache>
            </c:strRef>
          </c:cat>
          <c:val>
            <c:numRef>
              <c:f>'July 23rd Sales Report'!$J$18:$J$24</c:f>
              <c:numCache>
                <c:formatCode>_(* #,##0_);_(* \(#,##0\);_(* \-??_);_(@_)</c:formatCode>
                <c:ptCount val="7"/>
                <c:pt idx="0">
                  <c:v>2547750.0</c:v>
                </c:pt>
                <c:pt idx="1">
                  <c:v>1501000.0</c:v>
                </c:pt>
                <c:pt idx="2">
                  <c:v>37340.0</c:v>
                </c:pt>
                <c:pt idx="3">
                  <c:v>636405.0</c:v>
                </c:pt>
                <c:pt idx="4">
                  <c:v>378590.0</c:v>
                </c:pt>
                <c:pt idx="5">
                  <c:v>26900.0</c:v>
                </c:pt>
                <c:pt idx="6">
                  <c:v>5127985.0</c:v>
                </c:pt>
              </c:numCache>
            </c:numRef>
          </c:val>
        </c:ser>
        <c:ser>
          <c:idx val="1"/>
          <c:order val="1"/>
          <c:tx>
            <c:strRef>
              <c:f>'July 23rd Sales Report'!$K$17</c:f>
              <c:strCache>
                <c:ptCount val="1"/>
                <c:pt idx="0">
                  <c:v>% of Total 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23rd Sales Report'!$I$18:$I$24</c:f>
              <c:strCache>
                <c:ptCount val="7"/>
                <c:pt idx="0">
                  <c:v>Rita SR</c:v>
                </c:pt>
                <c:pt idx="1">
                  <c:v>Eniola Marketer</c:v>
                </c:pt>
                <c:pt idx="2">
                  <c:v>June Target Achievement Incentive Scheme</c:v>
                </c:pt>
                <c:pt idx="3">
                  <c:v>Ameh Mathew</c:v>
                </c:pt>
                <c:pt idx="4">
                  <c:v>Ahmed SR</c:v>
                </c:pt>
                <c:pt idx="5">
                  <c:v>MAADE HOTEL</c:v>
                </c:pt>
                <c:pt idx="6">
                  <c:v>Total</c:v>
                </c:pt>
              </c:strCache>
            </c:strRef>
          </c:cat>
          <c:val>
            <c:numRef>
              <c:f>'July 23rd Sales Report'!$K$18:$K$24</c:f>
              <c:numCache>
                <c:formatCode>0%</c:formatCode>
                <c:ptCount val="7"/>
                <c:pt idx="0">
                  <c:v>0.496832576538348</c:v>
                </c:pt>
                <c:pt idx="1">
                  <c:v>0.292707564472205</c:v>
                </c:pt>
                <c:pt idx="2">
                  <c:v>0.00728161256321928</c:v>
                </c:pt>
                <c:pt idx="3">
                  <c:v>0.124104302177171</c:v>
                </c:pt>
                <c:pt idx="4">
                  <c:v>0.0738282190763038</c:v>
                </c:pt>
                <c:pt idx="5">
                  <c:v>0.00524572517275304</c:v>
                </c:pt>
                <c:pt idx="6">
                  <c:v>1.0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2806512"/>
        <c:axId val="452806120"/>
      </c:barChart>
      <c:lineChart>
        <c:grouping val="standard"/>
        <c:varyColors val="0"/>
        <c:ser>
          <c:idx val="2"/>
          <c:order val="2"/>
          <c:tx>
            <c:strRef>
              <c:f>'July 23rd Sales Report'!$L$17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23rd Sales Report'!$I$18:$I$24</c:f>
              <c:strCache>
                <c:ptCount val="7"/>
                <c:pt idx="0">
                  <c:v>Rita SR</c:v>
                </c:pt>
                <c:pt idx="1">
                  <c:v>Eniola Marketer</c:v>
                </c:pt>
                <c:pt idx="2">
                  <c:v>June Target Achievement Incentive Scheme</c:v>
                </c:pt>
                <c:pt idx="3">
                  <c:v>Ameh Mathew</c:v>
                </c:pt>
                <c:pt idx="4">
                  <c:v>Ahmed SR</c:v>
                </c:pt>
                <c:pt idx="5">
                  <c:v>MAADE HOTEL</c:v>
                </c:pt>
                <c:pt idx="6">
                  <c:v>Total</c:v>
                </c:pt>
              </c:strCache>
            </c:strRef>
          </c:cat>
          <c:val>
            <c:numRef>
              <c:f>'July 23rd Sales Report'!$L$18:$L$24</c:f>
              <c:numCache>
                <c:formatCode>0%</c:formatCode>
                <c:ptCount val="7"/>
                <c:pt idx="0">
                  <c:v>-0.0377</c:v>
                </c:pt>
                <c:pt idx="1">
                  <c:v>-0.0202</c:v>
                </c:pt>
                <c:pt idx="2">
                  <c:v>0.0727</c:v>
                </c:pt>
                <c:pt idx="3">
                  <c:v>0.024</c:v>
                </c:pt>
                <c:pt idx="4">
                  <c:v>0.0792</c:v>
                </c:pt>
                <c:pt idx="5">
                  <c:v>0.0545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2808864"/>
        <c:axId val="452815528"/>
      </c:lineChart>
      <c:catAx>
        <c:axId val="4528065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2806120"/>
        <c:crosses val="autoZero"/>
        <c:auto val="1"/>
        <c:lblAlgn val="ctr"/>
        <c:lblOffset val="100"/>
        <c:noMultiLvlLbl val="0"/>
      </c:catAx>
      <c:valAx>
        <c:axId val="45280612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2806512"/>
        <c:crosses val="autoZero"/>
        <c:crossBetween val="between"/>
      </c:valAx>
      <c:catAx>
        <c:axId val="4528088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2815528"/>
        <c:crosses val="autoZero"/>
        <c:auto val="1"/>
        <c:lblAlgn val="ctr"/>
        <c:lblOffset val="100"/>
        <c:noMultiLvlLbl val="0"/>
      </c:catAx>
      <c:valAx>
        <c:axId val="452815528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280886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Invoice_No &amp; Gross Profit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23rd Sales Report'!$J$26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23rd Sales Report'!$I$27:$I$36</c:f>
              <c:strCache>
                <c:ptCount val="10"/>
                <c:pt idx="0">
                  <c:v>ann-INV350</c:v>
                </c:pt>
                <c:pt idx="1">
                  <c:v>ann-INV351</c:v>
                </c:pt>
                <c:pt idx="2">
                  <c:v>ann-INV352</c:v>
                </c:pt>
                <c:pt idx="3">
                  <c:v>Tayo-INV141</c:v>
                </c:pt>
                <c:pt idx="4">
                  <c:v>ann-INV353</c:v>
                </c:pt>
                <c:pt idx="5">
                  <c:v>ann-INV354</c:v>
                </c:pt>
                <c:pt idx="6">
                  <c:v>ann-INV355</c:v>
                </c:pt>
                <c:pt idx="7">
                  <c:v>ann-INV356</c:v>
                </c:pt>
                <c:pt idx="8">
                  <c:v>ann-INV357</c:v>
                </c:pt>
                <c:pt idx="9">
                  <c:v>Total</c:v>
                </c:pt>
              </c:strCache>
            </c:strRef>
          </c:cat>
          <c:val>
            <c:numRef>
              <c:f>'July 23rd Sales Report'!$J$27:$J$36</c:f>
              <c:numCache>
                <c:formatCode>_(* #,##0_);_(* \(#,##0\);_(* \-??_);_(@_)</c:formatCode>
                <c:ptCount val="10"/>
                <c:pt idx="0">
                  <c:v>2480000.0</c:v>
                </c:pt>
                <c:pt idx="1">
                  <c:v>67750.0</c:v>
                </c:pt>
                <c:pt idx="2">
                  <c:v>1240000.0</c:v>
                </c:pt>
                <c:pt idx="3">
                  <c:v>37340.0</c:v>
                </c:pt>
                <c:pt idx="4">
                  <c:v>391605.0</c:v>
                </c:pt>
                <c:pt idx="5">
                  <c:v>449590.0</c:v>
                </c:pt>
                <c:pt idx="6">
                  <c:v>300000.0</c:v>
                </c:pt>
                <c:pt idx="7">
                  <c:v>26900.0</c:v>
                </c:pt>
                <c:pt idx="8">
                  <c:v>316500.0</c:v>
                </c:pt>
                <c:pt idx="9">
                  <c:v>5309685.0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2816704"/>
        <c:axId val="452812000"/>
      </c:barChart>
      <c:lineChart>
        <c:grouping val="standard"/>
        <c:varyColors val="0"/>
        <c:ser>
          <c:idx val="1"/>
          <c:order val="1"/>
          <c:tx>
            <c:strRef>
              <c:f>'July 23rd Sales Report'!$K$26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23rd Sales Report'!$I$27:$I$36</c:f>
              <c:strCache>
                <c:ptCount val="10"/>
                <c:pt idx="0">
                  <c:v>ann-INV350</c:v>
                </c:pt>
                <c:pt idx="1">
                  <c:v>ann-INV351</c:v>
                </c:pt>
                <c:pt idx="2">
                  <c:v>ann-INV352</c:v>
                </c:pt>
                <c:pt idx="3">
                  <c:v>Tayo-INV141</c:v>
                </c:pt>
                <c:pt idx="4">
                  <c:v>ann-INV353</c:v>
                </c:pt>
                <c:pt idx="5">
                  <c:v>ann-INV354</c:v>
                </c:pt>
                <c:pt idx="6">
                  <c:v>ann-INV355</c:v>
                </c:pt>
                <c:pt idx="7">
                  <c:v>ann-INV356</c:v>
                </c:pt>
                <c:pt idx="8">
                  <c:v>ann-INV357</c:v>
                </c:pt>
                <c:pt idx="9">
                  <c:v>Total</c:v>
                </c:pt>
              </c:strCache>
            </c:strRef>
          </c:cat>
          <c:val>
            <c:numRef>
              <c:f>'July 23rd Sales Report'!$K$27:$K$36</c:f>
              <c:numCache>
                <c:formatCode>0%</c:formatCode>
                <c:ptCount val="10"/>
                <c:pt idx="0">
                  <c:v>-0.04</c:v>
                </c:pt>
                <c:pt idx="1">
                  <c:v>0.05</c:v>
                </c:pt>
                <c:pt idx="2">
                  <c:v>-0.04</c:v>
                </c:pt>
                <c:pt idx="3">
                  <c:v>0.07</c:v>
                </c:pt>
                <c:pt idx="4">
                  <c:v>0.07</c:v>
                </c:pt>
                <c:pt idx="5">
                  <c:v>0.08</c:v>
                </c:pt>
                <c:pt idx="6">
                  <c:v>-0.04</c:v>
                </c:pt>
                <c:pt idx="7">
                  <c:v>0.05</c:v>
                </c:pt>
                <c:pt idx="8">
                  <c:v>0.06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2817096"/>
        <c:axId val="452811608"/>
      </c:lineChart>
      <c:catAx>
        <c:axId val="4528167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2812000"/>
        <c:crosses val="autoZero"/>
        <c:auto val="1"/>
        <c:lblAlgn val="ctr"/>
        <c:lblOffset val="100"/>
        <c:noMultiLvlLbl val="0"/>
      </c:catAx>
      <c:valAx>
        <c:axId val="45281200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2816704"/>
        <c:crosses val="autoZero"/>
        <c:crossBetween val="between"/>
      </c:valAx>
      <c:catAx>
        <c:axId val="4528170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2811608"/>
        <c:crosses val="autoZero"/>
        <c:auto val="1"/>
        <c:lblAlgn val="ctr"/>
        <c:lblOffset val="100"/>
        <c:noMultiLvlLbl val="0"/>
      </c:catAx>
      <c:valAx>
        <c:axId val="452811608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281709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Product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24th Sales Report'!$J$1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24th Sales Report'!$I$2:$I$14</c:f>
              <c:strCache>
                <c:ptCount val="13"/>
                <c:pt idx="0">
                  <c:v>Goldberg 60cl</c:v>
                </c:pt>
                <c:pt idx="1">
                  <c:v>33 Export 60cl</c:v>
                </c:pt>
                <c:pt idx="2">
                  <c:v>Heineken Bottle 60cl</c:v>
                </c:pt>
                <c:pt idx="3">
                  <c:v>Maltina Pet 33cl</c:v>
                </c:pt>
                <c:pt idx="4">
                  <c:v>Desperados Bottle</c:v>
                </c:pt>
                <c:pt idx="5">
                  <c:v>Maltina Bottle</c:v>
                </c:pt>
                <c:pt idx="6">
                  <c:v>Star Radler 45cl</c:v>
                </c:pt>
                <c:pt idx="7">
                  <c:v>Gulder Bottle</c:v>
                </c:pt>
                <c:pt idx="8">
                  <c:v>Turbo King Bottle 60cl</c:v>
                </c:pt>
                <c:pt idx="9">
                  <c:v>Legend Bottle 60cl</c:v>
                </c:pt>
                <c:pt idx="10">
                  <c:v>Trophy</c:v>
                </c:pt>
                <c:pt idx="11">
                  <c:v>Castle Lite</c:v>
                </c:pt>
                <c:pt idx="12">
                  <c:v>Grand Total</c:v>
                </c:pt>
              </c:strCache>
            </c:strRef>
          </c:cat>
          <c:val>
            <c:numRef>
              <c:f>'July 24th Sales Report'!$J$2:$J$14</c:f>
              <c:numCache>
                <c:formatCode>General</c:formatCode>
                <c:ptCount val="13"/>
                <c:pt idx="0">
                  <c:v>258.0</c:v>
                </c:pt>
                <c:pt idx="1">
                  <c:v>298.0</c:v>
                </c:pt>
                <c:pt idx="2">
                  <c:v>11.0</c:v>
                </c:pt>
                <c:pt idx="3">
                  <c:v>292.0</c:v>
                </c:pt>
                <c:pt idx="4">
                  <c:v>1.0</c:v>
                </c:pt>
                <c:pt idx="5">
                  <c:v>5.0</c:v>
                </c:pt>
                <c:pt idx="6">
                  <c:v>1.0</c:v>
                </c:pt>
                <c:pt idx="7">
                  <c:v>4.0</c:v>
                </c:pt>
                <c:pt idx="8">
                  <c:v>1.0</c:v>
                </c:pt>
                <c:pt idx="9">
                  <c:v>5.0</c:v>
                </c:pt>
                <c:pt idx="10">
                  <c:v>3.0</c:v>
                </c:pt>
                <c:pt idx="11">
                  <c:v>1.0</c:v>
                </c:pt>
                <c:pt idx="12">
                  <c:v>880.0</c:v>
                </c:pt>
              </c:numCache>
            </c:numRef>
          </c:val>
        </c:ser>
        <c:ser>
          <c:idx val="1"/>
          <c:order val="1"/>
          <c:tx>
            <c:strRef>
              <c:f>'July 24th Sales Report'!$K$1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24th Sales Report'!$I$2:$I$14</c:f>
              <c:strCache>
                <c:ptCount val="13"/>
                <c:pt idx="0">
                  <c:v>Goldberg 60cl</c:v>
                </c:pt>
                <c:pt idx="1">
                  <c:v>33 Export 60cl</c:v>
                </c:pt>
                <c:pt idx="2">
                  <c:v>Heineken Bottle 60cl</c:v>
                </c:pt>
                <c:pt idx="3">
                  <c:v>Maltina Pet 33cl</c:v>
                </c:pt>
                <c:pt idx="4">
                  <c:v>Desperados Bottle</c:v>
                </c:pt>
                <c:pt idx="5">
                  <c:v>Maltina Bottle</c:v>
                </c:pt>
                <c:pt idx="6">
                  <c:v>Star Radler 45cl</c:v>
                </c:pt>
                <c:pt idx="7">
                  <c:v>Gulder Bottle</c:v>
                </c:pt>
                <c:pt idx="8">
                  <c:v>Turbo King Bottle 60cl</c:v>
                </c:pt>
                <c:pt idx="9">
                  <c:v>Legend Bottle 60cl</c:v>
                </c:pt>
                <c:pt idx="10">
                  <c:v>Trophy</c:v>
                </c:pt>
                <c:pt idx="11">
                  <c:v>Castle Lite</c:v>
                </c:pt>
                <c:pt idx="12">
                  <c:v>Grand Total</c:v>
                </c:pt>
              </c:strCache>
            </c:strRef>
          </c:cat>
          <c:val>
            <c:numRef>
              <c:f>'July 24th Sales Report'!$K$2:$K$14</c:f>
              <c:numCache>
                <c:formatCode>_(* #,##0_);_(* \(#,##0\);_(* \-??_);_(@_)</c:formatCode>
                <c:ptCount val="13"/>
                <c:pt idx="0">
                  <c:v>2276840.0</c:v>
                </c:pt>
                <c:pt idx="1">
                  <c:v>2683400.0</c:v>
                </c:pt>
                <c:pt idx="2">
                  <c:v>149760.0</c:v>
                </c:pt>
                <c:pt idx="3">
                  <c:v>1460400.0</c:v>
                </c:pt>
                <c:pt idx="4">
                  <c:v>21400.0</c:v>
                </c:pt>
                <c:pt idx="5">
                  <c:v>66160.0</c:v>
                </c:pt>
                <c:pt idx="6">
                  <c:v>14575.0</c:v>
                </c:pt>
                <c:pt idx="7">
                  <c:v>48255.0</c:v>
                </c:pt>
                <c:pt idx="8">
                  <c:v>9500.0</c:v>
                </c:pt>
                <c:pt idx="9">
                  <c:v>57400.0</c:v>
                </c:pt>
                <c:pt idx="10">
                  <c:v>27000.0</c:v>
                </c:pt>
                <c:pt idx="11">
                  <c:v>9710.0</c:v>
                </c:pt>
                <c:pt idx="12">
                  <c:v>6824400.0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2813176"/>
        <c:axId val="452813568"/>
      </c:barChart>
      <c:lineChart>
        <c:grouping val="standard"/>
        <c:varyColors val="0"/>
        <c:ser>
          <c:idx val="2"/>
          <c:order val="2"/>
          <c:tx>
            <c:strRef>
              <c:f>'July 24th Sales Report'!$L$1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24th Sales Report'!$I$2:$I$14</c:f>
              <c:strCache>
                <c:ptCount val="13"/>
                <c:pt idx="0">
                  <c:v>Goldberg 60cl</c:v>
                </c:pt>
                <c:pt idx="1">
                  <c:v>33 Export 60cl</c:v>
                </c:pt>
                <c:pt idx="2">
                  <c:v>Heineken Bottle 60cl</c:v>
                </c:pt>
                <c:pt idx="3">
                  <c:v>Maltina Pet 33cl</c:v>
                </c:pt>
                <c:pt idx="4">
                  <c:v>Desperados Bottle</c:v>
                </c:pt>
                <c:pt idx="5">
                  <c:v>Maltina Bottle</c:v>
                </c:pt>
                <c:pt idx="6">
                  <c:v>Star Radler 45cl</c:v>
                </c:pt>
                <c:pt idx="7">
                  <c:v>Gulder Bottle</c:v>
                </c:pt>
                <c:pt idx="8">
                  <c:v>Turbo King Bottle 60cl</c:v>
                </c:pt>
                <c:pt idx="9">
                  <c:v>Legend Bottle 60cl</c:v>
                </c:pt>
                <c:pt idx="10">
                  <c:v>Trophy</c:v>
                </c:pt>
                <c:pt idx="11">
                  <c:v>Castle Lite</c:v>
                </c:pt>
                <c:pt idx="12">
                  <c:v>Grand Total</c:v>
                </c:pt>
              </c:strCache>
            </c:strRef>
          </c:cat>
          <c:val>
            <c:numRef>
              <c:f>'July 24th Sales Report'!$L$2:$L$14</c:f>
              <c:numCache>
                <c:formatCode>0%</c:formatCode>
                <c:ptCount val="13"/>
                <c:pt idx="0">
                  <c:v>0.333632260711564</c:v>
                </c:pt>
                <c:pt idx="1">
                  <c:v>0.393206728796671</c:v>
                </c:pt>
                <c:pt idx="2">
                  <c:v>0.0219447863548444</c:v>
                </c:pt>
                <c:pt idx="3">
                  <c:v>0.213996834886583</c:v>
                </c:pt>
                <c:pt idx="4">
                  <c:v>0.00313580681085517</c:v>
                </c:pt>
                <c:pt idx="5">
                  <c:v>0.00969462516851298</c:v>
                </c:pt>
                <c:pt idx="6">
                  <c:v>0.00213571889103804</c:v>
                </c:pt>
                <c:pt idx="7">
                  <c:v>0.00707095129242131</c:v>
                </c:pt>
                <c:pt idx="8">
                  <c:v>0.00139206377117402</c:v>
                </c:pt>
                <c:pt idx="9">
                  <c:v>0.00841099583846199</c:v>
                </c:pt>
                <c:pt idx="10">
                  <c:v>0.00395639177070512</c:v>
                </c:pt>
                <c:pt idx="11">
                  <c:v>0.0014228357071684</c:v>
                </c:pt>
                <c:pt idx="12">
                  <c:v>1.0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2815920"/>
        <c:axId val="453575224"/>
      </c:lineChart>
      <c:catAx>
        <c:axId val="452813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2813568"/>
        <c:crosses val="autoZero"/>
        <c:auto val="1"/>
        <c:lblAlgn val="ctr"/>
        <c:lblOffset val="100"/>
        <c:noMultiLvlLbl val="0"/>
      </c:catAx>
      <c:valAx>
        <c:axId val="45281356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2813176"/>
        <c:crosses val="autoZero"/>
        <c:crossBetween val="between"/>
      </c:valAx>
      <c:catAx>
        <c:axId val="4528159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3575224"/>
        <c:crosses val="autoZero"/>
        <c:auto val="1"/>
        <c:lblAlgn val="ctr"/>
        <c:lblOffset val="100"/>
        <c:noMultiLvlLbl val="0"/>
      </c:catAx>
      <c:valAx>
        <c:axId val="453575224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281592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Customer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24th Sales Report'!$J$16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24th Sales Report'!$I$17:$I$26</c:f>
              <c:strCache>
                <c:ptCount val="10"/>
                <c:pt idx="0">
                  <c:v>Abbey Illisan</c:v>
                </c:pt>
                <c:pt idx="1">
                  <c:v>Remilekun</c:v>
                </c:pt>
                <c:pt idx="2">
                  <c:v>Ameh Mathew</c:v>
                </c:pt>
                <c:pt idx="3">
                  <c:v>Walk in Customer</c:v>
                </c:pt>
                <c:pt idx="4">
                  <c:v>Eniola Marketer</c:v>
                </c:pt>
                <c:pt idx="5">
                  <c:v>Mr Godswill</c:v>
                </c:pt>
                <c:pt idx="6">
                  <c:v>ATW</c:v>
                </c:pt>
                <c:pt idx="7">
                  <c:v>Mr Olayinka</c:v>
                </c:pt>
                <c:pt idx="8">
                  <c:v>Stella SR</c:v>
                </c:pt>
                <c:pt idx="9">
                  <c:v>Total</c:v>
                </c:pt>
              </c:strCache>
            </c:strRef>
          </c:cat>
          <c:val>
            <c:numRef>
              <c:f>'July 24th Sales Report'!$J$17:$J$26</c:f>
              <c:numCache>
                <c:formatCode>_(* #,##0_);_(* \(#,##0\);_(* \-??_);_(@_)</c:formatCode>
                <c:ptCount val="10"/>
                <c:pt idx="0">
                  <c:v>3707200.0</c:v>
                </c:pt>
                <c:pt idx="1">
                  <c:v>23450.0</c:v>
                </c:pt>
                <c:pt idx="2">
                  <c:v>356480.0</c:v>
                </c:pt>
                <c:pt idx="3">
                  <c:v>69925.0</c:v>
                </c:pt>
                <c:pt idx="4">
                  <c:v>1350000.0</c:v>
                </c:pt>
                <c:pt idx="5">
                  <c:v>337075.0</c:v>
                </c:pt>
                <c:pt idx="6">
                  <c:v>597440.0</c:v>
                </c:pt>
                <c:pt idx="7">
                  <c:v>152830.0</c:v>
                </c:pt>
                <c:pt idx="8">
                  <c:v>230000.0</c:v>
                </c:pt>
                <c:pt idx="9">
                  <c:v>6824400.0</c:v>
                </c:pt>
              </c:numCache>
            </c:numRef>
          </c:val>
        </c:ser>
        <c:ser>
          <c:idx val="1"/>
          <c:order val="1"/>
          <c:tx>
            <c:strRef>
              <c:f>'July 24th Sales Report'!$K$16</c:f>
              <c:strCache>
                <c:ptCount val="1"/>
                <c:pt idx="0">
                  <c:v>% of Total 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24th Sales Report'!$I$17:$I$26</c:f>
              <c:strCache>
                <c:ptCount val="10"/>
                <c:pt idx="0">
                  <c:v>Abbey Illisan</c:v>
                </c:pt>
                <c:pt idx="1">
                  <c:v>Remilekun</c:v>
                </c:pt>
                <c:pt idx="2">
                  <c:v>Ameh Mathew</c:v>
                </c:pt>
                <c:pt idx="3">
                  <c:v>Walk in Customer</c:v>
                </c:pt>
                <c:pt idx="4">
                  <c:v>Eniola Marketer</c:v>
                </c:pt>
                <c:pt idx="5">
                  <c:v>Mr Godswill</c:v>
                </c:pt>
                <c:pt idx="6">
                  <c:v>ATW</c:v>
                </c:pt>
                <c:pt idx="7">
                  <c:v>Mr Olayinka</c:v>
                </c:pt>
                <c:pt idx="8">
                  <c:v>Stella SR</c:v>
                </c:pt>
                <c:pt idx="9">
                  <c:v>Total</c:v>
                </c:pt>
              </c:strCache>
            </c:strRef>
          </c:cat>
          <c:val>
            <c:numRef>
              <c:f>'July 24th Sales Report'!$K$17:$K$26</c:f>
              <c:numCache>
                <c:formatCode>0%</c:formatCode>
                <c:ptCount val="10"/>
                <c:pt idx="0">
                  <c:v>0.543227243420667</c:v>
                </c:pt>
                <c:pt idx="1">
                  <c:v>0.00343619951937167</c:v>
                </c:pt>
                <c:pt idx="2">
                  <c:v>0.0522360940155911</c:v>
                </c:pt>
                <c:pt idx="3">
                  <c:v>0.0102463220209835</c:v>
                </c:pt>
                <c:pt idx="4">
                  <c:v>0.197819588535256</c:v>
                </c:pt>
                <c:pt idx="5">
                  <c:v>0.0493926205966825</c:v>
                </c:pt>
                <c:pt idx="6">
                  <c:v>0.0875446925737061</c:v>
                </c:pt>
                <c:pt idx="7">
                  <c:v>0.0223946427524764</c:v>
                </c:pt>
                <c:pt idx="8">
                  <c:v>0.0337025965652658</c:v>
                </c:pt>
                <c:pt idx="9">
                  <c:v>1.0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3579928"/>
        <c:axId val="453578360"/>
      </c:barChart>
      <c:lineChart>
        <c:grouping val="standard"/>
        <c:varyColors val="0"/>
        <c:ser>
          <c:idx val="2"/>
          <c:order val="2"/>
          <c:tx>
            <c:strRef>
              <c:f>'July 24th Sales Report'!$L$16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24th Sales Report'!$I$17:$I$26</c:f>
              <c:strCache>
                <c:ptCount val="10"/>
                <c:pt idx="0">
                  <c:v>Abbey Illisan</c:v>
                </c:pt>
                <c:pt idx="1">
                  <c:v>Remilekun</c:v>
                </c:pt>
                <c:pt idx="2">
                  <c:v>Ameh Mathew</c:v>
                </c:pt>
                <c:pt idx="3">
                  <c:v>Walk in Customer</c:v>
                </c:pt>
                <c:pt idx="4">
                  <c:v>Eniola Marketer</c:v>
                </c:pt>
                <c:pt idx="5">
                  <c:v>Mr Godswill</c:v>
                </c:pt>
                <c:pt idx="6">
                  <c:v>ATW</c:v>
                </c:pt>
                <c:pt idx="7">
                  <c:v>Mr Olayinka</c:v>
                </c:pt>
                <c:pt idx="8">
                  <c:v>Stella SR</c:v>
                </c:pt>
                <c:pt idx="9">
                  <c:v>Total</c:v>
                </c:pt>
              </c:strCache>
            </c:strRef>
          </c:cat>
          <c:val>
            <c:numRef>
              <c:f>'July 24th Sales Report'!$L$17:$L$26</c:f>
              <c:numCache>
                <c:formatCode>0%</c:formatCode>
                <c:ptCount val="10"/>
                <c:pt idx="0">
                  <c:v>0.0219</c:v>
                </c:pt>
                <c:pt idx="1">
                  <c:v>0.0872</c:v>
                </c:pt>
                <c:pt idx="2">
                  <c:v>0.0439</c:v>
                </c:pt>
                <c:pt idx="3">
                  <c:v>0.0788</c:v>
                </c:pt>
                <c:pt idx="4">
                  <c:v>-0.04</c:v>
                </c:pt>
                <c:pt idx="5">
                  <c:v>0.0635</c:v>
                </c:pt>
                <c:pt idx="6">
                  <c:v>0.0729</c:v>
                </c:pt>
                <c:pt idx="7">
                  <c:v>0.07</c:v>
                </c:pt>
                <c:pt idx="8">
                  <c:v>0.0518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3577184"/>
        <c:axId val="453579144"/>
      </c:lineChart>
      <c:catAx>
        <c:axId val="4535799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3578360"/>
        <c:crosses val="autoZero"/>
        <c:auto val="1"/>
        <c:lblAlgn val="ctr"/>
        <c:lblOffset val="100"/>
        <c:noMultiLvlLbl val="0"/>
      </c:catAx>
      <c:valAx>
        <c:axId val="45357836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3579928"/>
        <c:crosses val="autoZero"/>
        <c:crossBetween val="between"/>
      </c:valAx>
      <c:catAx>
        <c:axId val="4535771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3579144"/>
        <c:crosses val="autoZero"/>
        <c:auto val="1"/>
        <c:lblAlgn val="ctr"/>
        <c:lblOffset val="100"/>
        <c:noMultiLvlLbl val="0"/>
      </c:catAx>
      <c:valAx>
        <c:axId val="453579144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357718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Invoice_No &amp; Gross Profit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24th Sales Report'!$J$28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24th Sales Report'!$I$29:$I$42</c:f>
              <c:strCache>
                <c:ptCount val="14"/>
                <c:pt idx="0">
                  <c:v>ann-INV358</c:v>
                </c:pt>
                <c:pt idx="1">
                  <c:v>ann-INV359</c:v>
                </c:pt>
                <c:pt idx="2">
                  <c:v>ann-INV360</c:v>
                </c:pt>
                <c:pt idx="3">
                  <c:v>ann-INV363</c:v>
                </c:pt>
                <c:pt idx="4">
                  <c:v>ann-INV361</c:v>
                </c:pt>
                <c:pt idx="5">
                  <c:v>ann-INV362</c:v>
                </c:pt>
                <c:pt idx="6">
                  <c:v>ann-INV364</c:v>
                </c:pt>
                <c:pt idx="7">
                  <c:v>ann-INV365</c:v>
                </c:pt>
                <c:pt idx="8">
                  <c:v>ann-INV366</c:v>
                </c:pt>
                <c:pt idx="9">
                  <c:v>ann-INV367</c:v>
                </c:pt>
                <c:pt idx="10">
                  <c:v>ann-INV368</c:v>
                </c:pt>
                <c:pt idx="11">
                  <c:v>ann-INV369</c:v>
                </c:pt>
                <c:pt idx="12">
                  <c:v>ann-INV370</c:v>
                </c:pt>
                <c:pt idx="13">
                  <c:v>Total</c:v>
                </c:pt>
              </c:strCache>
            </c:strRef>
          </c:cat>
          <c:val>
            <c:numRef>
              <c:f>'July 24th Sales Report'!$J$29:$J$42</c:f>
              <c:numCache>
                <c:formatCode>_(* #,##0_);_(* \(#,##0\);_(* \-??_);_(@_)</c:formatCode>
                <c:ptCount val="14"/>
                <c:pt idx="0">
                  <c:v>4463200.0</c:v>
                </c:pt>
                <c:pt idx="1">
                  <c:v>9500.0</c:v>
                </c:pt>
                <c:pt idx="2">
                  <c:v>13950.0</c:v>
                </c:pt>
                <c:pt idx="3">
                  <c:v>416280.0</c:v>
                </c:pt>
                <c:pt idx="4">
                  <c:v>19000.0</c:v>
                </c:pt>
                <c:pt idx="5">
                  <c:v>1350000.0</c:v>
                </c:pt>
                <c:pt idx="6">
                  <c:v>383075.0</c:v>
                </c:pt>
                <c:pt idx="7">
                  <c:v>18670.0</c:v>
                </c:pt>
                <c:pt idx="8">
                  <c:v>154730.0</c:v>
                </c:pt>
                <c:pt idx="9">
                  <c:v>58225.0</c:v>
                </c:pt>
                <c:pt idx="10">
                  <c:v>230000.0</c:v>
                </c:pt>
                <c:pt idx="11">
                  <c:v>20470.0</c:v>
                </c:pt>
                <c:pt idx="12">
                  <c:v>560100.0</c:v>
                </c:pt>
                <c:pt idx="13">
                  <c:v>7697200.0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3578752"/>
        <c:axId val="453580712"/>
      </c:barChart>
      <c:lineChart>
        <c:grouping val="standard"/>
        <c:varyColors val="0"/>
        <c:ser>
          <c:idx val="1"/>
          <c:order val="1"/>
          <c:tx>
            <c:strRef>
              <c:f>'July 24th Sales Report'!$K$28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24th Sales Report'!$I$29:$I$42</c:f>
              <c:strCache>
                <c:ptCount val="14"/>
                <c:pt idx="0">
                  <c:v>ann-INV358</c:v>
                </c:pt>
                <c:pt idx="1">
                  <c:v>ann-INV359</c:v>
                </c:pt>
                <c:pt idx="2">
                  <c:v>ann-INV360</c:v>
                </c:pt>
                <c:pt idx="3">
                  <c:v>ann-INV363</c:v>
                </c:pt>
                <c:pt idx="4">
                  <c:v>ann-INV361</c:v>
                </c:pt>
                <c:pt idx="5">
                  <c:v>ann-INV362</c:v>
                </c:pt>
                <c:pt idx="6">
                  <c:v>ann-INV364</c:v>
                </c:pt>
                <c:pt idx="7">
                  <c:v>ann-INV365</c:v>
                </c:pt>
                <c:pt idx="8">
                  <c:v>ann-INV366</c:v>
                </c:pt>
                <c:pt idx="9">
                  <c:v>ann-INV367</c:v>
                </c:pt>
                <c:pt idx="10">
                  <c:v>ann-INV368</c:v>
                </c:pt>
                <c:pt idx="11">
                  <c:v>ann-INV369</c:v>
                </c:pt>
                <c:pt idx="12">
                  <c:v>ann-INV370</c:v>
                </c:pt>
                <c:pt idx="13">
                  <c:v>Total</c:v>
                </c:pt>
              </c:strCache>
            </c:strRef>
          </c:cat>
          <c:val>
            <c:numRef>
              <c:f>'July 24th Sales Report'!$K$29:$K$42</c:f>
              <c:numCache>
                <c:formatCode>0%</c:formatCode>
                <c:ptCount val="14"/>
                <c:pt idx="0">
                  <c:v>0.02</c:v>
                </c:pt>
                <c:pt idx="1">
                  <c:v>0.09</c:v>
                </c:pt>
                <c:pt idx="2">
                  <c:v>0.09</c:v>
                </c:pt>
                <c:pt idx="3">
                  <c:v>0.04</c:v>
                </c:pt>
                <c:pt idx="4">
                  <c:v>0.08</c:v>
                </c:pt>
                <c:pt idx="5">
                  <c:v>-0.04</c:v>
                </c:pt>
                <c:pt idx="6">
                  <c:v>0.06</c:v>
                </c:pt>
                <c:pt idx="7">
                  <c:v>0.07</c:v>
                </c:pt>
                <c:pt idx="8">
                  <c:v>0.07</c:v>
                </c:pt>
                <c:pt idx="9">
                  <c:v>0.08</c:v>
                </c:pt>
                <c:pt idx="10">
                  <c:v>0.05</c:v>
                </c:pt>
                <c:pt idx="11">
                  <c:v>0.08</c:v>
                </c:pt>
                <c:pt idx="12">
                  <c:v>0.07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3583456"/>
        <c:axId val="453585024"/>
      </c:lineChart>
      <c:catAx>
        <c:axId val="4535787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3580712"/>
        <c:crosses val="autoZero"/>
        <c:auto val="1"/>
        <c:lblAlgn val="ctr"/>
        <c:lblOffset val="100"/>
        <c:noMultiLvlLbl val="0"/>
      </c:catAx>
      <c:valAx>
        <c:axId val="45358071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3578752"/>
        <c:crosses val="autoZero"/>
        <c:crossBetween val="between"/>
      </c:valAx>
      <c:catAx>
        <c:axId val="4535834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3585024"/>
        <c:crosses val="autoZero"/>
        <c:auto val="1"/>
        <c:lblAlgn val="ctr"/>
        <c:lblOffset val="100"/>
        <c:noMultiLvlLbl val="0"/>
      </c:catAx>
      <c:valAx>
        <c:axId val="453585024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358345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Product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25th Sales Report'!$J$1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25th Sales Report'!$I$2:$I$16</c:f>
              <c:strCache>
                <c:ptCount val="15"/>
                <c:pt idx="0">
                  <c:v>Desperados Bottle</c:v>
                </c:pt>
                <c:pt idx="1">
                  <c:v>Goldberg Black 45cl</c:v>
                </c:pt>
                <c:pt idx="2">
                  <c:v>Maltina Pet 33cl</c:v>
                </c:pt>
                <c:pt idx="3">
                  <c:v>Goldberg 60cl</c:v>
                </c:pt>
                <c:pt idx="4">
                  <c:v>Desperados Can</c:v>
                </c:pt>
                <c:pt idx="5">
                  <c:v>Legend Can 44cl</c:v>
                </c:pt>
                <c:pt idx="6">
                  <c:v>Turbo King Bottle 60cl</c:v>
                </c:pt>
                <c:pt idx="7">
                  <c:v>33 Export 60cl</c:v>
                </c:pt>
                <c:pt idx="8">
                  <c:v>Heineken Bottle 60cl</c:v>
                </c:pt>
                <c:pt idx="9">
                  <c:v>Trophy</c:v>
                </c:pt>
                <c:pt idx="10">
                  <c:v>Maltina Pet 25cl</c:v>
                </c:pt>
                <c:pt idx="11">
                  <c:v>33 Export Can</c:v>
                </c:pt>
                <c:pt idx="12">
                  <c:v>Goldberg Can 50cl</c:v>
                </c:pt>
                <c:pt idx="13">
                  <c:v>Smirnoff Ice.</c:v>
                </c:pt>
                <c:pt idx="14">
                  <c:v>Grand Total</c:v>
                </c:pt>
              </c:strCache>
            </c:strRef>
          </c:cat>
          <c:val>
            <c:numRef>
              <c:f>'July 25th Sales Report'!$J$2:$J$16</c:f>
              <c:numCache>
                <c:formatCode>General</c:formatCode>
                <c:ptCount val="15"/>
                <c:pt idx="0">
                  <c:v>1.0</c:v>
                </c:pt>
                <c:pt idx="1">
                  <c:v>2.0</c:v>
                </c:pt>
                <c:pt idx="2">
                  <c:v>267.0</c:v>
                </c:pt>
                <c:pt idx="3">
                  <c:v>64.0</c:v>
                </c:pt>
                <c:pt idx="4">
                  <c:v>6.0</c:v>
                </c:pt>
                <c:pt idx="5">
                  <c:v>3.0</c:v>
                </c:pt>
                <c:pt idx="6">
                  <c:v>11.0</c:v>
                </c:pt>
                <c:pt idx="7">
                  <c:v>12.0</c:v>
                </c:pt>
                <c:pt idx="8">
                  <c:v>8.0</c:v>
                </c:pt>
                <c:pt idx="9">
                  <c:v>2.0</c:v>
                </c:pt>
                <c:pt idx="10">
                  <c:v>1.0</c:v>
                </c:pt>
                <c:pt idx="11">
                  <c:v>1.0</c:v>
                </c:pt>
                <c:pt idx="12">
                  <c:v>5.0</c:v>
                </c:pt>
                <c:pt idx="13">
                  <c:v>1.0</c:v>
                </c:pt>
                <c:pt idx="14">
                  <c:v>384.0</c:v>
                </c:pt>
              </c:numCache>
            </c:numRef>
          </c:val>
        </c:ser>
        <c:ser>
          <c:idx val="1"/>
          <c:order val="1"/>
          <c:tx>
            <c:strRef>
              <c:f>'July 25th Sales Report'!$K$1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25th Sales Report'!$I$2:$I$16</c:f>
              <c:strCache>
                <c:ptCount val="15"/>
                <c:pt idx="0">
                  <c:v>Desperados Bottle</c:v>
                </c:pt>
                <c:pt idx="1">
                  <c:v>Goldberg Black 45cl</c:v>
                </c:pt>
                <c:pt idx="2">
                  <c:v>Maltina Pet 33cl</c:v>
                </c:pt>
                <c:pt idx="3">
                  <c:v>Goldberg 60cl</c:v>
                </c:pt>
                <c:pt idx="4">
                  <c:v>Desperados Can</c:v>
                </c:pt>
                <c:pt idx="5">
                  <c:v>Legend Can 44cl</c:v>
                </c:pt>
                <c:pt idx="6">
                  <c:v>Turbo King Bottle 60cl</c:v>
                </c:pt>
                <c:pt idx="7">
                  <c:v>33 Export 60cl</c:v>
                </c:pt>
                <c:pt idx="8">
                  <c:v>Heineken Bottle 60cl</c:v>
                </c:pt>
                <c:pt idx="9">
                  <c:v>Trophy</c:v>
                </c:pt>
                <c:pt idx="10">
                  <c:v>Maltina Pet 25cl</c:v>
                </c:pt>
                <c:pt idx="11">
                  <c:v>33 Export Can</c:v>
                </c:pt>
                <c:pt idx="12">
                  <c:v>Goldberg Can 50cl</c:v>
                </c:pt>
                <c:pt idx="13">
                  <c:v>Smirnoff Ice.</c:v>
                </c:pt>
                <c:pt idx="14">
                  <c:v>Grand Total</c:v>
                </c:pt>
              </c:strCache>
            </c:strRef>
          </c:cat>
          <c:val>
            <c:numRef>
              <c:f>'July 25th Sales Report'!$K$2:$K$16</c:f>
              <c:numCache>
                <c:formatCode>_(* #,##0_);_(* \(#,##0\);_(* \-??_);_(@_)</c:formatCode>
                <c:ptCount val="15"/>
                <c:pt idx="0">
                  <c:v>21485.0</c:v>
                </c:pt>
                <c:pt idx="1">
                  <c:v>28290.0</c:v>
                </c:pt>
                <c:pt idx="2">
                  <c:v>1335600.0</c:v>
                </c:pt>
                <c:pt idx="3">
                  <c:v>576035.0</c:v>
                </c:pt>
                <c:pt idx="4">
                  <c:v>136440.0</c:v>
                </c:pt>
                <c:pt idx="5">
                  <c:v>63510.0</c:v>
                </c:pt>
                <c:pt idx="6">
                  <c:v>98000.0</c:v>
                </c:pt>
                <c:pt idx="7">
                  <c:v>110400.0</c:v>
                </c:pt>
                <c:pt idx="8">
                  <c:v>107295.0</c:v>
                </c:pt>
                <c:pt idx="9">
                  <c:v>17500.0</c:v>
                </c:pt>
                <c:pt idx="10">
                  <c:v>4200.0</c:v>
                </c:pt>
                <c:pt idx="11">
                  <c:v>16145.0</c:v>
                </c:pt>
                <c:pt idx="12">
                  <c:v>80725.0</c:v>
                </c:pt>
                <c:pt idx="13">
                  <c:v>16950.0</c:v>
                </c:pt>
                <c:pt idx="14">
                  <c:v>2612575.0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3577576"/>
        <c:axId val="453576400"/>
      </c:barChart>
      <c:lineChart>
        <c:grouping val="standard"/>
        <c:varyColors val="0"/>
        <c:ser>
          <c:idx val="2"/>
          <c:order val="2"/>
          <c:tx>
            <c:strRef>
              <c:f>'July 25th Sales Report'!$L$1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25th Sales Report'!$I$2:$I$16</c:f>
              <c:strCache>
                <c:ptCount val="15"/>
                <c:pt idx="0">
                  <c:v>Desperados Bottle</c:v>
                </c:pt>
                <c:pt idx="1">
                  <c:v>Goldberg Black 45cl</c:v>
                </c:pt>
                <c:pt idx="2">
                  <c:v>Maltina Pet 33cl</c:v>
                </c:pt>
                <c:pt idx="3">
                  <c:v>Goldberg 60cl</c:v>
                </c:pt>
                <c:pt idx="4">
                  <c:v>Desperados Can</c:v>
                </c:pt>
                <c:pt idx="5">
                  <c:v>Legend Can 44cl</c:v>
                </c:pt>
                <c:pt idx="6">
                  <c:v>Turbo King Bottle 60cl</c:v>
                </c:pt>
                <c:pt idx="7">
                  <c:v>33 Export 60cl</c:v>
                </c:pt>
                <c:pt idx="8">
                  <c:v>Heineken Bottle 60cl</c:v>
                </c:pt>
                <c:pt idx="9">
                  <c:v>Trophy</c:v>
                </c:pt>
                <c:pt idx="10">
                  <c:v>Maltina Pet 25cl</c:v>
                </c:pt>
                <c:pt idx="11">
                  <c:v>33 Export Can</c:v>
                </c:pt>
                <c:pt idx="12">
                  <c:v>Goldberg Can 50cl</c:v>
                </c:pt>
                <c:pt idx="13">
                  <c:v>Smirnoff Ice.</c:v>
                </c:pt>
                <c:pt idx="14">
                  <c:v>Grand Total</c:v>
                </c:pt>
              </c:strCache>
            </c:strRef>
          </c:cat>
          <c:val>
            <c:numRef>
              <c:f>'July 25th Sales Report'!$L$2:$L$16</c:f>
              <c:numCache>
                <c:formatCode>0%</c:formatCode>
                <c:ptCount val="15"/>
                <c:pt idx="0">
                  <c:v>0.00822368735825766</c:v>
                </c:pt>
                <c:pt idx="1">
                  <c:v>0.0108283972708917</c:v>
                </c:pt>
                <c:pt idx="2">
                  <c:v>0.511219773595016</c:v>
                </c:pt>
                <c:pt idx="3">
                  <c:v>0.220485536300393</c:v>
                </c:pt>
                <c:pt idx="4">
                  <c:v>0.0522243380572807</c:v>
                </c:pt>
                <c:pt idx="5">
                  <c:v>0.0243093499708142</c:v>
                </c:pt>
                <c:pt idx="6">
                  <c:v>0.0375108848549802</c:v>
                </c:pt>
                <c:pt idx="7">
                  <c:v>0.0422571600815288</c:v>
                </c:pt>
                <c:pt idx="8">
                  <c:v>0.0410686774542358</c:v>
                </c:pt>
                <c:pt idx="9">
                  <c:v>0.00669837229553219</c:v>
                </c:pt>
                <c:pt idx="10">
                  <c:v>0.00160760935092772</c:v>
                </c:pt>
                <c:pt idx="11">
                  <c:v>0.00617972689779241</c:v>
                </c:pt>
                <c:pt idx="12">
                  <c:v>0.030898634488962</c:v>
                </c:pt>
                <c:pt idx="13">
                  <c:v>0.00648785202338689</c:v>
                </c:pt>
                <c:pt idx="14">
                  <c:v>1.0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3584240"/>
        <c:axId val="453573656"/>
      </c:lineChart>
      <c:catAx>
        <c:axId val="4535775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3576400"/>
        <c:crosses val="autoZero"/>
        <c:auto val="1"/>
        <c:lblAlgn val="ctr"/>
        <c:lblOffset val="100"/>
        <c:noMultiLvlLbl val="0"/>
      </c:catAx>
      <c:valAx>
        <c:axId val="45357640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3577576"/>
        <c:crosses val="autoZero"/>
        <c:crossBetween val="between"/>
      </c:valAx>
      <c:catAx>
        <c:axId val="4535842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3573656"/>
        <c:crosses val="autoZero"/>
        <c:auto val="1"/>
        <c:lblAlgn val="ctr"/>
        <c:lblOffset val="100"/>
        <c:noMultiLvlLbl val="0"/>
      </c:catAx>
      <c:valAx>
        <c:axId val="45357365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358424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Customer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25th Sales Report'!$J$18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25th Sales Report'!$I$19:$I$31</c:f>
              <c:strCache>
                <c:ptCount val="13"/>
                <c:pt idx="0">
                  <c:v>Mr Godswill</c:v>
                </c:pt>
                <c:pt idx="1">
                  <c:v>Walk in Customer</c:v>
                </c:pt>
                <c:pt idx="2">
                  <c:v>Mr Lekan Ojifini</c:v>
                </c:pt>
                <c:pt idx="3">
                  <c:v>Taiwo SR</c:v>
                </c:pt>
                <c:pt idx="4">
                  <c:v>Solomon</c:v>
                </c:pt>
                <c:pt idx="5">
                  <c:v>Mr Olayinka</c:v>
                </c:pt>
                <c:pt idx="6">
                  <c:v>Ameh Mathew</c:v>
                </c:pt>
                <c:pt idx="7">
                  <c:v>ATW</c:v>
                </c:pt>
                <c:pt idx="8">
                  <c:v>Breakages</c:v>
                </c:pt>
                <c:pt idx="9">
                  <c:v>MRS IK.</c:v>
                </c:pt>
                <c:pt idx="10">
                  <c:v>Remilekun</c:v>
                </c:pt>
                <c:pt idx="11">
                  <c:v>Jeff SR</c:v>
                </c:pt>
                <c:pt idx="12">
                  <c:v>Total</c:v>
                </c:pt>
              </c:strCache>
            </c:strRef>
          </c:cat>
          <c:val>
            <c:numRef>
              <c:f>'July 25th Sales Report'!$J$19:$J$31</c:f>
              <c:numCache>
                <c:formatCode>_(* #,##0_);_(* \(#,##0\);_(* \-??_);_(@_)</c:formatCode>
                <c:ptCount val="13"/>
                <c:pt idx="0">
                  <c:v>247500.0</c:v>
                </c:pt>
                <c:pt idx="1">
                  <c:v>27550.0</c:v>
                </c:pt>
                <c:pt idx="2">
                  <c:v>1300000.0</c:v>
                </c:pt>
                <c:pt idx="3">
                  <c:v>177210.0</c:v>
                </c:pt>
                <c:pt idx="4">
                  <c:v>92000.0</c:v>
                </c:pt>
                <c:pt idx="5">
                  <c:v>27600.0</c:v>
                </c:pt>
                <c:pt idx="6">
                  <c:v>511475.0</c:v>
                </c:pt>
                <c:pt idx="7">
                  <c:v>35735.0</c:v>
                </c:pt>
                <c:pt idx="8">
                  <c:v>74120.0</c:v>
                </c:pt>
                <c:pt idx="9">
                  <c:v>36600.0</c:v>
                </c:pt>
                <c:pt idx="10">
                  <c:v>23450.0</c:v>
                </c:pt>
                <c:pt idx="11">
                  <c:v>59335.0</c:v>
                </c:pt>
                <c:pt idx="12">
                  <c:v>2612575.0</c:v>
                </c:pt>
              </c:numCache>
            </c:numRef>
          </c:val>
        </c:ser>
        <c:ser>
          <c:idx val="1"/>
          <c:order val="1"/>
          <c:tx>
            <c:strRef>
              <c:f>'July 25th Sales Report'!$K$18</c:f>
              <c:strCache>
                <c:ptCount val="1"/>
                <c:pt idx="0">
                  <c:v>% of Total 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25th Sales Report'!$I$19:$I$31</c:f>
              <c:strCache>
                <c:ptCount val="13"/>
                <c:pt idx="0">
                  <c:v>Mr Godswill</c:v>
                </c:pt>
                <c:pt idx="1">
                  <c:v>Walk in Customer</c:v>
                </c:pt>
                <c:pt idx="2">
                  <c:v>Mr Lekan Ojifini</c:v>
                </c:pt>
                <c:pt idx="3">
                  <c:v>Taiwo SR</c:v>
                </c:pt>
                <c:pt idx="4">
                  <c:v>Solomon</c:v>
                </c:pt>
                <c:pt idx="5">
                  <c:v>Mr Olayinka</c:v>
                </c:pt>
                <c:pt idx="6">
                  <c:v>Ameh Mathew</c:v>
                </c:pt>
                <c:pt idx="7">
                  <c:v>ATW</c:v>
                </c:pt>
                <c:pt idx="8">
                  <c:v>Breakages</c:v>
                </c:pt>
                <c:pt idx="9">
                  <c:v>MRS IK.</c:v>
                </c:pt>
                <c:pt idx="10">
                  <c:v>Remilekun</c:v>
                </c:pt>
                <c:pt idx="11">
                  <c:v>Jeff SR</c:v>
                </c:pt>
                <c:pt idx="12">
                  <c:v>Total</c:v>
                </c:pt>
              </c:strCache>
            </c:strRef>
          </c:cat>
          <c:val>
            <c:numRef>
              <c:f>'July 25th Sales Report'!$K$19:$K$31</c:f>
              <c:numCache>
                <c:formatCode>0%</c:formatCode>
                <c:ptCount val="13"/>
                <c:pt idx="0">
                  <c:v>0.0947341224653838</c:v>
                </c:pt>
                <c:pt idx="1">
                  <c:v>0.0105451518138235</c:v>
                </c:pt>
                <c:pt idx="2">
                  <c:v>0.497593370525248</c:v>
                </c:pt>
                <c:pt idx="3">
                  <c:v>0.0678296316852148</c:v>
                </c:pt>
                <c:pt idx="4">
                  <c:v>0.0352143000679406</c:v>
                </c:pt>
                <c:pt idx="5">
                  <c:v>0.0105642900203822</c:v>
                </c:pt>
                <c:pt idx="6">
                  <c:v>0.195774283991847</c:v>
                </c:pt>
                <c:pt idx="7">
                  <c:v>0.0136780762274767</c:v>
                </c:pt>
                <c:pt idx="8">
                  <c:v>0.0283704774025626</c:v>
                </c:pt>
                <c:pt idx="9">
                  <c:v>0.0140091672009416</c:v>
                </c:pt>
                <c:pt idx="10">
                  <c:v>0.00897581887601313</c:v>
                </c:pt>
                <c:pt idx="11">
                  <c:v>0.0227113097231658</c:v>
                </c:pt>
                <c:pt idx="12">
                  <c:v>1.0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3585416"/>
        <c:axId val="453579536"/>
      </c:barChart>
      <c:lineChart>
        <c:grouping val="standard"/>
        <c:varyColors val="0"/>
        <c:ser>
          <c:idx val="2"/>
          <c:order val="2"/>
          <c:tx>
            <c:strRef>
              <c:f>'July 25th Sales Report'!$L$18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25th Sales Report'!$I$19:$I$31</c:f>
              <c:strCache>
                <c:ptCount val="13"/>
                <c:pt idx="0">
                  <c:v>Mr Godswill</c:v>
                </c:pt>
                <c:pt idx="1">
                  <c:v>Walk in Customer</c:v>
                </c:pt>
                <c:pt idx="2">
                  <c:v>Mr Lekan Ojifini</c:v>
                </c:pt>
                <c:pt idx="3">
                  <c:v>Taiwo SR</c:v>
                </c:pt>
                <c:pt idx="4">
                  <c:v>Solomon</c:v>
                </c:pt>
                <c:pt idx="5">
                  <c:v>Mr Olayinka</c:v>
                </c:pt>
                <c:pt idx="6">
                  <c:v>Ameh Mathew</c:v>
                </c:pt>
                <c:pt idx="7">
                  <c:v>ATW</c:v>
                </c:pt>
                <c:pt idx="8">
                  <c:v>Breakages</c:v>
                </c:pt>
                <c:pt idx="9">
                  <c:v>MRS IK.</c:v>
                </c:pt>
                <c:pt idx="10">
                  <c:v>Remilekun</c:v>
                </c:pt>
                <c:pt idx="11">
                  <c:v>Jeff SR</c:v>
                </c:pt>
                <c:pt idx="12">
                  <c:v>Total</c:v>
                </c:pt>
              </c:strCache>
            </c:strRef>
          </c:cat>
          <c:val>
            <c:numRef>
              <c:f>'July 25th Sales Report'!$L$19:$L$31</c:f>
              <c:numCache>
                <c:formatCode>0%</c:formatCode>
                <c:ptCount val="13"/>
                <c:pt idx="0">
                  <c:v>0.053</c:v>
                </c:pt>
                <c:pt idx="1">
                  <c:v>0.2894</c:v>
                </c:pt>
                <c:pt idx="2">
                  <c:v>-0.04</c:v>
                </c:pt>
                <c:pt idx="3">
                  <c:v>0.0453</c:v>
                </c:pt>
                <c:pt idx="4">
                  <c:v>0.0753</c:v>
                </c:pt>
                <c:pt idx="5">
                  <c:v>0.0591</c:v>
                </c:pt>
                <c:pt idx="6">
                  <c:v>0.0597</c:v>
                </c:pt>
                <c:pt idx="7">
                  <c:v>0.0477</c:v>
                </c:pt>
                <c:pt idx="8">
                  <c:v>0.0465</c:v>
                </c:pt>
                <c:pt idx="9">
                  <c:v>0.0721</c:v>
                </c:pt>
                <c:pt idx="10">
                  <c:v>0.0872</c:v>
                </c:pt>
                <c:pt idx="11">
                  <c:v>0.0445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3581888"/>
        <c:axId val="453581496"/>
      </c:lineChart>
      <c:catAx>
        <c:axId val="4535854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3579536"/>
        <c:crosses val="autoZero"/>
        <c:auto val="1"/>
        <c:lblAlgn val="ctr"/>
        <c:lblOffset val="100"/>
        <c:noMultiLvlLbl val="0"/>
      </c:catAx>
      <c:valAx>
        <c:axId val="45357953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3585416"/>
        <c:crosses val="autoZero"/>
        <c:crossBetween val="between"/>
      </c:valAx>
      <c:catAx>
        <c:axId val="4535818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3581496"/>
        <c:crosses val="autoZero"/>
        <c:auto val="1"/>
        <c:lblAlgn val="ctr"/>
        <c:lblOffset val="100"/>
        <c:noMultiLvlLbl val="0"/>
      </c:catAx>
      <c:valAx>
        <c:axId val="45358149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358188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Invoice_No &amp; Gross Profit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25th Sales Report'!$J$33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25th Sales Report'!$I$34:$I$52</c:f>
              <c:strCache>
                <c:ptCount val="19"/>
                <c:pt idx="0">
                  <c:v>ann-INV372</c:v>
                </c:pt>
                <c:pt idx="1">
                  <c:v>ann-INV373</c:v>
                </c:pt>
                <c:pt idx="2">
                  <c:v>ann-INV374</c:v>
                </c:pt>
                <c:pt idx="3">
                  <c:v>ann-INV375</c:v>
                </c:pt>
                <c:pt idx="4">
                  <c:v>ann-INV376</c:v>
                </c:pt>
                <c:pt idx="5">
                  <c:v>ann-INV377</c:v>
                </c:pt>
                <c:pt idx="6">
                  <c:v>ann-INV378</c:v>
                </c:pt>
                <c:pt idx="7">
                  <c:v>ann-INV379</c:v>
                </c:pt>
                <c:pt idx="8">
                  <c:v>ann-INV380</c:v>
                </c:pt>
                <c:pt idx="9">
                  <c:v>ann-INV381</c:v>
                </c:pt>
                <c:pt idx="10">
                  <c:v>Tayo-INV142</c:v>
                </c:pt>
                <c:pt idx="11">
                  <c:v>ann-INV382</c:v>
                </c:pt>
                <c:pt idx="12">
                  <c:v>ann-INV383</c:v>
                </c:pt>
                <c:pt idx="13">
                  <c:v>ann-INV384</c:v>
                </c:pt>
                <c:pt idx="14">
                  <c:v>ann-INV385</c:v>
                </c:pt>
                <c:pt idx="15">
                  <c:v>ann-INV387</c:v>
                </c:pt>
                <c:pt idx="16">
                  <c:v>ann-INV388</c:v>
                </c:pt>
                <c:pt idx="17">
                  <c:v>ann-INV386</c:v>
                </c:pt>
                <c:pt idx="18">
                  <c:v>Total</c:v>
                </c:pt>
              </c:strCache>
            </c:strRef>
          </c:cat>
          <c:val>
            <c:numRef>
              <c:f>'July 25th Sales Report'!$J$34:$J$52</c:f>
              <c:numCache>
                <c:formatCode>_(* #,##0_);_(* \(#,##0\);_(* \-??_);_(@_)</c:formatCode>
                <c:ptCount val="19"/>
                <c:pt idx="0">
                  <c:v>49775.0</c:v>
                </c:pt>
                <c:pt idx="1">
                  <c:v>5300.0</c:v>
                </c:pt>
                <c:pt idx="2">
                  <c:v>1300000.0</c:v>
                </c:pt>
                <c:pt idx="3">
                  <c:v>135000.0</c:v>
                </c:pt>
                <c:pt idx="4">
                  <c:v>177210.0</c:v>
                </c:pt>
                <c:pt idx="5">
                  <c:v>110000.0</c:v>
                </c:pt>
                <c:pt idx="6">
                  <c:v>27600.0</c:v>
                </c:pt>
                <c:pt idx="7">
                  <c:v>611475.0</c:v>
                </c:pt>
                <c:pt idx="8">
                  <c:v>9335.0</c:v>
                </c:pt>
                <c:pt idx="9">
                  <c:v>31800.0</c:v>
                </c:pt>
                <c:pt idx="10">
                  <c:v>74120.0</c:v>
                </c:pt>
                <c:pt idx="11">
                  <c:v>5300.0</c:v>
                </c:pt>
                <c:pt idx="12">
                  <c:v>80725.0</c:v>
                </c:pt>
                <c:pt idx="13">
                  <c:v>36600.0</c:v>
                </c:pt>
                <c:pt idx="14">
                  <c:v>9500.0</c:v>
                </c:pt>
                <c:pt idx="15">
                  <c:v>13950.0</c:v>
                </c:pt>
                <c:pt idx="16">
                  <c:v>21950.0</c:v>
                </c:pt>
                <c:pt idx="17">
                  <c:v>59335.0</c:v>
                </c:pt>
                <c:pt idx="18">
                  <c:v>2758975.0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3573264"/>
        <c:axId val="453575616"/>
      </c:barChart>
      <c:lineChart>
        <c:grouping val="standard"/>
        <c:varyColors val="0"/>
        <c:ser>
          <c:idx val="1"/>
          <c:order val="1"/>
          <c:tx>
            <c:strRef>
              <c:f>'July 25th Sales Report'!$K$33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25th Sales Report'!$I$34:$I$52</c:f>
              <c:strCache>
                <c:ptCount val="19"/>
                <c:pt idx="0">
                  <c:v>ann-INV372</c:v>
                </c:pt>
                <c:pt idx="1">
                  <c:v>ann-INV373</c:v>
                </c:pt>
                <c:pt idx="2">
                  <c:v>ann-INV374</c:v>
                </c:pt>
                <c:pt idx="3">
                  <c:v>ann-INV375</c:v>
                </c:pt>
                <c:pt idx="4">
                  <c:v>ann-INV376</c:v>
                </c:pt>
                <c:pt idx="5">
                  <c:v>ann-INV377</c:v>
                </c:pt>
                <c:pt idx="6">
                  <c:v>ann-INV378</c:v>
                </c:pt>
                <c:pt idx="7">
                  <c:v>ann-INV379</c:v>
                </c:pt>
                <c:pt idx="8">
                  <c:v>ann-INV380</c:v>
                </c:pt>
                <c:pt idx="9">
                  <c:v>ann-INV381</c:v>
                </c:pt>
                <c:pt idx="10">
                  <c:v>Tayo-INV142</c:v>
                </c:pt>
                <c:pt idx="11">
                  <c:v>ann-INV382</c:v>
                </c:pt>
                <c:pt idx="12">
                  <c:v>ann-INV383</c:v>
                </c:pt>
                <c:pt idx="13">
                  <c:v>ann-INV384</c:v>
                </c:pt>
                <c:pt idx="14">
                  <c:v>ann-INV385</c:v>
                </c:pt>
                <c:pt idx="15">
                  <c:v>ann-INV387</c:v>
                </c:pt>
                <c:pt idx="16">
                  <c:v>ann-INV388</c:v>
                </c:pt>
                <c:pt idx="17">
                  <c:v>ann-INV386</c:v>
                </c:pt>
                <c:pt idx="18">
                  <c:v>Total</c:v>
                </c:pt>
              </c:strCache>
            </c:strRef>
          </c:cat>
          <c:val>
            <c:numRef>
              <c:f>'July 25th Sales Report'!$K$34:$K$52</c:f>
              <c:numCache>
                <c:formatCode>0%</c:formatCode>
                <c:ptCount val="19"/>
                <c:pt idx="0">
                  <c:v>0.05</c:v>
                </c:pt>
                <c:pt idx="1">
                  <c:v>0.02</c:v>
                </c:pt>
                <c:pt idx="2">
                  <c:v>-0.04</c:v>
                </c:pt>
                <c:pt idx="3">
                  <c:v>0.05</c:v>
                </c:pt>
                <c:pt idx="4">
                  <c:v>0.05</c:v>
                </c:pt>
                <c:pt idx="5">
                  <c:v>0.08</c:v>
                </c:pt>
                <c:pt idx="6">
                  <c:v>0.06</c:v>
                </c:pt>
                <c:pt idx="7">
                  <c:v>0.06</c:v>
                </c:pt>
                <c:pt idx="8">
                  <c:v>0.07</c:v>
                </c:pt>
                <c:pt idx="9">
                  <c:v>0.04</c:v>
                </c:pt>
                <c:pt idx="10">
                  <c:v>0.05</c:v>
                </c:pt>
                <c:pt idx="11">
                  <c:v>0.02</c:v>
                </c:pt>
                <c:pt idx="12">
                  <c:v>0.06</c:v>
                </c:pt>
                <c:pt idx="13">
                  <c:v>0.07</c:v>
                </c:pt>
                <c:pt idx="14">
                  <c:v>0.09</c:v>
                </c:pt>
                <c:pt idx="15">
                  <c:v>0.09</c:v>
                </c:pt>
                <c:pt idx="16">
                  <c:v>0.42</c:v>
                </c:pt>
                <c:pt idx="17">
                  <c:v>0.04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3582672"/>
        <c:axId val="453583064"/>
      </c:lineChart>
      <c:catAx>
        <c:axId val="4535732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3575616"/>
        <c:crosses val="autoZero"/>
        <c:auto val="1"/>
        <c:lblAlgn val="ctr"/>
        <c:lblOffset val="100"/>
        <c:noMultiLvlLbl val="0"/>
      </c:catAx>
      <c:valAx>
        <c:axId val="45357561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3573264"/>
        <c:crosses val="autoZero"/>
        <c:crossBetween val="between"/>
      </c:valAx>
      <c:catAx>
        <c:axId val="4535826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3583064"/>
        <c:crosses val="autoZero"/>
        <c:auto val="1"/>
        <c:lblAlgn val="ctr"/>
        <c:lblOffset val="100"/>
        <c:noMultiLvlLbl val="0"/>
      </c:catAx>
      <c:valAx>
        <c:axId val="453583064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358267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Product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27th Sales Report'!$J$1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27th Sales Report'!$I$2:$I$14</c:f>
              <c:strCache>
                <c:ptCount val="13"/>
                <c:pt idx="0">
                  <c:v>Maltina Pet 33cl</c:v>
                </c:pt>
                <c:pt idx="1">
                  <c:v>Goldberg Can 50cl</c:v>
                </c:pt>
                <c:pt idx="2">
                  <c:v>Legend Bottle 60cl</c:v>
                </c:pt>
                <c:pt idx="3">
                  <c:v>Desperados Bottle</c:v>
                </c:pt>
                <c:pt idx="4">
                  <c:v>Trophy</c:v>
                </c:pt>
                <c:pt idx="5">
                  <c:v>Medium Stout</c:v>
                </c:pt>
                <c:pt idx="6">
                  <c:v>Heineken Bottle 60cl</c:v>
                </c:pt>
                <c:pt idx="7">
                  <c:v>Goldberg 60cl</c:v>
                </c:pt>
                <c:pt idx="8">
                  <c:v>Turbo King Bottle 60cl</c:v>
                </c:pt>
                <c:pt idx="9">
                  <c:v>Maltina Pet 50cl</c:v>
                </c:pt>
                <c:pt idx="10">
                  <c:v>Maltina Bottle</c:v>
                </c:pt>
                <c:pt idx="11">
                  <c:v>33 Export 60cl</c:v>
                </c:pt>
                <c:pt idx="12">
                  <c:v>Grand Total</c:v>
                </c:pt>
              </c:strCache>
            </c:strRef>
          </c:cat>
          <c:val>
            <c:numRef>
              <c:f>'July 27th Sales Report'!$J$2:$J$14</c:f>
              <c:numCache>
                <c:formatCode>General</c:formatCode>
                <c:ptCount val="13"/>
                <c:pt idx="0">
                  <c:v>374.0</c:v>
                </c:pt>
                <c:pt idx="1">
                  <c:v>1.0</c:v>
                </c:pt>
                <c:pt idx="2">
                  <c:v>10.0</c:v>
                </c:pt>
                <c:pt idx="3">
                  <c:v>15.0</c:v>
                </c:pt>
                <c:pt idx="4">
                  <c:v>6.0</c:v>
                </c:pt>
                <c:pt idx="5">
                  <c:v>22.0</c:v>
                </c:pt>
                <c:pt idx="6">
                  <c:v>97.0</c:v>
                </c:pt>
                <c:pt idx="7">
                  <c:v>321.0</c:v>
                </c:pt>
                <c:pt idx="8">
                  <c:v>102.0</c:v>
                </c:pt>
                <c:pt idx="9">
                  <c:v>18.0</c:v>
                </c:pt>
                <c:pt idx="10">
                  <c:v>3.0</c:v>
                </c:pt>
                <c:pt idx="11">
                  <c:v>2.0</c:v>
                </c:pt>
                <c:pt idx="12">
                  <c:v>971.0</c:v>
                </c:pt>
              </c:numCache>
            </c:numRef>
          </c:val>
        </c:ser>
        <c:ser>
          <c:idx val="1"/>
          <c:order val="1"/>
          <c:tx>
            <c:strRef>
              <c:f>'July 27th Sales Report'!$K$1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27th Sales Report'!$I$2:$I$14</c:f>
              <c:strCache>
                <c:ptCount val="13"/>
                <c:pt idx="0">
                  <c:v>Maltina Pet 33cl</c:v>
                </c:pt>
                <c:pt idx="1">
                  <c:v>Goldberg Can 50cl</c:v>
                </c:pt>
                <c:pt idx="2">
                  <c:v>Legend Bottle 60cl</c:v>
                </c:pt>
                <c:pt idx="3">
                  <c:v>Desperados Bottle</c:v>
                </c:pt>
                <c:pt idx="4">
                  <c:v>Trophy</c:v>
                </c:pt>
                <c:pt idx="5">
                  <c:v>Medium Stout</c:v>
                </c:pt>
                <c:pt idx="6">
                  <c:v>Heineken Bottle 60cl</c:v>
                </c:pt>
                <c:pt idx="7">
                  <c:v>Goldberg 60cl</c:v>
                </c:pt>
                <c:pt idx="8">
                  <c:v>Turbo King Bottle 60cl</c:v>
                </c:pt>
                <c:pt idx="9">
                  <c:v>Maltina Pet 50cl</c:v>
                </c:pt>
                <c:pt idx="10">
                  <c:v>Maltina Bottle</c:v>
                </c:pt>
                <c:pt idx="11">
                  <c:v>33 Export 60cl</c:v>
                </c:pt>
                <c:pt idx="12">
                  <c:v>Grand Total</c:v>
                </c:pt>
              </c:strCache>
            </c:strRef>
          </c:cat>
          <c:val>
            <c:numRef>
              <c:f>'July 27th Sales Report'!$K$2:$K$14</c:f>
              <c:numCache>
                <c:formatCode>_(* #,##0_);_(* \(#,##0\);_(* \-??_);_(@_)</c:formatCode>
                <c:ptCount val="13"/>
                <c:pt idx="0">
                  <c:v>1871200.0</c:v>
                </c:pt>
                <c:pt idx="1">
                  <c:v>16145.0</c:v>
                </c:pt>
                <c:pt idx="2">
                  <c:v>114800.0</c:v>
                </c:pt>
                <c:pt idx="3">
                  <c:v>326825.0</c:v>
                </c:pt>
                <c:pt idx="4">
                  <c:v>54000.0</c:v>
                </c:pt>
                <c:pt idx="5">
                  <c:v>390600.0</c:v>
                </c:pt>
                <c:pt idx="6">
                  <c:v>1264245.0</c:v>
                </c:pt>
                <c:pt idx="7">
                  <c:v>2757240.0</c:v>
                </c:pt>
                <c:pt idx="8">
                  <c:v>906700.0</c:v>
                </c:pt>
                <c:pt idx="9">
                  <c:v>144360.0</c:v>
                </c:pt>
                <c:pt idx="10">
                  <c:v>43365.0</c:v>
                </c:pt>
                <c:pt idx="11">
                  <c:v>18700.0</c:v>
                </c:pt>
                <c:pt idx="12">
                  <c:v>7908180.0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3581104"/>
        <c:axId val="453582280"/>
      </c:barChart>
      <c:lineChart>
        <c:grouping val="standard"/>
        <c:varyColors val="0"/>
        <c:ser>
          <c:idx val="2"/>
          <c:order val="2"/>
          <c:tx>
            <c:strRef>
              <c:f>'July 27th Sales Report'!$L$1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27th Sales Report'!$I$2:$I$14</c:f>
              <c:strCache>
                <c:ptCount val="13"/>
                <c:pt idx="0">
                  <c:v>Maltina Pet 33cl</c:v>
                </c:pt>
                <c:pt idx="1">
                  <c:v>Goldberg Can 50cl</c:v>
                </c:pt>
                <c:pt idx="2">
                  <c:v>Legend Bottle 60cl</c:v>
                </c:pt>
                <c:pt idx="3">
                  <c:v>Desperados Bottle</c:v>
                </c:pt>
                <c:pt idx="4">
                  <c:v>Trophy</c:v>
                </c:pt>
                <c:pt idx="5">
                  <c:v>Medium Stout</c:v>
                </c:pt>
                <c:pt idx="6">
                  <c:v>Heineken Bottle 60cl</c:v>
                </c:pt>
                <c:pt idx="7">
                  <c:v>Goldberg 60cl</c:v>
                </c:pt>
                <c:pt idx="8">
                  <c:v>Turbo King Bottle 60cl</c:v>
                </c:pt>
                <c:pt idx="9">
                  <c:v>Maltina Pet 50cl</c:v>
                </c:pt>
                <c:pt idx="10">
                  <c:v>Maltina Bottle</c:v>
                </c:pt>
                <c:pt idx="11">
                  <c:v>33 Export 60cl</c:v>
                </c:pt>
                <c:pt idx="12">
                  <c:v>Grand Total</c:v>
                </c:pt>
              </c:strCache>
            </c:strRef>
          </c:cat>
          <c:val>
            <c:numRef>
              <c:f>'July 27th Sales Report'!$L$2:$L$14</c:f>
              <c:numCache>
                <c:formatCode>0%</c:formatCode>
                <c:ptCount val="13"/>
                <c:pt idx="0">
                  <c:v>0.236615757355042</c:v>
                </c:pt>
                <c:pt idx="1">
                  <c:v>0.0020415569701246</c:v>
                </c:pt>
                <c:pt idx="2">
                  <c:v>0.0145166144422611</c:v>
                </c:pt>
                <c:pt idx="3">
                  <c:v>0.0413274609328569</c:v>
                </c:pt>
                <c:pt idx="4">
                  <c:v>0.00682837264705659</c:v>
                </c:pt>
                <c:pt idx="5">
                  <c:v>0.049391895480376</c:v>
                </c:pt>
                <c:pt idx="6">
                  <c:v>0.159865481058853</c:v>
                </c:pt>
                <c:pt idx="7">
                  <c:v>0.34865670735871</c:v>
                </c:pt>
                <c:pt idx="8">
                  <c:v>0.114653434797893</c:v>
                </c:pt>
                <c:pt idx="9">
                  <c:v>0.018254516209798</c:v>
                </c:pt>
                <c:pt idx="10">
                  <c:v>0.00548356258962239</c:v>
                </c:pt>
                <c:pt idx="11">
                  <c:v>0.00236464015740663</c:v>
                </c:pt>
                <c:pt idx="12">
                  <c:v>1.0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3574440"/>
        <c:axId val="453574832"/>
      </c:lineChart>
      <c:catAx>
        <c:axId val="4535811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3582280"/>
        <c:crosses val="autoZero"/>
        <c:auto val="1"/>
        <c:lblAlgn val="ctr"/>
        <c:lblOffset val="100"/>
        <c:noMultiLvlLbl val="0"/>
      </c:catAx>
      <c:valAx>
        <c:axId val="45358228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3581104"/>
        <c:crosses val="autoZero"/>
        <c:crossBetween val="between"/>
      </c:valAx>
      <c:catAx>
        <c:axId val="4535744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3574832"/>
        <c:crosses val="autoZero"/>
        <c:auto val="1"/>
        <c:lblAlgn val="ctr"/>
        <c:lblOffset val="100"/>
        <c:noMultiLvlLbl val="0"/>
      </c:catAx>
      <c:valAx>
        <c:axId val="45357483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357444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Customer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27th Sales Report'!$J$16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27th Sales Report'!$I$17:$I$30</c:f>
              <c:strCache>
                <c:ptCount val="14"/>
                <c:pt idx="0">
                  <c:v>Walk in Customer</c:v>
                </c:pt>
                <c:pt idx="1">
                  <c:v>Mr Godswill</c:v>
                </c:pt>
                <c:pt idx="2">
                  <c:v>Ameh Mathew</c:v>
                </c:pt>
                <c:pt idx="3">
                  <c:v>Mr Olayinka</c:v>
                </c:pt>
                <c:pt idx="4">
                  <c:v>Delayers</c:v>
                </c:pt>
                <c:pt idx="5">
                  <c:v>Eniola Marketer</c:v>
                </c:pt>
                <c:pt idx="6">
                  <c:v>Mama Oyin Mowe</c:v>
                </c:pt>
                <c:pt idx="7">
                  <c:v>Mr Lekan Ojifini</c:v>
                </c:pt>
                <c:pt idx="8">
                  <c:v>Emmycee</c:v>
                </c:pt>
                <c:pt idx="9">
                  <c:v>Amandla</c:v>
                </c:pt>
                <c:pt idx="10">
                  <c:v>XXIII LOUNGE</c:v>
                </c:pt>
                <c:pt idx="11">
                  <c:v>ATW</c:v>
                </c:pt>
                <c:pt idx="12">
                  <c:v>MAADE HOTEL</c:v>
                </c:pt>
                <c:pt idx="13">
                  <c:v>Total</c:v>
                </c:pt>
              </c:strCache>
            </c:strRef>
          </c:cat>
          <c:val>
            <c:numRef>
              <c:f>'July 27th Sales Report'!$J$17:$J$30</c:f>
              <c:numCache>
                <c:formatCode>_(* #,##0_);_(* \(#,##0\);_(* \-??_);_(@_)</c:formatCode>
                <c:ptCount val="14"/>
                <c:pt idx="0">
                  <c:v>43900.0</c:v>
                </c:pt>
                <c:pt idx="1">
                  <c:v>16145.0</c:v>
                </c:pt>
                <c:pt idx="2">
                  <c:v>328800.0</c:v>
                </c:pt>
                <c:pt idx="3">
                  <c:v>45300.0</c:v>
                </c:pt>
                <c:pt idx="4">
                  <c:v>646500.0</c:v>
                </c:pt>
                <c:pt idx="5">
                  <c:v>1114160.0</c:v>
                </c:pt>
                <c:pt idx="6">
                  <c:v>3326900.0</c:v>
                </c:pt>
                <c:pt idx="7">
                  <c:v>1240200.0</c:v>
                </c:pt>
                <c:pt idx="8">
                  <c:v>595000.0</c:v>
                </c:pt>
                <c:pt idx="9">
                  <c:v>66675.0</c:v>
                </c:pt>
                <c:pt idx="10">
                  <c:v>342190.0</c:v>
                </c:pt>
                <c:pt idx="11">
                  <c:v>37340.0</c:v>
                </c:pt>
                <c:pt idx="12">
                  <c:v>105070.0</c:v>
                </c:pt>
                <c:pt idx="13">
                  <c:v>7908180.0</c:v>
                </c:pt>
              </c:numCache>
            </c:numRef>
          </c:val>
        </c:ser>
        <c:ser>
          <c:idx val="1"/>
          <c:order val="1"/>
          <c:tx>
            <c:strRef>
              <c:f>'July 27th Sales Report'!$K$16</c:f>
              <c:strCache>
                <c:ptCount val="1"/>
                <c:pt idx="0">
                  <c:v>% of Total 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27th Sales Report'!$I$17:$I$30</c:f>
              <c:strCache>
                <c:ptCount val="14"/>
                <c:pt idx="0">
                  <c:v>Walk in Customer</c:v>
                </c:pt>
                <c:pt idx="1">
                  <c:v>Mr Godswill</c:v>
                </c:pt>
                <c:pt idx="2">
                  <c:v>Ameh Mathew</c:v>
                </c:pt>
                <c:pt idx="3">
                  <c:v>Mr Olayinka</c:v>
                </c:pt>
                <c:pt idx="4">
                  <c:v>Delayers</c:v>
                </c:pt>
                <c:pt idx="5">
                  <c:v>Eniola Marketer</c:v>
                </c:pt>
                <c:pt idx="6">
                  <c:v>Mama Oyin Mowe</c:v>
                </c:pt>
                <c:pt idx="7">
                  <c:v>Mr Lekan Ojifini</c:v>
                </c:pt>
                <c:pt idx="8">
                  <c:v>Emmycee</c:v>
                </c:pt>
                <c:pt idx="9">
                  <c:v>Amandla</c:v>
                </c:pt>
                <c:pt idx="10">
                  <c:v>XXIII LOUNGE</c:v>
                </c:pt>
                <c:pt idx="11">
                  <c:v>ATW</c:v>
                </c:pt>
                <c:pt idx="12">
                  <c:v>MAADE HOTEL</c:v>
                </c:pt>
                <c:pt idx="13">
                  <c:v>Total</c:v>
                </c:pt>
              </c:strCache>
            </c:strRef>
          </c:cat>
          <c:val>
            <c:numRef>
              <c:f>'July 27th Sales Report'!$K$17:$K$30</c:f>
              <c:numCache>
                <c:formatCode>0%</c:formatCode>
                <c:ptCount val="14"/>
                <c:pt idx="0">
                  <c:v>0.00555121405936638</c:v>
                </c:pt>
                <c:pt idx="1">
                  <c:v>0.0020415569701246</c:v>
                </c:pt>
                <c:pt idx="2">
                  <c:v>0.0415772023398557</c:v>
                </c:pt>
                <c:pt idx="3">
                  <c:v>0.00572824594280858</c:v>
                </c:pt>
                <c:pt idx="4">
                  <c:v>0.0817507947467053</c:v>
                </c:pt>
                <c:pt idx="5">
                  <c:v>0.140887030897122</c:v>
                </c:pt>
                <c:pt idx="6">
                  <c:v>0.420690980731344</c:v>
                </c:pt>
                <c:pt idx="7">
                  <c:v>0.156824958460733</c:v>
                </c:pt>
                <c:pt idx="8">
                  <c:v>0.0752385504629384</c:v>
                </c:pt>
                <c:pt idx="9">
                  <c:v>0.00843114344893515</c:v>
                </c:pt>
                <c:pt idx="10">
                  <c:v>0.0432703858536351</c:v>
                </c:pt>
                <c:pt idx="11">
                  <c:v>0.00472169323409432</c:v>
                </c:pt>
                <c:pt idx="12">
                  <c:v>0.0132862428523377</c:v>
                </c:pt>
                <c:pt idx="13">
                  <c:v>1.0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3585808"/>
        <c:axId val="453586200"/>
      </c:barChart>
      <c:lineChart>
        <c:grouping val="standard"/>
        <c:varyColors val="0"/>
        <c:ser>
          <c:idx val="2"/>
          <c:order val="2"/>
          <c:tx>
            <c:strRef>
              <c:f>'July 27th Sales Report'!$L$16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27th Sales Report'!$I$17:$I$30</c:f>
              <c:strCache>
                <c:ptCount val="14"/>
                <c:pt idx="0">
                  <c:v>Walk in Customer</c:v>
                </c:pt>
                <c:pt idx="1">
                  <c:v>Mr Godswill</c:v>
                </c:pt>
                <c:pt idx="2">
                  <c:v>Ameh Mathew</c:v>
                </c:pt>
                <c:pt idx="3">
                  <c:v>Mr Olayinka</c:v>
                </c:pt>
                <c:pt idx="4">
                  <c:v>Delayers</c:v>
                </c:pt>
                <c:pt idx="5">
                  <c:v>Eniola Marketer</c:v>
                </c:pt>
                <c:pt idx="6">
                  <c:v>Mama Oyin Mowe</c:v>
                </c:pt>
                <c:pt idx="7">
                  <c:v>Mr Lekan Ojifini</c:v>
                </c:pt>
                <c:pt idx="8">
                  <c:v>Emmycee</c:v>
                </c:pt>
                <c:pt idx="9">
                  <c:v>Amandla</c:v>
                </c:pt>
                <c:pt idx="10">
                  <c:v>XXIII LOUNGE</c:v>
                </c:pt>
                <c:pt idx="11">
                  <c:v>ATW</c:v>
                </c:pt>
                <c:pt idx="12">
                  <c:v>MAADE HOTEL</c:v>
                </c:pt>
                <c:pt idx="13">
                  <c:v>Total</c:v>
                </c:pt>
              </c:strCache>
            </c:strRef>
          </c:cat>
          <c:val>
            <c:numRef>
              <c:f>'July 27th Sales Report'!$L$17:$L$30</c:f>
              <c:numCache>
                <c:formatCode>0%</c:formatCode>
                <c:ptCount val="14"/>
                <c:pt idx="0">
                  <c:v>0.0608</c:v>
                </c:pt>
                <c:pt idx="1">
                  <c:v>0.0556</c:v>
                </c:pt>
                <c:pt idx="2">
                  <c:v>0.1014</c:v>
                </c:pt>
                <c:pt idx="3">
                  <c:v>0.0838</c:v>
                </c:pt>
                <c:pt idx="4">
                  <c:v>0.1405</c:v>
                </c:pt>
                <c:pt idx="5">
                  <c:v>-0.0353</c:v>
                </c:pt>
                <c:pt idx="6">
                  <c:v>0.0829</c:v>
                </c:pt>
                <c:pt idx="7">
                  <c:v>0.0033</c:v>
                </c:pt>
                <c:pt idx="8">
                  <c:v>0.012</c:v>
                </c:pt>
                <c:pt idx="9">
                  <c:v>0.1632</c:v>
                </c:pt>
                <c:pt idx="10">
                  <c:v>0.1589</c:v>
                </c:pt>
                <c:pt idx="11">
                  <c:v>0.0861</c:v>
                </c:pt>
                <c:pt idx="12">
                  <c:v>0.0587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3588160"/>
        <c:axId val="453586984"/>
      </c:lineChart>
      <c:catAx>
        <c:axId val="4535858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3586200"/>
        <c:crosses val="autoZero"/>
        <c:auto val="1"/>
        <c:lblAlgn val="ctr"/>
        <c:lblOffset val="100"/>
        <c:noMultiLvlLbl val="0"/>
      </c:catAx>
      <c:valAx>
        <c:axId val="45358620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3585808"/>
        <c:crosses val="autoZero"/>
        <c:crossBetween val="between"/>
      </c:valAx>
      <c:catAx>
        <c:axId val="4535881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3586984"/>
        <c:crosses val="autoZero"/>
        <c:auto val="1"/>
        <c:lblAlgn val="ctr"/>
        <c:lblOffset val="100"/>
        <c:noMultiLvlLbl val="0"/>
      </c:catAx>
      <c:valAx>
        <c:axId val="453586984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358816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Invoice_No &amp; Gross Profit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27th Sales Report'!$J$32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27th Sales Report'!$I$33:$I$51</c:f>
              <c:strCache>
                <c:ptCount val="19"/>
                <c:pt idx="0">
                  <c:v>ann-INV389</c:v>
                </c:pt>
                <c:pt idx="1">
                  <c:v>ann-INV390</c:v>
                </c:pt>
                <c:pt idx="2">
                  <c:v>ann-INV391</c:v>
                </c:pt>
                <c:pt idx="3">
                  <c:v>ann-INV392</c:v>
                </c:pt>
                <c:pt idx="4">
                  <c:v>ann-INV394</c:v>
                </c:pt>
                <c:pt idx="5">
                  <c:v>ann-INV395</c:v>
                </c:pt>
                <c:pt idx="6">
                  <c:v>ann-INV397</c:v>
                </c:pt>
                <c:pt idx="7">
                  <c:v>ann-INV396</c:v>
                </c:pt>
                <c:pt idx="8">
                  <c:v>ann-INV398</c:v>
                </c:pt>
                <c:pt idx="9">
                  <c:v>ann-INV399</c:v>
                </c:pt>
                <c:pt idx="10">
                  <c:v>ann-INV400</c:v>
                </c:pt>
                <c:pt idx="11">
                  <c:v>ann-INV401</c:v>
                </c:pt>
                <c:pt idx="12">
                  <c:v>ann-INV402</c:v>
                </c:pt>
                <c:pt idx="13">
                  <c:v>ann-INV403</c:v>
                </c:pt>
                <c:pt idx="14">
                  <c:v>ann-INV404</c:v>
                </c:pt>
                <c:pt idx="15">
                  <c:v>ann-INV405</c:v>
                </c:pt>
                <c:pt idx="16">
                  <c:v>ann-INV406</c:v>
                </c:pt>
                <c:pt idx="17">
                  <c:v>ann-INV407</c:v>
                </c:pt>
                <c:pt idx="18">
                  <c:v>Total</c:v>
                </c:pt>
              </c:strCache>
            </c:strRef>
          </c:cat>
          <c:val>
            <c:numRef>
              <c:f>'July 27th Sales Report'!$J$33:$J$51</c:f>
              <c:numCache>
                <c:formatCode>_(* #,##0_);_(* \(#,##0\);_(* \-??_);_(@_)</c:formatCode>
                <c:ptCount val="19"/>
                <c:pt idx="0">
                  <c:v>10600.0</c:v>
                </c:pt>
                <c:pt idx="1">
                  <c:v>16145.0</c:v>
                </c:pt>
                <c:pt idx="2">
                  <c:v>366800.0</c:v>
                </c:pt>
                <c:pt idx="3">
                  <c:v>45300.0</c:v>
                </c:pt>
                <c:pt idx="4">
                  <c:v>746500.0</c:v>
                </c:pt>
                <c:pt idx="5">
                  <c:v>1050000.0</c:v>
                </c:pt>
                <c:pt idx="6">
                  <c:v>4026900.0</c:v>
                </c:pt>
                <c:pt idx="7">
                  <c:v>440000.0</c:v>
                </c:pt>
                <c:pt idx="8">
                  <c:v>721000.0</c:v>
                </c:pt>
                <c:pt idx="9">
                  <c:v>64160.0</c:v>
                </c:pt>
                <c:pt idx="10">
                  <c:v>76675.0</c:v>
                </c:pt>
                <c:pt idx="11">
                  <c:v>5300.0</c:v>
                </c:pt>
                <c:pt idx="12">
                  <c:v>386590.0</c:v>
                </c:pt>
                <c:pt idx="13">
                  <c:v>500000.0</c:v>
                </c:pt>
                <c:pt idx="14">
                  <c:v>44540.0</c:v>
                </c:pt>
                <c:pt idx="15">
                  <c:v>105070.0</c:v>
                </c:pt>
                <c:pt idx="16">
                  <c:v>380200.0</c:v>
                </c:pt>
                <c:pt idx="17">
                  <c:v>28000.0</c:v>
                </c:pt>
                <c:pt idx="18">
                  <c:v>9013780.0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3588552"/>
        <c:axId val="453587376"/>
      </c:barChart>
      <c:lineChart>
        <c:grouping val="standard"/>
        <c:varyColors val="0"/>
        <c:ser>
          <c:idx val="1"/>
          <c:order val="1"/>
          <c:tx>
            <c:strRef>
              <c:f>'July 27th Sales Report'!$K$32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27th Sales Report'!$I$33:$I$51</c:f>
              <c:strCache>
                <c:ptCount val="19"/>
                <c:pt idx="0">
                  <c:v>ann-INV389</c:v>
                </c:pt>
                <c:pt idx="1">
                  <c:v>ann-INV390</c:v>
                </c:pt>
                <c:pt idx="2">
                  <c:v>ann-INV391</c:v>
                </c:pt>
                <c:pt idx="3">
                  <c:v>ann-INV392</c:v>
                </c:pt>
                <c:pt idx="4">
                  <c:v>ann-INV394</c:v>
                </c:pt>
                <c:pt idx="5">
                  <c:v>ann-INV395</c:v>
                </c:pt>
                <c:pt idx="6">
                  <c:v>ann-INV397</c:v>
                </c:pt>
                <c:pt idx="7">
                  <c:v>ann-INV396</c:v>
                </c:pt>
                <c:pt idx="8">
                  <c:v>ann-INV398</c:v>
                </c:pt>
                <c:pt idx="9">
                  <c:v>ann-INV399</c:v>
                </c:pt>
                <c:pt idx="10">
                  <c:v>ann-INV400</c:v>
                </c:pt>
                <c:pt idx="11">
                  <c:v>ann-INV401</c:v>
                </c:pt>
                <c:pt idx="12">
                  <c:v>ann-INV402</c:v>
                </c:pt>
                <c:pt idx="13">
                  <c:v>ann-INV403</c:v>
                </c:pt>
                <c:pt idx="14">
                  <c:v>ann-INV404</c:v>
                </c:pt>
                <c:pt idx="15">
                  <c:v>ann-INV405</c:v>
                </c:pt>
                <c:pt idx="16">
                  <c:v>ann-INV406</c:v>
                </c:pt>
                <c:pt idx="17">
                  <c:v>ann-INV407</c:v>
                </c:pt>
                <c:pt idx="18">
                  <c:v>Total</c:v>
                </c:pt>
              </c:strCache>
            </c:strRef>
          </c:cat>
          <c:val>
            <c:numRef>
              <c:f>'July 27th Sales Report'!$K$33:$K$51</c:f>
              <c:numCache>
                <c:formatCode>0%</c:formatCode>
                <c:ptCount val="19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0.08</c:v>
                </c:pt>
                <c:pt idx="4">
                  <c:v>0.14</c:v>
                </c:pt>
                <c:pt idx="5">
                  <c:v>-0.04</c:v>
                </c:pt>
                <c:pt idx="6">
                  <c:v>0.08</c:v>
                </c:pt>
                <c:pt idx="7">
                  <c:v>0.07</c:v>
                </c:pt>
                <c:pt idx="8">
                  <c:v>0.01</c:v>
                </c:pt>
                <c:pt idx="9">
                  <c:v>0.04</c:v>
                </c:pt>
                <c:pt idx="10">
                  <c:v>0.16</c:v>
                </c:pt>
                <c:pt idx="11">
                  <c:v>0.02</c:v>
                </c:pt>
                <c:pt idx="12">
                  <c:v>0.16</c:v>
                </c:pt>
                <c:pt idx="13">
                  <c:v>-0.04</c:v>
                </c:pt>
                <c:pt idx="14">
                  <c:v>0.09</c:v>
                </c:pt>
                <c:pt idx="15">
                  <c:v>0.06</c:v>
                </c:pt>
                <c:pt idx="16">
                  <c:v>-0.02</c:v>
                </c:pt>
                <c:pt idx="17">
                  <c:v>0.08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3586592"/>
        <c:axId val="453588944"/>
      </c:lineChart>
      <c:catAx>
        <c:axId val="4535885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3587376"/>
        <c:crosses val="autoZero"/>
        <c:auto val="1"/>
        <c:lblAlgn val="ctr"/>
        <c:lblOffset val="100"/>
        <c:noMultiLvlLbl val="0"/>
      </c:catAx>
      <c:valAx>
        <c:axId val="45358737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3588552"/>
        <c:crosses val="autoZero"/>
        <c:crossBetween val="between"/>
      </c:valAx>
      <c:catAx>
        <c:axId val="4535865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3588944"/>
        <c:crosses val="autoZero"/>
        <c:auto val="1"/>
        <c:lblAlgn val="ctr"/>
        <c:lblOffset val="100"/>
        <c:noMultiLvlLbl val="0"/>
      </c:catAx>
      <c:valAx>
        <c:axId val="453588944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358659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Invoice_No &amp; Gross Profit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28th Sales Report'!$J$30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28th Sales Report'!$I$31:$I$40</c:f>
              <c:strCache>
                <c:ptCount val="10"/>
                <c:pt idx="0">
                  <c:v>ann-INV408</c:v>
                </c:pt>
                <c:pt idx="1">
                  <c:v>ann-INV410</c:v>
                </c:pt>
                <c:pt idx="2">
                  <c:v>ann-INV409</c:v>
                </c:pt>
                <c:pt idx="3">
                  <c:v>ann-INV411</c:v>
                </c:pt>
                <c:pt idx="4">
                  <c:v>ann-INV412</c:v>
                </c:pt>
                <c:pt idx="5">
                  <c:v>ann-INV413</c:v>
                </c:pt>
                <c:pt idx="6">
                  <c:v>ann-INV414</c:v>
                </c:pt>
                <c:pt idx="7">
                  <c:v>ann-INV415</c:v>
                </c:pt>
                <c:pt idx="8">
                  <c:v>ann-INV416</c:v>
                </c:pt>
                <c:pt idx="9">
                  <c:v>Total</c:v>
                </c:pt>
              </c:strCache>
            </c:strRef>
          </c:cat>
          <c:val>
            <c:numRef>
              <c:f>'July 28th Sales Report'!$J$31:$J$40</c:f>
              <c:numCache>
                <c:formatCode>_(* #,##0_);_(* \(#,##0\);_(* \-??_);_(@_)</c:formatCode>
                <c:ptCount val="10"/>
                <c:pt idx="0">
                  <c:v>46000.0</c:v>
                </c:pt>
                <c:pt idx="1">
                  <c:v>1307800.0</c:v>
                </c:pt>
                <c:pt idx="2">
                  <c:v>5300.0</c:v>
                </c:pt>
                <c:pt idx="3">
                  <c:v>1325335.0</c:v>
                </c:pt>
                <c:pt idx="4">
                  <c:v>75000.0</c:v>
                </c:pt>
                <c:pt idx="5">
                  <c:v>866365.0</c:v>
                </c:pt>
                <c:pt idx="6">
                  <c:v>1080230.0</c:v>
                </c:pt>
                <c:pt idx="7">
                  <c:v>593410.0</c:v>
                </c:pt>
                <c:pt idx="8">
                  <c:v>35630.0</c:v>
                </c:pt>
                <c:pt idx="9">
                  <c:v>5335070.0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8854280"/>
        <c:axId val="418851928"/>
      </c:barChart>
      <c:lineChart>
        <c:grouping val="standard"/>
        <c:varyColors val="0"/>
        <c:ser>
          <c:idx val="1"/>
          <c:order val="1"/>
          <c:tx>
            <c:strRef>
              <c:f>'July 28th Sales Report'!$K$30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28th Sales Report'!$I$31:$I$40</c:f>
              <c:strCache>
                <c:ptCount val="10"/>
                <c:pt idx="0">
                  <c:v>ann-INV408</c:v>
                </c:pt>
                <c:pt idx="1">
                  <c:v>ann-INV410</c:v>
                </c:pt>
                <c:pt idx="2">
                  <c:v>ann-INV409</c:v>
                </c:pt>
                <c:pt idx="3">
                  <c:v>ann-INV411</c:v>
                </c:pt>
                <c:pt idx="4">
                  <c:v>ann-INV412</c:v>
                </c:pt>
                <c:pt idx="5">
                  <c:v>ann-INV413</c:v>
                </c:pt>
                <c:pt idx="6">
                  <c:v>ann-INV414</c:v>
                </c:pt>
                <c:pt idx="7">
                  <c:v>ann-INV415</c:v>
                </c:pt>
                <c:pt idx="8">
                  <c:v>ann-INV416</c:v>
                </c:pt>
                <c:pt idx="9">
                  <c:v>Total</c:v>
                </c:pt>
              </c:strCache>
            </c:strRef>
          </c:cat>
          <c:val>
            <c:numRef>
              <c:f>'July 28th Sales Report'!$K$31:$K$40</c:f>
              <c:numCache>
                <c:formatCode>0%</c:formatCode>
                <c:ptCount val="10"/>
                <c:pt idx="0">
                  <c:v>0.05</c:v>
                </c:pt>
                <c:pt idx="1">
                  <c:v>-0.04</c:v>
                </c:pt>
                <c:pt idx="2">
                  <c:v>0.02</c:v>
                </c:pt>
                <c:pt idx="3">
                  <c:v>-0.03</c:v>
                </c:pt>
                <c:pt idx="4">
                  <c:v>-0.04</c:v>
                </c:pt>
                <c:pt idx="5">
                  <c:v>0.09</c:v>
                </c:pt>
                <c:pt idx="6">
                  <c:v>0.09</c:v>
                </c:pt>
                <c:pt idx="7">
                  <c:v>0.07</c:v>
                </c:pt>
                <c:pt idx="8">
                  <c:v>0.05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8847224"/>
        <c:axId val="418846440"/>
      </c:lineChart>
      <c:catAx>
        <c:axId val="418854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8851928"/>
        <c:crosses val="autoZero"/>
        <c:auto val="1"/>
        <c:lblAlgn val="ctr"/>
        <c:lblOffset val="100"/>
        <c:noMultiLvlLbl val="0"/>
      </c:catAx>
      <c:valAx>
        <c:axId val="41885192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8854280"/>
        <c:crosses val="autoZero"/>
        <c:crossBetween val="between"/>
      </c:valAx>
      <c:catAx>
        <c:axId val="4188472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8846440"/>
        <c:crosses val="autoZero"/>
        <c:auto val="1"/>
        <c:lblAlgn val="ctr"/>
        <c:lblOffset val="100"/>
        <c:noMultiLvlLbl val="0"/>
      </c:catAx>
      <c:valAx>
        <c:axId val="41884644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884722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Customer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28th Sales Report'!$J$19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28th Sales Report'!$I$20:$I$28</c:f>
              <c:strCache>
                <c:ptCount val="9"/>
                <c:pt idx="0">
                  <c:v>Mr Olayinka</c:v>
                </c:pt>
                <c:pt idx="1">
                  <c:v>Jeff SR</c:v>
                </c:pt>
                <c:pt idx="2">
                  <c:v>Walk in Customer</c:v>
                </c:pt>
                <c:pt idx="3">
                  <c:v>Eniola Marketer</c:v>
                </c:pt>
                <c:pt idx="4">
                  <c:v>Rita SR</c:v>
                </c:pt>
                <c:pt idx="5">
                  <c:v>Ameh Mathew</c:v>
                </c:pt>
                <c:pt idx="6">
                  <c:v>ATW</c:v>
                </c:pt>
                <c:pt idx="7">
                  <c:v>Mr Godswill</c:v>
                </c:pt>
                <c:pt idx="8">
                  <c:v>Total</c:v>
                </c:pt>
              </c:strCache>
            </c:strRef>
          </c:cat>
          <c:val>
            <c:numRef>
              <c:f>'July 28th Sales Report'!$J$20:$J$28</c:f>
              <c:numCache>
                <c:formatCode>_(* #,##0_);_(* \(#,##0\);_(* \-??_);_(@_)</c:formatCode>
                <c:ptCount val="9"/>
                <c:pt idx="0">
                  <c:v>46000.0</c:v>
                </c:pt>
                <c:pt idx="1">
                  <c:v>1307800.0</c:v>
                </c:pt>
                <c:pt idx="2">
                  <c:v>5300.0</c:v>
                </c:pt>
                <c:pt idx="3">
                  <c:v>1325335.0</c:v>
                </c:pt>
                <c:pt idx="4">
                  <c:v>75000.0</c:v>
                </c:pt>
                <c:pt idx="5">
                  <c:v>1264775.0</c:v>
                </c:pt>
                <c:pt idx="6">
                  <c:v>932630.0</c:v>
                </c:pt>
                <c:pt idx="7">
                  <c:v>35630.0</c:v>
                </c:pt>
                <c:pt idx="8">
                  <c:v>4992470.0</c:v>
                </c:pt>
              </c:numCache>
            </c:numRef>
          </c:val>
        </c:ser>
        <c:ser>
          <c:idx val="1"/>
          <c:order val="1"/>
          <c:tx>
            <c:strRef>
              <c:f>'July 28th Sales Report'!$K$19</c:f>
              <c:strCache>
                <c:ptCount val="1"/>
                <c:pt idx="0">
                  <c:v>% of Total 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28th Sales Report'!$I$20:$I$28</c:f>
              <c:strCache>
                <c:ptCount val="9"/>
                <c:pt idx="0">
                  <c:v>Mr Olayinka</c:v>
                </c:pt>
                <c:pt idx="1">
                  <c:v>Jeff SR</c:v>
                </c:pt>
                <c:pt idx="2">
                  <c:v>Walk in Customer</c:v>
                </c:pt>
                <c:pt idx="3">
                  <c:v>Eniola Marketer</c:v>
                </c:pt>
                <c:pt idx="4">
                  <c:v>Rita SR</c:v>
                </c:pt>
                <c:pt idx="5">
                  <c:v>Ameh Mathew</c:v>
                </c:pt>
                <c:pt idx="6">
                  <c:v>ATW</c:v>
                </c:pt>
                <c:pt idx="7">
                  <c:v>Mr Godswill</c:v>
                </c:pt>
                <c:pt idx="8">
                  <c:v>Total</c:v>
                </c:pt>
              </c:strCache>
            </c:strRef>
          </c:cat>
          <c:val>
            <c:numRef>
              <c:f>'July 28th Sales Report'!$K$20:$K$28</c:f>
              <c:numCache>
                <c:formatCode>0%</c:formatCode>
                <c:ptCount val="9"/>
                <c:pt idx="0">
                  <c:v>0.00921387609740269</c:v>
                </c:pt>
                <c:pt idx="1">
                  <c:v>0.261954503482244</c:v>
                </c:pt>
                <c:pt idx="2">
                  <c:v>0.00106159876774422</c:v>
                </c:pt>
                <c:pt idx="3">
                  <c:v>0.265466792990243</c:v>
                </c:pt>
                <c:pt idx="4">
                  <c:v>0.0150226240718522</c:v>
                </c:pt>
                <c:pt idx="5">
                  <c:v>0.253336524806358</c:v>
                </c:pt>
                <c:pt idx="6">
                  <c:v>0.186807331841754</c:v>
                </c:pt>
                <c:pt idx="7">
                  <c:v>0.00713674794240126</c:v>
                </c:pt>
                <c:pt idx="8">
                  <c:v>1.0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8846048"/>
        <c:axId val="418844872"/>
      </c:barChart>
      <c:lineChart>
        <c:grouping val="standard"/>
        <c:varyColors val="0"/>
        <c:ser>
          <c:idx val="2"/>
          <c:order val="2"/>
          <c:tx>
            <c:strRef>
              <c:f>'July 28th Sales Report'!$L$19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28th Sales Report'!$I$20:$I$28</c:f>
              <c:strCache>
                <c:ptCount val="9"/>
                <c:pt idx="0">
                  <c:v>Mr Olayinka</c:v>
                </c:pt>
                <c:pt idx="1">
                  <c:v>Jeff SR</c:v>
                </c:pt>
                <c:pt idx="2">
                  <c:v>Walk in Customer</c:v>
                </c:pt>
                <c:pt idx="3">
                  <c:v>Eniola Marketer</c:v>
                </c:pt>
                <c:pt idx="4">
                  <c:v>Rita SR</c:v>
                </c:pt>
                <c:pt idx="5">
                  <c:v>Ameh Mathew</c:v>
                </c:pt>
                <c:pt idx="6">
                  <c:v>ATW</c:v>
                </c:pt>
                <c:pt idx="7">
                  <c:v>Mr Godswill</c:v>
                </c:pt>
                <c:pt idx="8">
                  <c:v>Total</c:v>
                </c:pt>
              </c:strCache>
            </c:strRef>
          </c:cat>
          <c:val>
            <c:numRef>
              <c:f>'July 28th Sales Report'!$L$20:$L$28</c:f>
              <c:numCache>
                <c:formatCode>0%</c:formatCode>
                <c:ptCount val="9"/>
                <c:pt idx="0">
                  <c:v>0.0518</c:v>
                </c:pt>
                <c:pt idx="1">
                  <c:v>-0.0448</c:v>
                </c:pt>
                <c:pt idx="2">
                  <c:v>0.0189</c:v>
                </c:pt>
                <c:pt idx="3">
                  <c:v>-0.0317</c:v>
                </c:pt>
                <c:pt idx="4">
                  <c:v>-0.04</c:v>
                </c:pt>
                <c:pt idx="5">
                  <c:v>0.082</c:v>
                </c:pt>
                <c:pt idx="6">
                  <c:v>0.0928</c:v>
                </c:pt>
                <c:pt idx="7">
                  <c:v>0.0469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8851144"/>
        <c:axId val="418848008"/>
      </c:lineChart>
      <c:catAx>
        <c:axId val="4188460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8844872"/>
        <c:crosses val="autoZero"/>
        <c:auto val="1"/>
        <c:lblAlgn val="ctr"/>
        <c:lblOffset val="100"/>
        <c:noMultiLvlLbl val="0"/>
      </c:catAx>
      <c:valAx>
        <c:axId val="41884487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8846048"/>
        <c:crosses val="autoZero"/>
        <c:crossBetween val="between"/>
      </c:valAx>
      <c:catAx>
        <c:axId val="4188511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8848008"/>
        <c:crosses val="autoZero"/>
        <c:auto val="1"/>
        <c:lblAlgn val="ctr"/>
        <c:lblOffset val="100"/>
        <c:noMultiLvlLbl val="0"/>
      </c:catAx>
      <c:valAx>
        <c:axId val="418848008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885114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Product Revenue Chart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28th Sales Report'!$J$1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28th Sales Report'!$I$2:$I$17</c:f>
              <c:strCache>
                <c:ptCount val="16"/>
                <c:pt idx="0">
                  <c:v>Goldberg 60cl</c:v>
                </c:pt>
                <c:pt idx="1">
                  <c:v>33 Export 60cl</c:v>
                </c:pt>
                <c:pt idx="2">
                  <c:v>Maltina Pet 33cl</c:v>
                </c:pt>
                <c:pt idx="3">
                  <c:v>Maltina Pet 50cl</c:v>
                </c:pt>
                <c:pt idx="4">
                  <c:v>Chamdor 75cl</c:v>
                </c:pt>
                <c:pt idx="5">
                  <c:v>Heineken Bottle 60cl</c:v>
                </c:pt>
                <c:pt idx="6">
                  <c:v>Turbo King Bottle 60cl</c:v>
                </c:pt>
                <c:pt idx="7">
                  <c:v>Desperados Bottle</c:v>
                </c:pt>
                <c:pt idx="8">
                  <c:v>Gulder Bottle</c:v>
                </c:pt>
                <c:pt idx="9">
                  <c:v>Maltina Can</c:v>
                </c:pt>
                <c:pt idx="10">
                  <c:v>Star Bottle 60cl</c:v>
                </c:pt>
                <c:pt idx="11">
                  <c:v>Legend Bottle 60cl</c:v>
                </c:pt>
                <c:pt idx="12">
                  <c:v>Star Radler 45cl</c:v>
                </c:pt>
                <c:pt idx="13">
                  <c:v>Fayrouz Can</c:v>
                </c:pt>
                <c:pt idx="14">
                  <c:v>Goldberg Black 45cl</c:v>
                </c:pt>
                <c:pt idx="15">
                  <c:v>Grand Total</c:v>
                </c:pt>
              </c:strCache>
            </c:strRef>
          </c:cat>
          <c:val>
            <c:numRef>
              <c:f>'July 28th Sales Report'!$J$2:$J$17</c:f>
              <c:numCache>
                <c:formatCode>General</c:formatCode>
                <c:ptCount val="16"/>
                <c:pt idx="0">
                  <c:v>86.0</c:v>
                </c:pt>
                <c:pt idx="1">
                  <c:v>34.0</c:v>
                </c:pt>
                <c:pt idx="2">
                  <c:v>552.0</c:v>
                </c:pt>
                <c:pt idx="3">
                  <c:v>10.0</c:v>
                </c:pt>
                <c:pt idx="4">
                  <c:v>3.0</c:v>
                </c:pt>
                <c:pt idx="5">
                  <c:v>29.0</c:v>
                </c:pt>
                <c:pt idx="6">
                  <c:v>17.0</c:v>
                </c:pt>
                <c:pt idx="7">
                  <c:v>2.0</c:v>
                </c:pt>
                <c:pt idx="8">
                  <c:v>14.0</c:v>
                </c:pt>
                <c:pt idx="9">
                  <c:v>1.0</c:v>
                </c:pt>
                <c:pt idx="10">
                  <c:v>5.0</c:v>
                </c:pt>
                <c:pt idx="11">
                  <c:v>3.0</c:v>
                </c:pt>
                <c:pt idx="12">
                  <c:v>3.0</c:v>
                </c:pt>
                <c:pt idx="13">
                  <c:v>2.0</c:v>
                </c:pt>
                <c:pt idx="14">
                  <c:v>1.0</c:v>
                </c:pt>
                <c:pt idx="15">
                  <c:v>762.0</c:v>
                </c:pt>
              </c:numCache>
            </c:numRef>
          </c:val>
        </c:ser>
        <c:ser>
          <c:idx val="1"/>
          <c:order val="1"/>
          <c:tx>
            <c:strRef>
              <c:f>'July 28th Sales Report'!$K$1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28th Sales Report'!$I$2:$I$17</c:f>
              <c:strCache>
                <c:ptCount val="16"/>
                <c:pt idx="0">
                  <c:v>Goldberg 60cl</c:v>
                </c:pt>
                <c:pt idx="1">
                  <c:v>33 Export 60cl</c:v>
                </c:pt>
                <c:pt idx="2">
                  <c:v>Maltina Pet 33cl</c:v>
                </c:pt>
                <c:pt idx="3">
                  <c:v>Maltina Pet 50cl</c:v>
                </c:pt>
                <c:pt idx="4">
                  <c:v>Chamdor 75cl</c:v>
                </c:pt>
                <c:pt idx="5">
                  <c:v>Heineken Bottle 60cl</c:v>
                </c:pt>
                <c:pt idx="6">
                  <c:v>Turbo King Bottle 60cl</c:v>
                </c:pt>
                <c:pt idx="7">
                  <c:v>Desperados Bottle</c:v>
                </c:pt>
                <c:pt idx="8">
                  <c:v>Gulder Bottle</c:v>
                </c:pt>
                <c:pt idx="9">
                  <c:v>Maltina Can</c:v>
                </c:pt>
                <c:pt idx="10">
                  <c:v>Star Bottle 60cl</c:v>
                </c:pt>
                <c:pt idx="11">
                  <c:v>Legend Bottle 60cl</c:v>
                </c:pt>
                <c:pt idx="12">
                  <c:v>Star Radler 45cl</c:v>
                </c:pt>
                <c:pt idx="13">
                  <c:v>Fayrouz Can</c:v>
                </c:pt>
                <c:pt idx="14">
                  <c:v>Goldberg Black 45cl</c:v>
                </c:pt>
                <c:pt idx="15">
                  <c:v>Grand Total</c:v>
                </c:pt>
              </c:strCache>
            </c:strRef>
          </c:cat>
          <c:val>
            <c:numRef>
              <c:f>'July 28th Sales Report'!$K$2:$K$17</c:f>
              <c:numCache>
                <c:formatCode>_(* #,##0_);_(* \(#,##0\);_(* \-??_);_(@_)</c:formatCode>
                <c:ptCount val="16"/>
                <c:pt idx="0">
                  <c:v>802270.0</c:v>
                </c:pt>
                <c:pt idx="1">
                  <c:v>312800.0</c:v>
                </c:pt>
                <c:pt idx="2">
                  <c:v>2775060.0</c:v>
                </c:pt>
                <c:pt idx="3">
                  <c:v>80200.0</c:v>
                </c:pt>
                <c:pt idx="4">
                  <c:v>85335.0</c:v>
                </c:pt>
                <c:pt idx="5">
                  <c:v>386715.0</c:v>
                </c:pt>
                <c:pt idx="6">
                  <c:v>150960.0</c:v>
                </c:pt>
                <c:pt idx="7">
                  <c:v>42885.0</c:v>
                </c:pt>
                <c:pt idx="8">
                  <c:v>166740.0</c:v>
                </c:pt>
                <c:pt idx="9">
                  <c:v>13200.0</c:v>
                </c:pt>
                <c:pt idx="10">
                  <c:v>57075.0</c:v>
                </c:pt>
                <c:pt idx="11">
                  <c:v>34440.0</c:v>
                </c:pt>
                <c:pt idx="12">
                  <c:v>43725.0</c:v>
                </c:pt>
                <c:pt idx="13">
                  <c:v>26920.0</c:v>
                </c:pt>
                <c:pt idx="14">
                  <c:v>14145.0</c:v>
                </c:pt>
                <c:pt idx="15">
                  <c:v>4992470.0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8854672"/>
        <c:axId val="418855848"/>
      </c:barChart>
      <c:lineChart>
        <c:grouping val="standard"/>
        <c:varyColors val="0"/>
        <c:ser>
          <c:idx val="2"/>
          <c:order val="2"/>
          <c:tx>
            <c:strRef>
              <c:f>'July 28th Sales Report'!$L$1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'July 28th Sales Report'!$I$2:$I$17</c:f>
              <c:strCache>
                <c:ptCount val="16"/>
                <c:pt idx="0">
                  <c:v>Goldberg 60cl</c:v>
                </c:pt>
                <c:pt idx="1">
                  <c:v>33 Export 60cl</c:v>
                </c:pt>
                <c:pt idx="2">
                  <c:v>Maltina Pet 33cl</c:v>
                </c:pt>
                <c:pt idx="3">
                  <c:v>Maltina Pet 50cl</c:v>
                </c:pt>
                <c:pt idx="4">
                  <c:v>Chamdor 75cl</c:v>
                </c:pt>
                <c:pt idx="5">
                  <c:v>Heineken Bottle 60cl</c:v>
                </c:pt>
                <c:pt idx="6">
                  <c:v>Turbo King Bottle 60cl</c:v>
                </c:pt>
                <c:pt idx="7">
                  <c:v>Desperados Bottle</c:v>
                </c:pt>
                <c:pt idx="8">
                  <c:v>Gulder Bottle</c:v>
                </c:pt>
                <c:pt idx="9">
                  <c:v>Maltina Can</c:v>
                </c:pt>
                <c:pt idx="10">
                  <c:v>Star Bottle 60cl</c:v>
                </c:pt>
                <c:pt idx="11">
                  <c:v>Legend Bottle 60cl</c:v>
                </c:pt>
                <c:pt idx="12">
                  <c:v>Star Radler 45cl</c:v>
                </c:pt>
                <c:pt idx="13">
                  <c:v>Fayrouz Can</c:v>
                </c:pt>
                <c:pt idx="14">
                  <c:v>Goldberg Black 45cl</c:v>
                </c:pt>
                <c:pt idx="15">
                  <c:v>Grand Total</c:v>
                </c:pt>
              </c:strCache>
            </c:strRef>
          </c:cat>
          <c:val>
            <c:numRef>
              <c:f>'July 28th Sales Report'!$L$2:$L$17</c:f>
              <c:numCache>
                <c:formatCode>0%</c:formatCode>
                <c:ptCount val="16"/>
                <c:pt idx="0">
                  <c:v>0.160696008188332</c:v>
                </c:pt>
                <c:pt idx="1">
                  <c:v>0.0626543574623383</c:v>
                </c:pt>
                <c:pt idx="2">
                  <c:v>0.555849108757789</c:v>
                </c:pt>
                <c:pt idx="3">
                  <c:v>0.0160641926741673</c:v>
                </c:pt>
                <c:pt idx="4">
                  <c:v>0.0170927416689534</c:v>
                </c:pt>
                <c:pt idx="5">
                  <c:v>0.0774596542392844</c:v>
                </c:pt>
                <c:pt idx="6">
                  <c:v>0.0302375377318241</c:v>
                </c:pt>
                <c:pt idx="7">
                  <c:v>0.00858993644428509</c:v>
                </c:pt>
                <c:pt idx="8">
                  <c:v>0.0333982978365418</c:v>
                </c:pt>
                <c:pt idx="9">
                  <c:v>0.00264398183664599</c:v>
                </c:pt>
                <c:pt idx="10">
                  <c:v>0.0114322169186795</c:v>
                </c:pt>
                <c:pt idx="11">
                  <c:v>0.00689838897379454</c:v>
                </c:pt>
                <c:pt idx="12">
                  <c:v>0.00875818983388984</c:v>
                </c:pt>
                <c:pt idx="13">
                  <c:v>0.00539212053352349</c:v>
                </c:pt>
                <c:pt idx="14">
                  <c:v>0.00283326689995133</c:v>
                </c:pt>
                <c:pt idx="15">
                  <c:v>1.0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8847616"/>
        <c:axId val="418851536"/>
      </c:lineChart>
      <c:catAx>
        <c:axId val="4188546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8855848"/>
        <c:crosses val="autoZero"/>
        <c:auto val="1"/>
        <c:lblAlgn val="ctr"/>
        <c:lblOffset val="100"/>
        <c:noMultiLvlLbl val="0"/>
      </c:catAx>
      <c:valAx>
        <c:axId val="41885584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8854672"/>
        <c:crosses val="autoZero"/>
        <c:crossBetween val="between"/>
      </c:valAx>
      <c:catAx>
        <c:axId val="4188476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8851536"/>
        <c:crosses val="autoZero"/>
        <c:auto val="1"/>
        <c:lblAlgn val="ctr"/>
        <c:lblOffset val="100"/>
        <c:noMultiLvlLbl val="0"/>
      </c:catAx>
      <c:valAx>
        <c:axId val="41885153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884761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'29th Sales Report'!$J$1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'29th Sales Report'!$I$2:$I$17</c:f>
              <c:strCache>
                <c:ptCount val="16"/>
                <c:pt idx="0">
                  <c:v>Goldberg 60cl</c:v>
                </c:pt>
                <c:pt idx="1">
                  <c:v>Trophy</c:v>
                </c:pt>
                <c:pt idx="2">
                  <c:v>Star Radler 45cl</c:v>
                </c:pt>
                <c:pt idx="3">
                  <c:v>TROPHY CAN</c:v>
                </c:pt>
                <c:pt idx="4">
                  <c:v>Goldberg Can 50cl</c:v>
                </c:pt>
                <c:pt idx="5">
                  <c:v>Heineken Sleek Can</c:v>
                </c:pt>
                <c:pt idx="6">
                  <c:v>Desperados Bottle</c:v>
                </c:pt>
                <c:pt idx="7">
                  <c:v>Tiger Bottle</c:v>
                </c:pt>
                <c:pt idx="8">
                  <c:v>Maltina Can</c:v>
                </c:pt>
                <c:pt idx="9">
                  <c:v>33 Export 60cl</c:v>
                </c:pt>
                <c:pt idx="10">
                  <c:v>Heineken Bottle 60cl</c:v>
                </c:pt>
                <c:pt idx="11">
                  <c:v>Desperados Can</c:v>
                </c:pt>
                <c:pt idx="12">
                  <c:v>Amstel Can</c:v>
                </c:pt>
                <c:pt idx="13">
                  <c:v>Fayrouz Can</c:v>
                </c:pt>
                <c:pt idx="14">
                  <c:v>Maltina Pet 33cl</c:v>
                </c:pt>
                <c:pt idx="15">
                  <c:v>Grand Total</c:v>
                </c:pt>
              </c:strCache>
            </c:strRef>
          </c:cat>
          <c:val>
            <c:numRef>
              <c:f>'29th Sales Report'!$J$2:$J$17</c:f>
              <c:numCache>
                <c:formatCode>General</c:formatCode>
                <c:ptCount val="16"/>
                <c:pt idx="0">
                  <c:v>142.0</c:v>
                </c:pt>
                <c:pt idx="1">
                  <c:v>140.0</c:v>
                </c:pt>
                <c:pt idx="2">
                  <c:v>30.0</c:v>
                </c:pt>
                <c:pt idx="3">
                  <c:v>97.0</c:v>
                </c:pt>
                <c:pt idx="4">
                  <c:v>97.0</c:v>
                </c:pt>
                <c:pt idx="5">
                  <c:v>152.0</c:v>
                </c:pt>
                <c:pt idx="6">
                  <c:v>5.0</c:v>
                </c:pt>
                <c:pt idx="7">
                  <c:v>6.0</c:v>
                </c:pt>
                <c:pt idx="8">
                  <c:v>1.0</c:v>
                </c:pt>
                <c:pt idx="9">
                  <c:v>17.0</c:v>
                </c:pt>
                <c:pt idx="10">
                  <c:v>2.0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  <c:pt idx="14">
                  <c:v>150.0</c:v>
                </c:pt>
                <c:pt idx="15">
                  <c:v>842.0</c:v>
                </c:pt>
              </c:numCache>
            </c:numRef>
          </c:val>
        </c:ser>
        <c:ser>
          <c:idx val="1"/>
          <c:order val="1"/>
          <c:tx>
            <c:strRef>
              <c:f>'29th Sales Report'!$K$1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'29th Sales Report'!$I$2:$I$17</c:f>
              <c:strCache>
                <c:ptCount val="16"/>
                <c:pt idx="0">
                  <c:v>Goldberg 60cl</c:v>
                </c:pt>
                <c:pt idx="1">
                  <c:v>Trophy</c:v>
                </c:pt>
                <c:pt idx="2">
                  <c:v>Star Radler 45cl</c:v>
                </c:pt>
                <c:pt idx="3">
                  <c:v>TROPHY CAN</c:v>
                </c:pt>
                <c:pt idx="4">
                  <c:v>Goldberg Can 50cl</c:v>
                </c:pt>
                <c:pt idx="5">
                  <c:v>Heineken Sleek Can</c:v>
                </c:pt>
                <c:pt idx="6">
                  <c:v>Desperados Bottle</c:v>
                </c:pt>
                <c:pt idx="7">
                  <c:v>Tiger Bottle</c:v>
                </c:pt>
                <c:pt idx="8">
                  <c:v>Maltina Can</c:v>
                </c:pt>
                <c:pt idx="9">
                  <c:v>33 Export 60cl</c:v>
                </c:pt>
                <c:pt idx="10">
                  <c:v>Heineken Bottle 60cl</c:v>
                </c:pt>
                <c:pt idx="11">
                  <c:v>Desperados Can</c:v>
                </c:pt>
                <c:pt idx="12">
                  <c:v>Amstel Can</c:v>
                </c:pt>
                <c:pt idx="13">
                  <c:v>Fayrouz Can</c:v>
                </c:pt>
                <c:pt idx="14">
                  <c:v>Maltina Pet 33cl</c:v>
                </c:pt>
                <c:pt idx="15">
                  <c:v>Grand Total</c:v>
                </c:pt>
              </c:strCache>
            </c:strRef>
          </c:cat>
          <c:val>
            <c:numRef>
              <c:f>'29th Sales Report'!$K$2:$K$17</c:f>
              <c:numCache>
                <c:formatCode>_(* #,##0_);_(* \(#,##0\);_(* \-??_);_(@_)</c:formatCode>
                <c:ptCount val="16"/>
                <c:pt idx="0">
                  <c:v>1208400.0</c:v>
                </c:pt>
                <c:pt idx="1">
                  <c:v>1134000.0</c:v>
                </c:pt>
                <c:pt idx="2">
                  <c:v>434250.0</c:v>
                </c:pt>
                <c:pt idx="3">
                  <c:v>1309500.0</c:v>
                </c:pt>
                <c:pt idx="4">
                  <c:v>1509425.0</c:v>
                </c:pt>
                <c:pt idx="5">
                  <c:v>2599200.0</c:v>
                </c:pt>
                <c:pt idx="6">
                  <c:v>107425.0</c:v>
                </c:pt>
                <c:pt idx="7">
                  <c:v>93150.0</c:v>
                </c:pt>
                <c:pt idx="8">
                  <c:v>14430.0</c:v>
                </c:pt>
                <c:pt idx="9">
                  <c:v>156400.0</c:v>
                </c:pt>
                <c:pt idx="10">
                  <c:v>26670.0</c:v>
                </c:pt>
                <c:pt idx="11">
                  <c:v>21695.0</c:v>
                </c:pt>
                <c:pt idx="12">
                  <c:v>14430.0</c:v>
                </c:pt>
                <c:pt idx="13">
                  <c:v>13460.0</c:v>
                </c:pt>
                <c:pt idx="14">
                  <c:v>750000.0</c:v>
                </c:pt>
                <c:pt idx="15">
                  <c:v>9392435.0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8848400"/>
        <c:axId val="418849968"/>
      </c:barChart>
      <c:lineChart>
        <c:grouping val="standard"/>
        <c:varyColors val="0"/>
        <c:ser>
          <c:idx val="2"/>
          <c:order val="2"/>
          <c:tx>
            <c:strRef>
              <c:f>'29th Sales Report'!$L$1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'29th Sales Report'!$I$2:$I$17</c:f>
              <c:strCache>
                <c:ptCount val="16"/>
                <c:pt idx="0">
                  <c:v>Goldberg 60cl</c:v>
                </c:pt>
                <c:pt idx="1">
                  <c:v>Trophy</c:v>
                </c:pt>
                <c:pt idx="2">
                  <c:v>Star Radler 45cl</c:v>
                </c:pt>
                <c:pt idx="3">
                  <c:v>TROPHY CAN</c:v>
                </c:pt>
                <c:pt idx="4">
                  <c:v>Goldberg Can 50cl</c:v>
                </c:pt>
                <c:pt idx="5">
                  <c:v>Heineken Sleek Can</c:v>
                </c:pt>
                <c:pt idx="6">
                  <c:v>Desperados Bottle</c:v>
                </c:pt>
                <c:pt idx="7">
                  <c:v>Tiger Bottle</c:v>
                </c:pt>
                <c:pt idx="8">
                  <c:v>Maltina Can</c:v>
                </c:pt>
                <c:pt idx="9">
                  <c:v>33 Export 60cl</c:v>
                </c:pt>
                <c:pt idx="10">
                  <c:v>Heineken Bottle 60cl</c:v>
                </c:pt>
                <c:pt idx="11">
                  <c:v>Desperados Can</c:v>
                </c:pt>
                <c:pt idx="12">
                  <c:v>Amstel Can</c:v>
                </c:pt>
                <c:pt idx="13">
                  <c:v>Fayrouz Can</c:v>
                </c:pt>
                <c:pt idx="14">
                  <c:v>Maltina Pet 33cl</c:v>
                </c:pt>
                <c:pt idx="15">
                  <c:v>Grand Total</c:v>
                </c:pt>
              </c:strCache>
            </c:strRef>
          </c:cat>
          <c:val>
            <c:numRef>
              <c:f>'29th Sales Report'!$L$2:$L$17</c:f>
              <c:numCache>
                <c:formatCode>0%</c:formatCode>
                <c:ptCount val="16"/>
                <c:pt idx="0">
                  <c:v>0.128656732785481</c:v>
                </c:pt>
                <c:pt idx="1">
                  <c:v>0.120735464232651</c:v>
                </c:pt>
                <c:pt idx="2">
                  <c:v>0.0462340170573446</c:v>
                </c:pt>
                <c:pt idx="3">
                  <c:v>0.139420714649609</c:v>
                </c:pt>
                <c:pt idx="4">
                  <c:v>0.160706462168756</c:v>
                </c:pt>
                <c:pt idx="5">
                  <c:v>0.276733349764997</c:v>
                </c:pt>
                <c:pt idx="6">
                  <c:v>0.0114373961597818</c:v>
                </c:pt>
                <c:pt idx="7">
                  <c:v>0.00991755599053919</c:v>
                </c:pt>
                <c:pt idx="8">
                  <c:v>0.00153634281206098</c:v>
                </c:pt>
                <c:pt idx="9">
                  <c:v>0.0166516989470782</c:v>
                </c:pt>
                <c:pt idx="10">
                  <c:v>0.00283951925139753</c:v>
                </c:pt>
                <c:pt idx="11">
                  <c:v>0.0023098376512587</c:v>
                </c:pt>
                <c:pt idx="12">
                  <c:v>0.00153634281206098</c:v>
                </c:pt>
                <c:pt idx="13">
                  <c:v>0.00143306820861683</c:v>
                </c:pt>
                <c:pt idx="14">
                  <c:v>0.0798514975083671</c:v>
                </c:pt>
                <c:pt idx="15">
                  <c:v>1.0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8856632"/>
        <c:axId val="418848792"/>
      </c:lineChart>
      <c:catAx>
        <c:axId val="41884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849968"/>
        <c:crosses val="autoZero"/>
        <c:auto val="1"/>
        <c:lblAlgn val="ctr"/>
        <c:lblOffset val="100"/>
        <c:noMultiLvlLbl val="0"/>
      </c:catAx>
      <c:valAx>
        <c:axId val="41884996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848400"/>
        <c:crosses val="autoZero"/>
        <c:crossBetween val="between"/>
      </c:valAx>
      <c:catAx>
        <c:axId val="418856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848792"/>
        <c:crosses val="autoZero"/>
        <c:auto val="1"/>
        <c:lblAlgn val="ctr"/>
        <c:lblOffset val="100"/>
        <c:noMultiLvlLbl val="0"/>
      </c:catAx>
      <c:valAx>
        <c:axId val="418848792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856632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Sales Rep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'29th Sales Report'!$J$19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'29th Sales Report'!$I$20:$I$25</c:f>
              <c:strCache>
                <c:ptCount val="6"/>
                <c:pt idx="0">
                  <c:v>WURAOLA</c:v>
                </c:pt>
                <c:pt idx="1">
                  <c:v>ATW</c:v>
                </c:pt>
                <c:pt idx="2">
                  <c:v>Jeff SR</c:v>
                </c:pt>
                <c:pt idx="3">
                  <c:v>Ameh Mathew</c:v>
                </c:pt>
                <c:pt idx="4">
                  <c:v>Eniola Marketer</c:v>
                </c:pt>
                <c:pt idx="5">
                  <c:v>Total</c:v>
                </c:pt>
              </c:strCache>
            </c:strRef>
          </c:cat>
          <c:val>
            <c:numRef>
              <c:f>'29th Sales Report'!$J$20:$J$25</c:f>
              <c:numCache>
                <c:formatCode>_(* #,##0_);_(* \(#,##0\);_(* \-??_);_(@_)</c:formatCode>
                <c:ptCount val="6"/>
                <c:pt idx="0">
                  <c:v>8126030.0</c:v>
                </c:pt>
                <c:pt idx="1">
                  <c:v>199480.0</c:v>
                </c:pt>
                <c:pt idx="2">
                  <c:v>63470.0</c:v>
                </c:pt>
                <c:pt idx="3">
                  <c:v>253455.0</c:v>
                </c:pt>
                <c:pt idx="4">
                  <c:v>750000.0</c:v>
                </c:pt>
                <c:pt idx="5">
                  <c:v>9392435.0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8855456"/>
        <c:axId val="418852320"/>
      </c:barChart>
      <c:lineChart>
        <c:grouping val="standard"/>
        <c:varyColors val="0"/>
        <c:ser>
          <c:idx val="1"/>
          <c:order val="1"/>
          <c:tx>
            <c:strRef>
              <c:f>'29th Sales Report'!$K$19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'29th Sales Report'!$I$20:$I$25</c:f>
              <c:strCache>
                <c:ptCount val="6"/>
                <c:pt idx="0">
                  <c:v>WURAOLA</c:v>
                </c:pt>
                <c:pt idx="1">
                  <c:v>ATW</c:v>
                </c:pt>
                <c:pt idx="2">
                  <c:v>Jeff SR</c:v>
                </c:pt>
                <c:pt idx="3">
                  <c:v>Ameh Mathew</c:v>
                </c:pt>
                <c:pt idx="4">
                  <c:v>Eniola Marketer</c:v>
                </c:pt>
                <c:pt idx="5">
                  <c:v>Total</c:v>
                </c:pt>
              </c:strCache>
            </c:strRef>
          </c:cat>
          <c:val>
            <c:numRef>
              <c:f>'29th Sales Report'!$K$20:$K$25</c:f>
              <c:numCache>
                <c:formatCode>0%</c:formatCode>
                <c:ptCount val="6"/>
                <c:pt idx="0">
                  <c:v>0.865167552397222</c:v>
                </c:pt>
                <c:pt idx="1">
                  <c:v>0.0212383689639588</c:v>
                </c:pt>
                <c:pt idx="2">
                  <c:v>0.00675756606247475</c:v>
                </c:pt>
                <c:pt idx="3">
                  <c:v>0.0269850150679776</c:v>
                </c:pt>
                <c:pt idx="4">
                  <c:v>0.0798514975083671</c:v>
                </c:pt>
                <c:pt idx="5">
                  <c:v>1.0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8849184"/>
        <c:axId val="418849576"/>
      </c:lineChart>
      <c:catAx>
        <c:axId val="41885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852320"/>
        <c:crosses val="autoZero"/>
        <c:auto val="1"/>
        <c:lblAlgn val="ctr"/>
        <c:lblOffset val="100"/>
        <c:noMultiLvlLbl val="0"/>
      </c:catAx>
      <c:valAx>
        <c:axId val="41885232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_(* #,##0_);_(* \(#,##0\);_(* \-??_);_(@_)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855456"/>
        <c:crosses val="autoZero"/>
        <c:crossBetween val="between"/>
      </c:valAx>
      <c:catAx>
        <c:axId val="41884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849576"/>
        <c:crosses val="autoZero"/>
        <c:auto val="1"/>
        <c:lblAlgn val="ctr"/>
        <c:lblOffset val="100"/>
        <c:noMultiLvlLbl val="0"/>
      </c:catAx>
      <c:valAx>
        <c:axId val="418849576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849184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Invoice Amount &amp; Gross Profit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'29th Sales Report'!$J$27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'29th Sales Report'!$I$28:$I$32</c:f>
              <c:strCache>
                <c:ptCount val="5"/>
                <c:pt idx="0">
                  <c:v>ann-INV417</c:v>
                </c:pt>
                <c:pt idx="1">
                  <c:v>ann-INV418</c:v>
                </c:pt>
                <c:pt idx="2">
                  <c:v>ann-INV419</c:v>
                </c:pt>
                <c:pt idx="3">
                  <c:v>ann-INV420</c:v>
                </c:pt>
                <c:pt idx="4">
                  <c:v>ann-INV421</c:v>
                </c:pt>
              </c:strCache>
            </c:strRef>
          </c:cat>
          <c:val>
            <c:numRef>
              <c:f>'29th Sales Report'!$J$28:$J$32</c:f>
              <c:numCache>
                <c:formatCode>_(* #,##0_);_(* \(#,##0\);_(* \-??_);_(@_)</c:formatCode>
                <c:ptCount val="5"/>
                <c:pt idx="0">
                  <c:v>8698030.0</c:v>
                </c:pt>
                <c:pt idx="1">
                  <c:v>218480.0</c:v>
                </c:pt>
                <c:pt idx="2">
                  <c:v>63470.0</c:v>
                </c:pt>
                <c:pt idx="3">
                  <c:v>282255.0</c:v>
                </c:pt>
                <c:pt idx="4">
                  <c:v>750000.0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8852712"/>
        <c:axId val="418853104"/>
      </c:barChart>
      <c:lineChart>
        <c:grouping val="standard"/>
        <c:varyColors val="0"/>
        <c:ser>
          <c:idx val="1"/>
          <c:order val="1"/>
          <c:tx>
            <c:strRef>
              <c:f>'29th Sales Report'!$K$27</c:f>
              <c:strCache>
                <c:ptCount val="1"/>
                <c:pt idx="0">
                  <c:v>Gross Profit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'29th Sales Report'!$I$28:$I$32</c:f>
              <c:strCache>
                <c:ptCount val="5"/>
                <c:pt idx="0">
                  <c:v>ann-INV417</c:v>
                </c:pt>
                <c:pt idx="1">
                  <c:v>ann-INV418</c:v>
                </c:pt>
                <c:pt idx="2">
                  <c:v>ann-INV419</c:v>
                </c:pt>
                <c:pt idx="3">
                  <c:v>ann-INV420</c:v>
                </c:pt>
                <c:pt idx="4">
                  <c:v>ann-INV421</c:v>
                </c:pt>
              </c:strCache>
            </c:strRef>
          </c:cat>
          <c:val>
            <c:numRef>
              <c:f>'29th Sales Report'!$K$28:$K$32</c:f>
              <c:numCache>
                <c:formatCode>0%</c:formatCode>
                <c:ptCount val="5"/>
                <c:pt idx="0">
                  <c:v>0.01</c:v>
                </c:pt>
                <c:pt idx="1">
                  <c:v>0.09</c:v>
                </c:pt>
                <c:pt idx="2">
                  <c:v>0.04</c:v>
                </c:pt>
                <c:pt idx="3">
                  <c:v>0.04</c:v>
                </c:pt>
                <c:pt idx="4">
                  <c:v>-0.04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8853496"/>
        <c:axId val="418850360"/>
      </c:lineChart>
      <c:catAx>
        <c:axId val="418852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853104"/>
        <c:crosses val="autoZero"/>
        <c:auto val="1"/>
        <c:lblAlgn val="ctr"/>
        <c:lblOffset val="100"/>
        <c:noMultiLvlLbl val="0"/>
      </c:catAx>
      <c:valAx>
        <c:axId val="41885310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_(* #,##0_);_(* \(#,##0\);_(* \-??_);_(@_)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852712"/>
        <c:crosses val="autoZero"/>
        <c:crossBetween val="between"/>
      </c:valAx>
      <c:catAx>
        <c:axId val="418853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850360"/>
        <c:crosses val="autoZero"/>
        <c:auto val="1"/>
        <c:lblAlgn val="ctr"/>
        <c:lblOffset val="100"/>
        <c:noMultiLvlLbl val="0"/>
      </c:catAx>
      <c:valAx>
        <c:axId val="418850360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853496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'30th Sales Report'!$J$1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'30th Sales Report'!$I$2:$I$15</c:f>
              <c:strCache>
                <c:ptCount val="14"/>
                <c:pt idx="0">
                  <c:v>Maltina Pet 33cl</c:v>
                </c:pt>
                <c:pt idx="1">
                  <c:v>Heineken Bottle 60cl</c:v>
                </c:pt>
                <c:pt idx="2">
                  <c:v>33 Export 60cl</c:v>
                </c:pt>
                <c:pt idx="3">
                  <c:v>Turbo King Bottle 60cl</c:v>
                </c:pt>
                <c:pt idx="4">
                  <c:v>Gulder Bottle</c:v>
                </c:pt>
                <c:pt idx="5">
                  <c:v>Desperados Bottle</c:v>
                </c:pt>
                <c:pt idx="6">
                  <c:v>Tiger Bottle</c:v>
                </c:pt>
                <c:pt idx="7">
                  <c:v>Fayrouz Bottle</c:v>
                </c:pt>
                <c:pt idx="8">
                  <c:v>33 Export Can</c:v>
                </c:pt>
                <c:pt idx="9">
                  <c:v>Goldberg 60cl</c:v>
                </c:pt>
                <c:pt idx="10">
                  <c:v>Goldberg Can 50cl</c:v>
                </c:pt>
                <c:pt idx="11">
                  <c:v>Williams Bottle 60cl</c:v>
                </c:pt>
                <c:pt idx="12">
                  <c:v>Medium Stout</c:v>
                </c:pt>
                <c:pt idx="13">
                  <c:v>Grand Total</c:v>
                </c:pt>
              </c:strCache>
            </c:strRef>
          </c:cat>
          <c:val>
            <c:numRef>
              <c:f>'30th Sales Report'!$J$2:$J$15</c:f>
              <c:numCache>
                <c:formatCode>General</c:formatCode>
                <c:ptCount val="14"/>
                <c:pt idx="0">
                  <c:v>1255.0</c:v>
                </c:pt>
                <c:pt idx="1">
                  <c:v>8.0</c:v>
                </c:pt>
                <c:pt idx="2">
                  <c:v>11.0</c:v>
                </c:pt>
                <c:pt idx="3">
                  <c:v>4.0</c:v>
                </c:pt>
                <c:pt idx="4">
                  <c:v>4.0</c:v>
                </c:pt>
                <c:pt idx="5">
                  <c:v>2.0</c:v>
                </c:pt>
                <c:pt idx="6">
                  <c:v>1.0</c:v>
                </c:pt>
                <c:pt idx="7">
                  <c:v>3.0</c:v>
                </c:pt>
                <c:pt idx="8">
                  <c:v>22.0</c:v>
                </c:pt>
                <c:pt idx="9">
                  <c:v>1.0</c:v>
                </c:pt>
                <c:pt idx="10">
                  <c:v>2.0</c:v>
                </c:pt>
                <c:pt idx="11">
                  <c:v>1.0</c:v>
                </c:pt>
                <c:pt idx="12">
                  <c:v>1.0</c:v>
                </c:pt>
                <c:pt idx="13">
                  <c:v>1315.0</c:v>
                </c:pt>
              </c:numCache>
            </c:numRef>
          </c:val>
        </c:ser>
        <c:ser>
          <c:idx val="1"/>
          <c:order val="1"/>
          <c:tx>
            <c:strRef>
              <c:f>'30th Sales Report'!$K$1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'30th Sales Report'!$I$2:$I$15</c:f>
              <c:strCache>
                <c:ptCount val="14"/>
                <c:pt idx="0">
                  <c:v>Maltina Pet 33cl</c:v>
                </c:pt>
                <c:pt idx="1">
                  <c:v>Heineken Bottle 60cl</c:v>
                </c:pt>
                <c:pt idx="2">
                  <c:v>33 Export 60cl</c:v>
                </c:pt>
                <c:pt idx="3">
                  <c:v>Turbo King Bottle 60cl</c:v>
                </c:pt>
                <c:pt idx="4">
                  <c:v>Gulder Bottle</c:v>
                </c:pt>
                <c:pt idx="5">
                  <c:v>Desperados Bottle</c:v>
                </c:pt>
                <c:pt idx="6">
                  <c:v>Tiger Bottle</c:v>
                </c:pt>
                <c:pt idx="7">
                  <c:v>Fayrouz Bottle</c:v>
                </c:pt>
                <c:pt idx="8">
                  <c:v>33 Export Can</c:v>
                </c:pt>
                <c:pt idx="9">
                  <c:v>Goldberg 60cl</c:v>
                </c:pt>
                <c:pt idx="10">
                  <c:v>Goldberg Can 50cl</c:v>
                </c:pt>
                <c:pt idx="11">
                  <c:v>Williams Bottle 60cl</c:v>
                </c:pt>
                <c:pt idx="12">
                  <c:v>Medium Stout</c:v>
                </c:pt>
                <c:pt idx="13">
                  <c:v>Grand Total</c:v>
                </c:pt>
              </c:strCache>
            </c:strRef>
          </c:cat>
          <c:val>
            <c:numRef>
              <c:f>'30th Sales Report'!$K$2:$K$15</c:f>
              <c:numCache>
                <c:formatCode>_(* #,##0_);_(* \(#,##0\);_(* \-??_);_(@_)</c:formatCode>
                <c:ptCount val="14"/>
                <c:pt idx="0">
                  <c:v>6213300.0</c:v>
                </c:pt>
                <c:pt idx="1">
                  <c:v>107295.0</c:v>
                </c:pt>
                <c:pt idx="2">
                  <c:v>101200.0</c:v>
                </c:pt>
                <c:pt idx="3">
                  <c:v>35520.0</c:v>
                </c:pt>
                <c:pt idx="4">
                  <c:v>48255.0</c:v>
                </c:pt>
                <c:pt idx="5">
                  <c:v>42800.0</c:v>
                </c:pt>
                <c:pt idx="6">
                  <c:v>15525.0</c:v>
                </c:pt>
                <c:pt idx="7">
                  <c:v>30945.0</c:v>
                </c:pt>
                <c:pt idx="8">
                  <c:v>344410.0</c:v>
                </c:pt>
                <c:pt idx="9">
                  <c:v>9500.0</c:v>
                </c:pt>
                <c:pt idx="10">
                  <c:v>31310.0</c:v>
                </c:pt>
                <c:pt idx="11">
                  <c:v>9345.0</c:v>
                </c:pt>
                <c:pt idx="12">
                  <c:v>18300.0</c:v>
                </c:pt>
                <c:pt idx="13">
                  <c:v>7007705.0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8856240"/>
        <c:axId val="418858200"/>
      </c:barChart>
      <c:lineChart>
        <c:grouping val="standard"/>
        <c:varyColors val="0"/>
        <c:ser>
          <c:idx val="2"/>
          <c:order val="2"/>
          <c:tx>
            <c:strRef>
              <c:f>'30th Sales Report'!$L$1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'30th Sales Report'!$I$2:$I$15</c:f>
              <c:strCache>
                <c:ptCount val="14"/>
                <c:pt idx="0">
                  <c:v>Maltina Pet 33cl</c:v>
                </c:pt>
                <c:pt idx="1">
                  <c:v>Heineken Bottle 60cl</c:v>
                </c:pt>
                <c:pt idx="2">
                  <c:v>33 Export 60cl</c:v>
                </c:pt>
                <c:pt idx="3">
                  <c:v>Turbo King Bottle 60cl</c:v>
                </c:pt>
                <c:pt idx="4">
                  <c:v>Gulder Bottle</c:v>
                </c:pt>
                <c:pt idx="5">
                  <c:v>Desperados Bottle</c:v>
                </c:pt>
                <c:pt idx="6">
                  <c:v>Tiger Bottle</c:v>
                </c:pt>
                <c:pt idx="7">
                  <c:v>Fayrouz Bottle</c:v>
                </c:pt>
                <c:pt idx="8">
                  <c:v>33 Export Can</c:v>
                </c:pt>
                <c:pt idx="9">
                  <c:v>Goldberg 60cl</c:v>
                </c:pt>
                <c:pt idx="10">
                  <c:v>Goldberg Can 50cl</c:v>
                </c:pt>
                <c:pt idx="11">
                  <c:v>Williams Bottle 60cl</c:v>
                </c:pt>
                <c:pt idx="12">
                  <c:v>Medium Stout</c:v>
                </c:pt>
                <c:pt idx="13">
                  <c:v>Grand Total</c:v>
                </c:pt>
              </c:strCache>
            </c:strRef>
          </c:cat>
          <c:val>
            <c:numRef>
              <c:f>'30th Sales Report'!$L$2:$L$15</c:f>
              <c:numCache>
                <c:formatCode>0%</c:formatCode>
                <c:ptCount val="14"/>
                <c:pt idx="0">
                  <c:v>0.886638350215941</c:v>
                </c:pt>
                <c:pt idx="1">
                  <c:v>0.0153110041019135</c:v>
                </c:pt>
                <c:pt idx="2">
                  <c:v>0.0144412471700792</c:v>
                </c:pt>
                <c:pt idx="3">
                  <c:v>0.00506870651661279</c:v>
                </c:pt>
                <c:pt idx="4">
                  <c:v>0.00688599191889499</c:v>
                </c:pt>
                <c:pt idx="5">
                  <c:v>0.00610756303240505</c:v>
                </c:pt>
                <c:pt idx="6">
                  <c:v>0.00221541859995534</c:v>
                </c:pt>
                <c:pt idx="7">
                  <c:v>0.00441585369247136</c:v>
                </c:pt>
                <c:pt idx="8">
                  <c:v>0.04914733140165</c:v>
                </c:pt>
                <c:pt idx="9">
                  <c:v>0.00135565067308056</c:v>
                </c:pt>
                <c:pt idx="10">
                  <c:v>0.00446793921833182</c:v>
                </c:pt>
                <c:pt idx="11">
                  <c:v>0.00133353216209872</c:v>
                </c:pt>
                <c:pt idx="12">
                  <c:v>0.00261141129656571</c:v>
                </c:pt>
                <c:pt idx="13">
                  <c:v>1.0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8861728"/>
        <c:axId val="418868000"/>
      </c:lineChart>
      <c:catAx>
        <c:axId val="41885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858200"/>
        <c:crosses val="autoZero"/>
        <c:auto val="1"/>
        <c:lblAlgn val="ctr"/>
        <c:lblOffset val="100"/>
        <c:noMultiLvlLbl val="0"/>
      </c:catAx>
      <c:valAx>
        <c:axId val="41885820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856240"/>
        <c:crosses val="autoZero"/>
        <c:crossBetween val="between"/>
      </c:valAx>
      <c:catAx>
        <c:axId val="41886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868000"/>
        <c:crosses val="autoZero"/>
        <c:auto val="1"/>
        <c:lblAlgn val="ctr"/>
        <c:lblOffset val="100"/>
        <c:noMultiLvlLbl val="0"/>
      </c:catAx>
      <c:valAx>
        <c:axId val="418868000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861728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Sales Rep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'30th Sales Report'!$J$17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'30th Sales Report'!$I$18:$I$24</c:f>
              <c:strCache>
                <c:ptCount val="7"/>
                <c:pt idx="0">
                  <c:v>FINO STORES</c:v>
                </c:pt>
                <c:pt idx="1">
                  <c:v>Ameh Mathew</c:v>
                </c:pt>
                <c:pt idx="2">
                  <c:v>Mrs Oladejo</c:v>
                </c:pt>
                <c:pt idx="3">
                  <c:v>Staff Debit</c:v>
                </c:pt>
                <c:pt idx="4">
                  <c:v>Mr Olayinka</c:v>
                </c:pt>
                <c:pt idx="5">
                  <c:v>Walk in Customer</c:v>
                </c:pt>
                <c:pt idx="6">
                  <c:v>Total</c:v>
                </c:pt>
              </c:strCache>
            </c:strRef>
          </c:cat>
          <c:val>
            <c:numRef>
              <c:f>'30th Sales Report'!$J$18:$J$24</c:f>
              <c:numCache>
                <c:formatCode>_(* #,##0_);_(* \(#,##0\);_(* \-??_);_(@_)</c:formatCode>
                <c:ptCount val="7"/>
                <c:pt idx="0">
                  <c:v>6138000.0</c:v>
                </c:pt>
                <c:pt idx="1">
                  <c:v>800785.0</c:v>
                </c:pt>
                <c:pt idx="2">
                  <c:v>35975.0</c:v>
                </c:pt>
                <c:pt idx="3">
                  <c:v>9345.0</c:v>
                </c:pt>
                <c:pt idx="4">
                  <c:v>18300.0</c:v>
                </c:pt>
                <c:pt idx="5">
                  <c:v>5300.0</c:v>
                </c:pt>
                <c:pt idx="6">
                  <c:v>7007705.0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8857808"/>
        <c:axId val="418866824"/>
      </c:barChart>
      <c:lineChart>
        <c:grouping val="standard"/>
        <c:varyColors val="0"/>
        <c:ser>
          <c:idx val="1"/>
          <c:order val="1"/>
          <c:tx>
            <c:strRef>
              <c:f>'30th Sales Report'!$K$17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'30th Sales Report'!$I$18:$I$24</c:f>
              <c:strCache>
                <c:ptCount val="7"/>
                <c:pt idx="0">
                  <c:v>FINO STORES</c:v>
                </c:pt>
                <c:pt idx="1">
                  <c:v>Ameh Mathew</c:v>
                </c:pt>
                <c:pt idx="2">
                  <c:v>Mrs Oladejo</c:v>
                </c:pt>
                <c:pt idx="3">
                  <c:v>Staff Debit</c:v>
                </c:pt>
                <c:pt idx="4">
                  <c:v>Mr Olayinka</c:v>
                </c:pt>
                <c:pt idx="5">
                  <c:v>Walk in Customer</c:v>
                </c:pt>
                <c:pt idx="6">
                  <c:v>Total</c:v>
                </c:pt>
              </c:strCache>
            </c:strRef>
          </c:cat>
          <c:val>
            <c:numRef>
              <c:f>'30th Sales Report'!$K$18:$K$24</c:f>
              <c:numCache>
                <c:formatCode>0%</c:formatCode>
                <c:ptCount val="7"/>
                <c:pt idx="0">
                  <c:v>0.875893034880892</c:v>
                </c:pt>
                <c:pt idx="1">
                  <c:v>0.114272076236086</c:v>
                </c:pt>
                <c:pt idx="2">
                  <c:v>0.0051336350488498</c:v>
                </c:pt>
                <c:pt idx="3">
                  <c:v>0.00133353216209872</c:v>
                </c:pt>
                <c:pt idx="4">
                  <c:v>0.00261141129656571</c:v>
                </c:pt>
                <c:pt idx="5">
                  <c:v>0.000756310375508101</c:v>
                </c:pt>
                <c:pt idx="6">
                  <c:v>1.0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8868784"/>
        <c:axId val="418867608"/>
      </c:lineChart>
      <c:catAx>
        <c:axId val="41885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866824"/>
        <c:crosses val="autoZero"/>
        <c:auto val="1"/>
        <c:lblAlgn val="ctr"/>
        <c:lblOffset val="100"/>
        <c:noMultiLvlLbl val="0"/>
      </c:catAx>
      <c:valAx>
        <c:axId val="41886682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_(* #,##0_);_(* \(#,##0\);_(* \-??_);_(@_)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857808"/>
        <c:crosses val="autoZero"/>
        <c:crossBetween val="between"/>
      </c:valAx>
      <c:catAx>
        <c:axId val="41886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867608"/>
        <c:crosses val="autoZero"/>
        <c:auto val="1"/>
        <c:lblAlgn val="ctr"/>
        <c:lblOffset val="100"/>
        <c:noMultiLvlLbl val="0"/>
      </c:catAx>
      <c:valAx>
        <c:axId val="418867608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868784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Invoice Amount &amp; Gross Profit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'30th Sales Report'!$J$26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'30th Sales Report'!$I$27:$I$35</c:f>
              <c:strCache>
                <c:ptCount val="9"/>
                <c:pt idx="0">
                  <c:v>ann-INV422</c:v>
                </c:pt>
                <c:pt idx="1">
                  <c:v>ann-INV423</c:v>
                </c:pt>
                <c:pt idx="2">
                  <c:v>ann-INV424</c:v>
                </c:pt>
                <c:pt idx="3">
                  <c:v>ann-INV425</c:v>
                </c:pt>
                <c:pt idx="4">
                  <c:v>ann-INV426</c:v>
                </c:pt>
                <c:pt idx="5">
                  <c:v>ann-INV427</c:v>
                </c:pt>
                <c:pt idx="6">
                  <c:v>ann-INV428</c:v>
                </c:pt>
                <c:pt idx="7">
                  <c:v>ann-INV429</c:v>
                </c:pt>
                <c:pt idx="8">
                  <c:v>ann-INV430</c:v>
                </c:pt>
              </c:strCache>
            </c:strRef>
          </c:cat>
          <c:val>
            <c:numRef>
              <c:f>'30th Sales Report'!$J$27:$J$35</c:f>
              <c:numCache>
                <c:formatCode>_(* #,##0_);_(* \(#,##0\);_(* \-??_);_(@_)</c:formatCode>
                <c:ptCount val="9"/>
                <c:pt idx="0">
                  <c:v>6138000.0</c:v>
                </c:pt>
                <c:pt idx="1">
                  <c:v>692765.0</c:v>
                </c:pt>
                <c:pt idx="2">
                  <c:v>9500.0</c:v>
                </c:pt>
                <c:pt idx="3">
                  <c:v>165620.0</c:v>
                </c:pt>
                <c:pt idx="4">
                  <c:v>9345.0</c:v>
                </c:pt>
                <c:pt idx="5">
                  <c:v>13950.0</c:v>
                </c:pt>
                <c:pt idx="6">
                  <c:v>12525.0</c:v>
                </c:pt>
                <c:pt idx="7">
                  <c:v>18300.0</c:v>
                </c:pt>
                <c:pt idx="8">
                  <c:v>5300.0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8859376"/>
        <c:axId val="418863688"/>
      </c:barChart>
      <c:lineChart>
        <c:grouping val="standard"/>
        <c:varyColors val="0"/>
        <c:ser>
          <c:idx val="1"/>
          <c:order val="1"/>
          <c:tx>
            <c:strRef>
              <c:f>'30th Sales Report'!$K$26</c:f>
              <c:strCache>
                <c:ptCount val="1"/>
                <c:pt idx="0">
                  <c:v>Gross Profit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'30th Sales Report'!$I$27:$I$35</c:f>
              <c:strCache>
                <c:ptCount val="9"/>
                <c:pt idx="0">
                  <c:v>ann-INV422</c:v>
                </c:pt>
                <c:pt idx="1">
                  <c:v>ann-INV423</c:v>
                </c:pt>
                <c:pt idx="2">
                  <c:v>ann-INV424</c:v>
                </c:pt>
                <c:pt idx="3">
                  <c:v>ann-INV425</c:v>
                </c:pt>
                <c:pt idx="4">
                  <c:v>ann-INV426</c:v>
                </c:pt>
                <c:pt idx="5">
                  <c:v>ann-INV427</c:v>
                </c:pt>
                <c:pt idx="6">
                  <c:v>ann-INV428</c:v>
                </c:pt>
                <c:pt idx="7">
                  <c:v>ann-INV429</c:v>
                </c:pt>
                <c:pt idx="8">
                  <c:v>ann-INV430</c:v>
                </c:pt>
              </c:strCache>
            </c:strRef>
          </c:cat>
          <c:val>
            <c:numRef>
              <c:f>'30th Sales Report'!$K$27:$K$35</c:f>
              <c:numCache>
                <c:formatCode>0%</c:formatCode>
                <c:ptCount val="9"/>
                <c:pt idx="0">
                  <c:v>-0.05</c:v>
                </c:pt>
                <c:pt idx="1">
                  <c:v>0.05</c:v>
                </c:pt>
                <c:pt idx="2">
                  <c:v>0.09</c:v>
                </c:pt>
                <c:pt idx="3">
                  <c:v>0.0</c:v>
                </c:pt>
                <c:pt idx="4">
                  <c:v>0.04</c:v>
                </c:pt>
                <c:pt idx="5">
                  <c:v>0.09</c:v>
                </c:pt>
                <c:pt idx="6">
                  <c:v>0.1</c:v>
                </c:pt>
                <c:pt idx="7">
                  <c:v>0.06</c:v>
                </c:pt>
                <c:pt idx="8">
                  <c:v>0.02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8857024"/>
        <c:axId val="418867216"/>
      </c:lineChart>
      <c:catAx>
        <c:axId val="41885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863688"/>
        <c:crosses val="autoZero"/>
        <c:auto val="1"/>
        <c:lblAlgn val="ctr"/>
        <c:lblOffset val="100"/>
        <c:noMultiLvlLbl val="0"/>
      </c:catAx>
      <c:valAx>
        <c:axId val="41886368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_(* #,##0_);_(* \(#,##0\);_(* \-??_);_(@_)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859376"/>
        <c:crosses val="autoZero"/>
        <c:crossBetween val="between"/>
      </c:valAx>
      <c:catAx>
        <c:axId val="41885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867216"/>
        <c:crosses val="autoZero"/>
        <c:auto val="1"/>
        <c:lblAlgn val="ctr"/>
        <c:lblOffset val="100"/>
        <c:noMultiLvlLbl val="0"/>
      </c:catAx>
      <c:valAx>
        <c:axId val="418867216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857024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'31st Sales Report '!$J$1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'31st Sales Report '!$I$2:$I$13</c:f>
              <c:strCache>
                <c:ptCount val="12"/>
                <c:pt idx="0">
                  <c:v>Goldberg 60cl</c:v>
                </c:pt>
                <c:pt idx="1">
                  <c:v>Heineken Sleek Can</c:v>
                </c:pt>
                <c:pt idx="2">
                  <c:v>33 Export Can</c:v>
                </c:pt>
                <c:pt idx="3">
                  <c:v>Maltina Pet 33cl</c:v>
                </c:pt>
                <c:pt idx="4">
                  <c:v>Trophy</c:v>
                </c:pt>
                <c:pt idx="5">
                  <c:v>Desperados Can</c:v>
                </c:pt>
                <c:pt idx="6">
                  <c:v>Heineken Bottle 60cl</c:v>
                </c:pt>
                <c:pt idx="7">
                  <c:v>33 Export 60cl</c:v>
                </c:pt>
                <c:pt idx="8">
                  <c:v>Turbo King Bottle 60cl</c:v>
                </c:pt>
                <c:pt idx="9">
                  <c:v>Legend Can 44cl</c:v>
                </c:pt>
                <c:pt idx="10">
                  <c:v>CLIMAX CAN</c:v>
                </c:pt>
                <c:pt idx="11">
                  <c:v>Grand Total</c:v>
                </c:pt>
              </c:strCache>
            </c:strRef>
          </c:cat>
          <c:val>
            <c:numRef>
              <c:f>'31st Sales Report '!$J$2:$J$13</c:f>
              <c:numCache>
                <c:formatCode>General</c:formatCode>
                <c:ptCount val="12"/>
                <c:pt idx="0">
                  <c:v>19.0</c:v>
                </c:pt>
                <c:pt idx="1">
                  <c:v>42.0</c:v>
                </c:pt>
                <c:pt idx="2">
                  <c:v>10.0</c:v>
                </c:pt>
                <c:pt idx="3">
                  <c:v>194.0</c:v>
                </c:pt>
                <c:pt idx="4">
                  <c:v>1.0</c:v>
                </c:pt>
                <c:pt idx="5">
                  <c:v>8.0</c:v>
                </c:pt>
                <c:pt idx="6">
                  <c:v>5.0</c:v>
                </c:pt>
                <c:pt idx="7">
                  <c:v>13.0</c:v>
                </c:pt>
                <c:pt idx="8">
                  <c:v>8.0</c:v>
                </c:pt>
                <c:pt idx="9">
                  <c:v>1.0</c:v>
                </c:pt>
                <c:pt idx="10">
                  <c:v>1.0</c:v>
                </c:pt>
                <c:pt idx="11">
                  <c:v>302.0</c:v>
                </c:pt>
              </c:numCache>
            </c:numRef>
          </c:val>
        </c:ser>
        <c:ser>
          <c:idx val="1"/>
          <c:order val="1"/>
          <c:tx>
            <c:strRef>
              <c:f>'31st Sales Report '!$K$1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'31st Sales Report '!$I$2:$I$13</c:f>
              <c:strCache>
                <c:ptCount val="12"/>
                <c:pt idx="0">
                  <c:v>Goldberg 60cl</c:v>
                </c:pt>
                <c:pt idx="1">
                  <c:v>Heineken Sleek Can</c:v>
                </c:pt>
                <c:pt idx="2">
                  <c:v>33 Export Can</c:v>
                </c:pt>
                <c:pt idx="3">
                  <c:v>Maltina Pet 33cl</c:v>
                </c:pt>
                <c:pt idx="4">
                  <c:v>Trophy</c:v>
                </c:pt>
                <c:pt idx="5">
                  <c:v>Desperados Can</c:v>
                </c:pt>
                <c:pt idx="6">
                  <c:v>Heineken Bottle 60cl</c:v>
                </c:pt>
                <c:pt idx="7">
                  <c:v>33 Export 60cl</c:v>
                </c:pt>
                <c:pt idx="8">
                  <c:v>Turbo King Bottle 60cl</c:v>
                </c:pt>
                <c:pt idx="9">
                  <c:v>Legend Can 44cl</c:v>
                </c:pt>
                <c:pt idx="10">
                  <c:v>CLIMAX CAN</c:v>
                </c:pt>
                <c:pt idx="11">
                  <c:v>Grand Total</c:v>
                </c:pt>
              </c:strCache>
            </c:strRef>
          </c:cat>
          <c:val>
            <c:numRef>
              <c:f>'31st Sales Report '!$K$2:$K$13</c:f>
              <c:numCache>
                <c:formatCode>_(* #,##0_);_(* \(#,##0\);_(* \-??_);_(@_)</c:formatCode>
                <c:ptCount val="12"/>
                <c:pt idx="0">
                  <c:v>171700.0</c:v>
                </c:pt>
                <c:pt idx="1">
                  <c:v>722800.0</c:v>
                </c:pt>
                <c:pt idx="2">
                  <c:v>156550.0</c:v>
                </c:pt>
                <c:pt idx="3">
                  <c:v>970300.0</c:v>
                </c:pt>
                <c:pt idx="4">
                  <c:v>9000.0</c:v>
                </c:pt>
                <c:pt idx="5">
                  <c:v>176670.0</c:v>
                </c:pt>
                <c:pt idx="6">
                  <c:v>66675.0</c:v>
                </c:pt>
                <c:pt idx="7">
                  <c:v>119600.0</c:v>
                </c:pt>
                <c:pt idx="8">
                  <c:v>71040.0</c:v>
                </c:pt>
                <c:pt idx="9">
                  <c:v>21170.0</c:v>
                </c:pt>
                <c:pt idx="10">
                  <c:v>12885.0</c:v>
                </c:pt>
                <c:pt idx="11">
                  <c:v>2498390.0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8866040"/>
        <c:axId val="418862512"/>
      </c:barChart>
      <c:lineChart>
        <c:grouping val="standard"/>
        <c:varyColors val="0"/>
        <c:ser>
          <c:idx val="2"/>
          <c:order val="2"/>
          <c:tx>
            <c:strRef>
              <c:f>'31st Sales Report '!$L$1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'31st Sales Report '!$I$2:$I$13</c:f>
              <c:strCache>
                <c:ptCount val="12"/>
                <c:pt idx="0">
                  <c:v>Goldberg 60cl</c:v>
                </c:pt>
                <c:pt idx="1">
                  <c:v>Heineken Sleek Can</c:v>
                </c:pt>
                <c:pt idx="2">
                  <c:v>33 Export Can</c:v>
                </c:pt>
                <c:pt idx="3">
                  <c:v>Maltina Pet 33cl</c:v>
                </c:pt>
                <c:pt idx="4">
                  <c:v>Trophy</c:v>
                </c:pt>
                <c:pt idx="5">
                  <c:v>Desperados Can</c:v>
                </c:pt>
                <c:pt idx="6">
                  <c:v>Heineken Bottle 60cl</c:v>
                </c:pt>
                <c:pt idx="7">
                  <c:v>33 Export 60cl</c:v>
                </c:pt>
                <c:pt idx="8">
                  <c:v>Turbo King Bottle 60cl</c:v>
                </c:pt>
                <c:pt idx="9">
                  <c:v>Legend Can 44cl</c:v>
                </c:pt>
                <c:pt idx="10">
                  <c:v>CLIMAX CAN</c:v>
                </c:pt>
                <c:pt idx="11">
                  <c:v>Grand Total</c:v>
                </c:pt>
              </c:strCache>
            </c:strRef>
          </c:cat>
          <c:val>
            <c:numRef>
              <c:f>'31st Sales Report '!$L$2:$L$13</c:f>
              <c:numCache>
                <c:formatCode>0%</c:formatCode>
                <c:ptCount val="12"/>
                <c:pt idx="0">
                  <c:v>0.068724258422424</c:v>
                </c:pt>
                <c:pt idx="1">
                  <c:v>0.289306313265743</c:v>
                </c:pt>
                <c:pt idx="2">
                  <c:v>0.0626603532675043</c:v>
                </c:pt>
                <c:pt idx="3">
                  <c:v>0.388370110351066</c:v>
                </c:pt>
                <c:pt idx="4">
                  <c:v>0.00360231989401174</c:v>
                </c:pt>
                <c:pt idx="5">
                  <c:v>0.0707135395194505</c:v>
                </c:pt>
                <c:pt idx="6">
                  <c:v>0.026687186548137</c:v>
                </c:pt>
                <c:pt idx="7">
                  <c:v>0.0478708288137561</c:v>
                </c:pt>
                <c:pt idx="8">
                  <c:v>0.0284343116967327</c:v>
                </c:pt>
                <c:pt idx="9">
                  <c:v>0.00847345690624762</c:v>
                </c:pt>
                <c:pt idx="10">
                  <c:v>0.00515732131492681</c:v>
                </c:pt>
                <c:pt idx="11">
                  <c:v>1.0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8864864"/>
        <c:axId val="418858984"/>
      </c:lineChart>
      <c:catAx>
        <c:axId val="418866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862512"/>
        <c:crosses val="autoZero"/>
        <c:auto val="1"/>
        <c:lblAlgn val="ctr"/>
        <c:lblOffset val="100"/>
        <c:noMultiLvlLbl val="0"/>
      </c:catAx>
      <c:valAx>
        <c:axId val="41886251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866040"/>
        <c:crosses val="autoZero"/>
        <c:crossBetween val="between"/>
      </c:valAx>
      <c:catAx>
        <c:axId val="41886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858984"/>
        <c:crosses val="autoZero"/>
        <c:auto val="1"/>
        <c:lblAlgn val="ctr"/>
        <c:lblOffset val="100"/>
        <c:noMultiLvlLbl val="0"/>
      </c:catAx>
      <c:valAx>
        <c:axId val="418858984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864864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Sales Rep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'31st Sales Report '!$J$15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'31st Sales Report '!$I$16:$I$24</c:f>
              <c:strCache>
                <c:ptCount val="9"/>
                <c:pt idx="0">
                  <c:v>Remilekun</c:v>
                </c:pt>
                <c:pt idx="1">
                  <c:v>Rita SR</c:v>
                </c:pt>
                <c:pt idx="2">
                  <c:v>Eniola Marketer</c:v>
                </c:pt>
                <c:pt idx="3">
                  <c:v>Ameh Mathew</c:v>
                </c:pt>
                <c:pt idx="4">
                  <c:v>Stella SR</c:v>
                </c:pt>
                <c:pt idx="5">
                  <c:v>MRS IK.</c:v>
                </c:pt>
                <c:pt idx="6">
                  <c:v>Tmoney NB</c:v>
                </c:pt>
                <c:pt idx="7">
                  <c:v>Mr Godswill</c:v>
                </c:pt>
                <c:pt idx="8">
                  <c:v>Total</c:v>
                </c:pt>
              </c:strCache>
            </c:strRef>
          </c:cat>
          <c:val>
            <c:numRef>
              <c:f>'31st Sales Report '!$J$16:$J$24</c:f>
              <c:numCache>
                <c:formatCode>_(* #,##0_);_(* \(#,##0\);_(* \-??_);_(@_)</c:formatCode>
                <c:ptCount val="9"/>
                <c:pt idx="0">
                  <c:v>9500.0</c:v>
                </c:pt>
                <c:pt idx="1">
                  <c:v>953000.0</c:v>
                </c:pt>
                <c:pt idx="2">
                  <c:v>750000.0</c:v>
                </c:pt>
                <c:pt idx="3">
                  <c:v>470315.0</c:v>
                </c:pt>
                <c:pt idx="4">
                  <c:v>150000.0</c:v>
                </c:pt>
                <c:pt idx="5">
                  <c:v>23500.0</c:v>
                </c:pt>
                <c:pt idx="6">
                  <c:v>137075.0</c:v>
                </c:pt>
                <c:pt idx="7">
                  <c:v>5000.0</c:v>
                </c:pt>
                <c:pt idx="8">
                  <c:v>2498390.0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8865256"/>
        <c:axId val="418865648"/>
      </c:barChart>
      <c:lineChart>
        <c:grouping val="standard"/>
        <c:varyColors val="0"/>
        <c:ser>
          <c:idx val="1"/>
          <c:order val="1"/>
          <c:tx>
            <c:strRef>
              <c:f>'31st Sales Report '!$K$15</c:f>
              <c:strCache>
                <c:ptCount val="1"/>
                <c:pt idx="0">
                  <c:v>% of Total Revenue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'31st Sales Report '!$I$16:$I$24</c:f>
              <c:strCache>
                <c:ptCount val="9"/>
                <c:pt idx="0">
                  <c:v>Remilekun</c:v>
                </c:pt>
                <c:pt idx="1">
                  <c:v>Rita SR</c:v>
                </c:pt>
                <c:pt idx="2">
                  <c:v>Eniola Marketer</c:v>
                </c:pt>
                <c:pt idx="3">
                  <c:v>Ameh Mathew</c:v>
                </c:pt>
                <c:pt idx="4">
                  <c:v>Stella SR</c:v>
                </c:pt>
                <c:pt idx="5">
                  <c:v>MRS IK.</c:v>
                </c:pt>
                <c:pt idx="6">
                  <c:v>Tmoney NB</c:v>
                </c:pt>
                <c:pt idx="7">
                  <c:v>Mr Godswill</c:v>
                </c:pt>
                <c:pt idx="8">
                  <c:v>Total</c:v>
                </c:pt>
              </c:strCache>
            </c:strRef>
          </c:cat>
          <c:val>
            <c:numRef>
              <c:f>'31st Sales Report '!$K$16:$K$24</c:f>
              <c:numCache>
                <c:formatCode>0%</c:formatCode>
                <c:ptCount val="9"/>
                <c:pt idx="0">
                  <c:v>0.0038024487770124</c:v>
                </c:pt>
                <c:pt idx="1">
                  <c:v>0.381445650999244</c:v>
                </c:pt>
                <c:pt idx="2">
                  <c:v>0.300193324500979</c:v>
                </c:pt>
                <c:pt idx="3">
                  <c:v>0.188247231216904</c:v>
                </c:pt>
                <c:pt idx="4">
                  <c:v>0.0600386649001957</c:v>
                </c:pt>
                <c:pt idx="5">
                  <c:v>0.00940605750103066</c:v>
                </c:pt>
                <c:pt idx="6">
                  <c:v>0.0548653332746289</c:v>
                </c:pt>
                <c:pt idx="7">
                  <c:v>0.00200128883000652</c:v>
                </c:pt>
                <c:pt idx="8">
                  <c:v>1.0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8862904"/>
        <c:axId val="418859768"/>
      </c:lineChart>
      <c:catAx>
        <c:axId val="418865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865648"/>
        <c:crosses val="autoZero"/>
        <c:auto val="1"/>
        <c:lblAlgn val="ctr"/>
        <c:lblOffset val="100"/>
        <c:noMultiLvlLbl val="0"/>
      </c:catAx>
      <c:valAx>
        <c:axId val="41886564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_(* #,##0_);_(* \(#,##0\);_(* \-??_);_(@_)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865256"/>
        <c:crosses val="autoZero"/>
        <c:crossBetween val="between"/>
      </c:valAx>
      <c:catAx>
        <c:axId val="418862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859768"/>
        <c:crosses val="autoZero"/>
        <c:auto val="1"/>
        <c:lblAlgn val="ctr"/>
        <c:lblOffset val="100"/>
        <c:noMultiLvlLbl val="0"/>
      </c:catAx>
      <c:valAx>
        <c:axId val="418859768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862904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Invoice Amount &amp; Gross Profit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'31st Sales Report '!$J$26</c:f>
              <c:strCache>
                <c:ptCount val="1"/>
                <c:pt idx="0">
                  <c:v>Amount_NGN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'31st Sales Report '!$I$27:$I$36</c:f>
              <c:strCache>
                <c:ptCount val="10"/>
                <c:pt idx="0">
                  <c:v>ann-INV431</c:v>
                </c:pt>
                <c:pt idx="1">
                  <c:v>ann-INV432</c:v>
                </c:pt>
                <c:pt idx="2">
                  <c:v>ann-INV433</c:v>
                </c:pt>
                <c:pt idx="3">
                  <c:v>ann-INV434</c:v>
                </c:pt>
                <c:pt idx="4">
                  <c:v>ann-INV435</c:v>
                </c:pt>
                <c:pt idx="5">
                  <c:v>ann-INV436</c:v>
                </c:pt>
                <c:pt idx="6">
                  <c:v>ann-INV437</c:v>
                </c:pt>
                <c:pt idx="7">
                  <c:v>ann-INV438</c:v>
                </c:pt>
                <c:pt idx="8">
                  <c:v>ann-INV439</c:v>
                </c:pt>
                <c:pt idx="9">
                  <c:v>ann-INV440</c:v>
                </c:pt>
              </c:strCache>
            </c:strRef>
          </c:cat>
          <c:val>
            <c:numRef>
              <c:f>'31st Sales Report '!$J$27:$J$36</c:f>
              <c:numCache>
                <c:formatCode>_(* #,##0_);_(* \(#,##0\);_(* \-??_);_(@_)</c:formatCode>
                <c:ptCount val="10"/>
                <c:pt idx="0">
                  <c:v>9500.0</c:v>
                </c:pt>
                <c:pt idx="1">
                  <c:v>500550.0</c:v>
                </c:pt>
                <c:pt idx="2">
                  <c:v>750000.0</c:v>
                </c:pt>
                <c:pt idx="3">
                  <c:v>60000.0</c:v>
                </c:pt>
                <c:pt idx="4">
                  <c:v>150000.0</c:v>
                </c:pt>
                <c:pt idx="5">
                  <c:v>23500.0</c:v>
                </c:pt>
                <c:pt idx="6">
                  <c:v>452450.0</c:v>
                </c:pt>
                <c:pt idx="7">
                  <c:v>488715.0</c:v>
                </c:pt>
                <c:pt idx="8">
                  <c:v>137075.0</c:v>
                </c:pt>
                <c:pt idx="9">
                  <c:v>5000.0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8858592"/>
        <c:axId val="418860160"/>
      </c:barChart>
      <c:lineChart>
        <c:grouping val="standard"/>
        <c:varyColors val="0"/>
        <c:ser>
          <c:idx val="1"/>
          <c:order val="1"/>
          <c:tx>
            <c:strRef>
              <c:f>'31st Sales Report '!$K$26</c:f>
              <c:strCache>
                <c:ptCount val="1"/>
                <c:pt idx="0">
                  <c:v>Gross Profit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'31st Sales Report '!$I$27:$I$36</c:f>
              <c:strCache>
                <c:ptCount val="10"/>
                <c:pt idx="0">
                  <c:v>ann-INV431</c:v>
                </c:pt>
                <c:pt idx="1">
                  <c:v>ann-INV432</c:v>
                </c:pt>
                <c:pt idx="2">
                  <c:v>ann-INV433</c:v>
                </c:pt>
                <c:pt idx="3">
                  <c:v>ann-INV434</c:v>
                </c:pt>
                <c:pt idx="4">
                  <c:v>ann-INV435</c:v>
                </c:pt>
                <c:pt idx="5">
                  <c:v>ann-INV436</c:v>
                </c:pt>
                <c:pt idx="6">
                  <c:v>ann-INV437</c:v>
                </c:pt>
                <c:pt idx="7">
                  <c:v>ann-INV438</c:v>
                </c:pt>
                <c:pt idx="8">
                  <c:v>ann-INV439</c:v>
                </c:pt>
                <c:pt idx="9">
                  <c:v>ann-INV440</c:v>
                </c:pt>
              </c:strCache>
            </c:strRef>
          </c:cat>
          <c:val>
            <c:numRef>
              <c:f>'31st Sales Report '!$K$27:$K$36</c:f>
              <c:numCache>
                <c:formatCode>0%</c:formatCode>
                <c:ptCount val="10"/>
                <c:pt idx="0">
                  <c:v>0.09</c:v>
                </c:pt>
                <c:pt idx="1">
                  <c:v>0.01</c:v>
                </c:pt>
                <c:pt idx="2">
                  <c:v>-0.04</c:v>
                </c:pt>
                <c:pt idx="3">
                  <c:v>-0.04</c:v>
                </c:pt>
                <c:pt idx="4">
                  <c:v>-0.04</c:v>
                </c:pt>
                <c:pt idx="5">
                  <c:v>0.06</c:v>
                </c:pt>
                <c:pt idx="6">
                  <c:v>0.01</c:v>
                </c:pt>
                <c:pt idx="7">
                  <c:v>0.07</c:v>
                </c:pt>
                <c:pt idx="8">
                  <c:v>0.04</c:v>
                </c:pt>
                <c:pt idx="9">
                  <c:v>-0.04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8860552"/>
        <c:axId val="418860944"/>
      </c:lineChart>
      <c:catAx>
        <c:axId val="41885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860160"/>
        <c:crosses val="autoZero"/>
        <c:auto val="1"/>
        <c:lblAlgn val="ctr"/>
        <c:lblOffset val="100"/>
        <c:noMultiLvlLbl val="0"/>
      </c:catAx>
      <c:valAx>
        <c:axId val="41886016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_(* #,##0_);_(* \(#,##0\);_(* \-??_);_(@_)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858592"/>
        <c:crosses val="autoZero"/>
        <c:crossBetween val="between"/>
      </c:valAx>
      <c:catAx>
        <c:axId val="418860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860944"/>
        <c:crosses val="autoZero"/>
        <c:auto val="1"/>
        <c:lblAlgn val="ctr"/>
        <c:lblOffset val="100"/>
        <c:noMultiLvlLbl val="0"/>
      </c:catAx>
      <c:valAx>
        <c:axId val="418860944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860552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Relationship Id="rId3" Type="http://schemas.openxmlformats.org/officeDocument/2006/relationships/chart" Target="../charts/chart16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Relationship Id="rId3" Type="http://schemas.openxmlformats.org/officeDocument/2006/relationships/chart" Target="../charts/chart19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<Relationship Id="rId3" Type="http://schemas.openxmlformats.org/officeDocument/2006/relationships/chart" Target="../charts/chart22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.xml"/><Relationship Id="rId2" Type="http://schemas.openxmlformats.org/officeDocument/2006/relationships/chart" Target="../charts/chart24.xml"/><Relationship Id="rId3" Type="http://schemas.openxmlformats.org/officeDocument/2006/relationships/chart" Target="../charts/chart25.xml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<Relationship Id="rId3" Type="http://schemas.openxmlformats.org/officeDocument/2006/relationships/chart" Target="../charts/chart28.xml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.xml"/><Relationship Id="rId2" Type="http://schemas.openxmlformats.org/officeDocument/2006/relationships/chart" Target="../charts/chart30.xml"/><Relationship Id="rId3" Type="http://schemas.openxmlformats.org/officeDocument/2006/relationships/chart" Target="../charts/chart31.xml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.xml"/><Relationship Id="rId2" Type="http://schemas.openxmlformats.org/officeDocument/2006/relationships/chart" Target="../charts/chart33.xml"/><Relationship Id="rId3" Type="http://schemas.openxmlformats.org/officeDocument/2006/relationships/chart" Target="../charts/chart34.xml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.xml"/><Relationship Id="rId2" Type="http://schemas.openxmlformats.org/officeDocument/2006/relationships/chart" Target="../charts/chart36.xml"/><Relationship Id="rId3" Type="http://schemas.openxmlformats.org/officeDocument/2006/relationships/chart" Target="../charts/chart37.xml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.xml"/><Relationship Id="rId2" Type="http://schemas.openxmlformats.org/officeDocument/2006/relationships/chart" Target="../charts/chart39.xml"/><Relationship Id="rId3" Type="http://schemas.openxmlformats.org/officeDocument/2006/relationships/chart" Target="../charts/chart40.xml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.xml"/><Relationship Id="rId2" Type="http://schemas.openxmlformats.org/officeDocument/2006/relationships/chart" Target="../charts/chart42.xml"/><Relationship Id="rId3" Type="http://schemas.openxmlformats.org/officeDocument/2006/relationships/chart" Target="../charts/chart43.xml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.xml"/><Relationship Id="rId2" Type="http://schemas.openxmlformats.org/officeDocument/2006/relationships/chart" Target="../charts/chart45.xml"/><Relationship Id="rId3" Type="http://schemas.openxmlformats.org/officeDocument/2006/relationships/chart" Target="../charts/chart46.xml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.xml"/><Relationship Id="rId2" Type="http://schemas.openxmlformats.org/officeDocument/2006/relationships/chart" Target="../charts/chart48.xml"/><Relationship Id="rId3" Type="http://schemas.openxmlformats.org/officeDocument/2006/relationships/chart" Target="../charts/chart49.xml"/></Relationships>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chart" Target="../charts/chart50.xml"/><Relationship Id="rId2" Type="http://schemas.openxmlformats.org/officeDocument/2006/relationships/chart" Target="../charts/chart51.xml"/><Relationship Id="rId3" Type="http://schemas.openxmlformats.org/officeDocument/2006/relationships/chart" Target="../charts/chart52.xml"/></Relationships>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chart" Target="../charts/chart53.xml"/><Relationship Id="rId2" Type="http://schemas.openxmlformats.org/officeDocument/2006/relationships/chart" Target="../charts/chart54.xml"/><Relationship Id="rId3" Type="http://schemas.openxmlformats.org/officeDocument/2006/relationships/chart" Target="../charts/chart55.xml"/></Relationships>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6.xml"/><Relationship Id="rId2" Type="http://schemas.openxmlformats.org/officeDocument/2006/relationships/chart" Target="../charts/chart57.xml"/><Relationship Id="rId3" Type="http://schemas.openxmlformats.org/officeDocument/2006/relationships/chart" Target="../charts/chart58.xml"/></Relationships>
</file>

<file path=xl/drawings/_rels/drawing26.xml.rels><?xml version="1.0" encoding="UTF-8" standalone="yes"?>
<Relationships xmlns="http://schemas.openxmlformats.org/package/2006/relationships"><Relationship Id="rId1" Type="http://schemas.openxmlformats.org/officeDocument/2006/relationships/chart" Target="../charts/chart59.xml"/><Relationship Id="rId2" Type="http://schemas.openxmlformats.org/officeDocument/2006/relationships/chart" Target="../charts/chart60.xml"/><Relationship Id="rId3" Type="http://schemas.openxmlformats.org/officeDocument/2006/relationships/chart" Target="../charts/chart61.xml"/></Relationships>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chart" Target="../charts/chart62.xml"/><Relationship Id="rId2" Type="http://schemas.openxmlformats.org/officeDocument/2006/relationships/chart" Target="../charts/chart63.xml"/><Relationship Id="rId3" Type="http://schemas.openxmlformats.org/officeDocument/2006/relationships/chart" Target="../charts/chart64.xml"/></Relationships>
</file>

<file path=xl/drawings/_rels/drawing28.xml.rels><?xml version="1.0" encoding="UTF-8" standalone="yes"?>
<Relationships xmlns="http://schemas.openxmlformats.org/package/2006/relationships"><Relationship Id="rId1" Type="http://schemas.openxmlformats.org/officeDocument/2006/relationships/chart" Target="../charts/chart65.xml"/><Relationship Id="rId2" Type="http://schemas.openxmlformats.org/officeDocument/2006/relationships/chart" Target="../charts/chart66.xml"/><Relationship Id="rId3" Type="http://schemas.openxmlformats.org/officeDocument/2006/relationships/chart" Target="../charts/chart67.xml"/></Relationships>
</file>

<file path=xl/drawings/_rels/drawing30.xml.rels><?xml version="1.0" encoding="UTF-8" standalone="yes"?>
<Relationships xmlns="http://schemas.openxmlformats.org/package/2006/relationships"><Relationship Id="rId1" Type="http://schemas.openxmlformats.org/officeDocument/2006/relationships/chart" Target="../charts/chart68.xml"/><Relationship Id="rId2" Type="http://schemas.openxmlformats.org/officeDocument/2006/relationships/chart" Target="../charts/chart69.xml"/><Relationship Id="rId3" Type="http://schemas.openxmlformats.org/officeDocument/2006/relationships/chart" Target="../charts/chart70.xml"/></Relationships>
</file>

<file path=xl/drawings/_rels/drawing31.xml.rels><?xml version="1.0" encoding="UTF-8" standalone="yes"?>
<Relationships xmlns="http://schemas.openxmlformats.org/package/2006/relationships"><Relationship Id="rId1" Type="http://schemas.openxmlformats.org/officeDocument/2006/relationships/chart" Target="../charts/chart71.xml"/><Relationship Id="rId2" Type="http://schemas.openxmlformats.org/officeDocument/2006/relationships/chart" Target="../charts/chart72.xml"/><Relationship Id="rId3" Type="http://schemas.openxmlformats.org/officeDocument/2006/relationships/chart" Target="../charts/chart73.xml"/></Relationships>
</file>

<file path=xl/drawings/_rels/drawing32.xml.rels><?xml version="1.0" encoding="UTF-8" standalone="yes"?>
<Relationships xmlns="http://schemas.openxmlformats.org/package/2006/relationships"><Relationship Id="rId1" Type="http://schemas.openxmlformats.org/officeDocument/2006/relationships/chart" Target="../charts/chart74.xml"/><Relationship Id="rId2" Type="http://schemas.openxmlformats.org/officeDocument/2006/relationships/chart" Target="../charts/chart75.xml"/><Relationship Id="rId3" Type="http://schemas.openxmlformats.org/officeDocument/2006/relationships/chart" Target="../charts/chart76.xml"/></Relationships>
</file>

<file path=xl/drawings/_rels/drawing33.xml.rels><?xml version="1.0" encoding="UTF-8" standalone="yes"?>
<Relationships xmlns="http://schemas.openxmlformats.org/package/2006/relationships"><Relationship Id="rId1" Type="http://schemas.openxmlformats.org/officeDocument/2006/relationships/chart" Target="../charts/chart77.xml"/><Relationship Id="rId2" Type="http://schemas.openxmlformats.org/officeDocument/2006/relationships/chart" Target="../charts/chart78.xml"/><Relationship Id="rId3" Type="http://schemas.openxmlformats.org/officeDocument/2006/relationships/chart" Target="../charts/chart79.xml"/></Relationships>
</file>

<file path=xl/drawings/_rels/drawing34.xml.rels><?xml version="1.0" encoding="UTF-8" standalone="yes"?>
<Relationships xmlns="http://schemas.openxmlformats.org/package/2006/relationships"><Relationship Id="rId1" Type="http://schemas.openxmlformats.org/officeDocument/2006/relationships/chart" Target="../charts/chart80.xml"/><Relationship Id="rId2" Type="http://schemas.openxmlformats.org/officeDocument/2006/relationships/chart" Target="../charts/chart81.xml"/><Relationship Id="rId3" Type="http://schemas.openxmlformats.org/officeDocument/2006/relationships/chart" Target="../charts/chart82.xml"/></Relationships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512945</xdr:colOff>
      <xdr:row>2</xdr:row>
      <xdr:rowOff>177626</xdr:rowOff>
    </xdr:from>
    <xdr:to>
      <xdr:col>24</xdr:col>
      <xdr:colOff>167301</xdr:colOff>
      <xdr:row>15</xdr:row>
      <xdr:rowOff>113779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526481</xdr:colOff>
      <xdr:row>16</xdr:row>
      <xdr:rowOff>152251</xdr:rowOff>
    </xdr:from>
    <xdr:to>
      <xdr:col>24</xdr:col>
      <xdr:colOff>195594</xdr:colOff>
      <xdr:row>29</xdr:row>
      <xdr:rowOff>88403</xdr:rowOff>
    </xdr:to>
    <xdr:graphicFrame macro="">
      <xdr:nvGraphicFramePr>
        <xdr:cNvPr name="图表 2" id="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554978</xdr:colOff>
      <xdr:row>30</xdr:row>
      <xdr:rowOff>152251</xdr:rowOff>
    </xdr:from>
    <xdr:to>
      <xdr:col>24</xdr:col>
      <xdr:colOff>182678</xdr:colOff>
      <xdr:row>45</xdr:row>
      <xdr:rowOff>126603</xdr:rowOff>
    </xdr:to>
    <xdr:graphicFrame macro="">
      <xdr:nvGraphicFramePr>
        <xdr:cNvPr name="图表 3" id="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512945</xdr:colOff>
      <xdr:row>2</xdr:row>
      <xdr:rowOff>177626</xdr:rowOff>
    </xdr:from>
    <xdr:to>
      <xdr:col>24</xdr:col>
      <xdr:colOff>167301</xdr:colOff>
      <xdr:row>15</xdr:row>
      <xdr:rowOff>113779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526481</xdr:colOff>
      <xdr:row>16</xdr:row>
      <xdr:rowOff>152251</xdr:rowOff>
    </xdr:from>
    <xdr:to>
      <xdr:col>24</xdr:col>
      <xdr:colOff>195594</xdr:colOff>
      <xdr:row>29</xdr:row>
      <xdr:rowOff>88403</xdr:rowOff>
    </xdr:to>
    <xdr:graphicFrame macro="">
      <xdr:nvGraphicFramePr>
        <xdr:cNvPr name="图表 2" id="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542867</xdr:colOff>
      <xdr:row>32</xdr:row>
      <xdr:rowOff>12228</xdr:rowOff>
    </xdr:from>
    <xdr:to>
      <xdr:col>24</xdr:col>
      <xdr:colOff>180217</xdr:colOff>
      <xdr:row>46</xdr:row>
      <xdr:rowOff>12017</xdr:rowOff>
    </xdr:to>
    <xdr:graphicFrame macro="">
      <xdr:nvGraphicFramePr>
        <xdr:cNvPr name="图表 3" id="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531468</xdr:colOff>
      <xdr:row>47</xdr:row>
      <xdr:rowOff>139154</xdr:rowOff>
    </xdr:from>
    <xdr:to>
      <xdr:col>24</xdr:col>
      <xdr:colOff>169146</xdr:colOff>
      <xdr:row>60</xdr:row>
      <xdr:rowOff>75530</xdr:rowOff>
    </xdr:to>
    <xdr:graphicFrame macro="">
      <xdr:nvGraphicFramePr>
        <xdr:cNvPr name="图表 4" id="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512945</xdr:colOff>
      <xdr:row>2</xdr:row>
      <xdr:rowOff>177626</xdr:rowOff>
    </xdr:from>
    <xdr:to>
      <xdr:col>24</xdr:col>
      <xdr:colOff>167301</xdr:colOff>
      <xdr:row>15</xdr:row>
      <xdr:rowOff>113779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497984</xdr:colOff>
      <xdr:row>16</xdr:row>
      <xdr:rowOff>203001</xdr:rowOff>
    </xdr:from>
    <xdr:to>
      <xdr:col>24</xdr:col>
      <xdr:colOff>123630</xdr:colOff>
      <xdr:row>29</xdr:row>
      <xdr:rowOff>101500</xdr:rowOff>
    </xdr:to>
    <xdr:graphicFrame macro="">
      <xdr:nvGraphicFramePr>
        <xdr:cNvPr name="图表 2" id="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570652</xdr:colOff>
      <xdr:row>31</xdr:row>
      <xdr:rowOff>139154</xdr:rowOff>
    </xdr:from>
    <xdr:to>
      <xdr:col>24</xdr:col>
      <xdr:colOff>201130</xdr:colOff>
      <xdr:row>44</xdr:row>
      <xdr:rowOff>151804</xdr:rowOff>
    </xdr:to>
    <xdr:graphicFrame macro="">
      <xdr:nvGraphicFramePr>
        <xdr:cNvPr name="图表 3" id="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512945</xdr:colOff>
      <xdr:row>2</xdr:row>
      <xdr:rowOff>177626</xdr:rowOff>
    </xdr:from>
    <xdr:to>
      <xdr:col>24</xdr:col>
      <xdr:colOff>167301</xdr:colOff>
      <xdr:row>15</xdr:row>
      <xdr:rowOff>113779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526481</xdr:colOff>
      <xdr:row>16</xdr:row>
      <xdr:rowOff>152251</xdr:rowOff>
    </xdr:from>
    <xdr:to>
      <xdr:col>24</xdr:col>
      <xdr:colOff>195594</xdr:colOff>
      <xdr:row>29</xdr:row>
      <xdr:rowOff>88478</xdr:rowOff>
    </xdr:to>
    <xdr:graphicFrame macro="">
      <xdr:nvGraphicFramePr>
        <xdr:cNvPr name="图表 2" id="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557828</xdr:colOff>
      <xdr:row>31</xdr:row>
      <xdr:rowOff>25300</xdr:rowOff>
    </xdr:from>
    <xdr:to>
      <xdr:col>24</xdr:col>
      <xdr:colOff>223888</xdr:colOff>
      <xdr:row>43</xdr:row>
      <xdr:rowOff>88478</xdr:rowOff>
    </xdr:to>
    <xdr:graphicFrame macro="">
      <xdr:nvGraphicFramePr>
        <xdr:cNvPr name="图表 3" id="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1078917</xdr:colOff>
      <xdr:row>16</xdr:row>
      <xdr:rowOff>164455</xdr:rowOff>
    </xdr:from>
    <xdr:to>
      <xdr:col>23</xdr:col>
      <xdr:colOff>356130</xdr:colOff>
      <xdr:row>30</xdr:row>
      <xdr:rowOff>151804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1065774</xdr:colOff>
      <xdr:row>31</xdr:row>
      <xdr:rowOff>62917</xdr:rowOff>
    </xdr:from>
    <xdr:to>
      <xdr:col>23</xdr:col>
      <xdr:colOff>342598</xdr:colOff>
      <xdr:row>46</xdr:row>
      <xdr:rowOff>0</xdr:rowOff>
    </xdr:to>
    <xdr:graphicFrame macro="">
      <xdr:nvGraphicFramePr>
        <xdr:cNvPr name="图表 2" id="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45515</xdr:colOff>
      <xdr:row>0</xdr:row>
      <xdr:rowOff>215056</xdr:rowOff>
    </xdr:from>
    <xdr:to>
      <xdr:col>23</xdr:col>
      <xdr:colOff>391189</xdr:colOff>
      <xdr:row>15</xdr:row>
      <xdr:rowOff>101091</xdr:rowOff>
    </xdr:to>
    <xdr:graphicFrame macro="">
      <xdr:nvGraphicFramePr>
        <xdr:cNvPr name="图表 3" id="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232846</xdr:colOff>
      <xdr:row>4</xdr:row>
      <xdr:rowOff>50192</xdr:rowOff>
    </xdr:from>
    <xdr:to>
      <xdr:col>20</xdr:col>
      <xdr:colOff>575713</xdr:colOff>
      <xdr:row>18</xdr:row>
      <xdr:rowOff>75641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257794</xdr:colOff>
      <xdr:row>20</xdr:row>
      <xdr:rowOff>0</xdr:rowOff>
    </xdr:from>
    <xdr:to>
      <xdr:col>20</xdr:col>
      <xdr:colOff>607082</xdr:colOff>
      <xdr:row>34</xdr:row>
      <xdr:rowOff>24742</xdr:rowOff>
    </xdr:to>
    <xdr:graphicFrame macro="">
      <xdr:nvGraphicFramePr>
        <xdr:cNvPr name="图表 2" id="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241162</xdr:colOff>
      <xdr:row>35</xdr:row>
      <xdr:rowOff>75641</xdr:rowOff>
    </xdr:from>
    <xdr:to>
      <xdr:col>20</xdr:col>
      <xdr:colOff>583709</xdr:colOff>
      <xdr:row>50</xdr:row>
      <xdr:rowOff>63301</xdr:rowOff>
    </xdr:to>
    <xdr:graphicFrame macro="">
      <xdr:nvGraphicFramePr>
        <xdr:cNvPr name="图表 3" id="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0</xdr:colOff>
      <xdr:row>2</xdr:row>
      <xdr:rowOff>0</xdr:rowOff>
    </xdr:from>
    <xdr:to>
      <xdr:col>24</xdr:col>
      <xdr:colOff>507439</xdr:colOff>
      <xdr:row>16</xdr:row>
      <xdr:rowOff>25176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16</xdr:row>
      <xdr:rowOff>0</xdr:rowOff>
    </xdr:from>
    <xdr:to>
      <xdr:col>24</xdr:col>
      <xdr:colOff>507439</xdr:colOff>
      <xdr:row>29</xdr:row>
      <xdr:rowOff>88478</xdr:rowOff>
    </xdr:to>
    <xdr:graphicFrame macro="">
      <xdr:nvGraphicFramePr>
        <xdr:cNvPr name="图表 2" id="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30</xdr:row>
      <xdr:rowOff>0</xdr:rowOff>
    </xdr:from>
    <xdr:to>
      <xdr:col>24</xdr:col>
      <xdr:colOff>507439</xdr:colOff>
      <xdr:row>43</xdr:row>
      <xdr:rowOff>88478</xdr:rowOff>
    </xdr:to>
    <xdr:graphicFrame macro="">
      <xdr:nvGraphicFramePr>
        <xdr:cNvPr name="图表 3" id="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17</xdr:col>
      <xdr:colOff>20297</xdr:colOff>
      <xdr:row>5</xdr:row>
      <xdr:rowOff>151990</xdr:rowOff>
    </xdr:from>
    <xdr:to>
      <xdr:col>24</xdr:col>
      <xdr:colOff>354900</xdr:colOff>
      <xdr:row>19</xdr:row>
      <xdr:rowOff>139265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615</xdr:colOff>
      <xdr:row>21</xdr:row>
      <xdr:rowOff>101091</xdr:rowOff>
    </xdr:from>
    <xdr:to>
      <xdr:col>24</xdr:col>
      <xdr:colOff>334602</xdr:colOff>
      <xdr:row>35</xdr:row>
      <xdr:rowOff>37467</xdr:rowOff>
    </xdr:to>
    <xdr:graphicFrame macro="">
      <xdr:nvGraphicFramePr>
        <xdr:cNvPr name="图表 2" id="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20297</xdr:colOff>
      <xdr:row>36</xdr:row>
      <xdr:rowOff>75641</xdr:rowOff>
    </xdr:from>
    <xdr:to>
      <xdr:col>24</xdr:col>
      <xdr:colOff>354900</xdr:colOff>
      <xdr:row>50</xdr:row>
      <xdr:rowOff>37467</xdr:rowOff>
    </xdr:to>
    <xdr:graphicFrame macro="">
      <xdr:nvGraphicFramePr>
        <xdr:cNvPr name="图表 3" id="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220197</xdr:colOff>
      <xdr:row>4</xdr:row>
      <xdr:rowOff>24742</xdr:rowOff>
    </xdr:from>
    <xdr:to>
      <xdr:col>23</xdr:col>
      <xdr:colOff>573252</xdr:colOff>
      <xdr:row>18</xdr:row>
      <xdr:rowOff>50192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249721</xdr:colOff>
      <xdr:row>19</xdr:row>
      <xdr:rowOff>50192</xdr:rowOff>
    </xdr:from>
    <xdr:to>
      <xdr:col>23</xdr:col>
      <xdr:colOff>595395</xdr:colOff>
      <xdr:row>33</xdr:row>
      <xdr:rowOff>126603</xdr:rowOff>
    </xdr:to>
    <xdr:graphicFrame macro="">
      <xdr:nvGraphicFramePr>
        <xdr:cNvPr name="图表 2" id="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273094</xdr:colOff>
      <xdr:row>35</xdr:row>
      <xdr:rowOff>75530</xdr:rowOff>
    </xdr:from>
    <xdr:to>
      <xdr:col>24</xdr:col>
      <xdr:colOff>14761</xdr:colOff>
      <xdr:row>50</xdr:row>
      <xdr:rowOff>113655</xdr:rowOff>
    </xdr:to>
    <xdr:graphicFrame macro="">
      <xdr:nvGraphicFramePr>
        <xdr:cNvPr name="图表 3" id="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206051</xdr:colOff>
      <xdr:row>4</xdr:row>
      <xdr:rowOff>88366</xdr:rowOff>
    </xdr:from>
    <xdr:to>
      <xdr:col>23</xdr:col>
      <xdr:colOff>553570</xdr:colOff>
      <xdr:row>19</xdr:row>
      <xdr:rowOff>75902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193134</xdr:colOff>
      <xdr:row>19</xdr:row>
      <xdr:rowOff>278308</xdr:rowOff>
    </xdr:from>
    <xdr:to>
      <xdr:col>23</xdr:col>
      <xdr:colOff>541268</xdr:colOff>
      <xdr:row>33</xdr:row>
      <xdr:rowOff>164715</xdr:rowOff>
    </xdr:to>
    <xdr:graphicFrame macro="">
      <xdr:nvGraphicFramePr>
        <xdr:cNvPr name="图表 2" id="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199900</xdr:colOff>
      <xdr:row>35</xdr:row>
      <xdr:rowOff>62917</xdr:rowOff>
    </xdr:from>
    <xdr:to>
      <xdr:col>23</xdr:col>
      <xdr:colOff>547419</xdr:colOff>
      <xdr:row>50</xdr:row>
      <xdr:rowOff>37405</xdr:rowOff>
    </xdr:to>
    <xdr:graphicFrame macro="">
      <xdr:nvGraphicFramePr>
        <xdr:cNvPr name="图表 3" id="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587399</xdr:colOff>
      <xdr:row>2</xdr:row>
      <xdr:rowOff>151990</xdr:rowOff>
    </xdr:from>
    <xdr:to>
      <xdr:col>24</xdr:col>
      <xdr:colOff>331527</xdr:colOff>
      <xdr:row>17</xdr:row>
      <xdr:rowOff>126541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593550</xdr:colOff>
      <xdr:row>19</xdr:row>
      <xdr:rowOff>25300</xdr:rowOff>
    </xdr:from>
    <xdr:to>
      <xdr:col>24</xdr:col>
      <xdr:colOff>337677</xdr:colOff>
      <xdr:row>32</xdr:row>
      <xdr:rowOff>88366</xdr:rowOff>
    </xdr:to>
    <xdr:graphicFrame macro="">
      <xdr:nvGraphicFramePr>
        <xdr:cNvPr name="图表 2" id="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15376</xdr:colOff>
      <xdr:row>33</xdr:row>
      <xdr:rowOff>75641</xdr:rowOff>
    </xdr:from>
    <xdr:to>
      <xdr:col>24</xdr:col>
      <xdr:colOff>363511</xdr:colOff>
      <xdr:row>48</xdr:row>
      <xdr:rowOff>63301</xdr:rowOff>
    </xdr:to>
    <xdr:graphicFrame macro="">
      <xdr:nvGraphicFramePr>
        <xdr:cNvPr name="图表 3" id="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167916</xdr:colOff>
      <xdr:row>2</xdr:row>
      <xdr:rowOff>0</xdr:rowOff>
    </xdr:from>
    <xdr:to>
      <xdr:col>23</xdr:col>
      <xdr:colOff>515435</xdr:colOff>
      <xdr:row>16</xdr:row>
      <xdr:rowOff>37467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167916</xdr:colOff>
      <xdr:row>17</xdr:row>
      <xdr:rowOff>113816</xdr:rowOff>
    </xdr:from>
    <xdr:to>
      <xdr:col>23</xdr:col>
      <xdr:colOff>515435</xdr:colOff>
      <xdr:row>31</xdr:row>
      <xdr:rowOff>62917</xdr:rowOff>
    </xdr:to>
    <xdr:graphicFrame macro="">
      <xdr:nvGraphicFramePr>
        <xdr:cNvPr name="图表 2" id="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161765</xdr:colOff>
      <xdr:row>32</xdr:row>
      <xdr:rowOff>164715</xdr:rowOff>
    </xdr:from>
    <xdr:to>
      <xdr:col>23</xdr:col>
      <xdr:colOff>509284</xdr:colOff>
      <xdr:row>47</xdr:row>
      <xdr:rowOff>12017</xdr:rowOff>
    </xdr:to>
    <xdr:graphicFrame macro="">
      <xdr:nvGraphicFramePr>
        <xdr:cNvPr name="图表 3" id="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354900</xdr:colOff>
      <xdr:row>2</xdr:row>
      <xdr:rowOff>126541</xdr:rowOff>
    </xdr:from>
    <xdr:to>
      <xdr:col>24</xdr:col>
      <xdr:colOff>144543</xdr:colOff>
      <xdr:row>16</xdr:row>
      <xdr:rowOff>126541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372122</xdr:colOff>
      <xdr:row>18</xdr:row>
      <xdr:rowOff>88366</xdr:rowOff>
    </xdr:from>
    <xdr:to>
      <xdr:col>24</xdr:col>
      <xdr:colOff>161150</xdr:colOff>
      <xdr:row>32</xdr:row>
      <xdr:rowOff>0</xdr:rowOff>
    </xdr:to>
    <xdr:graphicFrame macro="">
      <xdr:nvGraphicFramePr>
        <xdr:cNvPr name="图表 2" id="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409642</xdr:colOff>
      <xdr:row>33</xdr:row>
      <xdr:rowOff>0</xdr:rowOff>
    </xdr:from>
    <xdr:to>
      <xdr:col>24</xdr:col>
      <xdr:colOff>198670</xdr:colOff>
      <xdr:row>47</xdr:row>
      <xdr:rowOff>0</xdr:rowOff>
    </xdr:to>
    <xdr:graphicFrame macro="">
      <xdr:nvGraphicFramePr>
        <xdr:cNvPr name="图表 3" id="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17</xdr:col>
      <xdr:colOff>517280</xdr:colOff>
      <xdr:row>2</xdr:row>
      <xdr:rowOff>101203</xdr:rowOff>
    </xdr:from>
    <xdr:to>
      <xdr:col>25</xdr:col>
      <xdr:colOff>262638</xdr:colOff>
      <xdr:row>16</xdr:row>
      <xdr:rowOff>177105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511129</xdr:colOff>
      <xdr:row>17</xdr:row>
      <xdr:rowOff>0</xdr:rowOff>
    </xdr:from>
    <xdr:to>
      <xdr:col>25</xdr:col>
      <xdr:colOff>255872</xdr:colOff>
      <xdr:row>30</xdr:row>
      <xdr:rowOff>139154</xdr:rowOff>
    </xdr:to>
    <xdr:graphicFrame macro="">
      <xdr:nvGraphicFramePr>
        <xdr:cNvPr name="图表 2" id="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549264</xdr:colOff>
      <xdr:row>32</xdr:row>
      <xdr:rowOff>37951</xdr:rowOff>
    </xdr:from>
    <xdr:to>
      <xdr:col>25</xdr:col>
      <xdr:colOff>294007</xdr:colOff>
      <xdr:row>46</xdr:row>
      <xdr:rowOff>177675</xdr:rowOff>
    </xdr:to>
    <xdr:graphicFrame macro="">
      <xdr:nvGraphicFramePr>
        <xdr:cNvPr name="图表 3" id="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139622</xdr:colOff>
      <xdr:row>3</xdr:row>
      <xdr:rowOff>0</xdr:rowOff>
    </xdr:from>
    <xdr:to>
      <xdr:col>23</xdr:col>
      <xdr:colOff>474225</xdr:colOff>
      <xdr:row>17</xdr:row>
      <xdr:rowOff>101203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119325</xdr:colOff>
      <xdr:row>18</xdr:row>
      <xdr:rowOff>113853</xdr:rowOff>
    </xdr:from>
    <xdr:to>
      <xdr:col>23</xdr:col>
      <xdr:colOff>454542</xdr:colOff>
      <xdr:row>31</xdr:row>
      <xdr:rowOff>265658</xdr:rowOff>
    </xdr:to>
    <xdr:graphicFrame macro="">
      <xdr:nvGraphicFramePr>
        <xdr:cNvPr name="图表 2" id="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139622</xdr:colOff>
      <xdr:row>33</xdr:row>
      <xdr:rowOff>75902</xdr:rowOff>
    </xdr:from>
    <xdr:to>
      <xdr:col>23</xdr:col>
      <xdr:colOff>474225</xdr:colOff>
      <xdr:row>48</xdr:row>
      <xdr:rowOff>0</xdr:rowOff>
    </xdr:to>
    <xdr:graphicFrame macro="">
      <xdr:nvGraphicFramePr>
        <xdr:cNvPr name="图表 3" id="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381963</xdr:colOff>
      <xdr:row>4</xdr:row>
      <xdr:rowOff>164455</xdr:rowOff>
    </xdr:from>
    <xdr:to>
      <xdr:col>24</xdr:col>
      <xdr:colOff>166071</xdr:colOff>
      <xdr:row>18</xdr:row>
      <xdr:rowOff>177105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369661</xdr:colOff>
      <xdr:row>20</xdr:row>
      <xdr:rowOff>63251</xdr:rowOff>
    </xdr:from>
    <xdr:to>
      <xdr:col>24</xdr:col>
      <xdr:colOff>154384</xdr:colOff>
      <xdr:row>33</xdr:row>
      <xdr:rowOff>139154</xdr:rowOff>
    </xdr:to>
    <xdr:graphicFrame macro="">
      <xdr:nvGraphicFramePr>
        <xdr:cNvPr name="图表 2" id="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406566</xdr:colOff>
      <xdr:row>35</xdr:row>
      <xdr:rowOff>12650</xdr:rowOff>
    </xdr:from>
    <xdr:to>
      <xdr:col>24</xdr:col>
      <xdr:colOff>190674</xdr:colOff>
      <xdr:row>49</xdr:row>
      <xdr:rowOff>12650</xdr:rowOff>
    </xdr:to>
    <xdr:graphicFrame macro="">
      <xdr:nvGraphicFramePr>
        <xdr:cNvPr name="图表 3" id="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61507</xdr:colOff>
      <xdr:row>2</xdr:row>
      <xdr:rowOff>177105</xdr:rowOff>
    </xdr:from>
    <xdr:to>
      <xdr:col>23</xdr:col>
      <xdr:colOff>405951</xdr:colOff>
      <xdr:row>17</xdr:row>
      <xdr:rowOff>113853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51051</xdr:colOff>
      <xdr:row>19</xdr:row>
      <xdr:rowOff>139154</xdr:rowOff>
    </xdr:from>
    <xdr:to>
      <xdr:col>23</xdr:col>
      <xdr:colOff>395495</xdr:colOff>
      <xdr:row>33</xdr:row>
      <xdr:rowOff>113853</xdr:rowOff>
    </xdr:to>
    <xdr:graphicFrame macro="">
      <xdr:nvGraphicFramePr>
        <xdr:cNvPr name="图表 2" id="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40595</xdr:colOff>
      <xdr:row>35</xdr:row>
      <xdr:rowOff>0</xdr:rowOff>
    </xdr:from>
    <xdr:to>
      <xdr:col>23</xdr:col>
      <xdr:colOff>385038</xdr:colOff>
      <xdr:row>49</xdr:row>
      <xdr:rowOff>113655</xdr:rowOff>
    </xdr:to>
    <xdr:graphicFrame macro="">
      <xdr:nvGraphicFramePr>
        <xdr:cNvPr name="图表 3" id="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35059</xdr:colOff>
      <xdr:row>3</xdr:row>
      <xdr:rowOff>126503</xdr:rowOff>
    </xdr:from>
    <xdr:to>
      <xdr:col>23</xdr:col>
      <xdr:colOff>401646</xdr:colOff>
      <xdr:row>18</xdr:row>
      <xdr:rowOff>37951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26448</xdr:colOff>
      <xdr:row>19</xdr:row>
      <xdr:rowOff>151804</xdr:rowOff>
    </xdr:from>
    <xdr:to>
      <xdr:col>23</xdr:col>
      <xdr:colOff>393034</xdr:colOff>
      <xdr:row>32</xdr:row>
      <xdr:rowOff>164455</xdr:rowOff>
    </xdr:to>
    <xdr:graphicFrame macro="">
      <xdr:nvGraphicFramePr>
        <xdr:cNvPr name="图表 2" id="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26448</xdr:colOff>
      <xdr:row>33</xdr:row>
      <xdr:rowOff>139154</xdr:rowOff>
    </xdr:from>
    <xdr:to>
      <xdr:col>23</xdr:col>
      <xdr:colOff>393034</xdr:colOff>
      <xdr:row>48</xdr:row>
      <xdr:rowOff>88478</xdr:rowOff>
    </xdr:to>
    <xdr:graphicFrame macro="">
      <xdr:nvGraphicFramePr>
        <xdr:cNvPr name="图表 3" id="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17</xdr:col>
      <xdr:colOff>247261</xdr:colOff>
      <xdr:row>2</xdr:row>
      <xdr:rowOff>151804</xdr:rowOff>
    </xdr:from>
    <xdr:to>
      <xdr:col>25</xdr:col>
      <xdr:colOff>37519</xdr:colOff>
      <xdr:row>16</xdr:row>
      <xdr:rowOff>278308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185138</xdr:colOff>
      <xdr:row>17</xdr:row>
      <xdr:rowOff>151804</xdr:rowOff>
    </xdr:from>
    <xdr:to>
      <xdr:col>24</xdr:col>
      <xdr:colOff>572637</xdr:colOff>
      <xdr:row>31</xdr:row>
      <xdr:rowOff>139154</xdr:rowOff>
    </xdr:to>
    <xdr:graphicFrame macro="">
      <xdr:nvGraphicFramePr>
        <xdr:cNvPr name="图表 2" id="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197440</xdr:colOff>
      <xdr:row>32</xdr:row>
      <xdr:rowOff>151804</xdr:rowOff>
    </xdr:from>
    <xdr:to>
      <xdr:col>24</xdr:col>
      <xdr:colOff>585554</xdr:colOff>
      <xdr:row>47</xdr:row>
      <xdr:rowOff>88478</xdr:rowOff>
    </xdr:to>
    <xdr:graphicFrame macro="">
      <xdr:nvGraphicFramePr>
        <xdr:cNvPr name="图表 3" id="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225118</xdr:colOff>
      <xdr:row>3</xdr:row>
      <xdr:rowOff>151804</xdr:rowOff>
    </xdr:from>
    <xdr:to>
      <xdr:col>23</xdr:col>
      <xdr:colOff>554185</xdr:colOff>
      <xdr:row>17</xdr:row>
      <xdr:rowOff>88552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234959</xdr:colOff>
      <xdr:row>18</xdr:row>
      <xdr:rowOff>88552</xdr:rowOff>
    </xdr:from>
    <xdr:to>
      <xdr:col>23</xdr:col>
      <xdr:colOff>538808</xdr:colOff>
      <xdr:row>32</xdr:row>
      <xdr:rowOff>25300</xdr:rowOff>
    </xdr:to>
    <xdr:graphicFrame macro="">
      <xdr:nvGraphicFramePr>
        <xdr:cNvPr name="图表 2" id="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234959</xdr:colOff>
      <xdr:row>33</xdr:row>
      <xdr:rowOff>177105</xdr:rowOff>
    </xdr:from>
    <xdr:to>
      <xdr:col>23</xdr:col>
      <xdr:colOff>538808</xdr:colOff>
      <xdr:row>48</xdr:row>
      <xdr:rowOff>63301</xdr:rowOff>
    </xdr:to>
    <xdr:graphicFrame macro="">
      <xdr:nvGraphicFramePr>
        <xdr:cNvPr name="图表 3" id="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30138</xdr:colOff>
      <xdr:row>4</xdr:row>
      <xdr:rowOff>37951</xdr:rowOff>
    </xdr:from>
    <xdr:to>
      <xdr:col>23</xdr:col>
      <xdr:colOff>365356</xdr:colOff>
      <xdr:row>18</xdr:row>
      <xdr:rowOff>0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50436</xdr:colOff>
      <xdr:row>20</xdr:row>
      <xdr:rowOff>0</xdr:rowOff>
    </xdr:from>
    <xdr:to>
      <xdr:col>23</xdr:col>
      <xdr:colOff>385038</xdr:colOff>
      <xdr:row>33</xdr:row>
      <xdr:rowOff>151804</xdr:rowOff>
    </xdr:to>
    <xdr:graphicFrame macro="">
      <xdr:nvGraphicFramePr>
        <xdr:cNvPr name="图表 2" id="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79960</xdr:colOff>
      <xdr:row>35</xdr:row>
      <xdr:rowOff>25300</xdr:rowOff>
    </xdr:from>
    <xdr:to>
      <xdr:col>23</xdr:col>
      <xdr:colOff>414562</xdr:colOff>
      <xdr:row>49</xdr:row>
      <xdr:rowOff>126603</xdr:rowOff>
    </xdr:to>
    <xdr:graphicFrame macro="">
      <xdr:nvGraphicFramePr>
        <xdr:cNvPr name="图表 3" id="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240495</xdr:colOff>
      <xdr:row>3</xdr:row>
      <xdr:rowOff>12650</xdr:rowOff>
    </xdr:from>
    <xdr:to>
      <xdr:col>24</xdr:col>
      <xdr:colOff>9841</xdr:colOff>
      <xdr:row>17</xdr:row>
      <xdr:rowOff>75902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240495</xdr:colOff>
      <xdr:row>17</xdr:row>
      <xdr:rowOff>290959</xdr:rowOff>
    </xdr:from>
    <xdr:to>
      <xdr:col>24</xdr:col>
      <xdr:colOff>9841</xdr:colOff>
      <xdr:row>32</xdr:row>
      <xdr:rowOff>37951</xdr:rowOff>
    </xdr:to>
    <xdr:graphicFrame macro="">
      <xdr:nvGraphicFramePr>
        <xdr:cNvPr name="图表 2" id="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231884</xdr:colOff>
      <xdr:row>33</xdr:row>
      <xdr:rowOff>12650</xdr:rowOff>
    </xdr:from>
    <xdr:to>
      <xdr:col>24</xdr:col>
      <xdr:colOff>1230</xdr:colOff>
      <xdr:row>47</xdr:row>
      <xdr:rowOff>75902</xdr:rowOff>
    </xdr:to>
    <xdr:graphicFrame macro="">
      <xdr:nvGraphicFramePr>
        <xdr:cNvPr name="图表 3" id="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20</xdr:col>
      <xdr:colOff>3075</xdr:colOff>
      <xdr:row>1</xdr:row>
      <xdr:rowOff>177105</xdr:rowOff>
    </xdr:from>
    <xdr:to>
      <xdr:col>27</xdr:col>
      <xdr:colOff>363511</xdr:colOff>
      <xdr:row>15</xdr:row>
      <xdr:rowOff>265658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3075</xdr:colOff>
      <xdr:row>16</xdr:row>
      <xdr:rowOff>177105</xdr:rowOff>
    </xdr:from>
    <xdr:to>
      <xdr:col>27</xdr:col>
      <xdr:colOff>363511</xdr:colOff>
      <xdr:row>31</xdr:row>
      <xdr:rowOff>75902</xdr:rowOff>
    </xdr:to>
    <xdr:graphicFrame macro="">
      <xdr:nvGraphicFramePr>
        <xdr:cNvPr name="图表 2" id="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14146</xdr:colOff>
      <xdr:row>31</xdr:row>
      <xdr:rowOff>303609</xdr:rowOff>
    </xdr:from>
    <xdr:to>
      <xdr:col>27</xdr:col>
      <xdr:colOff>374582</xdr:colOff>
      <xdr:row>46</xdr:row>
      <xdr:rowOff>75902</xdr:rowOff>
    </xdr:to>
    <xdr:graphicFrame macro="">
      <xdr:nvGraphicFramePr>
        <xdr:cNvPr name="图表 3" id="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104563</xdr:colOff>
      <xdr:row>33</xdr:row>
      <xdr:rowOff>113816</xdr:rowOff>
    </xdr:from>
    <xdr:to>
      <xdr:col>23</xdr:col>
      <xdr:colOff>452697</xdr:colOff>
      <xdr:row>48</xdr:row>
      <xdr:rowOff>88478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66428</xdr:colOff>
      <xdr:row>18</xdr:row>
      <xdr:rowOff>151804</xdr:rowOff>
    </xdr:from>
    <xdr:to>
      <xdr:col>23</xdr:col>
      <xdr:colOff>414562</xdr:colOff>
      <xdr:row>32</xdr:row>
      <xdr:rowOff>37467</xdr:rowOff>
    </xdr:to>
    <xdr:graphicFrame macro="">
      <xdr:nvGraphicFramePr>
        <xdr:cNvPr name="图表 2" id="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47361</xdr:colOff>
      <xdr:row>2</xdr:row>
      <xdr:rowOff>151990</xdr:rowOff>
    </xdr:from>
    <xdr:to>
      <xdr:col>23</xdr:col>
      <xdr:colOff>395495</xdr:colOff>
      <xdr:row>17</xdr:row>
      <xdr:rowOff>139265</xdr:rowOff>
    </xdr:to>
    <xdr:graphicFrame macro="">
      <xdr:nvGraphicFramePr>
        <xdr:cNvPr name="图表 3" id="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0</xdr:colOff>
      <xdr:row>2</xdr:row>
      <xdr:rowOff>0</xdr:rowOff>
    </xdr:from>
    <xdr:to>
      <xdr:col>24</xdr:col>
      <xdr:colOff>507439</xdr:colOff>
      <xdr:row>16</xdr:row>
      <xdr:rowOff>25176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16</xdr:row>
      <xdr:rowOff>0</xdr:rowOff>
    </xdr:from>
    <xdr:to>
      <xdr:col>24</xdr:col>
      <xdr:colOff>507439</xdr:colOff>
      <xdr:row>28</xdr:row>
      <xdr:rowOff>139551</xdr:rowOff>
    </xdr:to>
    <xdr:graphicFrame macro="">
      <xdr:nvGraphicFramePr>
        <xdr:cNvPr name="图表 2" id="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30</xdr:row>
      <xdr:rowOff>0</xdr:rowOff>
    </xdr:from>
    <xdr:to>
      <xdr:col>24</xdr:col>
      <xdr:colOff>507439</xdr:colOff>
      <xdr:row>44</xdr:row>
      <xdr:rowOff>25176</xdr:rowOff>
    </xdr:to>
    <xdr:graphicFrame macro="">
      <xdr:nvGraphicFramePr>
        <xdr:cNvPr name="图表 3" id="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0</xdr:colOff>
      <xdr:row>2</xdr:row>
      <xdr:rowOff>0</xdr:rowOff>
    </xdr:from>
    <xdr:to>
      <xdr:col>24</xdr:col>
      <xdr:colOff>507439</xdr:colOff>
      <xdr:row>16</xdr:row>
      <xdr:rowOff>25300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16</xdr:row>
      <xdr:rowOff>0</xdr:rowOff>
    </xdr:from>
    <xdr:to>
      <xdr:col>24</xdr:col>
      <xdr:colOff>507439</xdr:colOff>
      <xdr:row>28</xdr:row>
      <xdr:rowOff>139551</xdr:rowOff>
    </xdr:to>
    <xdr:graphicFrame macro="">
      <xdr:nvGraphicFramePr>
        <xdr:cNvPr name="图表 2" id="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30</xdr:row>
      <xdr:rowOff>0</xdr:rowOff>
    </xdr:from>
    <xdr:to>
      <xdr:col>24</xdr:col>
      <xdr:colOff>507439</xdr:colOff>
      <xdr:row>44</xdr:row>
      <xdr:rowOff>25176</xdr:rowOff>
    </xdr:to>
    <xdr:graphicFrame macro="">
      <xdr:nvGraphicFramePr>
        <xdr:cNvPr name="图表 3" id="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0</xdr:colOff>
      <xdr:row>2</xdr:row>
      <xdr:rowOff>0</xdr:rowOff>
    </xdr:from>
    <xdr:to>
      <xdr:col>24</xdr:col>
      <xdr:colOff>507439</xdr:colOff>
      <xdr:row>15</xdr:row>
      <xdr:rowOff>88478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16</xdr:row>
      <xdr:rowOff>0</xdr:rowOff>
    </xdr:from>
    <xdr:to>
      <xdr:col>24</xdr:col>
      <xdr:colOff>507439</xdr:colOff>
      <xdr:row>29</xdr:row>
      <xdr:rowOff>88478</xdr:rowOff>
    </xdr:to>
    <xdr:graphicFrame macro="">
      <xdr:nvGraphicFramePr>
        <xdr:cNvPr name="图表 2" id="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30</xdr:row>
      <xdr:rowOff>0</xdr:rowOff>
    </xdr:from>
    <xdr:to>
      <xdr:col>24</xdr:col>
      <xdr:colOff>507439</xdr:colOff>
      <xdr:row>44</xdr:row>
      <xdr:rowOff>25176</xdr:rowOff>
    </xdr:to>
    <xdr:graphicFrame macro="">
      <xdr:nvGraphicFramePr>
        <xdr:cNvPr name="图表 3" id="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bk://v_id/?1203" TargetMode="External"/><Relationship Id="rId2" Type="http://schemas.openxmlformats.org/officeDocument/2006/relationships/hyperlink" Target="bk://v_id/?1206" TargetMode="External"/><Relationship Id="rId3" Type="http://schemas.openxmlformats.org/officeDocument/2006/relationships/hyperlink" Target="bk://v_id/?1207" TargetMode="External"/><Relationship Id="rId4" Type="http://schemas.openxmlformats.org/officeDocument/2006/relationships/hyperlink" Target="bk://v_id/?1211" TargetMode="External"/><Relationship Id="rId5" Type="http://schemas.openxmlformats.org/officeDocument/2006/relationships/hyperlink" Target="bk://v_id/?1212" TargetMode="External"/><Relationship Id="rId6" Type="http://schemas.openxmlformats.org/officeDocument/2006/relationships/hyperlink" Target="bk://v_id/?1213" TargetMode="External"/><Relationship Id="rId7" Type="http://schemas.openxmlformats.org/officeDocument/2006/relationships/hyperlink" Target="bk://v_id/?1214" TargetMode="External"/><Relationship Id="rId8" Type="http://schemas.openxmlformats.org/officeDocument/2006/relationships/hyperlink" Target="bk://v_id/?1217" TargetMode="External"/><Relationship Id="rId9" Type="http://schemas.openxmlformats.org/officeDocument/2006/relationships/hyperlink" Target="bk://v_id/?1218" TargetMode="External"/><Relationship Id="rId10" Type="http://schemas.openxmlformats.org/officeDocument/2006/relationships/hyperlink" Target="bk://v_id/?1220" TargetMode="External"/><Relationship Id="rId11" Type="http://schemas.openxmlformats.org/officeDocument/2006/relationships/hyperlink" Target="bk://v_id/?1221" TargetMode="External"/><Relationship Id="rId12" Type="http://schemas.openxmlformats.org/officeDocument/2006/relationships/hyperlink" Target="bk://v_id/?1222" TargetMode="External"/><Relationship Id="rId13" Type="http://schemas.openxmlformats.org/officeDocument/2006/relationships/hyperlink" Target="bk://v_id/?1223" TargetMode="External"/><Relationship Id="rId14" Type="http://schemas.openxmlformats.org/officeDocument/2006/relationships/hyperlink" Target="bk://v_id/?1224" TargetMode="External"/><Relationship Id="rId15" Type="http://schemas.openxmlformats.org/officeDocument/2006/relationships/hyperlink" Target="bk://v_id/?1225" TargetMode="External"/><Relationship Id="rId16" Type="http://schemas.openxmlformats.org/officeDocument/2006/relationships/hyperlink" Target="bk://v_id/?1226" TargetMode="External"/><Relationship Id="rId17" Type="http://schemas.openxmlformats.org/officeDocument/2006/relationships/hyperlink" Target="bk://v_id/?1227" TargetMode="External"/><Relationship Id="rId18" Type="http://schemas.openxmlformats.org/officeDocument/2006/relationships/hyperlink" Target="bk://v_id/?1239" TargetMode="External"/><Relationship Id="rId19" Type="http://schemas.openxmlformats.org/officeDocument/2006/relationships/hyperlink" Target="bk://v_id/?1240" TargetMode="External"/><Relationship Id="rId20" Type="http://schemas.openxmlformats.org/officeDocument/2006/relationships/hyperlink" Target="bk://v_id/?1241" TargetMode="External"/><Relationship Id="rId21" Type="http://schemas.openxmlformats.org/officeDocument/2006/relationships/hyperlink" Target="bk://v_id/?1242" TargetMode="External"/><Relationship Id="rId22" Type="http://schemas.openxmlformats.org/officeDocument/2006/relationships/hyperlink" Target="bk://v_id/?1243" TargetMode="External"/><Relationship Id="rId23" Type="http://schemas.openxmlformats.org/officeDocument/2006/relationships/hyperlink" Target="bk://v_id/?1246" TargetMode="External"/><Relationship Id="rId24" Type="http://schemas.openxmlformats.org/officeDocument/2006/relationships/hyperlink" Target="bk://v_id/?1247" TargetMode="External"/><Relationship Id="rId25" Type="http://schemas.openxmlformats.org/officeDocument/2006/relationships/hyperlink" Target="bk://v_id/?1248" TargetMode="External"/><Relationship Id="rId26" Type="http://schemas.openxmlformats.org/officeDocument/2006/relationships/hyperlink" Target="bk://v_id/?1252" TargetMode="External"/><Relationship Id="rId27" Type="http://schemas.openxmlformats.org/officeDocument/2006/relationships/hyperlink" Target="bk://v_id/?1253" TargetMode="External"/><Relationship Id="rId28" Type="http://schemas.openxmlformats.org/officeDocument/2006/relationships/hyperlink" Target="bk://v_id/?1254" TargetMode="External"/><Relationship Id="rId29" Type="http://schemas.openxmlformats.org/officeDocument/2006/relationships/hyperlink" Target="bk://v_id/?1255" TargetMode="External"/><Relationship Id="rId30" Type="http://schemas.openxmlformats.org/officeDocument/2006/relationships/hyperlink" Target="bk://v_id/?1256" TargetMode="External"/><Relationship Id="rId31" Type="http://schemas.openxmlformats.org/officeDocument/2006/relationships/hyperlink" Target="bk://v_id/?1267" TargetMode="External"/><Relationship Id="rId32" Type="http://schemas.openxmlformats.org/officeDocument/2006/relationships/hyperlink" Target="bk://v_id/?1268" TargetMode="External"/><Relationship Id="rId33" Type="http://schemas.openxmlformats.org/officeDocument/2006/relationships/hyperlink" Target="bk://v_id/?1269" TargetMode="External"/><Relationship Id="rId34" Type="http://schemas.openxmlformats.org/officeDocument/2006/relationships/hyperlink" Target="bk://v_id/?1270" TargetMode="External"/><Relationship Id="rId35" Type="http://schemas.openxmlformats.org/officeDocument/2006/relationships/hyperlink" Target="bk://v_id/?1275" TargetMode="External"/><Relationship Id="rId36" Type="http://schemas.openxmlformats.org/officeDocument/2006/relationships/hyperlink" Target="bk://v_id/?1276" TargetMode="External"/><Relationship Id="rId37" Type="http://schemas.openxmlformats.org/officeDocument/2006/relationships/hyperlink" Target="bk://v_id/?1277" TargetMode="External"/><Relationship Id="rId38" Type="http://schemas.openxmlformats.org/officeDocument/2006/relationships/hyperlink" Target="bk://v_id/?1283" TargetMode="External"/><Relationship Id="rId39" Type="http://schemas.openxmlformats.org/officeDocument/2006/relationships/hyperlink" Target="bk://v_id/?1284" TargetMode="External"/><Relationship Id="rId40" Type="http://schemas.openxmlformats.org/officeDocument/2006/relationships/hyperlink" Target="bk://v_id/?1304" TargetMode="External"/><Relationship Id="rId41" Type="http://schemas.openxmlformats.org/officeDocument/2006/relationships/hyperlink" Target="bk://v_id/?1305" TargetMode="External"/><Relationship Id="rId42" Type="http://schemas.openxmlformats.org/officeDocument/2006/relationships/hyperlink" Target="bk://v_id/?1306" TargetMode="External"/><Relationship Id="rId43" Type="http://schemas.openxmlformats.org/officeDocument/2006/relationships/hyperlink" Target="bk://v_id/?1310" TargetMode="External"/><Relationship Id="rId44" Type="http://schemas.openxmlformats.org/officeDocument/2006/relationships/hyperlink" Target="bk://v_id/?1313" TargetMode="External"/><Relationship Id="rId45" Type="http://schemas.openxmlformats.org/officeDocument/2006/relationships/hyperlink" Target="bk://v_id/?1314" TargetMode="External"/><Relationship Id="rId46" Type="http://schemas.openxmlformats.org/officeDocument/2006/relationships/hyperlink" Target="bk://v_id/?1315" TargetMode="External"/><Relationship Id="rId47" Type="http://schemas.openxmlformats.org/officeDocument/2006/relationships/hyperlink" Target="bk://v_id/?1319" TargetMode="External"/><Relationship Id="rId48" Type="http://schemas.openxmlformats.org/officeDocument/2006/relationships/hyperlink" Target="bk://v_id/?1320" TargetMode="External"/><Relationship Id="rId49" Type="http://schemas.openxmlformats.org/officeDocument/2006/relationships/hyperlink" Target="bk://v_id/?1321" TargetMode="External"/><Relationship Id="rId50" Type="http://schemas.openxmlformats.org/officeDocument/2006/relationships/hyperlink" Target="bk://v_id/?1322" TargetMode="External"/><Relationship Id="rId51" Type="http://schemas.openxmlformats.org/officeDocument/2006/relationships/hyperlink" Target="bk://v_id/?1338" TargetMode="External"/><Relationship Id="rId52" Type="http://schemas.openxmlformats.org/officeDocument/2006/relationships/hyperlink" Target="bk://v_id/?1339" TargetMode="External"/><Relationship Id="rId53" Type="http://schemas.openxmlformats.org/officeDocument/2006/relationships/hyperlink" Target="bk://v_id/?1344" TargetMode="External"/><Relationship Id="rId54" Type="http://schemas.openxmlformats.org/officeDocument/2006/relationships/hyperlink" Target="bk://v_id/?1345" TargetMode="External"/><Relationship Id="rId55" Type="http://schemas.openxmlformats.org/officeDocument/2006/relationships/hyperlink" Target="bk://v_id/?1351" TargetMode="External"/><Relationship Id="rId56" Type="http://schemas.openxmlformats.org/officeDocument/2006/relationships/hyperlink" Target="bk://v_id/?1353" TargetMode="External"/><Relationship Id="rId57" Type="http://schemas.openxmlformats.org/officeDocument/2006/relationships/hyperlink" Target="bk://v_id/?1354" TargetMode="External"/><Relationship Id="rId58" Type="http://schemas.openxmlformats.org/officeDocument/2006/relationships/hyperlink" Target="bk://v_id/?1357" TargetMode="External"/><Relationship Id="rId59" Type="http://schemas.openxmlformats.org/officeDocument/2006/relationships/hyperlink" Target="bk://v_id/?1358" TargetMode="External"/><Relationship Id="rId60" Type="http://schemas.openxmlformats.org/officeDocument/2006/relationships/hyperlink" Target="bk://v_id/?1359" TargetMode="External"/><Relationship Id="rId61" Type="http://schemas.openxmlformats.org/officeDocument/2006/relationships/hyperlink" Target="bk://v_id/?1366" TargetMode="External"/><Relationship Id="rId62" Type="http://schemas.openxmlformats.org/officeDocument/2006/relationships/hyperlink" Target="bk://v_id/?1370" TargetMode="External"/><Relationship Id="rId63" Type="http://schemas.openxmlformats.org/officeDocument/2006/relationships/hyperlink" Target="bk://v_id/?1371" TargetMode="External"/><Relationship Id="rId64" Type="http://schemas.openxmlformats.org/officeDocument/2006/relationships/hyperlink" Target="bk://v_id/?1374" TargetMode="External"/><Relationship Id="rId65" Type="http://schemas.openxmlformats.org/officeDocument/2006/relationships/hyperlink" Target="bk://v_id/?1375" TargetMode="External"/><Relationship Id="rId66" Type="http://schemas.openxmlformats.org/officeDocument/2006/relationships/hyperlink" Target="bk://v_id/?1383" TargetMode="External"/><Relationship Id="rId67" Type="http://schemas.openxmlformats.org/officeDocument/2006/relationships/hyperlink" Target="bk://v_id/?1392" TargetMode="External"/><Relationship Id="rId68" Type="http://schemas.openxmlformats.org/officeDocument/2006/relationships/hyperlink" Target="bk://v_id/?1393" TargetMode="External"/><Relationship Id="rId69" Type="http://schemas.openxmlformats.org/officeDocument/2006/relationships/hyperlink" Target="bk://v_id/?1394" TargetMode="External"/><Relationship Id="rId70" Type="http://schemas.openxmlformats.org/officeDocument/2006/relationships/hyperlink" Target="bk://v_id/?1395" TargetMode="External"/><Relationship Id="rId71" Type="http://schemas.openxmlformats.org/officeDocument/2006/relationships/hyperlink" Target="bk://v_id/?1397" TargetMode="External"/><Relationship Id="rId72" Type="http://schemas.openxmlformats.org/officeDocument/2006/relationships/hyperlink" Target="bk://v_id/?1399" TargetMode="External"/><Relationship Id="rId73" Type="http://schemas.openxmlformats.org/officeDocument/2006/relationships/hyperlink" Target="bk://v_id/?1401" TargetMode="External"/><Relationship Id="rId74" Type="http://schemas.openxmlformats.org/officeDocument/2006/relationships/hyperlink" Target="bk://v_id/?1404" TargetMode="External"/><Relationship Id="rId75" Type="http://schemas.openxmlformats.org/officeDocument/2006/relationships/hyperlink" Target="bk://v_id/?1405" TargetMode="External"/><Relationship Id="rId76" Type="http://schemas.openxmlformats.org/officeDocument/2006/relationships/hyperlink" Target="bk://v_id/?1409" TargetMode="External"/><Relationship Id="rId77" Type="http://schemas.openxmlformats.org/officeDocument/2006/relationships/hyperlink" Target="bk://v_id/?1410" TargetMode="External"/><Relationship Id="rId78" Type="http://schemas.openxmlformats.org/officeDocument/2006/relationships/hyperlink" Target="bk://v_id/?1411" TargetMode="External"/><Relationship Id="rId79" Type="http://schemas.openxmlformats.org/officeDocument/2006/relationships/hyperlink" Target="bk://v_id/?1417" TargetMode="External"/><Relationship Id="rId80" Type="http://schemas.openxmlformats.org/officeDocument/2006/relationships/hyperlink" Target="bk://v_id/?1420" TargetMode="External"/><Relationship Id="rId81" Type="http://schemas.openxmlformats.org/officeDocument/2006/relationships/hyperlink" Target="bk://v_id/?1421" TargetMode="External"/><Relationship Id="rId82" Type="http://schemas.openxmlformats.org/officeDocument/2006/relationships/hyperlink" Target="bk://v_id/?1425" TargetMode="External"/><Relationship Id="rId83" Type="http://schemas.openxmlformats.org/officeDocument/2006/relationships/hyperlink" Target="bk://v_id/?1429" TargetMode="External"/><Relationship Id="rId84" Type="http://schemas.openxmlformats.org/officeDocument/2006/relationships/hyperlink" Target="bk://v_id/?1445" TargetMode="External"/><Relationship Id="rId85" Type="http://schemas.openxmlformats.org/officeDocument/2006/relationships/hyperlink" Target="bk://v_id/?1447" TargetMode="External"/><Relationship Id="rId86" Type="http://schemas.openxmlformats.org/officeDocument/2006/relationships/hyperlink" Target="bk://v_id/?1448" TargetMode="External"/><Relationship Id="rId87" Type="http://schemas.openxmlformats.org/officeDocument/2006/relationships/hyperlink" Target="bk://v_id/?1449" TargetMode="External"/><Relationship Id="rId88" Type="http://schemas.openxmlformats.org/officeDocument/2006/relationships/hyperlink" Target="bk://v_id/?1450" TargetMode="External"/><Relationship Id="rId89" Type="http://schemas.openxmlformats.org/officeDocument/2006/relationships/hyperlink" Target="bk://v_id/?1451" TargetMode="External"/><Relationship Id="rId90" Type="http://schemas.openxmlformats.org/officeDocument/2006/relationships/hyperlink" Target="bk://v_id/?1452" TargetMode="External"/><Relationship Id="rId91" Type="http://schemas.openxmlformats.org/officeDocument/2006/relationships/hyperlink" Target="bk://v_id/?1453" TargetMode="External"/><Relationship Id="rId92" Type="http://schemas.openxmlformats.org/officeDocument/2006/relationships/hyperlink" Target="bk://v_id/?1454" TargetMode="External"/><Relationship Id="rId93" Type="http://schemas.openxmlformats.org/officeDocument/2006/relationships/hyperlink" Target="bk://v_id/?1455" TargetMode="External"/><Relationship Id="rId94" Type="http://schemas.openxmlformats.org/officeDocument/2006/relationships/hyperlink" Target="bk://v_id/?1456" TargetMode="External"/><Relationship Id="rId95" Type="http://schemas.openxmlformats.org/officeDocument/2006/relationships/hyperlink" Target="bk://v_id/?1465" TargetMode="External"/><Relationship Id="rId96" Type="http://schemas.openxmlformats.org/officeDocument/2006/relationships/hyperlink" Target="bk://v_id/?1468" TargetMode="External"/><Relationship Id="rId97" Type="http://schemas.openxmlformats.org/officeDocument/2006/relationships/hyperlink" Target="bk://v_id/?1476" TargetMode="External"/><Relationship Id="rId98" Type="http://schemas.openxmlformats.org/officeDocument/2006/relationships/hyperlink" Target="bk://v_id/?1477" TargetMode="External"/><Relationship Id="rId99" Type="http://schemas.openxmlformats.org/officeDocument/2006/relationships/hyperlink" Target="bk://v_id/?1478" TargetMode="External"/><Relationship Id="rId100" Type="http://schemas.openxmlformats.org/officeDocument/2006/relationships/hyperlink" Target="bk://v_id/?1479" TargetMode="External"/><Relationship Id="rId101" Type="http://schemas.openxmlformats.org/officeDocument/2006/relationships/hyperlink" Target="bk://v_id/?1490" TargetMode="External"/><Relationship Id="rId102" Type="http://schemas.openxmlformats.org/officeDocument/2006/relationships/hyperlink" Target="bk://v_id/?1491" TargetMode="External"/><Relationship Id="rId103" Type="http://schemas.openxmlformats.org/officeDocument/2006/relationships/hyperlink" Target="bk://v_id/?1492" TargetMode="External"/><Relationship Id="rId104" Type="http://schemas.openxmlformats.org/officeDocument/2006/relationships/hyperlink" Target="bk://v_id/?1498" TargetMode="External"/><Relationship Id="rId105" Type="http://schemas.openxmlformats.org/officeDocument/2006/relationships/hyperlink" Target="bk://v_id/?1499" TargetMode="External"/><Relationship Id="rId106" Type="http://schemas.openxmlformats.org/officeDocument/2006/relationships/hyperlink" Target="bk://v_id/?1505" TargetMode="External"/><Relationship Id="rId107" Type="http://schemas.openxmlformats.org/officeDocument/2006/relationships/hyperlink" Target="bk://v_id/?1506" TargetMode="External"/><Relationship Id="rId108" Type="http://schemas.openxmlformats.org/officeDocument/2006/relationships/hyperlink" Target="bk://v_id/?1512" TargetMode="External"/><Relationship Id="rId109" Type="http://schemas.openxmlformats.org/officeDocument/2006/relationships/hyperlink" Target="bk://v_id/?1513" TargetMode="External"/><Relationship Id="rId110" Type="http://schemas.openxmlformats.org/officeDocument/2006/relationships/hyperlink" Target="bk://v_id/?1514" TargetMode="External"/><Relationship Id="rId111" Type="http://schemas.openxmlformats.org/officeDocument/2006/relationships/hyperlink" Target="bk://v_id/?1515" TargetMode="External"/><Relationship Id="rId112" Type="http://schemas.openxmlformats.org/officeDocument/2006/relationships/hyperlink" Target="bk://v_id/?1516" TargetMode="External"/><Relationship Id="rId113" Type="http://schemas.openxmlformats.org/officeDocument/2006/relationships/hyperlink" Target="bk://v_id/?1522" TargetMode="External"/><Relationship Id="rId114" Type="http://schemas.openxmlformats.org/officeDocument/2006/relationships/hyperlink" Target="bk://v_id/?1524" TargetMode="External"/><Relationship Id="rId115" Type="http://schemas.openxmlformats.org/officeDocument/2006/relationships/hyperlink" Target="bk://v_id/?1526" TargetMode="External"/><Relationship Id="rId116" Type="http://schemas.openxmlformats.org/officeDocument/2006/relationships/hyperlink" Target="bk://v_id/?1551" TargetMode="External"/><Relationship Id="rId117" Type="http://schemas.openxmlformats.org/officeDocument/2006/relationships/hyperlink" Target="bk://v_id/?1552" TargetMode="External"/><Relationship Id="rId118" Type="http://schemas.openxmlformats.org/officeDocument/2006/relationships/hyperlink" Target="bk://v_id/?1553" TargetMode="External"/><Relationship Id="rId119" Type="http://schemas.openxmlformats.org/officeDocument/2006/relationships/hyperlink" Target="bk://v_id/?1554" TargetMode="External"/><Relationship Id="rId120" Type="http://schemas.openxmlformats.org/officeDocument/2006/relationships/hyperlink" Target="bk://v_id/?1559" TargetMode="External"/><Relationship Id="rId121" Type="http://schemas.openxmlformats.org/officeDocument/2006/relationships/hyperlink" Target="bk://v_id/?1562" TargetMode="External"/><Relationship Id="rId122" Type="http://schemas.openxmlformats.org/officeDocument/2006/relationships/hyperlink" Target="bk://v_id/?1563" TargetMode="External"/><Relationship Id="rId123" Type="http://schemas.openxmlformats.org/officeDocument/2006/relationships/hyperlink" Target="bk://v_id/?1573" TargetMode="External"/><Relationship Id="rId124" Type="http://schemas.openxmlformats.org/officeDocument/2006/relationships/hyperlink" Target="bk://v_id/?1574" TargetMode="External"/><Relationship Id="rId125" Type="http://schemas.openxmlformats.org/officeDocument/2006/relationships/hyperlink" Target="bk://v_id/?1575" TargetMode="External"/><Relationship Id="rId126" Type="http://schemas.openxmlformats.org/officeDocument/2006/relationships/hyperlink" Target="bk://v_id/?1576" TargetMode="External"/><Relationship Id="rId127" Type="http://schemas.openxmlformats.org/officeDocument/2006/relationships/hyperlink" Target="bk://v_id/?1577" TargetMode="External"/><Relationship Id="rId128" Type="http://schemas.openxmlformats.org/officeDocument/2006/relationships/hyperlink" Target="bk://v_id/?1578" TargetMode="External"/><Relationship Id="rId129" Type="http://schemas.openxmlformats.org/officeDocument/2006/relationships/hyperlink" Target="bk://v_id/?1579" TargetMode="External"/><Relationship Id="rId130" Type="http://schemas.openxmlformats.org/officeDocument/2006/relationships/hyperlink" Target="bk://v_id/?1586" TargetMode="External"/><Relationship Id="rId131" Type="http://schemas.openxmlformats.org/officeDocument/2006/relationships/hyperlink" Target="bk://v_id/?1588" TargetMode="External"/><Relationship Id="rId132" Type="http://schemas.openxmlformats.org/officeDocument/2006/relationships/hyperlink" Target="bk://v_id/?1589" TargetMode="External"/><Relationship Id="rId133" Type="http://schemas.openxmlformats.org/officeDocument/2006/relationships/hyperlink" Target="bk://v_id/?1590" TargetMode="External"/><Relationship Id="rId134" Type="http://schemas.openxmlformats.org/officeDocument/2006/relationships/hyperlink" Target="bk://v_id/?1591" TargetMode="External"/><Relationship Id="rId135" Type="http://schemas.openxmlformats.org/officeDocument/2006/relationships/hyperlink" Target="bk://v_id/?1592" TargetMode="External"/><Relationship Id="rId136" Type="http://schemas.openxmlformats.org/officeDocument/2006/relationships/hyperlink" Target="bk://v_id/?1609" TargetMode="External"/><Relationship Id="rId137" Type="http://schemas.openxmlformats.org/officeDocument/2006/relationships/hyperlink" Target="bk://v_id/?1613" TargetMode="External"/><Relationship Id="rId138" Type="http://schemas.openxmlformats.org/officeDocument/2006/relationships/hyperlink" Target="bk://v_id/?1619" TargetMode="External"/><Relationship Id="rId139" Type="http://schemas.openxmlformats.org/officeDocument/2006/relationships/hyperlink" Target="bk://v_id/?1621" TargetMode="External"/><Relationship Id="rId140" Type="http://schemas.openxmlformats.org/officeDocument/2006/relationships/hyperlink" Target="bk://v_id/?1627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bk://v_id/?1630" TargetMode="External"/><Relationship Id="rId2" Type="http://schemas.openxmlformats.org/officeDocument/2006/relationships/hyperlink" Target="bk://v_id/?1631" TargetMode="External"/><Relationship Id="rId3" Type="http://schemas.openxmlformats.org/officeDocument/2006/relationships/hyperlink" Target="bk://v_id/?1632" TargetMode="External"/><Relationship Id="rId4" Type="http://schemas.openxmlformats.org/officeDocument/2006/relationships/hyperlink" Target="bk://v_id/?1633" TargetMode="External"/><Relationship Id="rId5" Type="http://schemas.openxmlformats.org/officeDocument/2006/relationships/hyperlink" Target="bk://v_id/?1634" TargetMode="External"/><Relationship Id="rId6" Type="http://schemas.openxmlformats.org/officeDocument/2006/relationships/hyperlink" Target="bk://v_id/?1642" TargetMode="External"/><Relationship Id="rId7" Type="http://schemas.openxmlformats.org/officeDocument/2006/relationships/hyperlink" Target="bk://v_id/?1645" TargetMode="External"/><Relationship Id="rId8" Type="http://schemas.openxmlformats.org/officeDocument/2006/relationships/hyperlink" Target="bk://v_id/?1646" TargetMode="External"/><Relationship Id="rId9" Type="http://schemas.openxmlformats.org/officeDocument/2006/relationships/hyperlink" Target="bk://v_id/?1647" TargetMode="External"/><Relationship Id="rId10" Type="http://schemas.openxmlformats.org/officeDocument/2006/relationships/hyperlink" Target="bk://v_id/?1648" TargetMode="External"/><Relationship Id="rId11" Type="http://schemas.openxmlformats.org/officeDocument/2006/relationships/hyperlink" Target="bk://v_id/?1651" TargetMode="External"/><Relationship Id="rId12" Type="http://schemas.openxmlformats.org/officeDocument/2006/relationships/hyperlink" Target="bk://v_id/?1652" TargetMode="External"/><Relationship Id="rId13" Type="http://schemas.openxmlformats.org/officeDocument/2006/relationships/hyperlink" Target="bk://v_id/?1653" TargetMode="External"/><Relationship Id="rId14" Type="http://schemas.openxmlformats.org/officeDocument/2006/relationships/hyperlink" Target="bk://v_id/?1654" TargetMode="External"/><Relationship Id="rId15" Type="http://schemas.openxmlformats.org/officeDocument/2006/relationships/hyperlink" Target="bk://v_id/?1655" TargetMode="External"/><Relationship Id="rId16" Type="http://schemas.openxmlformats.org/officeDocument/2006/relationships/hyperlink" Target="bk://v_id/?1656" TargetMode="External"/><Relationship Id="rId17" Type="http://schemas.openxmlformats.org/officeDocument/2006/relationships/hyperlink" Target="bk://v_id/?1657" TargetMode="External"/><Relationship Id="rId18" Type="http://schemas.openxmlformats.org/officeDocument/2006/relationships/hyperlink" Target="bk://v_id/?1658" TargetMode="External"/><Relationship Id="rId19" Type="http://schemas.openxmlformats.org/officeDocument/2006/relationships/hyperlink" Target="bk://v_id/?1659" TargetMode="External"/><Relationship Id="rId20" Type="http://schemas.openxmlformats.org/officeDocument/2006/relationships/hyperlink" Target="bk://v_id/?1660" TargetMode="External"/><Relationship Id="rId21" Type="http://schemas.openxmlformats.org/officeDocument/2006/relationships/hyperlink" Target="bk://v_id/?1677" TargetMode="External"/><Relationship Id="rId22" Type="http://schemas.openxmlformats.org/officeDocument/2006/relationships/hyperlink" Target="bk://v_id/?1687" TargetMode="External"/><Relationship Id="rId23" Type="http://schemas.openxmlformats.org/officeDocument/2006/relationships/hyperlink" Target="bk://v_id/?1688" TargetMode="External"/><Relationship Id="rId24" Type="http://schemas.openxmlformats.org/officeDocument/2006/relationships/hyperlink" Target="bk://v_id/?1689" TargetMode="External"/><Relationship Id="rId25" Type="http://schemas.openxmlformats.org/officeDocument/2006/relationships/hyperlink" Target="bk://v_id/?1693" TargetMode="External"/><Relationship Id="rId26" Type="http://schemas.openxmlformats.org/officeDocument/2006/relationships/hyperlink" Target="bk://v_id/?1695" TargetMode="External"/><Relationship Id="rId27" Type="http://schemas.openxmlformats.org/officeDocument/2006/relationships/hyperlink" Target="bk://v_id/?1696" TargetMode="External"/><Relationship Id="rId28" Type="http://schemas.openxmlformats.org/officeDocument/2006/relationships/hyperlink" Target="bk://v_id/?1697" TargetMode="External"/><Relationship Id="rId29" Type="http://schemas.openxmlformats.org/officeDocument/2006/relationships/hyperlink" Target="bk://v_id/?1698" TargetMode="External"/><Relationship Id="rId30" Type="http://schemas.openxmlformats.org/officeDocument/2006/relationships/hyperlink" Target="bk://v_id/?1699" TargetMode="External"/><Relationship Id="rId31" Type="http://schemas.openxmlformats.org/officeDocument/2006/relationships/hyperlink" Target="bk://v_id/?1700" TargetMode="External"/><Relationship Id="rId32" Type="http://schemas.openxmlformats.org/officeDocument/2006/relationships/hyperlink" Target="bk://v_id/?1701" TargetMode="External"/><Relationship Id="rId33" Type="http://schemas.openxmlformats.org/officeDocument/2006/relationships/hyperlink" Target="bk://v_id/?1702" TargetMode="External"/><Relationship Id="rId34" Type="http://schemas.openxmlformats.org/officeDocument/2006/relationships/hyperlink" Target="bk://v_id/?1703" TargetMode="External"/><Relationship Id="rId35" Type="http://schemas.openxmlformats.org/officeDocument/2006/relationships/hyperlink" Target="bk://v_id/?1704" TargetMode="External"/><Relationship Id="rId36" Type="http://schemas.openxmlformats.org/officeDocument/2006/relationships/hyperlink" Target="bk://v_id/?1717" TargetMode="External"/><Relationship Id="rId37" Type="http://schemas.openxmlformats.org/officeDocument/2006/relationships/hyperlink" Target="bk://v_id/?1718" TargetMode="External"/><Relationship Id="rId38" Type="http://schemas.openxmlformats.org/officeDocument/2006/relationships/hyperlink" Target="bk://v_id/?1719" TargetMode="External"/><Relationship Id="rId39" Type="http://schemas.openxmlformats.org/officeDocument/2006/relationships/hyperlink" Target="bk://v_id/?1720" TargetMode="External"/><Relationship Id="rId40" Type="http://schemas.openxmlformats.org/officeDocument/2006/relationships/hyperlink" Target="bk://v_id/?1721" TargetMode="External"/><Relationship Id="rId41" Type="http://schemas.openxmlformats.org/officeDocument/2006/relationships/hyperlink" Target="bk://v_id/?1722" TargetMode="External"/><Relationship Id="rId42" Type="http://schemas.openxmlformats.org/officeDocument/2006/relationships/hyperlink" Target="bk://v_id/?1723" TargetMode="External"/><Relationship Id="rId43" Type="http://schemas.openxmlformats.org/officeDocument/2006/relationships/hyperlink" Target="bk://v_id/?1724" TargetMode="External"/><Relationship Id="rId44" Type="http://schemas.openxmlformats.org/officeDocument/2006/relationships/hyperlink" Target="bk://v_id/?1725" TargetMode="External"/><Relationship Id="rId45" Type="http://schemas.openxmlformats.org/officeDocument/2006/relationships/hyperlink" Target="bk://v_id/?1736" TargetMode="External"/><Relationship Id="rId46" Type="http://schemas.openxmlformats.org/officeDocument/2006/relationships/hyperlink" Target="bk://v_id/?1737" TargetMode="External"/><Relationship Id="rId47" Type="http://schemas.openxmlformats.org/officeDocument/2006/relationships/hyperlink" Target="bk://v_id/?1744" TargetMode="External"/><Relationship Id="rId48" Type="http://schemas.openxmlformats.org/officeDocument/2006/relationships/hyperlink" Target="bk://v_id/?1747" TargetMode="External"/><Relationship Id="rId49" Type="http://schemas.openxmlformats.org/officeDocument/2006/relationships/hyperlink" Target="bk://v_id/?1748" TargetMode="External"/><Relationship Id="rId50" Type="http://schemas.openxmlformats.org/officeDocument/2006/relationships/hyperlink" Target="bk://v_id/?1754" TargetMode="External"/><Relationship Id="rId51" Type="http://schemas.openxmlformats.org/officeDocument/2006/relationships/hyperlink" Target="bk://v_id/?1755" TargetMode="External"/><Relationship Id="rId52" Type="http://schemas.openxmlformats.org/officeDocument/2006/relationships/hyperlink" Target="bk://v_id/?1756" TargetMode="External"/><Relationship Id="rId53" Type="http://schemas.openxmlformats.org/officeDocument/2006/relationships/hyperlink" Target="bk://v_id/?1757" TargetMode="External"/><Relationship Id="rId54" Type="http://schemas.openxmlformats.org/officeDocument/2006/relationships/hyperlink" Target="bk://v_id/?1758" TargetMode="External"/><Relationship Id="rId55" Type="http://schemas.openxmlformats.org/officeDocument/2006/relationships/hyperlink" Target="bk://v_id/?1759" TargetMode="External"/><Relationship Id="rId56" Type="http://schemas.openxmlformats.org/officeDocument/2006/relationships/hyperlink" Target="bk://v_id/?1760" TargetMode="External"/><Relationship Id="rId57" Type="http://schemas.openxmlformats.org/officeDocument/2006/relationships/hyperlink" Target="bk://v_id/?1761" TargetMode="External"/><Relationship Id="rId58" Type="http://schemas.openxmlformats.org/officeDocument/2006/relationships/hyperlink" Target="bk://v_id/?1778" TargetMode="External"/><Relationship Id="rId59" Type="http://schemas.openxmlformats.org/officeDocument/2006/relationships/hyperlink" Target="bk://v_id/?1779" TargetMode="External"/><Relationship Id="rId60" Type="http://schemas.openxmlformats.org/officeDocument/2006/relationships/hyperlink" Target="bk://v_id/?1780" TargetMode="External"/><Relationship Id="rId61" Type="http://schemas.openxmlformats.org/officeDocument/2006/relationships/hyperlink" Target="bk://v_id/?1781" TargetMode="External"/><Relationship Id="rId62" Type="http://schemas.openxmlformats.org/officeDocument/2006/relationships/hyperlink" Target="bk://v_id/?1782" TargetMode="External"/><Relationship Id="rId63" Type="http://schemas.openxmlformats.org/officeDocument/2006/relationships/hyperlink" Target="bk://v_id/?1783" TargetMode="External"/><Relationship Id="rId64" Type="http://schemas.openxmlformats.org/officeDocument/2006/relationships/hyperlink" Target="bk://v_id/?1784" TargetMode="External"/><Relationship Id="rId65" Type="http://schemas.openxmlformats.org/officeDocument/2006/relationships/hyperlink" Target="bk://v_id/?1785" TargetMode="External"/><Relationship Id="rId66" Type="http://schemas.openxmlformats.org/officeDocument/2006/relationships/hyperlink" Target="bk://v_id/?1786" TargetMode="External"/><Relationship Id="rId67" Type="http://schemas.openxmlformats.org/officeDocument/2006/relationships/hyperlink" Target="bk://v_id/?1796" TargetMode="External"/><Relationship Id="rId68" Type="http://schemas.openxmlformats.org/officeDocument/2006/relationships/hyperlink" Target="bk://v_id/?1797" TargetMode="External"/><Relationship Id="rId69" Type="http://schemas.openxmlformats.org/officeDocument/2006/relationships/hyperlink" Target="bk://v_id/?1809" TargetMode="External"/><Relationship Id="rId70" Type="http://schemas.openxmlformats.org/officeDocument/2006/relationships/hyperlink" Target="bk://v_id/?1810" TargetMode="External"/><Relationship Id="rId71" Type="http://schemas.openxmlformats.org/officeDocument/2006/relationships/hyperlink" Target="bk://v_id/?1811" TargetMode="External"/><Relationship Id="rId72" Type="http://schemas.openxmlformats.org/officeDocument/2006/relationships/hyperlink" Target="bk://v_id/?1815" TargetMode="External"/><Relationship Id="rId73" Type="http://schemas.openxmlformats.org/officeDocument/2006/relationships/hyperlink" Target="bk://v_id/?1816" TargetMode="External"/><Relationship Id="rId74" Type="http://schemas.openxmlformats.org/officeDocument/2006/relationships/hyperlink" Target="bk://v_id/?1817" TargetMode="External"/><Relationship Id="rId75" Type="http://schemas.openxmlformats.org/officeDocument/2006/relationships/hyperlink" Target="bk://v_id/?1819" TargetMode="External"/><Relationship Id="rId76" Type="http://schemas.openxmlformats.org/officeDocument/2006/relationships/hyperlink" Target="bk://v_id/?1823" TargetMode="External"/><Relationship Id="rId77" Type="http://schemas.openxmlformats.org/officeDocument/2006/relationships/hyperlink" Target="bk://v_id/?1824" TargetMode="External"/><Relationship Id="rId78" Type="http://schemas.openxmlformats.org/officeDocument/2006/relationships/hyperlink" Target="bk://v_id/?1830" TargetMode="External"/><Relationship Id="rId79" Type="http://schemas.openxmlformats.org/officeDocument/2006/relationships/hyperlink" Target="bk://v_id/?1831" TargetMode="External"/><Relationship Id="rId80" Type="http://schemas.openxmlformats.org/officeDocument/2006/relationships/hyperlink" Target="bk://v_id/?1832" TargetMode="External"/><Relationship Id="rId81" Type="http://schemas.openxmlformats.org/officeDocument/2006/relationships/hyperlink" Target="bk://v_id/?1833" TargetMode="External"/><Relationship Id="rId82" Type="http://schemas.openxmlformats.org/officeDocument/2006/relationships/hyperlink" Target="bk://v_id/?1834" TargetMode="External"/><Relationship Id="rId83" Type="http://schemas.openxmlformats.org/officeDocument/2006/relationships/hyperlink" Target="bk://v_id/?1835" TargetMode="External"/><Relationship Id="rId84" Type="http://schemas.openxmlformats.org/officeDocument/2006/relationships/hyperlink" Target="bk://v_id/?1836" TargetMode="External"/><Relationship Id="rId85" Type="http://schemas.openxmlformats.org/officeDocument/2006/relationships/hyperlink" Target="bk://v_id/?1837" TargetMode="External"/><Relationship Id="rId86" Type="http://schemas.openxmlformats.org/officeDocument/2006/relationships/hyperlink" Target="bk://v_id/?1846" TargetMode="External"/><Relationship Id="rId87" Type="http://schemas.openxmlformats.org/officeDocument/2006/relationships/hyperlink" Target="bk://v_id/?1847" TargetMode="External"/><Relationship Id="rId88" Type="http://schemas.openxmlformats.org/officeDocument/2006/relationships/hyperlink" Target="bk://v_id/?1848" TargetMode="External"/><Relationship Id="rId89" Type="http://schemas.openxmlformats.org/officeDocument/2006/relationships/hyperlink" Target="bk://v_id/?1849" TargetMode="External"/><Relationship Id="rId90" Type="http://schemas.openxmlformats.org/officeDocument/2006/relationships/hyperlink" Target="bk://v_id/?1850" TargetMode="External"/><Relationship Id="rId91" Type="http://schemas.openxmlformats.org/officeDocument/2006/relationships/hyperlink" Target="bk://v_id/?1851" TargetMode="External"/><Relationship Id="rId92" Type="http://schemas.openxmlformats.org/officeDocument/2006/relationships/hyperlink" Target="bk://v_id/?1859" TargetMode="External"/><Relationship Id="rId93" Type="http://schemas.openxmlformats.org/officeDocument/2006/relationships/hyperlink" Target="bk://v_id/?1860" TargetMode="External"/><Relationship Id="rId94" Type="http://schemas.openxmlformats.org/officeDocument/2006/relationships/hyperlink" Target="bk://v_id/?1861" TargetMode="External"/><Relationship Id="rId95" Type="http://schemas.openxmlformats.org/officeDocument/2006/relationships/hyperlink" Target="bk://v_id/?1862" TargetMode="External"/><Relationship Id="rId96" Type="http://schemas.openxmlformats.org/officeDocument/2006/relationships/hyperlink" Target="bk://v_id/?1863" TargetMode="External"/><Relationship Id="rId97" Type="http://schemas.openxmlformats.org/officeDocument/2006/relationships/hyperlink" Target="bk://v_id/?1872" TargetMode="External"/><Relationship Id="rId98" Type="http://schemas.openxmlformats.org/officeDocument/2006/relationships/hyperlink" Target="bk://v_id/?1875" TargetMode="External"/><Relationship Id="rId99" Type="http://schemas.openxmlformats.org/officeDocument/2006/relationships/hyperlink" Target="bk://v_id/?1877" TargetMode="External"/><Relationship Id="rId100" Type="http://schemas.openxmlformats.org/officeDocument/2006/relationships/hyperlink" Target="bk://v_id/?1878" TargetMode="External"/><Relationship Id="rId101" Type="http://schemas.openxmlformats.org/officeDocument/2006/relationships/hyperlink" Target="bk://v_id/?1879" TargetMode="External"/><Relationship Id="rId102" Type="http://schemas.openxmlformats.org/officeDocument/2006/relationships/hyperlink" Target="bk://v_id/?1884" TargetMode="External"/><Relationship Id="rId103" Type="http://schemas.openxmlformats.org/officeDocument/2006/relationships/hyperlink" Target="bk://v_id/?1886" TargetMode="External"/><Relationship Id="rId104" Type="http://schemas.openxmlformats.org/officeDocument/2006/relationships/hyperlink" Target="bk://v_id/?1887" TargetMode="External"/><Relationship Id="rId105" Type="http://schemas.openxmlformats.org/officeDocument/2006/relationships/hyperlink" Target="bk://v_id/?1888" TargetMode="External"/><Relationship Id="rId106" Type="http://schemas.openxmlformats.org/officeDocument/2006/relationships/hyperlink" Target="bk://v_id/?1889" TargetMode="External"/><Relationship Id="rId107" Type="http://schemas.openxmlformats.org/officeDocument/2006/relationships/hyperlink" Target="bk://v_id/?1890" TargetMode="External"/><Relationship Id="rId108" Type="http://schemas.openxmlformats.org/officeDocument/2006/relationships/hyperlink" Target="bk://v_id/?1891" TargetMode="External"/><Relationship Id="rId109" Type="http://schemas.openxmlformats.org/officeDocument/2006/relationships/hyperlink" Target="bk://v_id/?1892" TargetMode="External"/><Relationship Id="rId110" Type="http://schemas.openxmlformats.org/officeDocument/2006/relationships/hyperlink" Target="bk://v_id/?1903" TargetMode="External"/><Relationship Id="rId111" Type="http://schemas.openxmlformats.org/officeDocument/2006/relationships/hyperlink" Target="bk://v_id/?1905" TargetMode="External"/><Relationship Id="rId112" Type="http://schemas.openxmlformats.org/officeDocument/2006/relationships/hyperlink" Target="bk://v_id/?1906" TargetMode="External"/><Relationship Id="rId113" Type="http://schemas.openxmlformats.org/officeDocument/2006/relationships/hyperlink" Target="bk://v_id/?1911" TargetMode="External"/><Relationship Id="rId114" Type="http://schemas.openxmlformats.org/officeDocument/2006/relationships/hyperlink" Target="bk://v_id/?1913" TargetMode="External"/><Relationship Id="rId115" Type="http://schemas.openxmlformats.org/officeDocument/2006/relationships/hyperlink" Target="bk://v_id/?1914" TargetMode="External"/><Relationship Id="rId116" Type="http://schemas.openxmlformats.org/officeDocument/2006/relationships/hyperlink" Target="bk://v_id/?1915" TargetMode="External"/><Relationship Id="rId117" Type="http://schemas.openxmlformats.org/officeDocument/2006/relationships/hyperlink" Target="bk://v_id/?1916" TargetMode="External"/><Relationship Id="rId118" Type="http://schemas.openxmlformats.org/officeDocument/2006/relationships/hyperlink" Target="bk://v_id/?1917" TargetMode="External"/><Relationship Id="rId119" Type="http://schemas.openxmlformats.org/officeDocument/2006/relationships/hyperlink" Target="bk://v_id/?1921" TargetMode="External"/><Relationship Id="rId120" Type="http://schemas.openxmlformats.org/officeDocument/2006/relationships/hyperlink" Target="bk://v_id/?1922" TargetMode="External"/><Relationship Id="rId121" Type="http://schemas.openxmlformats.org/officeDocument/2006/relationships/hyperlink" Target="bk://v_id/?1923" TargetMode="External"/><Relationship Id="rId122" Type="http://schemas.openxmlformats.org/officeDocument/2006/relationships/hyperlink" Target="bk://v_id/?1925" TargetMode="External"/><Relationship Id="rId123" Type="http://schemas.openxmlformats.org/officeDocument/2006/relationships/hyperlink" Target="bk://v_id/?1926" TargetMode="External"/><Relationship Id="rId124" Type="http://schemas.openxmlformats.org/officeDocument/2006/relationships/hyperlink" Target="bk://v_id/?1928" TargetMode="External"/><Relationship Id="rId125" Type="http://schemas.openxmlformats.org/officeDocument/2006/relationships/hyperlink" Target="bk://v_id/?1929" TargetMode="External"/><Relationship Id="rId126" Type="http://schemas.openxmlformats.org/officeDocument/2006/relationships/hyperlink" Target="bk://v_id/?1930" TargetMode="External"/><Relationship Id="rId127" Type="http://schemas.openxmlformats.org/officeDocument/2006/relationships/hyperlink" Target="bk://v_id/?1934" TargetMode="External"/><Relationship Id="rId128" Type="http://schemas.openxmlformats.org/officeDocument/2006/relationships/hyperlink" Target="bk://v_id/?1954" TargetMode="External"/><Relationship Id="rId129" Type="http://schemas.openxmlformats.org/officeDocument/2006/relationships/hyperlink" Target="bk://v_id/?1955" TargetMode="External"/><Relationship Id="rId130" Type="http://schemas.openxmlformats.org/officeDocument/2006/relationships/hyperlink" Target="bk://v_id/?1956" TargetMode="External"/><Relationship Id="rId131" Type="http://schemas.openxmlformats.org/officeDocument/2006/relationships/hyperlink" Target="bk://v_id/?1966" TargetMode="External"/><Relationship Id="rId132" Type="http://schemas.openxmlformats.org/officeDocument/2006/relationships/hyperlink" Target="bk://v_id/?1970" TargetMode="External"/><Relationship Id="rId133" Type="http://schemas.openxmlformats.org/officeDocument/2006/relationships/hyperlink" Target="bk://v_id/?1971" TargetMode="External"/><Relationship Id="rId134" Type="http://schemas.openxmlformats.org/officeDocument/2006/relationships/hyperlink" Target="bk://v_id/?1972" TargetMode="External"/><Relationship Id="rId135" Type="http://schemas.openxmlformats.org/officeDocument/2006/relationships/hyperlink" Target="bk://v_id/?1973" TargetMode="External"/><Relationship Id="rId136" Type="http://schemas.openxmlformats.org/officeDocument/2006/relationships/hyperlink" Target="bk://v_id/?1987" TargetMode="External"/><Relationship Id="rId137" Type="http://schemas.openxmlformats.org/officeDocument/2006/relationships/hyperlink" Target="bk://v_id/?1995" TargetMode="External"/><Relationship Id="rId138" Type="http://schemas.openxmlformats.org/officeDocument/2006/relationships/hyperlink" Target="bk://v_id/?1996" TargetMode="External"/><Relationship Id="rId139" Type="http://schemas.openxmlformats.org/officeDocument/2006/relationships/hyperlink" Target="bk://v_id/?2003" TargetMode="External"/><Relationship Id="rId140" Type="http://schemas.openxmlformats.org/officeDocument/2006/relationships/hyperlink" Target="bk://v_id/?2004" TargetMode="External"/><Relationship Id="rId141" Type="http://schemas.openxmlformats.org/officeDocument/2006/relationships/hyperlink" Target="bk://v_id/?2010" TargetMode="External"/><Relationship Id="rId142" Type="http://schemas.openxmlformats.org/officeDocument/2006/relationships/hyperlink" Target="bk://v_id/?2022" TargetMode="External"/><Relationship Id="rId143" Type="http://schemas.openxmlformats.org/officeDocument/2006/relationships/hyperlink" Target="bk://v_id/?2023" TargetMode="External"/><Relationship Id="rId144" Type="http://schemas.openxmlformats.org/officeDocument/2006/relationships/hyperlink" Target="bk://v_id/?2024" TargetMode="External"/><Relationship Id="rId145" Type="http://schemas.openxmlformats.org/officeDocument/2006/relationships/hyperlink" Target="bk://v_id/?2025" TargetMode="External"/><Relationship Id="rId146" Type="http://schemas.openxmlformats.org/officeDocument/2006/relationships/hyperlink" Target="bk://v_id/?2026" TargetMode="External"/><Relationship Id="rId147" Type="http://schemas.openxmlformats.org/officeDocument/2006/relationships/hyperlink" Target="bk://v_id/?2027" TargetMode="External"/><Relationship Id="rId148" Type="http://schemas.openxmlformats.org/officeDocument/2006/relationships/hyperlink" Target="bk://v_id/?2028" TargetMode="External"/><Relationship Id="rId149" Type="http://schemas.openxmlformats.org/officeDocument/2006/relationships/hyperlink" Target="bk://v_id/?2029" TargetMode="External"/><Relationship Id="rId150" Type="http://schemas.openxmlformats.org/officeDocument/2006/relationships/hyperlink" Target="bk://v_id/?2030" TargetMode="External"/><Relationship Id="rId151" Type="http://schemas.openxmlformats.org/officeDocument/2006/relationships/hyperlink" Target="bk://v_id/?2045" TargetMode="External"/><Relationship Id="rId152" Type="http://schemas.openxmlformats.org/officeDocument/2006/relationships/hyperlink" Target="bk://v_id/?2046" TargetMode="External"/><Relationship Id="rId153" Type="http://schemas.openxmlformats.org/officeDocument/2006/relationships/hyperlink" Target="bk://v_id/?2047" TargetMode="External"/><Relationship Id="rId154" Type="http://schemas.openxmlformats.org/officeDocument/2006/relationships/hyperlink" Target="bk://v_id/?2058" TargetMode="External"/><Relationship Id="rId155" Type="http://schemas.openxmlformats.org/officeDocument/2006/relationships/hyperlink" Target="bk://v_id/?2059" TargetMode="External"/><Relationship Id="rId156" Type="http://schemas.openxmlformats.org/officeDocument/2006/relationships/hyperlink" Target="bk://v_id/?2060" TargetMode="External"/><Relationship Id="rId157" Type="http://schemas.openxmlformats.org/officeDocument/2006/relationships/hyperlink" Target="bk://v_id/?2061" TargetMode="External"/><Relationship Id="rId158" Type="http://schemas.openxmlformats.org/officeDocument/2006/relationships/hyperlink" Target="bk://v_id/?2062" TargetMode="External"/><Relationship Id="rId159" Type="http://schemas.openxmlformats.org/officeDocument/2006/relationships/hyperlink" Target="bk://v_id/?2069" TargetMode="External"/><Relationship Id="rId160" Type="http://schemas.openxmlformats.org/officeDocument/2006/relationships/hyperlink" Target="bk://v_id/?207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vmlDrawing" Target="../drawings/vmlDrawing4.vml"/><Relationship Id="rId3" Type="http://schemas.openxmlformats.org/officeDocument/2006/relationships/hyperlink" Target="bk://v_id/?1203" TargetMode="External"/><Relationship Id="rId4" Type="http://schemas.openxmlformats.org/officeDocument/2006/relationships/hyperlink" Target="bk://v_id/?1203" TargetMode="External"/><Relationship Id="rId5" Type="http://schemas.openxmlformats.org/officeDocument/2006/relationships/hyperlink" Target="bk://v_id/?1206" TargetMode="External"/><Relationship Id="rId6" Type="http://schemas.openxmlformats.org/officeDocument/2006/relationships/hyperlink" Target="bk://v_id/?1207" TargetMode="External"/><Relationship Id="rId7" Type="http://schemas.openxmlformats.org/officeDocument/2006/relationships/hyperlink" Target="bk://v_id/?1207" TargetMode="External"/><Relationship Id="rId8" Type="http://schemas.openxmlformats.org/officeDocument/2006/relationships/hyperlink" Target="bk://v_id/?1207" TargetMode="External"/><Relationship Id="rId9" Type="http://schemas.openxmlformats.org/officeDocument/2006/relationships/hyperlink" Target="bk://v_id/?1203" TargetMode="External"/><Relationship Id="rId10" Type="http://schemas.openxmlformats.org/officeDocument/2006/relationships/hyperlink" Target="bk://v_id/?1206" TargetMode="External"/><Relationship Id="rId11" Type="http://schemas.openxmlformats.org/officeDocument/2006/relationships/hyperlink" Target="bk://v_id/?1207" TargetMode="External"/><Relationship Id="rId12" Type="http://schemas.openxmlformats.org/officeDocument/2006/relationships/comments" Target="../comments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vmlDrawing" Target="../drawings/vmlDrawing5.vml"/><Relationship Id="rId3" Type="http://schemas.openxmlformats.org/officeDocument/2006/relationships/hyperlink" Target="bk://v_id/?1211" TargetMode="External"/><Relationship Id="rId4" Type="http://schemas.openxmlformats.org/officeDocument/2006/relationships/hyperlink" Target="bk://v_id/?1211" TargetMode="External"/><Relationship Id="rId5" Type="http://schemas.openxmlformats.org/officeDocument/2006/relationships/hyperlink" Target="bk://v_id/?1211" TargetMode="External"/><Relationship Id="rId6" Type="http://schemas.openxmlformats.org/officeDocument/2006/relationships/hyperlink" Target="bk://v_id/?1211" TargetMode="External"/><Relationship Id="rId7" Type="http://schemas.openxmlformats.org/officeDocument/2006/relationships/hyperlink" Target="bk://v_id/?1211" TargetMode="External"/><Relationship Id="rId8" Type="http://schemas.openxmlformats.org/officeDocument/2006/relationships/hyperlink" Target="bk://v_id/?1211" TargetMode="External"/><Relationship Id="rId9" Type="http://schemas.openxmlformats.org/officeDocument/2006/relationships/hyperlink" Target="bk://v_id/?1211" TargetMode="External"/><Relationship Id="rId10" Type="http://schemas.openxmlformats.org/officeDocument/2006/relationships/hyperlink" Target="bk://v_id/?1211" TargetMode="External"/><Relationship Id="rId11" Type="http://schemas.openxmlformats.org/officeDocument/2006/relationships/hyperlink" Target="bk://v_id/?1211" TargetMode="External"/><Relationship Id="rId12" Type="http://schemas.openxmlformats.org/officeDocument/2006/relationships/hyperlink" Target="bk://v_id/?1211" TargetMode="External"/><Relationship Id="rId13" Type="http://schemas.openxmlformats.org/officeDocument/2006/relationships/hyperlink" Target="bk://v_id/?1213" TargetMode="External"/><Relationship Id="rId14" Type="http://schemas.openxmlformats.org/officeDocument/2006/relationships/hyperlink" Target="bk://v_id/?1214" TargetMode="External"/><Relationship Id="rId15" Type="http://schemas.openxmlformats.org/officeDocument/2006/relationships/hyperlink" Target="bk://v_id/?1214" TargetMode="External"/><Relationship Id="rId16" Type="http://schemas.openxmlformats.org/officeDocument/2006/relationships/hyperlink" Target="bk://v_id/?1214" TargetMode="External"/><Relationship Id="rId17" Type="http://schemas.openxmlformats.org/officeDocument/2006/relationships/hyperlink" Target="bk://v_id/?1214" TargetMode="External"/><Relationship Id="rId18" Type="http://schemas.openxmlformats.org/officeDocument/2006/relationships/hyperlink" Target="bk://v_id/?1220" TargetMode="External"/><Relationship Id="rId19" Type="http://schemas.openxmlformats.org/officeDocument/2006/relationships/hyperlink" Target="bk://v_id/?1220" TargetMode="External"/><Relationship Id="rId20" Type="http://schemas.openxmlformats.org/officeDocument/2006/relationships/hyperlink" Target="bk://v_id/?1220" TargetMode="External"/><Relationship Id="rId21" Type="http://schemas.openxmlformats.org/officeDocument/2006/relationships/hyperlink" Target="bk://v_id/?1220" TargetMode="External"/><Relationship Id="rId22" Type="http://schemas.openxmlformats.org/officeDocument/2006/relationships/hyperlink" Target="bk://v_id/?1221" TargetMode="External"/><Relationship Id="rId23" Type="http://schemas.openxmlformats.org/officeDocument/2006/relationships/hyperlink" Target="bk://v_id/?1221" TargetMode="External"/><Relationship Id="rId24" Type="http://schemas.openxmlformats.org/officeDocument/2006/relationships/hyperlink" Target="bk://v_id/?1221" TargetMode="External"/><Relationship Id="rId25" Type="http://schemas.openxmlformats.org/officeDocument/2006/relationships/hyperlink" Target="bk://v_id/?1223" TargetMode="External"/><Relationship Id="rId26" Type="http://schemas.openxmlformats.org/officeDocument/2006/relationships/hyperlink" Target="bk://v_id/?1223" TargetMode="External"/><Relationship Id="rId27" Type="http://schemas.openxmlformats.org/officeDocument/2006/relationships/hyperlink" Target="bk://v_id/?1223" TargetMode="External"/><Relationship Id="rId28" Type="http://schemas.openxmlformats.org/officeDocument/2006/relationships/hyperlink" Target="bk://v_id/?1225" TargetMode="External"/><Relationship Id="rId29" Type="http://schemas.openxmlformats.org/officeDocument/2006/relationships/hyperlink" Target="bk://v_id/?1225" TargetMode="External"/><Relationship Id="rId30" Type="http://schemas.openxmlformats.org/officeDocument/2006/relationships/hyperlink" Target="bk://v_id/?1225" TargetMode="External"/><Relationship Id="rId31" Type="http://schemas.openxmlformats.org/officeDocument/2006/relationships/hyperlink" Target="bk://v_id/?1225" TargetMode="External"/><Relationship Id="rId32" Type="http://schemas.openxmlformats.org/officeDocument/2006/relationships/hyperlink" Target="bk://v_id/?1211" TargetMode="External"/><Relationship Id="rId33" Type="http://schemas.openxmlformats.org/officeDocument/2006/relationships/hyperlink" Target="bk://v_id/?1212" TargetMode="External"/><Relationship Id="rId34" Type="http://schemas.openxmlformats.org/officeDocument/2006/relationships/hyperlink" Target="bk://v_id/?1213" TargetMode="External"/><Relationship Id="rId35" Type="http://schemas.openxmlformats.org/officeDocument/2006/relationships/hyperlink" Target="bk://v_id/?1214" TargetMode="External"/><Relationship Id="rId36" Type="http://schemas.openxmlformats.org/officeDocument/2006/relationships/hyperlink" Target="bk://v_id/?1221" TargetMode="External"/><Relationship Id="rId37" Type="http://schemas.openxmlformats.org/officeDocument/2006/relationships/hyperlink" Target="bk://v_id/?1222" TargetMode="External"/><Relationship Id="rId38" Type="http://schemas.openxmlformats.org/officeDocument/2006/relationships/hyperlink" Target="bk://v_id/?1222" TargetMode="External"/><Relationship Id="rId39" Type="http://schemas.openxmlformats.org/officeDocument/2006/relationships/hyperlink" Target="bk://v_id/?1222" TargetMode="External"/><Relationship Id="rId40" Type="http://schemas.openxmlformats.org/officeDocument/2006/relationships/hyperlink" Target="bk://v_id/?1222" TargetMode="External"/><Relationship Id="rId41" Type="http://schemas.openxmlformats.org/officeDocument/2006/relationships/hyperlink" Target="bk://v_id/?1222" TargetMode="External"/><Relationship Id="rId42" Type="http://schemas.openxmlformats.org/officeDocument/2006/relationships/hyperlink" Target="bk://v_id/?1222" TargetMode="External"/><Relationship Id="rId43" Type="http://schemas.openxmlformats.org/officeDocument/2006/relationships/comments" Target="../comments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vmlDrawing" Target="../drawings/vmlDrawing6.vml"/><Relationship Id="rId3" Type="http://schemas.openxmlformats.org/officeDocument/2006/relationships/hyperlink" Target="bk://v_id/?1207" TargetMode="External"/><Relationship Id="rId4" Type="http://schemas.openxmlformats.org/officeDocument/2006/relationships/hyperlink" Target="bk://v_id/?1241" TargetMode="External"/><Relationship Id="rId5" Type="http://schemas.openxmlformats.org/officeDocument/2006/relationships/hyperlink" Target="bk://v_id/?1241" TargetMode="External"/><Relationship Id="rId6" Type="http://schemas.openxmlformats.org/officeDocument/2006/relationships/hyperlink" Target="bk://v_id/?1241" TargetMode="External"/><Relationship Id="rId7" Type="http://schemas.openxmlformats.org/officeDocument/2006/relationships/hyperlink" Target="bk://v_id/?1241" TargetMode="External"/><Relationship Id="rId8" Type="http://schemas.openxmlformats.org/officeDocument/2006/relationships/hyperlink" Target="bk://v_id/?1241" TargetMode="External"/><Relationship Id="rId9" Type="http://schemas.openxmlformats.org/officeDocument/2006/relationships/hyperlink" Target="bk://v_id/?1241" TargetMode="External"/><Relationship Id="rId10" Type="http://schemas.openxmlformats.org/officeDocument/2006/relationships/hyperlink" Target="bk://v_id/?1241" TargetMode="External"/><Relationship Id="rId11" Type="http://schemas.openxmlformats.org/officeDocument/2006/relationships/hyperlink" Target="bk://v_id/?1241" TargetMode="External"/><Relationship Id="rId12" Type="http://schemas.openxmlformats.org/officeDocument/2006/relationships/hyperlink" Target="bk://v_id/?1243" TargetMode="External"/><Relationship Id="rId13" Type="http://schemas.openxmlformats.org/officeDocument/2006/relationships/hyperlink" Target="bk://v_id/?1242" TargetMode="External"/><Relationship Id="rId14" Type="http://schemas.openxmlformats.org/officeDocument/2006/relationships/hyperlink" Target="bk://v_id/?1246" TargetMode="External"/><Relationship Id="rId15" Type="http://schemas.openxmlformats.org/officeDocument/2006/relationships/hyperlink" Target="bk://v_id/?1247" TargetMode="External"/><Relationship Id="rId16" Type="http://schemas.openxmlformats.org/officeDocument/2006/relationships/hyperlink" Target="bk://v_id/?1248" TargetMode="External"/><Relationship Id="rId17" Type="http://schemas.openxmlformats.org/officeDocument/2006/relationships/hyperlink" Target="bk://v_id/?1252" TargetMode="External"/><Relationship Id="rId18" Type="http://schemas.openxmlformats.org/officeDocument/2006/relationships/hyperlink" Target="bk://v_id/?1252" TargetMode="External"/><Relationship Id="rId19" Type="http://schemas.openxmlformats.org/officeDocument/2006/relationships/hyperlink" Target="bk://v_id/?1252" TargetMode="External"/><Relationship Id="rId20" Type="http://schemas.openxmlformats.org/officeDocument/2006/relationships/hyperlink" Target="bk://v_id/?1252" TargetMode="External"/><Relationship Id="rId21" Type="http://schemas.openxmlformats.org/officeDocument/2006/relationships/hyperlink" Target="bk://v_id/?1252" TargetMode="External"/><Relationship Id="rId22" Type="http://schemas.openxmlformats.org/officeDocument/2006/relationships/hyperlink" Target="bk://v_id/?1255" TargetMode="External"/><Relationship Id="rId23" Type="http://schemas.openxmlformats.org/officeDocument/2006/relationships/hyperlink" Target="bk://v_id/?1255" TargetMode="External"/><Relationship Id="rId24" Type="http://schemas.openxmlformats.org/officeDocument/2006/relationships/hyperlink" Target="bk://v_id/?1255" TargetMode="External"/><Relationship Id="rId25" Type="http://schemas.openxmlformats.org/officeDocument/2006/relationships/hyperlink" Target="bk://v_id/?1253" TargetMode="External"/><Relationship Id="rId26" Type="http://schemas.openxmlformats.org/officeDocument/2006/relationships/hyperlink" Target="bk://v_id/?1256" TargetMode="External"/><Relationship Id="rId27" Type="http://schemas.openxmlformats.org/officeDocument/2006/relationships/hyperlink" Target="bk://v_id/?1239" TargetMode="External"/><Relationship Id="rId28" Type="http://schemas.openxmlformats.org/officeDocument/2006/relationships/hyperlink" Target="bk://v_id/?1239" TargetMode="External"/><Relationship Id="rId29" Type="http://schemas.openxmlformats.org/officeDocument/2006/relationships/hyperlink" Target="bk://v_id/?1239" TargetMode="External"/><Relationship Id="rId30" Type="http://schemas.openxmlformats.org/officeDocument/2006/relationships/hyperlink" Target="bk://v_id/?1239" TargetMode="External"/><Relationship Id="rId31" Type="http://schemas.openxmlformats.org/officeDocument/2006/relationships/hyperlink" Target="bk://v_id/?1240" TargetMode="External"/><Relationship Id="rId32" Type="http://schemas.openxmlformats.org/officeDocument/2006/relationships/hyperlink" Target="bk://v_id/?1241" TargetMode="External"/><Relationship Id="rId33" Type="http://schemas.openxmlformats.org/officeDocument/2006/relationships/hyperlink" Target="bk://v_id/?1242" TargetMode="External"/><Relationship Id="rId34" Type="http://schemas.openxmlformats.org/officeDocument/2006/relationships/hyperlink" Target="bk://v_id/?1243" TargetMode="External"/><Relationship Id="rId35" Type="http://schemas.openxmlformats.org/officeDocument/2006/relationships/hyperlink" Target="bk://v_id/?1247" TargetMode="External"/><Relationship Id="rId36" Type="http://schemas.openxmlformats.org/officeDocument/2006/relationships/hyperlink" Target="bk://v_id/?1248" TargetMode="External"/><Relationship Id="rId37" Type="http://schemas.openxmlformats.org/officeDocument/2006/relationships/hyperlink" Target="bk://v_id/?1246" TargetMode="External"/><Relationship Id="rId38" Type="http://schemas.openxmlformats.org/officeDocument/2006/relationships/hyperlink" Target="bk://v_id/?1255" TargetMode="External"/><Relationship Id="rId39" Type="http://schemas.openxmlformats.org/officeDocument/2006/relationships/hyperlink" Target="bk://v_id/?1252" TargetMode="External"/><Relationship Id="rId40" Type="http://schemas.openxmlformats.org/officeDocument/2006/relationships/hyperlink" Target="bk://v_id/?1253" TargetMode="External"/><Relationship Id="rId41" Type="http://schemas.openxmlformats.org/officeDocument/2006/relationships/hyperlink" Target="bk://v_id/?1256" TargetMode="External"/><Relationship Id="rId42" Type="http://schemas.openxmlformats.org/officeDocument/2006/relationships/comments" Target="../comments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vmlDrawing" Target="../drawings/vmlDrawing7.vml"/><Relationship Id="rId3" Type="http://schemas.openxmlformats.org/officeDocument/2006/relationships/hyperlink" Target="bk://v_id/?1267" TargetMode="External"/><Relationship Id="rId4" Type="http://schemas.openxmlformats.org/officeDocument/2006/relationships/hyperlink" Target="bk://v_id/?1267" TargetMode="External"/><Relationship Id="rId5" Type="http://schemas.openxmlformats.org/officeDocument/2006/relationships/hyperlink" Target="bk://v_id/?1269" TargetMode="External"/><Relationship Id="rId6" Type="http://schemas.openxmlformats.org/officeDocument/2006/relationships/hyperlink" Target="bk://v_id/?1269" TargetMode="External"/><Relationship Id="rId7" Type="http://schemas.openxmlformats.org/officeDocument/2006/relationships/hyperlink" Target="bk://v_id/?1270" TargetMode="External"/><Relationship Id="rId8" Type="http://schemas.openxmlformats.org/officeDocument/2006/relationships/hyperlink" Target="bk://v_id/?1270" TargetMode="External"/><Relationship Id="rId9" Type="http://schemas.openxmlformats.org/officeDocument/2006/relationships/hyperlink" Target="bk://v_id/?1270" TargetMode="External"/><Relationship Id="rId10" Type="http://schemas.openxmlformats.org/officeDocument/2006/relationships/hyperlink" Target="bk://v_id/?1270" TargetMode="External"/><Relationship Id="rId11" Type="http://schemas.openxmlformats.org/officeDocument/2006/relationships/hyperlink" Target="bk://v_id/?1275" TargetMode="External"/><Relationship Id="rId12" Type="http://schemas.openxmlformats.org/officeDocument/2006/relationships/hyperlink" Target="bk://v_id/?1275" TargetMode="External"/><Relationship Id="rId13" Type="http://schemas.openxmlformats.org/officeDocument/2006/relationships/hyperlink" Target="bk://v_id/?1277" TargetMode="External"/><Relationship Id="rId14" Type="http://schemas.openxmlformats.org/officeDocument/2006/relationships/hyperlink" Target="bk://v_id/?1277" TargetMode="External"/><Relationship Id="rId15" Type="http://schemas.openxmlformats.org/officeDocument/2006/relationships/hyperlink" Target="bk://v_id/?1277" TargetMode="External"/><Relationship Id="rId16" Type="http://schemas.openxmlformats.org/officeDocument/2006/relationships/hyperlink" Target="bk://v_id/?1283" TargetMode="External"/><Relationship Id="rId17" Type="http://schemas.openxmlformats.org/officeDocument/2006/relationships/hyperlink" Target="bk://v_id/?1284" TargetMode="External"/><Relationship Id="rId18" Type="http://schemas.openxmlformats.org/officeDocument/2006/relationships/hyperlink" Target="bk://v_id/?1284" TargetMode="External"/><Relationship Id="rId19" Type="http://schemas.openxmlformats.org/officeDocument/2006/relationships/hyperlink" Target="bk://v_id/?1267" TargetMode="External"/><Relationship Id="rId20" Type="http://schemas.openxmlformats.org/officeDocument/2006/relationships/hyperlink" Target="bk://v_id/?1267" TargetMode="External"/><Relationship Id="rId21" Type="http://schemas.openxmlformats.org/officeDocument/2006/relationships/hyperlink" Target="bk://v_id/?1267" TargetMode="External"/><Relationship Id="rId22" Type="http://schemas.openxmlformats.org/officeDocument/2006/relationships/hyperlink" Target="bk://v_id/?1267" TargetMode="External"/><Relationship Id="rId23" Type="http://schemas.openxmlformats.org/officeDocument/2006/relationships/hyperlink" Target="bk://v_id/?1267" TargetMode="External"/><Relationship Id="rId24" Type="http://schemas.openxmlformats.org/officeDocument/2006/relationships/hyperlink" Target="bk://v_id/?1267" TargetMode="External"/><Relationship Id="rId25" Type="http://schemas.openxmlformats.org/officeDocument/2006/relationships/hyperlink" Target="bk://v_id/?1267" TargetMode="External"/><Relationship Id="rId26" Type="http://schemas.openxmlformats.org/officeDocument/2006/relationships/hyperlink" Target="bk://v_id/?1267" TargetMode="External"/><Relationship Id="rId27" Type="http://schemas.openxmlformats.org/officeDocument/2006/relationships/hyperlink" Target="bk://v_id/?1267" TargetMode="External"/><Relationship Id="rId28" Type="http://schemas.openxmlformats.org/officeDocument/2006/relationships/comments" Target="../comments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hyperlink" Target="bk://v_id/?1304" TargetMode="External"/><Relationship Id="rId3" Type="http://schemas.openxmlformats.org/officeDocument/2006/relationships/hyperlink" Target="bk://v_id/?1304" TargetMode="External"/><Relationship Id="rId4" Type="http://schemas.openxmlformats.org/officeDocument/2006/relationships/hyperlink" Target="bk://v_id/?1305" TargetMode="External"/><Relationship Id="rId5" Type="http://schemas.openxmlformats.org/officeDocument/2006/relationships/hyperlink" Target="bk://v_id/?1306" TargetMode="External"/><Relationship Id="rId6" Type="http://schemas.openxmlformats.org/officeDocument/2006/relationships/hyperlink" Target="bk://v_id/?1310" TargetMode="External"/><Relationship Id="rId7" Type="http://schemas.openxmlformats.org/officeDocument/2006/relationships/hyperlink" Target="bk://v_id/?1310" TargetMode="External"/><Relationship Id="rId8" Type="http://schemas.openxmlformats.org/officeDocument/2006/relationships/hyperlink" Target="bk://v_id/?1310" TargetMode="External"/><Relationship Id="rId9" Type="http://schemas.openxmlformats.org/officeDocument/2006/relationships/hyperlink" Target="bk://v_id/?1310" TargetMode="External"/><Relationship Id="rId10" Type="http://schemas.openxmlformats.org/officeDocument/2006/relationships/hyperlink" Target="bk://v_id/?1313" TargetMode="External"/><Relationship Id="rId11" Type="http://schemas.openxmlformats.org/officeDocument/2006/relationships/hyperlink" Target="bk://v_id/?1313" TargetMode="External"/><Relationship Id="rId12" Type="http://schemas.openxmlformats.org/officeDocument/2006/relationships/hyperlink" Target="bk://v_id/?1313" TargetMode="External"/><Relationship Id="rId13" Type="http://schemas.openxmlformats.org/officeDocument/2006/relationships/hyperlink" Target="bk://v_id/?1313" TargetMode="External"/><Relationship Id="rId14" Type="http://schemas.openxmlformats.org/officeDocument/2006/relationships/hyperlink" Target="bk://v_id/?1314" TargetMode="External"/><Relationship Id="rId15" Type="http://schemas.openxmlformats.org/officeDocument/2006/relationships/hyperlink" Target="bk://v_id/?1315" TargetMode="External"/><Relationship Id="rId16" Type="http://schemas.openxmlformats.org/officeDocument/2006/relationships/hyperlink" Target="bk://v_id/?1319" TargetMode="External"/><Relationship Id="rId17" Type="http://schemas.openxmlformats.org/officeDocument/2006/relationships/hyperlink" Target="bk://v_id/?1319" TargetMode="External"/><Relationship Id="rId18" Type="http://schemas.openxmlformats.org/officeDocument/2006/relationships/hyperlink" Target="bk://v_id/?1319" TargetMode="External"/><Relationship Id="rId19" Type="http://schemas.openxmlformats.org/officeDocument/2006/relationships/hyperlink" Target="bk://v_id/?1319" TargetMode="External"/><Relationship Id="rId20" Type="http://schemas.openxmlformats.org/officeDocument/2006/relationships/hyperlink" Target="bk://v_id/?1320" TargetMode="External"/><Relationship Id="rId21" Type="http://schemas.openxmlformats.org/officeDocument/2006/relationships/hyperlink" Target="bk://v_id/?1320" TargetMode="External"/><Relationship Id="rId22" Type="http://schemas.openxmlformats.org/officeDocument/2006/relationships/hyperlink" Target="bk://v_id/?1321" TargetMode="External"/><Relationship Id="rId23" Type="http://schemas.openxmlformats.org/officeDocument/2006/relationships/hyperlink" Target="bk://v_id/?1321" TargetMode="External"/><Relationship Id="rId24" Type="http://schemas.openxmlformats.org/officeDocument/2006/relationships/hyperlink" Target="bk://v_id/?1322" TargetMode="External"/><Relationship Id="rId25" Type="http://schemas.openxmlformats.org/officeDocument/2006/relationships/hyperlink" Target="bk://v_id/?1322" TargetMode="External"/><Relationship Id="rId26" Type="http://schemas.openxmlformats.org/officeDocument/2006/relationships/hyperlink" Target="bk://v_id/?1322" TargetMode="External"/><Relationship Id="rId27" Type="http://schemas.openxmlformats.org/officeDocument/2006/relationships/hyperlink" Target="bk://v_id/?1322" TargetMode="External"/><Relationship Id="rId28" Type="http://schemas.openxmlformats.org/officeDocument/2006/relationships/hyperlink" Target="bk://v_id/?1338" TargetMode="External"/><Relationship Id="rId29" Type="http://schemas.openxmlformats.org/officeDocument/2006/relationships/hyperlink" Target="bk://v_id/?1338" TargetMode="External"/><Relationship Id="rId30" Type="http://schemas.openxmlformats.org/officeDocument/2006/relationships/hyperlink" Target="bk://v_id/?1338" TargetMode="External"/><Relationship Id="rId31" Type="http://schemas.openxmlformats.org/officeDocument/2006/relationships/hyperlink" Target="bk://v_id/?1339" TargetMode="External"/><Relationship Id="rId32" Type="http://schemas.openxmlformats.org/officeDocument/2006/relationships/hyperlink" Target="bk://v_id/?1304" TargetMode="External"/><Relationship Id="rId33" Type="http://schemas.openxmlformats.org/officeDocument/2006/relationships/hyperlink" Target="bk://v_id/?1304" TargetMode="External"/><Relationship Id="rId34" Type="http://schemas.openxmlformats.org/officeDocument/2006/relationships/hyperlink" Target="bk://v_id/?1304" TargetMode="External"/><Relationship Id="rId35" Type="http://schemas.openxmlformats.org/officeDocument/2006/relationships/hyperlink" Target="bk://v_id/?1304" TargetMode="External"/><Relationship Id="rId36" Type="http://schemas.openxmlformats.org/officeDocument/2006/relationships/hyperlink" Target="bk://v_id/?1304" TargetMode="External"/><Relationship Id="rId37" Type="http://schemas.openxmlformats.org/officeDocument/2006/relationships/hyperlink" Target="bk://v_id/?1304" TargetMode="External"/><Relationship Id="rId38" Type="http://schemas.openxmlformats.org/officeDocument/2006/relationships/hyperlink" Target="bk://v_id/?1304" TargetMode="External"/><Relationship Id="rId39" Type="http://schemas.openxmlformats.org/officeDocument/2006/relationships/hyperlink" Target="bk://v_id/?1319" TargetMode="External"/><Relationship Id="rId40" Type="http://schemas.openxmlformats.org/officeDocument/2006/relationships/hyperlink" Target="bk://v_id/?1319" TargetMode="External"/><Relationship Id="rId41" Type="http://schemas.openxmlformats.org/officeDocument/2006/relationships/hyperlink" Target="bk://v_id/?1319" TargetMode="External"/><Relationship Id="rId42" Type="http://schemas.openxmlformats.org/officeDocument/2006/relationships/hyperlink" Target="bk://v_id/?1322" TargetMode="External"/><Relationship Id="rId43" Type="http://schemas.openxmlformats.org/officeDocument/2006/relationships/hyperlink" Target="bk://v_id/?1338" TargetMode="External"/><Relationship Id="rId44" Type="http://schemas.openxmlformats.org/officeDocument/2006/relationships/hyperlink" Target="bk://v_id/?1338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hyperlink" Target="bk://v_id/?1344" TargetMode="External"/><Relationship Id="rId3" Type="http://schemas.openxmlformats.org/officeDocument/2006/relationships/hyperlink" Target="bk://v_id/?1344" TargetMode="External"/><Relationship Id="rId4" Type="http://schemas.openxmlformats.org/officeDocument/2006/relationships/hyperlink" Target="bk://v_id/?1345" TargetMode="External"/><Relationship Id="rId5" Type="http://schemas.openxmlformats.org/officeDocument/2006/relationships/hyperlink" Target="bk://v_id/?1351" TargetMode="External"/><Relationship Id="rId6" Type="http://schemas.openxmlformats.org/officeDocument/2006/relationships/hyperlink" Target="bk://v_id/?1353" TargetMode="External"/><Relationship Id="rId7" Type="http://schemas.openxmlformats.org/officeDocument/2006/relationships/hyperlink" Target="bk://v_id/?1354" TargetMode="External"/><Relationship Id="rId8" Type="http://schemas.openxmlformats.org/officeDocument/2006/relationships/hyperlink" Target="bk://v_id/?1354" TargetMode="External"/><Relationship Id="rId9" Type="http://schemas.openxmlformats.org/officeDocument/2006/relationships/hyperlink" Target="bk://v_id/?1354" TargetMode="External"/><Relationship Id="rId10" Type="http://schemas.openxmlformats.org/officeDocument/2006/relationships/hyperlink" Target="bk://v_id/?1357" TargetMode="External"/><Relationship Id="rId11" Type="http://schemas.openxmlformats.org/officeDocument/2006/relationships/hyperlink" Target="bk://v_id/?1357" TargetMode="External"/><Relationship Id="rId12" Type="http://schemas.openxmlformats.org/officeDocument/2006/relationships/hyperlink" Target="bk://v_id/?1358" TargetMode="External"/><Relationship Id="rId13" Type="http://schemas.openxmlformats.org/officeDocument/2006/relationships/hyperlink" Target="bk://v_id/?1359" TargetMode="External"/><Relationship Id="rId14" Type="http://schemas.openxmlformats.org/officeDocument/2006/relationships/hyperlink" Target="bk://v_id/?1359" TargetMode="External"/><Relationship Id="rId15" Type="http://schemas.openxmlformats.org/officeDocument/2006/relationships/hyperlink" Target="bk://v_id/?1359" TargetMode="External"/><Relationship Id="rId16" Type="http://schemas.openxmlformats.org/officeDocument/2006/relationships/hyperlink" Target="bk://v_id/?1359" TargetMode="External"/><Relationship Id="rId17" Type="http://schemas.openxmlformats.org/officeDocument/2006/relationships/hyperlink" Target="bk://v_id/?1359" TargetMode="External"/><Relationship Id="rId18" Type="http://schemas.openxmlformats.org/officeDocument/2006/relationships/hyperlink" Target="bk://v_id/?1359" TargetMode="External"/><Relationship Id="rId19" Type="http://schemas.openxmlformats.org/officeDocument/2006/relationships/hyperlink" Target="bk://v_id/?1359" TargetMode="External"/><Relationship Id="rId20" Type="http://schemas.openxmlformats.org/officeDocument/2006/relationships/hyperlink" Target="bk://v_id/?1359" TargetMode="External"/><Relationship Id="rId21" Type="http://schemas.openxmlformats.org/officeDocument/2006/relationships/hyperlink" Target="bk://v_id/?1359" TargetMode="External"/><Relationship Id="rId22" Type="http://schemas.openxmlformats.org/officeDocument/2006/relationships/hyperlink" Target="bk://v_id/?1366" TargetMode="External"/><Relationship Id="rId23" Type="http://schemas.openxmlformats.org/officeDocument/2006/relationships/hyperlink" Target="bk://v_id/?1366" TargetMode="External"/><Relationship Id="rId24" Type="http://schemas.openxmlformats.org/officeDocument/2006/relationships/hyperlink" Target="bk://v_id/?1370" TargetMode="External"/><Relationship Id="rId25" Type="http://schemas.openxmlformats.org/officeDocument/2006/relationships/hyperlink" Target="bk://v_id/?1370" TargetMode="External"/><Relationship Id="rId26" Type="http://schemas.openxmlformats.org/officeDocument/2006/relationships/hyperlink" Target="bk://v_id/?1370" TargetMode="External"/><Relationship Id="rId27" Type="http://schemas.openxmlformats.org/officeDocument/2006/relationships/hyperlink" Target="bk://v_id/?1371" TargetMode="External"/><Relationship Id="rId28" Type="http://schemas.openxmlformats.org/officeDocument/2006/relationships/hyperlink" Target="bk://v_id/?1371" TargetMode="External"/><Relationship Id="rId29" Type="http://schemas.openxmlformats.org/officeDocument/2006/relationships/hyperlink" Target="bk://v_id/?1371" TargetMode="External"/><Relationship Id="rId30" Type="http://schemas.openxmlformats.org/officeDocument/2006/relationships/hyperlink" Target="bk://v_id/?1371" TargetMode="External"/><Relationship Id="rId31" Type="http://schemas.openxmlformats.org/officeDocument/2006/relationships/hyperlink" Target="bk://v_id/?1371" TargetMode="External"/><Relationship Id="rId32" Type="http://schemas.openxmlformats.org/officeDocument/2006/relationships/hyperlink" Target="bk://v_id/?1371" TargetMode="External"/><Relationship Id="rId33" Type="http://schemas.openxmlformats.org/officeDocument/2006/relationships/hyperlink" Target="bk://v_id/?1371" TargetMode="External"/><Relationship Id="rId34" Type="http://schemas.openxmlformats.org/officeDocument/2006/relationships/hyperlink" Target="bk://v_id/?1371" TargetMode="External"/><Relationship Id="rId35" Type="http://schemas.openxmlformats.org/officeDocument/2006/relationships/hyperlink" Target="bk://v_id/?1371" TargetMode="External"/><Relationship Id="rId36" Type="http://schemas.openxmlformats.org/officeDocument/2006/relationships/hyperlink" Target="bk://v_id/?1344" TargetMode="External"/><Relationship Id="rId37" Type="http://schemas.openxmlformats.org/officeDocument/2006/relationships/hyperlink" Target="bk://v_id/?1374" TargetMode="External"/><Relationship Id="rId38" Type="http://schemas.openxmlformats.org/officeDocument/2006/relationships/hyperlink" Target="bk://v_id/?1345" TargetMode="External"/><Relationship Id="rId39" Type="http://schemas.openxmlformats.org/officeDocument/2006/relationships/hyperlink" Target="bk://v_id/?1375" TargetMode="External"/><Relationship Id="rId40" Type="http://schemas.openxmlformats.org/officeDocument/2006/relationships/hyperlink" Target="bk://v_id/?1351" TargetMode="External"/><Relationship Id="rId41" Type="http://schemas.openxmlformats.org/officeDocument/2006/relationships/hyperlink" Target="bk://v_id/?1383" TargetMode="External"/><Relationship Id="rId42" Type="http://schemas.openxmlformats.org/officeDocument/2006/relationships/hyperlink" Target="bk://v_id/?1353" TargetMode="External"/><Relationship Id="rId43" Type="http://schemas.openxmlformats.org/officeDocument/2006/relationships/hyperlink" Target="bk://v_id/?1353" TargetMode="External"/><Relationship Id="rId44" Type="http://schemas.openxmlformats.org/officeDocument/2006/relationships/hyperlink" Target="bk://v_id/?1353" TargetMode="External"/><Relationship Id="rId45" Type="http://schemas.openxmlformats.org/officeDocument/2006/relationships/hyperlink" Target="bk://v_id/?1353" TargetMode="External"/><Relationship Id="rId46" Type="http://schemas.openxmlformats.org/officeDocument/2006/relationships/hyperlink" Target="bk://v_id/?1353" TargetMode="External"/><Relationship Id="rId47" Type="http://schemas.openxmlformats.org/officeDocument/2006/relationships/hyperlink" Target="bk://v_id/?1353" TargetMode="External"/><Relationship Id="rId48" Type="http://schemas.openxmlformats.org/officeDocument/2006/relationships/hyperlink" Target="bk://v_id/?1353" TargetMode="External"/><Relationship Id="rId49" Type="http://schemas.openxmlformats.org/officeDocument/2006/relationships/hyperlink" Target="bk://v_id/?1353" TargetMode="External"/><Relationship Id="rId50" Type="http://schemas.openxmlformats.org/officeDocument/2006/relationships/hyperlink" Target="bk://v_id/?1353" TargetMode="External"/><Relationship Id="rId51" Type="http://schemas.openxmlformats.org/officeDocument/2006/relationships/hyperlink" Target="bk://v_id/?1353" TargetMode="External"/><Relationship Id="rId52" Type="http://schemas.openxmlformats.org/officeDocument/2006/relationships/hyperlink" Target="bk://v_id/?1353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hyperlink" Target="bk://v_id/?1447" TargetMode="External"/><Relationship Id="rId3" Type="http://schemas.openxmlformats.org/officeDocument/2006/relationships/hyperlink" Target="bk://v_id/?1447" TargetMode="External"/><Relationship Id="rId4" Type="http://schemas.openxmlformats.org/officeDocument/2006/relationships/hyperlink" Target="bk://v_id/?1449" TargetMode="External"/><Relationship Id="rId5" Type="http://schemas.openxmlformats.org/officeDocument/2006/relationships/hyperlink" Target="bk://v_id/?1449" TargetMode="External"/><Relationship Id="rId6" Type="http://schemas.openxmlformats.org/officeDocument/2006/relationships/hyperlink" Target="bk://v_id/?1449" TargetMode="External"/><Relationship Id="rId7" Type="http://schemas.openxmlformats.org/officeDocument/2006/relationships/hyperlink" Target="bk://v_id/?1449" TargetMode="External"/><Relationship Id="rId8" Type="http://schemas.openxmlformats.org/officeDocument/2006/relationships/hyperlink" Target="bk://v_id/?1449" TargetMode="External"/><Relationship Id="rId9" Type="http://schemas.openxmlformats.org/officeDocument/2006/relationships/hyperlink" Target="bk://v_id/?1449" TargetMode="External"/><Relationship Id="rId10" Type="http://schemas.openxmlformats.org/officeDocument/2006/relationships/hyperlink" Target="bk://v_id/?1449" TargetMode="External"/><Relationship Id="rId11" Type="http://schemas.openxmlformats.org/officeDocument/2006/relationships/hyperlink" Target="bk://v_id/?1449" TargetMode="External"/><Relationship Id="rId12" Type="http://schemas.openxmlformats.org/officeDocument/2006/relationships/hyperlink" Target="bk://v_id/?1449" TargetMode="External"/><Relationship Id="rId13" Type="http://schemas.openxmlformats.org/officeDocument/2006/relationships/hyperlink" Target="bk://v_id/?1449" TargetMode="External"/><Relationship Id="rId14" Type="http://schemas.openxmlformats.org/officeDocument/2006/relationships/hyperlink" Target="bk://v_id/?1449" TargetMode="External"/><Relationship Id="rId15" Type="http://schemas.openxmlformats.org/officeDocument/2006/relationships/hyperlink" Target="bk://v_id/?1450" TargetMode="External"/><Relationship Id="rId16" Type="http://schemas.openxmlformats.org/officeDocument/2006/relationships/hyperlink" Target="bk://v_id/?1450" TargetMode="External"/><Relationship Id="rId17" Type="http://schemas.openxmlformats.org/officeDocument/2006/relationships/hyperlink" Target="bk://v_id/?1450" TargetMode="External"/><Relationship Id="rId18" Type="http://schemas.openxmlformats.org/officeDocument/2006/relationships/hyperlink" Target="bk://v_id/?1450" TargetMode="External"/><Relationship Id="rId19" Type="http://schemas.openxmlformats.org/officeDocument/2006/relationships/hyperlink" Target="bk://v_id/?1451" TargetMode="External"/><Relationship Id="rId20" Type="http://schemas.openxmlformats.org/officeDocument/2006/relationships/hyperlink" Target="bk://v_id/?1451" TargetMode="External"/><Relationship Id="rId21" Type="http://schemas.openxmlformats.org/officeDocument/2006/relationships/hyperlink" Target="bk://v_id/?1451" TargetMode="External"/><Relationship Id="rId22" Type="http://schemas.openxmlformats.org/officeDocument/2006/relationships/hyperlink" Target="bk://v_id/?1451" TargetMode="External"/><Relationship Id="rId23" Type="http://schemas.openxmlformats.org/officeDocument/2006/relationships/hyperlink" Target="bk://v_id/?1452" TargetMode="External"/><Relationship Id="rId24" Type="http://schemas.openxmlformats.org/officeDocument/2006/relationships/hyperlink" Target="bk://v_id/?1452" TargetMode="External"/><Relationship Id="rId25" Type="http://schemas.openxmlformats.org/officeDocument/2006/relationships/hyperlink" Target="bk://v_id/?1452" TargetMode="External"/><Relationship Id="rId26" Type="http://schemas.openxmlformats.org/officeDocument/2006/relationships/hyperlink" Target="bk://v_id/?1453" TargetMode="External"/><Relationship Id="rId27" Type="http://schemas.openxmlformats.org/officeDocument/2006/relationships/hyperlink" Target="bk://v_id/?1453" TargetMode="External"/><Relationship Id="rId28" Type="http://schemas.openxmlformats.org/officeDocument/2006/relationships/hyperlink" Target="bk://v_id/?1454" TargetMode="External"/><Relationship Id="rId29" Type="http://schemas.openxmlformats.org/officeDocument/2006/relationships/hyperlink" Target="bk://v_id/?1454" TargetMode="External"/><Relationship Id="rId30" Type="http://schemas.openxmlformats.org/officeDocument/2006/relationships/hyperlink" Target="bk://v_id/?1454" TargetMode="External"/><Relationship Id="rId31" Type="http://schemas.openxmlformats.org/officeDocument/2006/relationships/hyperlink" Target="bk://v_id/?1455" TargetMode="External"/><Relationship Id="rId32" Type="http://schemas.openxmlformats.org/officeDocument/2006/relationships/hyperlink" Target="bk://v_id/?1455" TargetMode="External"/><Relationship Id="rId33" Type="http://schemas.openxmlformats.org/officeDocument/2006/relationships/hyperlink" Target="bk://v_id/?1455" TargetMode="External"/><Relationship Id="rId34" Type="http://schemas.openxmlformats.org/officeDocument/2006/relationships/hyperlink" Target="bk://v_id/?1455" TargetMode="External"/><Relationship Id="rId35" Type="http://schemas.openxmlformats.org/officeDocument/2006/relationships/hyperlink" Target="bk://v_id/?1455" TargetMode="External"/><Relationship Id="rId36" Type="http://schemas.openxmlformats.org/officeDocument/2006/relationships/hyperlink" Target="bk://v_id/?1455" TargetMode="External"/><Relationship Id="rId37" Type="http://schemas.openxmlformats.org/officeDocument/2006/relationships/hyperlink" Target="bk://v_id/?1455" TargetMode="External"/><Relationship Id="rId38" Type="http://schemas.openxmlformats.org/officeDocument/2006/relationships/hyperlink" Target="bk://v_id/?1455" TargetMode="External"/><Relationship Id="rId39" Type="http://schemas.openxmlformats.org/officeDocument/2006/relationships/hyperlink" Target="bk://v_id/?1455" TargetMode="External"/><Relationship Id="rId40" Type="http://schemas.openxmlformats.org/officeDocument/2006/relationships/hyperlink" Target="bk://v_id/?1447" TargetMode="External"/><Relationship Id="rId41" Type="http://schemas.openxmlformats.org/officeDocument/2006/relationships/hyperlink" Target="bk://v_id/?1455" TargetMode="External"/><Relationship Id="rId42" Type="http://schemas.openxmlformats.org/officeDocument/2006/relationships/hyperlink" Target="bk://v_id/?1447" TargetMode="External"/><Relationship Id="rId43" Type="http://schemas.openxmlformats.org/officeDocument/2006/relationships/hyperlink" Target="bk://v_id/?1455" TargetMode="External"/><Relationship Id="rId44" Type="http://schemas.openxmlformats.org/officeDocument/2006/relationships/hyperlink" Target="bk://v_id/?1447" TargetMode="External"/><Relationship Id="rId45" Type="http://schemas.openxmlformats.org/officeDocument/2006/relationships/hyperlink" Target="bk://v_id/?1456" TargetMode="External"/><Relationship Id="rId46" Type="http://schemas.openxmlformats.org/officeDocument/2006/relationships/hyperlink" Target="bk://v_id/?1447" TargetMode="External"/><Relationship Id="rId47" Type="http://schemas.openxmlformats.org/officeDocument/2006/relationships/hyperlink" Target="bk://v_id/?1465" TargetMode="External"/><Relationship Id="rId48" Type="http://schemas.openxmlformats.org/officeDocument/2006/relationships/hyperlink" Target="bk://v_id/?1447" TargetMode="External"/><Relationship Id="rId49" Type="http://schemas.openxmlformats.org/officeDocument/2006/relationships/hyperlink" Target="bk://v_id/?1465" TargetMode="External"/><Relationship Id="rId50" Type="http://schemas.openxmlformats.org/officeDocument/2006/relationships/hyperlink" Target="bk://v_id/?1447" TargetMode="External"/><Relationship Id="rId51" Type="http://schemas.openxmlformats.org/officeDocument/2006/relationships/hyperlink" Target="bk://v_id/?1465" TargetMode="External"/><Relationship Id="rId52" Type="http://schemas.openxmlformats.org/officeDocument/2006/relationships/hyperlink" Target="bk://v_id/?1447" TargetMode="External"/><Relationship Id="rId53" Type="http://schemas.openxmlformats.org/officeDocument/2006/relationships/hyperlink" Target="bk://v_id/?1465" TargetMode="External"/><Relationship Id="rId54" Type="http://schemas.openxmlformats.org/officeDocument/2006/relationships/hyperlink" Target="bk://v_id/?1447" TargetMode="External"/><Relationship Id="rId55" Type="http://schemas.openxmlformats.org/officeDocument/2006/relationships/hyperlink" Target="bk://v_id/?1465" TargetMode="External"/><Relationship Id="rId56" Type="http://schemas.openxmlformats.org/officeDocument/2006/relationships/hyperlink" Target="bk://v_id/?1447" TargetMode="External"/><Relationship Id="rId57" Type="http://schemas.openxmlformats.org/officeDocument/2006/relationships/hyperlink" Target="bk://v_id/?1465" TargetMode="External"/><Relationship Id="rId58" Type="http://schemas.openxmlformats.org/officeDocument/2006/relationships/hyperlink" Target="bk://v_id/?1447" TargetMode="External"/><Relationship Id="rId59" Type="http://schemas.openxmlformats.org/officeDocument/2006/relationships/hyperlink" Target="bk://v_id/?1468" TargetMode="External"/><Relationship Id="rId60" Type="http://schemas.openxmlformats.org/officeDocument/2006/relationships/hyperlink" Target="bk://v_id/?1447" TargetMode="External"/><Relationship Id="rId61" Type="http://schemas.openxmlformats.org/officeDocument/2006/relationships/hyperlink" Target="bk://v_id/?1468" TargetMode="External"/><Relationship Id="rId62" Type="http://schemas.openxmlformats.org/officeDocument/2006/relationships/hyperlink" Target="bk://v_id/?1447" TargetMode="External"/><Relationship Id="rId63" Type="http://schemas.openxmlformats.org/officeDocument/2006/relationships/hyperlink" Target="bk://v_id/?1468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hyperlink" Target="bk://v_id/?1476" TargetMode="External"/><Relationship Id="rId3" Type="http://schemas.openxmlformats.org/officeDocument/2006/relationships/hyperlink" Target="bk://v_id/?1476" TargetMode="External"/><Relationship Id="rId4" Type="http://schemas.openxmlformats.org/officeDocument/2006/relationships/hyperlink" Target="bk://v_id/?1476" TargetMode="External"/><Relationship Id="rId5" Type="http://schemas.openxmlformats.org/officeDocument/2006/relationships/hyperlink" Target="bk://v_id/?1476" TargetMode="External"/><Relationship Id="rId6" Type="http://schemas.openxmlformats.org/officeDocument/2006/relationships/hyperlink" Target="bk://v_id/?1479" TargetMode="External"/><Relationship Id="rId7" Type="http://schemas.openxmlformats.org/officeDocument/2006/relationships/hyperlink" Target="bk://v_id/?1479" TargetMode="External"/><Relationship Id="rId8" Type="http://schemas.openxmlformats.org/officeDocument/2006/relationships/hyperlink" Target="bk://v_id/?1479" TargetMode="External"/><Relationship Id="rId9" Type="http://schemas.openxmlformats.org/officeDocument/2006/relationships/hyperlink" Target="bk://v_id/?1479" TargetMode="External"/><Relationship Id="rId10" Type="http://schemas.openxmlformats.org/officeDocument/2006/relationships/hyperlink" Target="bk://v_id/?1490" TargetMode="External"/><Relationship Id="rId11" Type="http://schemas.openxmlformats.org/officeDocument/2006/relationships/hyperlink" Target="bk://v_id/?1490" TargetMode="External"/><Relationship Id="rId12" Type="http://schemas.openxmlformats.org/officeDocument/2006/relationships/hyperlink" Target="bk://v_id/?1491" TargetMode="External"/><Relationship Id="rId13" Type="http://schemas.openxmlformats.org/officeDocument/2006/relationships/hyperlink" Target="bk://v_id/?1492" TargetMode="External"/><Relationship Id="rId14" Type="http://schemas.openxmlformats.org/officeDocument/2006/relationships/hyperlink" Target="bk://v_id/?1476" TargetMode="External"/><Relationship Id="rId15" Type="http://schemas.openxmlformats.org/officeDocument/2006/relationships/hyperlink" Target="bk://v_id/?1476" TargetMode="External"/><Relationship Id="rId16" Type="http://schemas.openxmlformats.org/officeDocument/2006/relationships/hyperlink" Target="bk://v_id/?1476" TargetMode="External"/><Relationship Id="rId17" Type="http://schemas.openxmlformats.org/officeDocument/2006/relationships/hyperlink" Target="bk://v_id/?1476" TargetMode="External"/><Relationship Id="rId18" Type="http://schemas.openxmlformats.org/officeDocument/2006/relationships/hyperlink" Target="bk://v_id/?1476" TargetMode="External"/><Relationship Id="rId19" Type="http://schemas.openxmlformats.org/officeDocument/2006/relationships/hyperlink" Target="bk://v_id/?1491" TargetMode="External"/><Relationship Id="rId20" Type="http://schemas.openxmlformats.org/officeDocument/2006/relationships/hyperlink" Target="bk://v_id/?1492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hyperlink" Target="bk://v_id/?1498" TargetMode="External"/><Relationship Id="rId3" Type="http://schemas.openxmlformats.org/officeDocument/2006/relationships/hyperlink" Target="bk://v_id/?1498" TargetMode="External"/><Relationship Id="rId4" Type="http://schemas.openxmlformats.org/officeDocument/2006/relationships/hyperlink" Target="bk://v_id/?1498" TargetMode="External"/><Relationship Id="rId5" Type="http://schemas.openxmlformats.org/officeDocument/2006/relationships/hyperlink" Target="bk://v_id/?1499" TargetMode="External"/><Relationship Id="rId6" Type="http://schemas.openxmlformats.org/officeDocument/2006/relationships/hyperlink" Target="bk://v_id/?1505" TargetMode="External"/><Relationship Id="rId7" Type="http://schemas.openxmlformats.org/officeDocument/2006/relationships/hyperlink" Target="bk://v_id/?1506" TargetMode="External"/><Relationship Id="rId8" Type="http://schemas.openxmlformats.org/officeDocument/2006/relationships/hyperlink" Target="bk://v_id/?1512" TargetMode="External"/><Relationship Id="rId9" Type="http://schemas.openxmlformats.org/officeDocument/2006/relationships/hyperlink" Target="bk://v_id/?1513" TargetMode="External"/><Relationship Id="rId10" Type="http://schemas.openxmlformats.org/officeDocument/2006/relationships/hyperlink" Target="bk://v_id/?1513" TargetMode="External"/><Relationship Id="rId11" Type="http://schemas.openxmlformats.org/officeDocument/2006/relationships/hyperlink" Target="bk://v_id/?1513" TargetMode="External"/><Relationship Id="rId12" Type="http://schemas.openxmlformats.org/officeDocument/2006/relationships/hyperlink" Target="bk://v_id/?1514" TargetMode="External"/><Relationship Id="rId13" Type="http://schemas.openxmlformats.org/officeDocument/2006/relationships/hyperlink" Target="bk://v_id/?1514" TargetMode="External"/><Relationship Id="rId14" Type="http://schemas.openxmlformats.org/officeDocument/2006/relationships/hyperlink" Target="bk://v_id/?1514" TargetMode="External"/><Relationship Id="rId15" Type="http://schemas.openxmlformats.org/officeDocument/2006/relationships/hyperlink" Target="bk://v_id/?1514" TargetMode="External"/><Relationship Id="rId16" Type="http://schemas.openxmlformats.org/officeDocument/2006/relationships/hyperlink" Target="bk://v_id/?1514" TargetMode="External"/><Relationship Id="rId17" Type="http://schemas.openxmlformats.org/officeDocument/2006/relationships/hyperlink" Target="bk://v_id/?1514" TargetMode="External"/><Relationship Id="rId18" Type="http://schemas.openxmlformats.org/officeDocument/2006/relationships/hyperlink" Target="bk://v_id/?1514" TargetMode="External"/><Relationship Id="rId19" Type="http://schemas.openxmlformats.org/officeDocument/2006/relationships/hyperlink" Target="bk://v_id/?1514" TargetMode="External"/><Relationship Id="rId20" Type="http://schemas.openxmlformats.org/officeDocument/2006/relationships/hyperlink" Target="bk://v_id/?1514" TargetMode="External"/><Relationship Id="rId21" Type="http://schemas.openxmlformats.org/officeDocument/2006/relationships/hyperlink" Target="bk://v_id/?1515" TargetMode="External"/><Relationship Id="rId22" Type="http://schemas.openxmlformats.org/officeDocument/2006/relationships/hyperlink" Target="bk://v_id/?1515" TargetMode="External"/><Relationship Id="rId23" Type="http://schemas.openxmlformats.org/officeDocument/2006/relationships/hyperlink" Target="bk://v_id/?1516" TargetMode="External"/><Relationship Id="rId24" Type="http://schemas.openxmlformats.org/officeDocument/2006/relationships/hyperlink" Target="bk://v_id/?1522" TargetMode="External"/><Relationship Id="rId25" Type="http://schemas.openxmlformats.org/officeDocument/2006/relationships/hyperlink" Target="bk://v_id/?1522" TargetMode="External"/><Relationship Id="rId26" Type="http://schemas.openxmlformats.org/officeDocument/2006/relationships/hyperlink" Target="bk://v_id/?1522" TargetMode="External"/><Relationship Id="rId27" Type="http://schemas.openxmlformats.org/officeDocument/2006/relationships/hyperlink" Target="bk://v_id/?1522" TargetMode="External"/><Relationship Id="rId28" Type="http://schemas.openxmlformats.org/officeDocument/2006/relationships/hyperlink" Target="bk://v_id/?1522" TargetMode="External"/><Relationship Id="rId29" Type="http://schemas.openxmlformats.org/officeDocument/2006/relationships/hyperlink" Target="bk://v_id/?1524" TargetMode="External"/><Relationship Id="rId30" Type="http://schemas.openxmlformats.org/officeDocument/2006/relationships/hyperlink" Target="bk://v_id/?1524" TargetMode="External"/><Relationship Id="rId31" Type="http://schemas.openxmlformats.org/officeDocument/2006/relationships/hyperlink" Target="bk://v_id/?1524" TargetMode="External"/><Relationship Id="rId32" Type="http://schemas.openxmlformats.org/officeDocument/2006/relationships/hyperlink" Target="bk://v_id/?1524" TargetMode="External"/><Relationship Id="rId33" Type="http://schemas.openxmlformats.org/officeDocument/2006/relationships/hyperlink" Target="bk://v_id/?1524" TargetMode="External"/><Relationship Id="rId34" Type="http://schemas.openxmlformats.org/officeDocument/2006/relationships/hyperlink" Target="bk://v_id/?1524" TargetMode="External"/><Relationship Id="rId35" Type="http://schemas.openxmlformats.org/officeDocument/2006/relationships/hyperlink" Target="bk://v_id/?1498" TargetMode="External"/><Relationship Id="rId36" Type="http://schemas.openxmlformats.org/officeDocument/2006/relationships/hyperlink" Target="bk://v_id/?1524" TargetMode="External"/><Relationship Id="rId37" Type="http://schemas.openxmlformats.org/officeDocument/2006/relationships/hyperlink" Target="bk://v_id/?1499" TargetMode="External"/><Relationship Id="rId38" Type="http://schemas.openxmlformats.org/officeDocument/2006/relationships/hyperlink" Target="bk://v_id/?1524" TargetMode="External"/><Relationship Id="rId39" Type="http://schemas.openxmlformats.org/officeDocument/2006/relationships/hyperlink" Target="bk://v_id/?1505" TargetMode="External"/><Relationship Id="rId40" Type="http://schemas.openxmlformats.org/officeDocument/2006/relationships/hyperlink" Target="bk://v_id/?1524" TargetMode="External"/><Relationship Id="rId41" Type="http://schemas.openxmlformats.org/officeDocument/2006/relationships/hyperlink" Target="bk://v_id/?1505" TargetMode="External"/><Relationship Id="rId42" Type="http://schemas.openxmlformats.org/officeDocument/2006/relationships/hyperlink" Target="bk://v_id/?1524" TargetMode="External"/><Relationship Id="rId43" Type="http://schemas.openxmlformats.org/officeDocument/2006/relationships/hyperlink" Target="bk://v_id/?1512" TargetMode="External"/><Relationship Id="rId44" Type="http://schemas.openxmlformats.org/officeDocument/2006/relationships/hyperlink" Target="bk://v_id/?1524" TargetMode="External"/><Relationship Id="rId45" Type="http://schemas.openxmlformats.org/officeDocument/2006/relationships/hyperlink" Target="bk://v_id/?1513" TargetMode="External"/><Relationship Id="rId46" Type="http://schemas.openxmlformats.org/officeDocument/2006/relationships/hyperlink" Target="bk://v_id/?1513" TargetMode="External"/><Relationship Id="rId47" Type="http://schemas.openxmlformats.org/officeDocument/2006/relationships/hyperlink" Target="bk://v_id/?1513" TargetMode="External"/><Relationship Id="rId48" Type="http://schemas.openxmlformats.org/officeDocument/2006/relationships/hyperlink" Target="bk://v_id/?1516" TargetMode="External"/><Relationship Id="rId49" Type="http://schemas.openxmlformats.org/officeDocument/2006/relationships/hyperlink" Target="bk://v_id/?1516" TargetMode="External"/><Relationship Id="rId50" Type="http://schemas.openxmlformats.org/officeDocument/2006/relationships/hyperlink" Target="bk://v_id/?1516" TargetMode="External"/><Relationship Id="rId51" Type="http://schemas.openxmlformats.org/officeDocument/2006/relationships/hyperlink" Target="bk://v_id/?1516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hyperlink" Target="bk://v_id/?1551" TargetMode="External"/><Relationship Id="rId3" Type="http://schemas.openxmlformats.org/officeDocument/2006/relationships/hyperlink" Target="bk://v_id/?1551" TargetMode="External"/><Relationship Id="rId4" Type="http://schemas.openxmlformats.org/officeDocument/2006/relationships/hyperlink" Target="bk://v_id/?1551" TargetMode="External"/><Relationship Id="rId5" Type="http://schemas.openxmlformats.org/officeDocument/2006/relationships/hyperlink" Target="bk://v_id/?1551" TargetMode="External"/><Relationship Id="rId6" Type="http://schemas.openxmlformats.org/officeDocument/2006/relationships/hyperlink" Target="bk://v_id/?1551" TargetMode="External"/><Relationship Id="rId7" Type="http://schemas.openxmlformats.org/officeDocument/2006/relationships/hyperlink" Target="bk://v_id/?1551" TargetMode="External"/><Relationship Id="rId8" Type="http://schemas.openxmlformats.org/officeDocument/2006/relationships/hyperlink" Target="bk://v_id/?1551" TargetMode="External"/><Relationship Id="rId9" Type="http://schemas.openxmlformats.org/officeDocument/2006/relationships/hyperlink" Target="bk://v_id/?1551" TargetMode="External"/><Relationship Id="rId10" Type="http://schemas.openxmlformats.org/officeDocument/2006/relationships/hyperlink" Target="bk://v_id/?1551" TargetMode="External"/><Relationship Id="rId11" Type="http://schemas.openxmlformats.org/officeDocument/2006/relationships/hyperlink" Target="bk://v_id/?1551" TargetMode="External"/><Relationship Id="rId12" Type="http://schemas.openxmlformats.org/officeDocument/2006/relationships/hyperlink" Target="bk://v_id/?1551" TargetMode="External"/><Relationship Id="rId13" Type="http://schemas.openxmlformats.org/officeDocument/2006/relationships/hyperlink" Target="bk://v_id/?1551" TargetMode="External"/><Relationship Id="rId14" Type="http://schemas.openxmlformats.org/officeDocument/2006/relationships/hyperlink" Target="bk://v_id/?1554" TargetMode="External"/><Relationship Id="rId15" Type="http://schemas.openxmlformats.org/officeDocument/2006/relationships/hyperlink" Target="bk://v_id/?1559" TargetMode="External"/><Relationship Id="rId16" Type="http://schemas.openxmlformats.org/officeDocument/2006/relationships/hyperlink" Target="bk://v_id/?1559" TargetMode="External"/><Relationship Id="rId17" Type="http://schemas.openxmlformats.org/officeDocument/2006/relationships/hyperlink" Target="bk://v_id/?1562" TargetMode="External"/><Relationship Id="rId18" Type="http://schemas.openxmlformats.org/officeDocument/2006/relationships/hyperlink" Target="bk://v_id/?1562" TargetMode="External"/><Relationship Id="rId19" Type="http://schemas.openxmlformats.org/officeDocument/2006/relationships/hyperlink" Target="bk://v_id/?1562" TargetMode="External"/><Relationship Id="rId20" Type="http://schemas.openxmlformats.org/officeDocument/2006/relationships/hyperlink" Target="bk://v_id/?1562" TargetMode="External"/><Relationship Id="rId21" Type="http://schemas.openxmlformats.org/officeDocument/2006/relationships/hyperlink" Target="bk://v_id/?1563" TargetMode="External"/><Relationship Id="rId22" Type="http://schemas.openxmlformats.org/officeDocument/2006/relationships/hyperlink" Target="bk://v_id/?1551" TargetMode="External"/><Relationship Id="rId23" Type="http://schemas.openxmlformats.org/officeDocument/2006/relationships/hyperlink" Target="bk://v_id/?1551" TargetMode="External"/><Relationship Id="rId24" Type="http://schemas.openxmlformats.org/officeDocument/2006/relationships/hyperlink" Target="bk://v_id/?1551" TargetMode="External"/><Relationship Id="rId25" Type="http://schemas.openxmlformats.org/officeDocument/2006/relationships/hyperlink" Target="bk://v_id/?1551" TargetMode="External"/><Relationship Id="rId26" Type="http://schemas.openxmlformats.org/officeDocument/2006/relationships/hyperlink" Target="bk://v_id/?1551" TargetMode="External"/><Relationship Id="rId27" Type="http://schemas.openxmlformats.org/officeDocument/2006/relationships/hyperlink" Target="bk://v_id/?1551" TargetMode="External"/><Relationship Id="rId28" Type="http://schemas.openxmlformats.org/officeDocument/2006/relationships/hyperlink" Target="bk://v_id/?155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hyperlink" Target="bk://v_id/?1573" TargetMode="External"/><Relationship Id="rId3" Type="http://schemas.openxmlformats.org/officeDocument/2006/relationships/hyperlink" Target="bk://v_id/?1573" TargetMode="External"/><Relationship Id="rId4" Type="http://schemas.openxmlformats.org/officeDocument/2006/relationships/hyperlink" Target="bk://v_id/?1573" TargetMode="External"/><Relationship Id="rId5" Type="http://schemas.openxmlformats.org/officeDocument/2006/relationships/hyperlink" Target="bk://v_id/?1573" TargetMode="External"/><Relationship Id="rId6" Type="http://schemas.openxmlformats.org/officeDocument/2006/relationships/hyperlink" Target="bk://v_id/?1573" TargetMode="External"/><Relationship Id="rId7" Type="http://schemas.openxmlformats.org/officeDocument/2006/relationships/hyperlink" Target="bk://v_id/?1573" TargetMode="External"/><Relationship Id="rId8" Type="http://schemas.openxmlformats.org/officeDocument/2006/relationships/hyperlink" Target="bk://v_id/?1573" TargetMode="External"/><Relationship Id="rId9" Type="http://schemas.openxmlformats.org/officeDocument/2006/relationships/hyperlink" Target="bk://v_id/?1573" TargetMode="External"/><Relationship Id="rId10" Type="http://schemas.openxmlformats.org/officeDocument/2006/relationships/hyperlink" Target="bk://v_id/?1573" TargetMode="External"/><Relationship Id="rId11" Type="http://schemas.openxmlformats.org/officeDocument/2006/relationships/hyperlink" Target="bk://v_id/?1573" TargetMode="External"/><Relationship Id="rId12" Type="http://schemas.openxmlformats.org/officeDocument/2006/relationships/hyperlink" Target="bk://v_id/?1573" TargetMode="External"/><Relationship Id="rId13" Type="http://schemas.openxmlformats.org/officeDocument/2006/relationships/hyperlink" Target="bk://v_id/?1573" TargetMode="External"/><Relationship Id="rId14" Type="http://schemas.openxmlformats.org/officeDocument/2006/relationships/hyperlink" Target="bk://v_id/?1573" TargetMode="External"/><Relationship Id="rId15" Type="http://schemas.openxmlformats.org/officeDocument/2006/relationships/hyperlink" Target="bk://v_id/?1573" TargetMode="External"/><Relationship Id="rId16" Type="http://schemas.openxmlformats.org/officeDocument/2006/relationships/hyperlink" Target="bk://v_id/?1573" TargetMode="External"/><Relationship Id="rId17" Type="http://schemas.openxmlformats.org/officeDocument/2006/relationships/hyperlink" Target="bk://v_id/?1573" TargetMode="External"/><Relationship Id="rId18" Type="http://schemas.openxmlformats.org/officeDocument/2006/relationships/hyperlink" Target="bk://v_id/?1573" TargetMode="External"/><Relationship Id="rId19" Type="http://schemas.openxmlformats.org/officeDocument/2006/relationships/hyperlink" Target="bk://v_id/?1573" TargetMode="External"/><Relationship Id="rId20" Type="http://schemas.openxmlformats.org/officeDocument/2006/relationships/hyperlink" Target="bk://v_id/?1573" TargetMode="External"/><Relationship Id="rId21" Type="http://schemas.openxmlformats.org/officeDocument/2006/relationships/hyperlink" Target="bk://v_id/?1573" TargetMode="External"/><Relationship Id="rId22" Type="http://schemas.openxmlformats.org/officeDocument/2006/relationships/hyperlink" Target="bk://v_id/?1573" TargetMode="External"/><Relationship Id="rId23" Type="http://schemas.openxmlformats.org/officeDocument/2006/relationships/hyperlink" Target="bk://v_id/?1573" TargetMode="External"/><Relationship Id="rId24" Type="http://schemas.openxmlformats.org/officeDocument/2006/relationships/hyperlink" Target="bk://v_id/?1588" TargetMode="External"/><Relationship Id="rId25" Type="http://schemas.openxmlformats.org/officeDocument/2006/relationships/hyperlink" Target="bk://v_id/?1588" TargetMode="External"/><Relationship Id="rId26" Type="http://schemas.openxmlformats.org/officeDocument/2006/relationships/hyperlink" Target="bk://v_id/?1588" TargetMode="External"/><Relationship Id="rId27" Type="http://schemas.openxmlformats.org/officeDocument/2006/relationships/hyperlink" Target="bk://v_id/?1588" TargetMode="External"/><Relationship Id="rId28" Type="http://schemas.openxmlformats.org/officeDocument/2006/relationships/hyperlink" Target="bk://v_id/?1588" TargetMode="External"/><Relationship Id="rId29" Type="http://schemas.openxmlformats.org/officeDocument/2006/relationships/hyperlink" Target="bk://v_id/?1589" TargetMode="External"/><Relationship Id="rId30" Type="http://schemas.openxmlformats.org/officeDocument/2006/relationships/hyperlink" Target="bk://v_id/?1589" TargetMode="External"/><Relationship Id="rId31" Type="http://schemas.openxmlformats.org/officeDocument/2006/relationships/hyperlink" Target="bk://v_id/?1589" TargetMode="External"/><Relationship Id="rId32" Type="http://schemas.openxmlformats.org/officeDocument/2006/relationships/hyperlink" Target="bk://v_id/?1589" TargetMode="External"/><Relationship Id="rId33" Type="http://schemas.openxmlformats.org/officeDocument/2006/relationships/hyperlink" Target="bk://v_id/?1589" TargetMode="External"/><Relationship Id="rId34" Type="http://schemas.openxmlformats.org/officeDocument/2006/relationships/hyperlink" Target="bk://v_id/?1589" TargetMode="External"/><Relationship Id="rId35" Type="http://schemas.openxmlformats.org/officeDocument/2006/relationships/hyperlink" Target="bk://v_id/?1589" TargetMode="External"/><Relationship Id="rId36" Type="http://schemas.openxmlformats.org/officeDocument/2006/relationships/hyperlink" Target="bk://v_id/?1589" TargetMode="External"/><Relationship Id="rId37" Type="http://schemas.openxmlformats.org/officeDocument/2006/relationships/hyperlink" Target="bk://v_id/?1590" TargetMode="External"/><Relationship Id="rId38" Type="http://schemas.openxmlformats.org/officeDocument/2006/relationships/hyperlink" Target="bk://v_id/?1590" TargetMode="External"/><Relationship Id="rId39" Type="http://schemas.openxmlformats.org/officeDocument/2006/relationships/hyperlink" Target="bk://v_id/?1590" TargetMode="External"/><Relationship Id="rId40" Type="http://schemas.openxmlformats.org/officeDocument/2006/relationships/hyperlink" Target="bk://v_id/?1591" TargetMode="External"/><Relationship Id="rId41" Type="http://schemas.openxmlformats.org/officeDocument/2006/relationships/hyperlink" Target="bk://v_id/?1591" TargetMode="External"/><Relationship Id="rId42" Type="http://schemas.openxmlformats.org/officeDocument/2006/relationships/hyperlink" Target="bk://v_id/?1573" TargetMode="External"/><Relationship Id="rId43" Type="http://schemas.openxmlformats.org/officeDocument/2006/relationships/hyperlink" Target="bk://v_id/?1591" TargetMode="External"/><Relationship Id="rId44" Type="http://schemas.openxmlformats.org/officeDocument/2006/relationships/hyperlink" Target="bk://v_id/?1573" TargetMode="External"/><Relationship Id="rId45" Type="http://schemas.openxmlformats.org/officeDocument/2006/relationships/hyperlink" Target="bk://v_id/?1591" TargetMode="External"/><Relationship Id="rId46" Type="http://schemas.openxmlformats.org/officeDocument/2006/relationships/hyperlink" Target="bk://v_id/?1573" TargetMode="External"/><Relationship Id="rId47" Type="http://schemas.openxmlformats.org/officeDocument/2006/relationships/hyperlink" Target="bk://v_id/?1592" TargetMode="External"/><Relationship Id="rId48" Type="http://schemas.openxmlformats.org/officeDocument/2006/relationships/hyperlink" Target="bk://v_id/?1573" TargetMode="External"/><Relationship Id="rId49" Type="http://schemas.openxmlformats.org/officeDocument/2006/relationships/hyperlink" Target="bk://v_id/?1592" TargetMode="External"/><Relationship Id="rId50" Type="http://schemas.openxmlformats.org/officeDocument/2006/relationships/hyperlink" Target="bk://v_id/?1573" TargetMode="External"/><Relationship Id="rId51" Type="http://schemas.openxmlformats.org/officeDocument/2006/relationships/hyperlink" Target="bk://v_id/?1592" TargetMode="External"/><Relationship Id="rId52" Type="http://schemas.openxmlformats.org/officeDocument/2006/relationships/hyperlink" Target="bk://v_id/?1573" TargetMode="External"/><Relationship Id="rId53" Type="http://schemas.openxmlformats.org/officeDocument/2006/relationships/hyperlink" Target="bk://v_id/?1573" TargetMode="External"/><Relationship Id="rId54" Type="http://schemas.openxmlformats.org/officeDocument/2006/relationships/hyperlink" Target="bk://v_id/?1573" TargetMode="External"/><Relationship Id="rId55" Type="http://schemas.openxmlformats.org/officeDocument/2006/relationships/hyperlink" Target="bk://v_id/?1588" TargetMode="External"/><Relationship Id="rId56" Type="http://schemas.openxmlformats.org/officeDocument/2006/relationships/hyperlink" Target="bk://v_id/?1589" TargetMode="External"/><Relationship Id="rId57" Type="http://schemas.openxmlformats.org/officeDocument/2006/relationships/hyperlink" Target="bk://v_id/?1590" TargetMode="External"/><Relationship Id="rId58" Type="http://schemas.openxmlformats.org/officeDocument/2006/relationships/hyperlink" Target="bk://v_id/?1590" TargetMode="External"/><Relationship Id="rId59" Type="http://schemas.openxmlformats.org/officeDocument/2006/relationships/hyperlink" Target="bk://v_id/?1592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hyperlink" Target="bk://v_id/?1609" TargetMode="External"/><Relationship Id="rId3" Type="http://schemas.openxmlformats.org/officeDocument/2006/relationships/hyperlink" Target="bk://v_id/?1609" TargetMode="External"/><Relationship Id="rId4" Type="http://schemas.openxmlformats.org/officeDocument/2006/relationships/hyperlink" Target="bk://v_id/?1609" TargetMode="External"/><Relationship Id="rId5" Type="http://schemas.openxmlformats.org/officeDocument/2006/relationships/hyperlink" Target="bk://v_id/?1609" TargetMode="External"/><Relationship Id="rId6" Type="http://schemas.openxmlformats.org/officeDocument/2006/relationships/hyperlink" Target="bk://v_id/?1609" TargetMode="External"/><Relationship Id="rId7" Type="http://schemas.openxmlformats.org/officeDocument/2006/relationships/hyperlink" Target="bk://v_id/?1609" TargetMode="External"/><Relationship Id="rId8" Type="http://schemas.openxmlformats.org/officeDocument/2006/relationships/hyperlink" Target="bk://v_id/?1609" TargetMode="External"/><Relationship Id="rId9" Type="http://schemas.openxmlformats.org/officeDocument/2006/relationships/hyperlink" Target="bk://v_id/?1609" TargetMode="External"/><Relationship Id="rId10" Type="http://schemas.openxmlformats.org/officeDocument/2006/relationships/hyperlink" Target="bk://v_id/?1609" TargetMode="External"/><Relationship Id="rId11" Type="http://schemas.openxmlformats.org/officeDocument/2006/relationships/hyperlink" Target="bk://v_id/?1609" TargetMode="External"/><Relationship Id="rId12" Type="http://schemas.openxmlformats.org/officeDocument/2006/relationships/hyperlink" Target="bk://v_id/?1609" TargetMode="External"/><Relationship Id="rId13" Type="http://schemas.openxmlformats.org/officeDocument/2006/relationships/hyperlink" Target="bk://v_id/?1609" TargetMode="External"/><Relationship Id="rId14" Type="http://schemas.openxmlformats.org/officeDocument/2006/relationships/hyperlink" Target="bk://v_id/?1609" TargetMode="External"/><Relationship Id="rId15" Type="http://schemas.openxmlformats.org/officeDocument/2006/relationships/hyperlink" Target="bk://v_id/?1609" TargetMode="External"/><Relationship Id="rId16" Type="http://schemas.openxmlformats.org/officeDocument/2006/relationships/hyperlink" Target="bk://v_id/?1609" TargetMode="External"/><Relationship Id="rId17" Type="http://schemas.openxmlformats.org/officeDocument/2006/relationships/hyperlink" Target="bk://v_id/?1609" TargetMode="External"/><Relationship Id="rId18" Type="http://schemas.openxmlformats.org/officeDocument/2006/relationships/hyperlink" Target="bk://v_id/?1609" TargetMode="External"/><Relationship Id="rId19" Type="http://schemas.openxmlformats.org/officeDocument/2006/relationships/hyperlink" Target="bk://v_id/?1609" TargetMode="External"/><Relationship Id="rId20" Type="http://schemas.openxmlformats.org/officeDocument/2006/relationships/hyperlink" Target="bk://v_id/?1609" TargetMode="External"/><Relationship Id="rId21" Type="http://schemas.openxmlformats.org/officeDocument/2006/relationships/hyperlink" Target="bk://v_id/?1613" TargetMode="External"/><Relationship Id="rId22" Type="http://schemas.openxmlformats.org/officeDocument/2006/relationships/hyperlink" Target="bk://v_id/?1613" TargetMode="External"/><Relationship Id="rId23" Type="http://schemas.openxmlformats.org/officeDocument/2006/relationships/hyperlink" Target="bk://v_id/?1613" TargetMode="External"/><Relationship Id="rId24" Type="http://schemas.openxmlformats.org/officeDocument/2006/relationships/hyperlink" Target="bk://v_id/?1613" TargetMode="External"/><Relationship Id="rId25" Type="http://schemas.openxmlformats.org/officeDocument/2006/relationships/hyperlink" Target="bk://v_id/?1613" TargetMode="External"/><Relationship Id="rId26" Type="http://schemas.openxmlformats.org/officeDocument/2006/relationships/hyperlink" Target="bk://v_id/?1613" TargetMode="External"/><Relationship Id="rId27" Type="http://schemas.openxmlformats.org/officeDocument/2006/relationships/hyperlink" Target="bk://v_id/?1613" TargetMode="External"/><Relationship Id="rId28" Type="http://schemas.openxmlformats.org/officeDocument/2006/relationships/hyperlink" Target="bk://v_id/?1613" TargetMode="External"/><Relationship Id="rId29" Type="http://schemas.openxmlformats.org/officeDocument/2006/relationships/hyperlink" Target="bk://v_id/?1627" TargetMode="External"/><Relationship Id="rId30" Type="http://schemas.openxmlformats.org/officeDocument/2006/relationships/hyperlink" Target="bk://v_id/?1627" TargetMode="External"/><Relationship Id="rId31" Type="http://schemas.openxmlformats.org/officeDocument/2006/relationships/hyperlink" Target="bk://v_id/?1627" TargetMode="External"/><Relationship Id="rId32" Type="http://schemas.openxmlformats.org/officeDocument/2006/relationships/hyperlink" Target="bk://v_id/?1627" TargetMode="External"/><Relationship Id="rId33" Type="http://schemas.openxmlformats.org/officeDocument/2006/relationships/hyperlink" Target="bk://v_id/?1609" TargetMode="External"/><Relationship Id="rId34" Type="http://schemas.openxmlformats.org/officeDocument/2006/relationships/hyperlink" Target="bk://v_id/?1613" TargetMode="External"/><Relationship Id="rId35" Type="http://schemas.openxmlformats.org/officeDocument/2006/relationships/hyperlink" Target="bk://v_id/?1613" TargetMode="External"/><Relationship Id="rId36" Type="http://schemas.openxmlformats.org/officeDocument/2006/relationships/hyperlink" Target="bk://v_id/?1613" TargetMode="External"/><Relationship Id="rId37" Type="http://schemas.openxmlformats.org/officeDocument/2006/relationships/hyperlink" Target="bk://v_id/?1613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hyperlink" Target="bk://v_id/?1630" TargetMode="External"/><Relationship Id="rId3" Type="http://schemas.openxmlformats.org/officeDocument/2006/relationships/hyperlink" Target="bk://v_id/?1630" TargetMode="External"/><Relationship Id="rId4" Type="http://schemas.openxmlformats.org/officeDocument/2006/relationships/hyperlink" Target="bk://v_id/?1630" TargetMode="External"/><Relationship Id="rId5" Type="http://schemas.openxmlformats.org/officeDocument/2006/relationships/hyperlink" Target="bk://v_id/?1630" TargetMode="External"/><Relationship Id="rId6" Type="http://schemas.openxmlformats.org/officeDocument/2006/relationships/hyperlink" Target="bk://v_id/?1630" TargetMode="External"/><Relationship Id="rId7" Type="http://schemas.openxmlformats.org/officeDocument/2006/relationships/hyperlink" Target="bk://v_id/?1630" TargetMode="External"/><Relationship Id="rId8" Type="http://schemas.openxmlformats.org/officeDocument/2006/relationships/hyperlink" Target="bk://v_id/?1630" TargetMode="External"/><Relationship Id="rId9" Type="http://schemas.openxmlformats.org/officeDocument/2006/relationships/hyperlink" Target="bk://v_id/?1630" TargetMode="External"/><Relationship Id="rId10" Type="http://schemas.openxmlformats.org/officeDocument/2006/relationships/hyperlink" Target="bk://v_id/?1630" TargetMode="External"/><Relationship Id="rId11" Type="http://schemas.openxmlformats.org/officeDocument/2006/relationships/hyperlink" Target="bk://v_id/?1630" TargetMode="External"/><Relationship Id="rId12" Type="http://schemas.openxmlformats.org/officeDocument/2006/relationships/hyperlink" Target="bk://v_id/?1630" TargetMode="External"/><Relationship Id="rId13" Type="http://schemas.openxmlformats.org/officeDocument/2006/relationships/hyperlink" Target="bk://v_id/?1630" TargetMode="External"/><Relationship Id="rId14" Type="http://schemas.openxmlformats.org/officeDocument/2006/relationships/hyperlink" Target="bk://v_id/?1630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hyperlink" Target="bk://v_id/?1651" TargetMode="External"/><Relationship Id="rId3" Type="http://schemas.openxmlformats.org/officeDocument/2006/relationships/hyperlink" Target="bk://v_id/?1651" TargetMode="External"/><Relationship Id="rId4" Type="http://schemas.openxmlformats.org/officeDocument/2006/relationships/hyperlink" Target="bk://v_id/?1652" TargetMode="External"/><Relationship Id="rId5" Type="http://schemas.openxmlformats.org/officeDocument/2006/relationships/hyperlink" Target="bk://v_id/?1652" TargetMode="External"/><Relationship Id="rId6" Type="http://schemas.openxmlformats.org/officeDocument/2006/relationships/hyperlink" Target="bk://v_id/?1654" TargetMode="External"/><Relationship Id="rId7" Type="http://schemas.openxmlformats.org/officeDocument/2006/relationships/hyperlink" Target="bk://v_id/?1654" TargetMode="External"/><Relationship Id="rId8" Type="http://schemas.openxmlformats.org/officeDocument/2006/relationships/hyperlink" Target="bk://v_id/?1654" TargetMode="External"/><Relationship Id="rId9" Type="http://schemas.openxmlformats.org/officeDocument/2006/relationships/hyperlink" Target="bk://v_id/?1654" TargetMode="External"/><Relationship Id="rId10" Type="http://schemas.openxmlformats.org/officeDocument/2006/relationships/hyperlink" Target="bk://v_id/?1654" TargetMode="External"/><Relationship Id="rId11" Type="http://schemas.openxmlformats.org/officeDocument/2006/relationships/hyperlink" Target="bk://v_id/?1654" TargetMode="External"/><Relationship Id="rId12" Type="http://schemas.openxmlformats.org/officeDocument/2006/relationships/hyperlink" Target="bk://v_id/?1654" TargetMode="External"/><Relationship Id="rId13" Type="http://schemas.openxmlformats.org/officeDocument/2006/relationships/hyperlink" Target="bk://v_id/?1654" TargetMode="External"/><Relationship Id="rId14" Type="http://schemas.openxmlformats.org/officeDocument/2006/relationships/hyperlink" Target="bk://v_id/?1654" TargetMode="External"/><Relationship Id="rId15" Type="http://schemas.openxmlformats.org/officeDocument/2006/relationships/hyperlink" Target="bk://v_id/?1654" TargetMode="External"/><Relationship Id="rId16" Type="http://schemas.openxmlformats.org/officeDocument/2006/relationships/hyperlink" Target="bk://v_id/?1656" TargetMode="External"/><Relationship Id="rId17" Type="http://schemas.openxmlformats.org/officeDocument/2006/relationships/hyperlink" Target="bk://v_id/?1656" TargetMode="External"/><Relationship Id="rId18" Type="http://schemas.openxmlformats.org/officeDocument/2006/relationships/hyperlink" Target="bk://v_id/?1656" TargetMode="External"/><Relationship Id="rId19" Type="http://schemas.openxmlformats.org/officeDocument/2006/relationships/hyperlink" Target="bk://v_id/?1656" TargetMode="External"/><Relationship Id="rId20" Type="http://schemas.openxmlformats.org/officeDocument/2006/relationships/hyperlink" Target="bk://v_id/?1656" TargetMode="External"/><Relationship Id="rId21" Type="http://schemas.openxmlformats.org/officeDocument/2006/relationships/hyperlink" Target="bk://v_id/?1656" TargetMode="External"/><Relationship Id="rId22" Type="http://schemas.openxmlformats.org/officeDocument/2006/relationships/hyperlink" Target="bk://v_id/?1656" TargetMode="External"/><Relationship Id="rId23" Type="http://schemas.openxmlformats.org/officeDocument/2006/relationships/hyperlink" Target="bk://v_id/?1656" TargetMode="External"/><Relationship Id="rId24" Type="http://schemas.openxmlformats.org/officeDocument/2006/relationships/hyperlink" Target="bk://v_id/?1656" TargetMode="External"/><Relationship Id="rId25" Type="http://schemas.openxmlformats.org/officeDocument/2006/relationships/hyperlink" Target="bk://v_id/?1656" TargetMode="External"/><Relationship Id="rId26" Type="http://schemas.openxmlformats.org/officeDocument/2006/relationships/hyperlink" Target="bk://v_id/?1657" TargetMode="External"/><Relationship Id="rId27" Type="http://schemas.openxmlformats.org/officeDocument/2006/relationships/hyperlink" Target="bk://v_id/?1658" TargetMode="External"/><Relationship Id="rId28" Type="http://schemas.openxmlformats.org/officeDocument/2006/relationships/hyperlink" Target="bk://v_id/?1658" TargetMode="External"/><Relationship Id="rId29" Type="http://schemas.openxmlformats.org/officeDocument/2006/relationships/hyperlink" Target="bk://v_id/?1658" TargetMode="External"/><Relationship Id="rId30" Type="http://schemas.openxmlformats.org/officeDocument/2006/relationships/hyperlink" Target="bk://v_id/?1658" TargetMode="External"/><Relationship Id="rId31" Type="http://schemas.openxmlformats.org/officeDocument/2006/relationships/hyperlink" Target="bk://v_id/?1658" TargetMode="External"/><Relationship Id="rId32" Type="http://schemas.openxmlformats.org/officeDocument/2006/relationships/hyperlink" Target="bk://v_id/?1658" TargetMode="External"/><Relationship Id="rId33" Type="http://schemas.openxmlformats.org/officeDocument/2006/relationships/hyperlink" Target="bk://v_id/?1651" TargetMode="External"/><Relationship Id="rId34" Type="http://schemas.openxmlformats.org/officeDocument/2006/relationships/hyperlink" Target="bk://v_id/?1652" TargetMode="External"/><Relationship Id="rId35" Type="http://schemas.openxmlformats.org/officeDocument/2006/relationships/hyperlink" Target="bk://v_id/?1652" TargetMode="External"/><Relationship Id="rId36" Type="http://schemas.openxmlformats.org/officeDocument/2006/relationships/hyperlink" Target="bk://v_id/?1654" TargetMode="External"/><Relationship Id="rId37" Type="http://schemas.openxmlformats.org/officeDocument/2006/relationships/hyperlink" Target="bk://v_id/?1654" TargetMode="External"/><Relationship Id="rId38" Type="http://schemas.openxmlformats.org/officeDocument/2006/relationships/hyperlink" Target="bk://v_id/?1656" TargetMode="External"/><Relationship Id="rId39" Type="http://schemas.openxmlformats.org/officeDocument/2006/relationships/hyperlink" Target="bk://v_id/?1656" TargetMode="External"/><Relationship Id="rId40" Type="http://schemas.openxmlformats.org/officeDocument/2006/relationships/hyperlink" Target="bk://v_id/?1656" TargetMode="External"/><Relationship Id="rId41" Type="http://schemas.openxmlformats.org/officeDocument/2006/relationships/hyperlink" Target="bk://v_id/?1656" TargetMode="External"/><Relationship Id="rId42" Type="http://schemas.openxmlformats.org/officeDocument/2006/relationships/hyperlink" Target="bk://v_id/?1656" TargetMode="External"/><Relationship Id="rId43" Type="http://schemas.openxmlformats.org/officeDocument/2006/relationships/hyperlink" Target="bk://v_id/?1656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hyperlink" Target="bk://v_id/?1687" TargetMode="External"/><Relationship Id="rId3" Type="http://schemas.openxmlformats.org/officeDocument/2006/relationships/hyperlink" Target="bk://v_id/?1687" TargetMode="External"/><Relationship Id="rId4" Type="http://schemas.openxmlformats.org/officeDocument/2006/relationships/hyperlink" Target="bk://v_id/?1687" TargetMode="External"/><Relationship Id="rId5" Type="http://schemas.openxmlformats.org/officeDocument/2006/relationships/hyperlink" Target="bk://v_id/?1687" TargetMode="External"/><Relationship Id="rId6" Type="http://schemas.openxmlformats.org/officeDocument/2006/relationships/hyperlink" Target="bk://v_id/?1687" TargetMode="External"/><Relationship Id="rId7" Type="http://schemas.openxmlformats.org/officeDocument/2006/relationships/hyperlink" Target="bk://v_id/?1687" TargetMode="External"/><Relationship Id="rId8" Type="http://schemas.openxmlformats.org/officeDocument/2006/relationships/hyperlink" Target="bk://v_id/?1687" TargetMode="External"/><Relationship Id="rId9" Type="http://schemas.openxmlformats.org/officeDocument/2006/relationships/hyperlink" Target="bk://v_id/?1687" TargetMode="External"/><Relationship Id="rId10" Type="http://schemas.openxmlformats.org/officeDocument/2006/relationships/hyperlink" Target="bk://v_id/?1687" TargetMode="External"/><Relationship Id="rId11" Type="http://schemas.openxmlformats.org/officeDocument/2006/relationships/hyperlink" Target="bk://v_id/?1695" TargetMode="External"/><Relationship Id="rId12" Type="http://schemas.openxmlformats.org/officeDocument/2006/relationships/hyperlink" Target="bk://v_id/?1696" TargetMode="External"/><Relationship Id="rId13" Type="http://schemas.openxmlformats.org/officeDocument/2006/relationships/hyperlink" Target="bk://v_id/?1696" TargetMode="External"/><Relationship Id="rId14" Type="http://schemas.openxmlformats.org/officeDocument/2006/relationships/hyperlink" Target="bk://v_id/?1697" TargetMode="External"/><Relationship Id="rId15" Type="http://schemas.openxmlformats.org/officeDocument/2006/relationships/hyperlink" Target="bk://v_id/?1698" TargetMode="External"/><Relationship Id="rId16" Type="http://schemas.openxmlformats.org/officeDocument/2006/relationships/hyperlink" Target="bk://v_id/?1698" TargetMode="External"/><Relationship Id="rId17" Type="http://schemas.openxmlformats.org/officeDocument/2006/relationships/hyperlink" Target="bk://v_id/?1698" TargetMode="External"/><Relationship Id="rId18" Type="http://schemas.openxmlformats.org/officeDocument/2006/relationships/hyperlink" Target="bk://v_id/?1698" TargetMode="External"/><Relationship Id="rId19" Type="http://schemas.openxmlformats.org/officeDocument/2006/relationships/hyperlink" Target="bk://v_id/?1698" TargetMode="External"/><Relationship Id="rId20" Type="http://schemas.openxmlformats.org/officeDocument/2006/relationships/hyperlink" Target="bk://v_id/?1698" TargetMode="External"/><Relationship Id="rId21" Type="http://schemas.openxmlformats.org/officeDocument/2006/relationships/hyperlink" Target="bk://v_id/?1698" TargetMode="External"/><Relationship Id="rId22" Type="http://schemas.openxmlformats.org/officeDocument/2006/relationships/hyperlink" Target="bk://v_id/?1698" TargetMode="External"/><Relationship Id="rId23" Type="http://schemas.openxmlformats.org/officeDocument/2006/relationships/hyperlink" Target="bk://v_id/?1698" TargetMode="External"/><Relationship Id="rId24" Type="http://schemas.openxmlformats.org/officeDocument/2006/relationships/hyperlink" Target="bk://v_id/?1698" TargetMode="External"/><Relationship Id="rId25" Type="http://schemas.openxmlformats.org/officeDocument/2006/relationships/hyperlink" Target="bk://v_id/?1698" TargetMode="External"/><Relationship Id="rId26" Type="http://schemas.openxmlformats.org/officeDocument/2006/relationships/hyperlink" Target="bk://v_id/?1699" TargetMode="External"/><Relationship Id="rId27" Type="http://schemas.openxmlformats.org/officeDocument/2006/relationships/hyperlink" Target="bk://v_id/?1699" TargetMode="External"/><Relationship Id="rId28" Type="http://schemas.openxmlformats.org/officeDocument/2006/relationships/hyperlink" Target="bk://v_id/?1699" TargetMode="External"/><Relationship Id="rId29" Type="http://schemas.openxmlformats.org/officeDocument/2006/relationships/hyperlink" Target="bk://v_id/?1699" TargetMode="External"/><Relationship Id="rId30" Type="http://schemas.openxmlformats.org/officeDocument/2006/relationships/hyperlink" Target="bk://v_id/?1699" TargetMode="External"/><Relationship Id="rId31" Type="http://schemas.openxmlformats.org/officeDocument/2006/relationships/hyperlink" Target="bk://v_id/?1700" TargetMode="External"/><Relationship Id="rId32" Type="http://schemas.openxmlformats.org/officeDocument/2006/relationships/hyperlink" Target="bk://v_id/?1700" TargetMode="External"/><Relationship Id="rId33" Type="http://schemas.openxmlformats.org/officeDocument/2006/relationships/hyperlink" Target="bk://v_id/?1700" TargetMode="External"/><Relationship Id="rId34" Type="http://schemas.openxmlformats.org/officeDocument/2006/relationships/hyperlink" Target="bk://v_id/?1702" TargetMode="External"/><Relationship Id="rId35" Type="http://schemas.openxmlformats.org/officeDocument/2006/relationships/hyperlink" Target="bk://v_id/?1702" TargetMode="External"/><Relationship Id="rId36" Type="http://schemas.openxmlformats.org/officeDocument/2006/relationships/hyperlink" Target="bk://v_id/?1702" TargetMode="External"/><Relationship Id="rId37" Type="http://schemas.openxmlformats.org/officeDocument/2006/relationships/hyperlink" Target="bk://v_id/?1687" TargetMode="External"/><Relationship Id="rId38" Type="http://schemas.openxmlformats.org/officeDocument/2006/relationships/hyperlink" Target="bk://v_id/?1703" TargetMode="External"/><Relationship Id="rId39" Type="http://schemas.openxmlformats.org/officeDocument/2006/relationships/hyperlink" Target="bk://v_id/?1687" TargetMode="External"/><Relationship Id="rId40" Type="http://schemas.openxmlformats.org/officeDocument/2006/relationships/hyperlink" Target="bk://v_id/?1704" TargetMode="External"/><Relationship Id="rId41" Type="http://schemas.openxmlformats.org/officeDocument/2006/relationships/hyperlink" Target="bk://v_id/?1687" TargetMode="External"/><Relationship Id="rId42" Type="http://schemas.openxmlformats.org/officeDocument/2006/relationships/hyperlink" Target="bk://v_id/?1717" TargetMode="External"/><Relationship Id="rId43" Type="http://schemas.openxmlformats.org/officeDocument/2006/relationships/hyperlink" Target="bk://v_id/?1695" TargetMode="External"/><Relationship Id="rId44" Type="http://schemas.openxmlformats.org/officeDocument/2006/relationships/hyperlink" Target="bk://v_id/?1696" TargetMode="External"/><Relationship Id="rId45" Type="http://schemas.openxmlformats.org/officeDocument/2006/relationships/hyperlink" Target="bk://v_id/?1697" TargetMode="External"/><Relationship Id="rId46" Type="http://schemas.openxmlformats.org/officeDocument/2006/relationships/hyperlink" Target="bk://v_id/?1698" TargetMode="External"/><Relationship Id="rId47" Type="http://schemas.openxmlformats.org/officeDocument/2006/relationships/hyperlink" Target="bk://v_id/?1699" TargetMode="External"/><Relationship Id="rId48" Type="http://schemas.openxmlformats.org/officeDocument/2006/relationships/hyperlink" Target="bk://v_id/?1700" TargetMode="External"/><Relationship Id="rId49" Type="http://schemas.openxmlformats.org/officeDocument/2006/relationships/hyperlink" Target="bk://v_id/?1700" TargetMode="External"/><Relationship Id="rId50" Type="http://schemas.openxmlformats.org/officeDocument/2006/relationships/hyperlink" Target="bk://v_id/?1702" TargetMode="External"/><Relationship Id="rId51" Type="http://schemas.openxmlformats.org/officeDocument/2006/relationships/hyperlink" Target="bk://v_id/?1703" TargetMode="External"/><Relationship Id="rId52" Type="http://schemas.openxmlformats.org/officeDocument/2006/relationships/hyperlink" Target="bk://v_id/?1704" TargetMode="External"/><Relationship Id="rId53" Type="http://schemas.openxmlformats.org/officeDocument/2006/relationships/hyperlink" Target="bk://v_id/?1717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hyperlink" Target="bk://v_id/?1718" TargetMode="External"/><Relationship Id="rId3" Type="http://schemas.openxmlformats.org/officeDocument/2006/relationships/hyperlink" Target="bk://v_id/?1718" TargetMode="External"/><Relationship Id="rId4" Type="http://schemas.openxmlformats.org/officeDocument/2006/relationships/hyperlink" Target="bk://v_id/?1719" TargetMode="External"/><Relationship Id="rId5" Type="http://schemas.openxmlformats.org/officeDocument/2006/relationships/hyperlink" Target="bk://v_id/?1720" TargetMode="External"/><Relationship Id="rId6" Type="http://schemas.openxmlformats.org/officeDocument/2006/relationships/hyperlink" Target="bk://v_id/?1720" TargetMode="External"/><Relationship Id="rId7" Type="http://schemas.openxmlformats.org/officeDocument/2006/relationships/hyperlink" Target="bk://v_id/?1721" TargetMode="External"/><Relationship Id="rId8" Type="http://schemas.openxmlformats.org/officeDocument/2006/relationships/hyperlink" Target="bk://v_id/?1721" TargetMode="External"/><Relationship Id="rId9" Type="http://schemas.openxmlformats.org/officeDocument/2006/relationships/hyperlink" Target="bk://v_id/?1722" TargetMode="External"/><Relationship Id="rId10" Type="http://schemas.openxmlformats.org/officeDocument/2006/relationships/hyperlink" Target="bk://v_id/?1722" TargetMode="External"/><Relationship Id="rId11" Type="http://schemas.openxmlformats.org/officeDocument/2006/relationships/hyperlink" Target="bk://v_id/?1722" TargetMode="External"/><Relationship Id="rId12" Type="http://schemas.openxmlformats.org/officeDocument/2006/relationships/hyperlink" Target="bk://v_id/?1722" TargetMode="External"/><Relationship Id="rId13" Type="http://schemas.openxmlformats.org/officeDocument/2006/relationships/hyperlink" Target="bk://v_id/?1722" TargetMode="External"/><Relationship Id="rId14" Type="http://schemas.openxmlformats.org/officeDocument/2006/relationships/hyperlink" Target="bk://v_id/?1723" TargetMode="External"/><Relationship Id="rId15" Type="http://schemas.openxmlformats.org/officeDocument/2006/relationships/hyperlink" Target="bk://v_id/?1723" TargetMode="External"/><Relationship Id="rId16" Type="http://schemas.openxmlformats.org/officeDocument/2006/relationships/hyperlink" Target="bk://v_id/?1723" TargetMode="External"/><Relationship Id="rId17" Type="http://schemas.openxmlformats.org/officeDocument/2006/relationships/hyperlink" Target="bk://v_id/?1724" TargetMode="External"/><Relationship Id="rId18" Type="http://schemas.openxmlformats.org/officeDocument/2006/relationships/hyperlink" Target="bk://v_id/?1724" TargetMode="External"/><Relationship Id="rId19" Type="http://schemas.openxmlformats.org/officeDocument/2006/relationships/hyperlink" Target="bk://v_id/?1724" TargetMode="External"/><Relationship Id="rId20" Type="http://schemas.openxmlformats.org/officeDocument/2006/relationships/hyperlink" Target="bk://v_id/?1724" TargetMode="External"/><Relationship Id="rId21" Type="http://schemas.openxmlformats.org/officeDocument/2006/relationships/hyperlink" Target="bk://v_id/?1724" TargetMode="External"/><Relationship Id="rId22" Type="http://schemas.openxmlformats.org/officeDocument/2006/relationships/hyperlink" Target="bk://v_id/?1724" TargetMode="External"/><Relationship Id="rId23" Type="http://schemas.openxmlformats.org/officeDocument/2006/relationships/hyperlink" Target="bk://v_id/?1724" TargetMode="External"/><Relationship Id="rId24" Type="http://schemas.openxmlformats.org/officeDocument/2006/relationships/hyperlink" Target="bk://v_id/?1736" TargetMode="External"/><Relationship Id="rId25" Type="http://schemas.openxmlformats.org/officeDocument/2006/relationships/hyperlink" Target="bk://v_id/?1737" TargetMode="External"/><Relationship Id="rId26" Type="http://schemas.openxmlformats.org/officeDocument/2006/relationships/hyperlink" Target="bk://v_id/?1744" TargetMode="External"/><Relationship Id="rId27" Type="http://schemas.openxmlformats.org/officeDocument/2006/relationships/hyperlink" Target="bk://v_id/?1744" TargetMode="External"/><Relationship Id="rId28" Type="http://schemas.openxmlformats.org/officeDocument/2006/relationships/hyperlink" Target="bk://v_id/?1744" TargetMode="External"/><Relationship Id="rId29" Type="http://schemas.openxmlformats.org/officeDocument/2006/relationships/hyperlink" Target="bk://v_id/?1744" TargetMode="External"/><Relationship Id="rId30" Type="http://schemas.openxmlformats.org/officeDocument/2006/relationships/hyperlink" Target="bk://v_id/?1744" TargetMode="External"/><Relationship Id="rId31" Type="http://schemas.openxmlformats.org/officeDocument/2006/relationships/hyperlink" Target="bk://v_id/?1744" TargetMode="External"/><Relationship Id="rId32" Type="http://schemas.openxmlformats.org/officeDocument/2006/relationships/hyperlink" Target="bk://v_id/?1744" TargetMode="External"/><Relationship Id="rId33" Type="http://schemas.openxmlformats.org/officeDocument/2006/relationships/hyperlink" Target="bk://v_id/?1744" TargetMode="External"/><Relationship Id="rId34" Type="http://schemas.openxmlformats.org/officeDocument/2006/relationships/hyperlink" Target="bk://v_id/?1744" TargetMode="External"/><Relationship Id="rId35" Type="http://schemas.openxmlformats.org/officeDocument/2006/relationships/hyperlink" Target="bk://v_id/?1744" TargetMode="External"/><Relationship Id="rId36" Type="http://schemas.openxmlformats.org/officeDocument/2006/relationships/hyperlink" Target="bk://v_id/?1744" TargetMode="External"/><Relationship Id="rId37" Type="http://schemas.openxmlformats.org/officeDocument/2006/relationships/hyperlink" Target="bk://v_id/?1718" TargetMode="External"/><Relationship Id="rId38" Type="http://schemas.openxmlformats.org/officeDocument/2006/relationships/hyperlink" Target="bk://v_id/?1744" TargetMode="External"/><Relationship Id="rId39" Type="http://schemas.openxmlformats.org/officeDocument/2006/relationships/hyperlink" Target="bk://v_id/?1719" TargetMode="External"/><Relationship Id="rId40" Type="http://schemas.openxmlformats.org/officeDocument/2006/relationships/hyperlink" Target="bk://v_id/?1744" TargetMode="External"/><Relationship Id="rId41" Type="http://schemas.openxmlformats.org/officeDocument/2006/relationships/hyperlink" Target="bk://v_id/?1720" TargetMode="External"/><Relationship Id="rId42" Type="http://schemas.openxmlformats.org/officeDocument/2006/relationships/hyperlink" Target="bk://v_id/?1721" TargetMode="External"/><Relationship Id="rId43" Type="http://schemas.openxmlformats.org/officeDocument/2006/relationships/hyperlink" Target="bk://v_id/?1722" TargetMode="External"/><Relationship Id="rId44" Type="http://schemas.openxmlformats.org/officeDocument/2006/relationships/hyperlink" Target="bk://v_id/?1723" TargetMode="External"/><Relationship Id="rId45" Type="http://schemas.openxmlformats.org/officeDocument/2006/relationships/hyperlink" Target="bk://v_id/?1724" TargetMode="External"/><Relationship Id="rId46" Type="http://schemas.openxmlformats.org/officeDocument/2006/relationships/hyperlink" Target="bk://v_id/?1736" TargetMode="External"/><Relationship Id="rId47" Type="http://schemas.openxmlformats.org/officeDocument/2006/relationships/hyperlink" Target="bk://v_id/?1736" TargetMode="External"/><Relationship Id="rId48" Type="http://schemas.openxmlformats.org/officeDocument/2006/relationships/hyperlink" Target="bk://v_id/?1736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hyperlink" Target="bk://v_id/?1747" TargetMode="External"/><Relationship Id="rId3" Type="http://schemas.openxmlformats.org/officeDocument/2006/relationships/hyperlink" Target="bk://v_id/?1747" TargetMode="External"/><Relationship Id="rId4" Type="http://schemas.openxmlformats.org/officeDocument/2006/relationships/hyperlink" Target="bk://v_id/?1747" TargetMode="External"/><Relationship Id="rId5" Type="http://schemas.openxmlformats.org/officeDocument/2006/relationships/hyperlink" Target="bk://v_id/?1747" TargetMode="External"/><Relationship Id="rId6" Type="http://schemas.openxmlformats.org/officeDocument/2006/relationships/hyperlink" Target="bk://v_id/?1747" TargetMode="External"/><Relationship Id="rId7" Type="http://schemas.openxmlformats.org/officeDocument/2006/relationships/hyperlink" Target="bk://v_id/?1747" TargetMode="External"/><Relationship Id="rId8" Type="http://schemas.openxmlformats.org/officeDocument/2006/relationships/hyperlink" Target="bk://v_id/?1754" TargetMode="External"/><Relationship Id="rId9" Type="http://schemas.openxmlformats.org/officeDocument/2006/relationships/hyperlink" Target="bk://v_id/?1754" TargetMode="External"/><Relationship Id="rId10" Type="http://schemas.openxmlformats.org/officeDocument/2006/relationships/hyperlink" Target="bk://v_id/?1754" TargetMode="External"/><Relationship Id="rId11" Type="http://schemas.openxmlformats.org/officeDocument/2006/relationships/hyperlink" Target="bk://v_id/?1754" TargetMode="External"/><Relationship Id="rId12" Type="http://schemas.openxmlformats.org/officeDocument/2006/relationships/hyperlink" Target="bk://v_id/?1754" TargetMode="External"/><Relationship Id="rId13" Type="http://schemas.openxmlformats.org/officeDocument/2006/relationships/hyperlink" Target="bk://v_id/?1754" TargetMode="External"/><Relationship Id="rId14" Type="http://schemas.openxmlformats.org/officeDocument/2006/relationships/hyperlink" Target="bk://v_id/?1754" TargetMode="External"/><Relationship Id="rId15" Type="http://schemas.openxmlformats.org/officeDocument/2006/relationships/hyperlink" Target="bk://v_id/?1754" TargetMode="External"/><Relationship Id="rId16" Type="http://schemas.openxmlformats.org/officeDocument/2006/relationships/hyperlink" Target="bk://v_id/?1754" TargetMode="External"/><Relationship Id="rId17" Type="http://schemas.openxmlformats.org/officeDocument/2006/relationships/hyperlink" Target="bk://v_id/?1756" TargetMode="External"/><Relationship Id="rId18" Type="http://schemas.openxmlformats.org/officeDocument/2006/relationships/hyperlink" Target="bk://v_id/?1756" TargetMode="External"/><Relationship Id="rId19" Type="http://schemas.openxmlformats.org/officeDocument/2006/relationships/hyperlink" Target="bk://v_id/?1756" TargetMode="External"/><Relationship Id="rId20" Type="http://schemas.openxmlformats.org/officeDocument/2006/relationships/hyperlink" Target="bk://v_id/?1756" TargetMode="External"/><Relationship Id="rId21" Type="http://schemas.openxmlformats.org/officeDocument/2006/relationships/hyperlink" Target="bk://v_id/?1757" TargetMode="External"/><Relationship Id="rId22" Type="http://schemas.openxmlformats.org/officeDocument/2006/relationships/hyperlink" Target="bk://v_id/?1757" TargetMode="External"/><Relationship Id="rId23" Type="http://schemas.openxmlformats.org/officeDocument/2006/relationships/hyperlink" Target="bk://v_id/?1757" TargetMode="External"/><Relationship Id="rId24" Type="http://schemas.openxmlformats.org/officeDocument/2006/relationships/hyperlink" Target="bk://v_id/?1757" TargetMode="External"/><Relationship Id="rId25" Type="http://schemas.openxmlformats.org/officeDocument/2006/relationships/hyperlink" Target="bk://v_id/?1757" TargetMode="External"/><Relationship Id="rId26" Type="http://schemas.openxmlformats.org/officeDocument/2006/relationships/hyperlink" Target="bk://v_id/?1758" TargetMode="External"/><Relationship Id="rId27" Type="http://schemas.openxmlformats.org/officeDocument/2006/relationships/hyperlink" Target="bk://v_id/?1758" TargetMode="External"/><Relationship Id="rId28" Type="http://schemas.openxmlformats.org/officeDocument/2006/relationships/hyperlink" Target="bk://v_id/?1758" TargetMode="External"/><Relationship Id="rId29" Type="http://schemas.openxmlformats.org/officeDocument/2006/relationships/hyperlink" Target="bk://v_id/?1759" TargetMode="External"/><Relationship Id="rId30" Type="http://schemas.openxmlformats.org/officeDocument/2006/relationships/hyperlink" Target="bk://v_id/?1760" TargetMode="External"/><Relationship Id="rId31" Type="http://schemas.openxmlformats.org/officeDocument/2006/relationships/hyperlink" Target="bk://v_id/?1760" TargetMode="External"/><Relationship Id="rId32" Type="http://schemas.openxmlformats.org/officeDocument/2006/relationships/hyperlink" Target="bk://v_id/?1761" TargetMode="External"/><Relationship Id="rId33" Type="http://schemas.openxmlformats.org/officeDocument/2006/relationships/hyperlink" Target="bk://v_id/?1747" TargetMode="External"/><Relationship Id="rId34" Type="http://schemas.openxmlformats.org/officeDocument/2006/relationships/hyperlink" Target="bk://v_id/?1747" TargetMode="External"/><Relationship Id="rId35" Type="http://schemas.openxmlformats.org/officeDocument/2006/relationships/hyperlink" Target="bk://v_id/?1754" TargetMode="External"/><Relationship Id="rId36" Type="http://schemas.openxmlformats.org/officeDocument/2006/relationships/hyperlink" Target="bk://v_id/?1754" TargetMode="External"/><Relationship Id="rId37" Type="http://schemas.openxmlformats.org/officeDocument/2006/relationships/hyperlink" Target="bk://v_id/?1756" TargetMode="External"/><Relationship Id="rId38" Type="http://schemas.openxmlformats.org/officeDocument/2006/relationships/hyperlink" Target="bk://v_id/?1757" TargetMode="External"/><Relationship Id="rId39" Type="http://schemas.openxmlformats.org/officeDocument/2006/relationships/hyperlink" Target="bk://v_id/?1758" TargetMode="External"/><Relationship Id="rId40" Type="http://schemas.openxmlformats.org/officeDocument/2006/relationships/hyperlink" Target="bk://v_id/?1759" TargetMode="External"/><Relationship Id="rId41" Type="http://schemas.openxmlformats.org/officeDocument/2006/relationships/hyperlink" Target="bk://v_id/?1760" TargetMode="External"/><Relationship Id="rId42" Type="http://schemas.openxmlformats.org/officeDocument/2006/relationships/hyperlink" Target="bk://v_id/?176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hyperlink" Target="bk://v_id/?1778" TargetMode="External"/><Relationship Id="rId3" Type="http://schemas.openxmlformats.org/officeDocument/2006/relationships/hyperlink" Target="bk://v_id/?1778" TargetMode="External"/><Relationship Id="rId4" Type="http://schemas.openxmlformats.org/officeDocument/2006/relationships/hyperlink" Target="bk://v_id/?1778" TargetMode="External"/><Relationship Id="rId5" Type="http://schemas.openxmlformats.org/officeDocument/2006/relationships/hyperlink" Target="bk://v_id/?1778" TargetMode="External"/><Relationship Id="rId6" Type="http://schemas.openxmlformats.org/officeDocument/2006/relationships/hyperlink" Target="bk://v_id/?1779" TargetMode="External"/><Relationship Id="rId7" Type="http://schemas.openxmlformats.org/officeDocument/2006/relationships/hyperlink" Target="bk://v_id/?1780" TargetMode="External"/><Relationship Id="rId8" Type="http://schemas.openxmlformats.org/officeDocument/2006/relationships/hyperlink" Target="bk://v_id/?1781" TargetMode="External"/><Relationship Id="rId9" Type="http://schemas.openxmlformats.org/officeDocument/2006/relationships/hyperlink" Target="bk://v_id/?1782" TargetMode="External"/><Relationship Id="rId10" Type="http://schemas.openxmlformats.org/officeDocument/2006/relationships/hyperlink" Target="bk://v_id/?1783" TargetMode="External"/><Relationship Id="rId11" Type="http://schemas.openxmlformats.org/officeDocument/2006/relationships/hyperlink" Target="bk://v_id/?1783" TargetMode="External"/><Relationship Id="rId12" Type="http://schemas.openxmlformats.org/officeDocument/2006/relationships/hyperlink" Target="bk://v_id/?1784" TargetMode="External"/><Relationship Id="rId13" Type="http://schemas.openxmlformats.org/officeDocument/2006/relationships/hyperlink" Target="bk://v_id/?1785" TargetMode="External"/><Relationship Id="rId14" Type="http://schemas.openxmlformats.org/officeDocument/2006/relationships/hyperlink" Target="bk://v_id/?1785" TargetMode="External"/><Relationship Id="rId15" Type="http://schemas.openxmlformats.org/officeDocument/2006/relationships/hyperlink" Target="bk://v_id/?1785" TargetMode="External"/><Relationship Id="rId16" Type="http://schemas.openxmlformats.org/officeDocument/2006/relationships/hyperlink" Target="bk://v_id/?1785" TargetMode="External"/><Relationship Id="rId17" Type="http://schemas.openxmlformats.org/officeDocument/2006/relationships/hyperlink" Target="bk://v_id/?1786" TargetMode="External"/><Relationship Id="rId18" Type="http://schemas.openxmlformats.org/officeDocument/2006/relationships/hyperlink" Target="bk://v_id/?1796" TargetMode="External"/><Relationship Id="rId19" Type="http://schemas.openxmlformats.org/officeDocument/2006/relationships/hyperlink" Target="bk://v_id/?1796" TargetMode="External"/><Relationship Id="rId20" Type="http://schemas.openxmlformats.org/officeDocument/2006/relationships/hyperlink" Target="bk://v_id/?1796" TargetMode="External"/><Relationship Id="rId21" Type="http://schemas.openxmlformats.org/officeDocument/2006/relationships/hyperlink" Target="bk://v_id/?1796" TargetMode="External"/><Relationship Id="rId22" Type="http://schemas.openxmlformats.org/officeDocument/2006/relationships/hyperlink" Target="bk://v_id/?1796" TargetMode="External"/><Relationship Id="rId23" Type="http://schemas.openxmlformats.org/officeDocument/2006/relationships/hyperlink" Target="bk://v_id/?1797" TargetMode="External"/><Relationship Id="rId24" Type="http://schemas.openxmlformats.org/officeDocument/2006/relationships/hyperlink" Target="bk://v_id/?1797" TargetMode="External"/><Relationship Id="rId25" Type="http://schemas.openxmlformats.org/officeDocument/2006/relationships/hyperlink" Target="bk://v_id/?1778" TargetMode="External"/><Relationship Id="rId26" Type="http://schemas.openxmlformats.org/officeDocument/2006/relationships/hyperlink" Target="bk://v_id/?1779" TargetMode="External"/><Relationship Id="rId27" Type="http://schemas.openxmlformats.org/officeDocument/2006/relationships/hyperlink" Target="bk://v_id/?1780" TargetMode="External"/><Relationship Id="rId28" Type="http://schemas.openxmlformats.org/officeDocument/2006/relationships/hyperlink" Target="bk://v_id/?1781" TargetMode="External"/><Relationship Id="rId29" Type="http://schemas.openxmlformats.org/officeDocument/2006/relationships/hyperlink" Target="bk://v_id/?1782" TargetMode="External"/><Relationship Id="rId30" Type="http://schemas.openxmlformats.org/officeDocument/2006/relationships/hyperlink" Target="bk://v_id/?1783" TargetMode="External"/><Relationship Id="rId31" Type="http://schemas.openxmlformats.org/officeDocument/2006/relationships/hyperlink" Target="bk://v_id/?1784" TargetMode="External"/><Relationship Id="rId32" Type="http://schemas.openxmlformats.org/officeDocument/2006/relationships/hyperlink" Target="bk://v_id/?1785" TargetMode="External"/><Relationship Id="rId33" Type="http://schemas.openxmlformats.org/officeDocument/2006/relationships/hyperlink" Target="bk://v_id/?1786" TargetMode="External"/><Relationship Id="rId34" Type="http://schemas.openxmlformats.org/officeDocument/2006/relationships/hyperlink" Target="bk://v_id/?1786" TargetMode="External"/><Relationship Id="rId35" Type="http://schemas.openxmlformats.org/officeDocument/2006/relationships/hyperlink" Target="bk://v_id/?1786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hyperlink" Target="bk://v_id/?1809" TargetMode="External"/><Relationship Id="rId3" Type="http://schemas.openxmlformats.org/officeDocument/2006/relationships/hyperlink" Target="bk://v_id/?1809" TargetMode="External"/><Relationship Id="rId4" Type="http://schemas.openxmlformats.org/officeDocument/2006/relationships/hyperlink" Target="bk://v_id/?1809" TargetMode="External"/><Relationship Id="rId5" Type="http://schemas.openxmlformats.org/officeDocument/2006/relationships/hyperlink" Target="bk://v_id/?1815" TargetMode="External"/><Relationship Id="rId6" Type="http://schemas.openxmlformats.org/officeDocument/2006/relationships/hyperlink" Target="bk://v_id/?1816" TargetMode="External"/><Relationship Id="rId7" Type="http://schemas.openxmlformats.org/officeDocument/2006/relationships/hyperlink" Target="bk://v_id/?1816" TargetMode="External"/><Relationship Id="rId8" Type="http://schemas.openxmlformats.org/officeDocument/2006/relationships/hyperlink" Target="bk://v_id/?1816" TargetMode="External"/><Relationship Id="rId9" Type="http://schemas.openxmlformats.org/officeDocument/2006/relationships/hyperlink" Target="bk://v_id/?1816" TargetMode="External"/><Relationship Id="rId10" Type="http://schemas.openxmlformats.org/officeDocument/2006/relationships/hyperlink" Target="bk://v_id/?1816" TargetMode="External"/><Relationship Id="rId11" Type="http://schemas.openxmlformats.org/officeDocument/2006/relationships/hyperlink" Target="bk://v_id/?1816" TargetMode="External"/><Relationship Id="rId12" Type="http://schemas.openxmlformats.org/officeDocument/2006/relationships/hyperlink" Target="bk://v_id/?1816" TargetMode="External"/><Relationship Id="rId13" Type="http://schemas.openxmlformats.org/officeDocument/2006/relationships/hyperlink" Target="bk://v_id/?1816" TargetMode="External"/><Relationship Id="rId14" Type="http://schemas.openxmlformats.org/officeDocument/2006/relationships/hyperlink" Target="bk://v_id/?1816" TargetMode="External"/><Relationship Id="rId15" Type="http://schemas.openxmlformats.org/officeDocument/2006/relationships/hyperlink" Target="bk://v_id/?1816" TargetMode="External"/><Relationship Id="rId16" Type="http://schemas.openxmlformats.org/officeDocument/2006/relationships/hyperlink" Target="bk://v_id/?1816" TargetMode="External"/><Relationship Id="rId17" Type="http://schemas.openxmlformats.org/officeDocument/2006/relationships/hyperlink" Target="bk://v_id/?1816" TargetMode="External"/><Relationship Id="rId18" Type="http://schemas.openxmlformats.org/officeDocument/2006/relationships/hyperlink" Target="bk://v_id/?1816" TargetMode="External"/><Relationship Id="rId19" Type="http://schemas.openxmlformats.org/officeDocument/2006/relationships/hyperlink" Target="bk://v_id/?1816" TargetMode="External"/><Relationship Id="rId20" Type="http://schemas.openxmlformats.org/officeDocument/2006/relationships/hyperlink" Target="bk://v_id/?1816" TargetMode="External"/><Relationship Id="rId21" Type="http://schemas.openxmlformats.org/officeDocument/2006/relationships/hyperlink" Target="bk://v_id/?1816" TargetMode="External"/><Relationship Id="rId22" Type="http://schemas.openxmlformats.org/officeDocument/2006/relationships/hyperlink" Target="bk://v_id/?1816" TargetMode="External"/><Relationship Id="rId23" Type="http://schemas.openxmlformats.org/officeDocument/2006/relationships/hyperlink" Target="bk://v_id/?1816" TargetMode="External"/><Relationship Id="rId24" Type="http://schemas.openxmlformats.org/officeDocument/2006/relationships/hyperlink" Target="bk://v_id/?1809" TargetMode="External"/><Relationship Id="rId25" Type="http://schemas.openxmlformats.org/officeDocument/2006/relationships/hyperlink" Target="bk://v_id/?1809" TargetMode="External"/><Relationship Id="rId26" Type="http://schemas.openxmlformats.org/officeDocument/2006/relationships/hyperlink" Target="bk://v_id/?1809" TargetMode="External"/><Relationship Id="rId27" Type="http://schemas.openxmlformats.org/officeDocument/2006/relationships/hyperlink" Target="bk://v_id/?1815" TargetMode="External"/><Relationship Id="rId28" Type="http://schemas.openxmlformats.org/officeDocument/2006/relationships/hyperlink" Target="bk://v_id/?1816" TargetMode="External"/><Relationship Id="rId29" Type="http://schemas.openxmlformats.org/officeDocument/2006/relationships/hyperlink" Target="bk://v_id/?1816" TargetMode="External"/><Relationship Id="rId30" Type="http://schemas.openxmlformats.org/officeDocument/2006/relationships/hyperlink" Target="bk://v_id/?1816" TargetMode="External"/><Relationship Id="rId31" Type="http://schemas.openxmlformats.org/officeDocument/2006/relationships/hyperlink" Target="bk://v_id/?1816" TargetMode="External"/><Relationship Id="rId32" Type="http://schemas.openxmlformats.org/officeDocument/2006/relationships/hyperlink" Target="bk://v_id/?1816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hyperlink" Target="bk://v_id/?1830" TargetMode="External"/><Relationship Id="rId3" Type="http://schemas.openxmlformats.org/officeDocument/2006/relationships/hyperlink" Target="bk://v_id/?1830" TargetMode="External"/><Relationship Id="rId4" Type="http://schemas.openxmlformats.org/officeDocument/2006/relationships/hyperlink" Target="bk://v_id/?1831" TargetMode="External"/><Relationship Id="rId5" Type="http://schemas.openxmlformats.org/officeDocument/2006/relationships/hyperlink" Target="bk://v_id/?1832" TargetMode="External"/><Relationship Id="rId6" Type="http://schemas.openxmlformats.org/officeDocument/2006/relationships/hyperlink" Target="bk://v_id/?1833" TargetMode="External"/><Relationship Id="rId7" Type="http://schemas.openxmlformats.org/officeDocument/2006/relationships/hyperlink" Target="bk://v_id/?1833" TargetMode="External"/><Relationship Id="rId8" Type="http://schemas.openxmlformats.org/officeDocument/2006/relationships/hyperlink" Target="bk://v_id/?1833" TargetMode="External"/><Relationship Id="rId9" Type="http://schemas.openxmlformats.org/officeDocument/2006/relationships/hyperlink" Target="bk://v_id/?1833" TargetMode="External"/><Relationship Id="rId10" Type="http://schemas.openxmlformats.org/officeDocument/2006/relationships/hyperlink" Target="bk://v_id/?1833" TargetMode="External"/><Relationship Id="rId11" Type="http://schemas.openxmlformats.org/officeDocument/2006/relationships/hyperlink" Target="bk://v_id/?1833" TargetMode="External"/><Relationship Id="rId12" Type="http://schemas.openxmlformats.org/officeDocument/2006/relationships/hyperlink" Target="bk://v_id/?1833" TargetMode="External"/><Relationship Id="rId13" Type="http://schemas.openxmlformats.org/officeDocument/2006/relationships/hyperlink" Target="bk://v_id/?1833" TargetMode="External"/><Relationship Id="rId14" Type="http://schemas.openxmlformats.org/officeDocument/2006/relationships/hyperlink" Target="bk://v_id/?1834" TargetMode="External"/><Relationship Id="rId15" Type="http://schemas.openxmlformats.org/officeDocument/2006/relationships/hyperlink" Target="bk://v_id/?1834" TargetMode="External"/><Relationship Id="rId16" Type="http://schemas.openxmlformats.org/officeDocument/2006/relationships/hyperlink" Target="bk://v_id/?1835" TargetMode="External"/><Relationship Id="rId17" Type="http://schemas.openxmlformats.org/officeDocument/2006/relationships/hyperlink" Target="bk://v_id/?1836" TargetMode="External"/><Relationship Id="rId18" Type="http://schemas.openxmlformats.org/officeDocument/2006/relationships/hyperlink" Target="bk://v_id/?1836" TargetMode="External"/><Relationship Id="rId19" Type="http://schemas.openxmlformats.org/officeDocument/2006/relationships/hyperlink" Target="bk://v_id/?1836" TargetMode="External"/><Relationship Id="rId20" Type="http://schemas.openxmlformats.org/officeDocument/2006/relationships/hyperlink" Target="bk://v_id/?1836" TargetMode="External"/><Relationship Id="rId21" Type="http://schemas.openxmlformats.org/officeDocument/2006/relationships/hyperlink" Target="bk://v_id/?1836" TargetMode="External"/><Relationship Id="rId22" Type="http://schemas.openxmlformats.org/officeDocument/2006/relationships/hyperlink" Target="bk://v_id/?1837" TargetMode="External"/><Relationship Id="rId23" Type="http://schemas.openxmlformats.org/officeDocument/2006/relationships/hyperlink" Target="bk://v_id/?1846" TargetMode="External"/><Relationship Id="rId24" Type="http://schemas.openxmlformats.org/officeDocument/2006/relationships/hyperlink" Target="bk://v_id/?1846" TargetMode="External"/><Relationship Id="rId25" Type="http://schemas.openxmlformats.org/officeDocument/2006/relationships/hyperlink" Target="bk://v_id/?1846" TargetMode="External"/><Relationship Id="rId26" Type="http://schemas.openxmlformats.org/officeDocument/2006/relationships/hyperlink" Target="bk://v_id/?1846" TargetMode="External"/><Relationship Id="rId27" Type="http://schemas.openxmlformats.org/officeDocument/2006/relationships/hyperlink" Target="bk://v_id/?1846" TargetMode="External"/><Relationship Id="rId28" Type="http://schemas.openxmlformats.org/officeDocument/2006/relationships/hyperlink" Target="bk://v_id/?1846" TargetMode="External"/><Relationship Id="rId29" Type="http://schemas.openxmlformats.org/officeDocument/2006/relationships/hyperlink" Target="bk://v_id/?1847" TargetMode="External"/><Relationship Id="rId30" Type="http://schemas.openxmlformats.org/officeDocument/2006/relationships/hyperlink" Target="bk://v_id/?1830" TargetMode="External"/><Relationship Id="rId31" Type="http://schemas.openxmlformats.org/officeDocument/2006/relationships/hyperlink" Target="bk://v_id/?1847" TargetMode="External"/><Relationship Id="rId32" Type="http://schemas.openxmlformats.org/officeDocument/2006/relationships/hyperlink" Target="bk://v_id/?1830" TargetMode="External"/><Relationship Id="rId33" Type="http://schemas.openxmlformats.org/officeDocument/2006/relationships/hyperlink" Target="bk://v_id/?1847" TargetMode="External"/><Relationship Id="rId34" Type="http://schemas.openxmlformats.org/officeDocument/2006/relationships/hyperlink" Target="bk://v_id/?1830" TargetMode="External"/><Relationship Id="rId35" Type="http://schemas.openxmlformats.org/officeDocument/2006/relationships/hyperlink" Target="bk://v_id/?1847" TargetMode="External"/><Relationship Id="rId36" Type="http://schemas.openxmlformats.org/officeDocument/2006/relationships/hyperlink" Target="bk://v_id/?1833" TargetMode="External"/><Relationship Id="rId37" Type="http://schemas.openxmlformats.org/officeDocument/2006/relationships/hyperlink" Target="bk://v_id/?1847" TargetMode="External"/><Relationship Id="rId38" Type="http://schemas.openxmlformats.org/officeDocument/2006/relationships/hyperlink" Target="bk://v_id/?1834" TargetMode="External"/><Relationship Id="rId39" Type="http://schemas.openxmlformats.org/officeDocument/2006/relationships/hyperlink" Target="bk://v_id/?1848" TargetMode="External"/><Relationship Id="rId40" Type="http://schemas.openxmlformats.org/officeDocument/2006/relationships/hyperlink" Target="bk://v_id/?1835" TargetMode="External"/><Relationship Id="rId41" Type="http://schemas.openxmlformats.org/officeDocument/2006/relationships/hyperlink" Target="bk://v_id/?1848" TargetMode="External"/><Relationship Id="rId42" Type="http://schemas.openxmlformats.org/officeDocument/2006/relationships/hyperlink" Target="bk://v_id/?1836" TargetMode="External"/><Relationship Id="rId43" Type="http://schemas.openxmlformats.org/officeDocument/2006/relationships/hyperlink" Target="bk://v_id/?1848" TargetMode="External"/><Relationship Id="rId44" Type="http://schemas.openxmlformats.org/officeDocument/2006/relationships/hyperlink" Target="bk://v_id/?1837" TargetMode="External"/><Relationship Id="rId45" Type="http://schemas.openxmlformats.org/officeDocument/2006/relationships/hyperlink" Target="bk://v_id/?1848" TargetMode="External"/><Relationship Id="rId46" Type="http://schemas.openxmlformats.org/officeDocument/2006/relationships/hyperlink" Target="bk://v_id/?1846" TargetMode="External"/><Relationship Id="rId47" Type="http://schemas.openxmlformats.org/officeDocument/2006/relationships/hyperlink" Target="bk://v_id/?1846" TargetMode="External"/><Relationship Id="rId48" Type="http://schemas.openxmlformats.org/officeDocument/2006/relationships/hyperlink" Target="bk://v_id/?1846" TargetMode="External"/><Relationship Id="rId49" Type="http://schemas.openxmlformats.org/officeDocument/2006/relationships/hyperlink" Target="bk://v_id/?1846" TargetMode="External"/><Relationship Id="rId50" Type="http://schemas.openxmlformats.org/officeDocument/2006/relationships/hyperlink" Target="bk://v_id/?1846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hyperlink" Target="bk://v_id/?1859" TargetMode="External"/><Relationship Id="rId3" Type="http://schemas.openxmlformats.org/officeDocument/2006/relationships/hyperlink" Target="bk://v_id/?1859" TargetMode="External"/><Relationship Id="rId4" Type="http://schemas.openxmlformats.org/officeDocument/2006/relationships/hyperlink" Target="bk://v_id/?1860" TargetMode="External"/><Relationship Id="rId5" Type="http://schemas.openxmlformats.org/officeDocument/2006/relationships/hyperlink" Target="bk://v_id/?1860" TargetMode="External"/><Relationship Id="rId6" Type="http://schemas.openxmlformats.org/officeDocument/2006/relationships/hyperlink" Target="bk://v_id/?1860" TargetMode="External"/><Relationship Id="rId7" Type="http://schemas.openxmlformats.org/officeDocument/2006/relationships/hyperlink" Target="bk://v_id/?1860" TargetMode="External"/><Relationship Id="rId8" Type="http://schemas.openxmlformats.org/officeDocument/2006/relationships/hyperlink" Target="bk://v_id/?1860" TargetMode="External"/><Relationship Id="rId9" Type="http://schemas.openxmlformats.org/officeDocument/2006/relationships/hyperlink" Target="bk://v_id/?1860" TargetMode="External"/><Relationship Id="rId10" Type="http://schemas.openxmlformats.org/officeDocument/2006/relationships/hyperlink" Target="bk://v_id/?1860" TargetMode="External"/><Relationship Id="rId11" Type="http://schemas.openxmlformats.org/officeDocument/2006/relationships/hyperlink" Target="bk://v_id/?1860" TargetMode="External"/><Relationship Id="rId12" Type="http://schemas.openxmlformats.org/officeDocument/2006/relationships/hyperlink" Target="bk://v_id/?1860" TargetMode="External"/><Relationship Id="rId13" Type="http://schemas.openxmlformats.org/officeDocument/2006/relationships/hyperlink" Target="bk://v_id/?1860" TargetMode="External"/><Relationship Id="rId14" Type="http://schemas.openxmlformats.org/officeDocument/2006/relationships/hyperlink" Target="bk://v_id/?1860" TargetMode="External"/><Relationship Id="rId15" Type="http://schemas.openxmlformats.org/officeDocument/2006/relationships/hyperlink" Target="bk://v_id/?1860" TargetMode="External"/><Relationship Id="rId16" Type="http://schemas.openxmlformats.org/officeDocument/2006/relationships/hyperlink" Target="bk://v_id/?1860" TargetMode="External"/><Relationship Id="rId17" Type="http://schemas.openxmlformats.org/officeDocument/2006/relationships/hyperlink" Target="bk://v_id/?1860" TargetMode="External"/><Relationship Id="rId18" Type="http://schemas.openxmlformats.org/officeDocument/2006/relationships/hyperlink" Target="bk://v_id/?1884" TargetMode="External"/><Relationship Id="rId19" Type="http://schemas.openxmlformats.org/officeDocument/2006/relationships/hyperlink" Target="bk://v_id/?1884" TargetMode="External"/><Relationship Id="rId20" Type="http://schemas.openxmlformats.org/officeDocument/2006/relationships/hyperlink" Target="bk://v_id/?1884" TargetMode="External"/><Relationship Id="rId21" Type="http://schemas.openxmlformats.org/officeDocument/2006/relationships/hyperlink" Target="bk://v_id/?1884" TargetMode="External"/><Relationship Id="rId22" Type="http://schemas.openxmlformats.org/officeDocument/2006/relationships/hyperlink" Target="bk://v_id/?1884" TargetMode="External"/><Relationship Id="rId23" Type="http://schemas.openxmlformats.org/officeDocument/2006/relationships/hyperlink" Target="bk://v_id/?1884" TargetMode="External"/><Relationship Id="rId24" Type="http://schemas.openxmlformats.org/officeDocument/2006/relationships/hyperlink" Target="bk://v_id/?1886" TargetMode="External"/><Relationship Id="rId25" Type="http://schemas.openxmlformats.org/officeDocument/2006/relationships/hyperlink" Target="bk://v_id/?1886" TargetMode="External"/><Relationship Id="rId26" Type="http://schemas.openxmlformats.org/officeDocument/2006/relationships/hyperlink" Target="bk://v_id/?1886" TargetMode="External"/><Relationship Id="rId27" Type="http://schemas.openxmlformats.org/officeDocument/2006/relationships/hyperlink" Target="bk://v_id/?1886" TargetMode="External"/><Relationship Id="rId28" Type="http://schemas.openxmlformats.org/officeDocument/2006/relationships/hyperlink" Target="bk://v_id/?1886" TargetMode="External"/><Relationship Id="rId29" Type="http://schemas.openxmlformats.org/officeDocument/2006/relationships/hyperlink" Target="bk://v_id/?1886" TargetMode="External"/><Relationship Id="rId30" Type="http://schemas.openxmlformats.org/officeDocument/2006/relationships/hyperlink" Target="bk://v_id/?1890" TargetMode="External"/><Relationship Id="rId31" Type="http://schemas.openxmlformats.org/officeDocument/2006/relationships/hyperlink" Target="bk://v_id/?1890" TargetMode="External"/><Relationship Id="rId32" Type="http://schemas.openxmlformats.org/officeDocument/2006/relationships/hyperlink" Target="bk://v_id/?1892" TargetMode="External"/><Relationship Id="rId33" Type="http://schemas.openxmlformats.org/officeDocument/2006/relationships/hyperlink" Target="bk://v_id/?1892" TargetMode="External"/><Relationship Id="rId34" Type="http://schemas.openxmlformats.org/officeDocument/2006/relationships/hyperlink" Target="bk://v_id/?1892" TargetMode="External"/><Relationship Id="rId35" Type="http://schemas.openxmlformats.org/officeDocument/2006/relationships/hyperlink" Target="bk://v_id/?1859" TargetMode="External"/><Relationship Id="rId36" Type="http://schemas.openxmlformats.org/officeDocument/2006/relationships/hyperlink" Target="bk://v_id/?1859" TargetMode="External"/><Relationship Id="rId37" Type="http://schemas.openxmlformats.org/officeDocument/2006/relationships/hyperlink" Target="bk://v_id/?1859" TargetMode="External"/><Relationship Id="rId38" Type="http://schemas.openxmlformats.org/officeDocument/2006/relationships/hyperlink" Target="bk://v_id/?1859" TargetMode="External"/><Relationship Id="rId39" Type="http://schemas.openxmlformats.org/officeDocument/2006/relationships/hyperlink" Target="bk://v_id/?1859" TargetMode="External"/><Relationship Id="rId40" Type="http://schemas.openxmlformats.org/officeDocument/2006/relationships/hyperlink" Target="bk://v_id/?1859" TargetMode="External"/><Relationship Id="rId41" Type="http://schemas.openxmlformats.org/officeDocument/2006/relationships/hyperlink" Target="bk://v_id/?1859" TargetMode="External"/><Relationship Id="rId42" Type="http://schemas.openxmlformats.org/officeDocument/2006/relationships/hyperlink" Target="bk://v_id/?1859" TargetMode="External"/><Relationship Id="rId43" Type="http://schemas.openxmlformats.org/officeDocument/2006/relationships/hyperlink" Target="bk://v_id/?1859" TargetMode="External"/><Relationship Id="rId44" Type="http://schemas.openxmlformats.org/officeDocument/2006/relationships/hyperlink" Target="bk://v_id/?1859" TargetMode="External"/><Relationship Id="rId45" Type="http://schemas.openxmlformats.org/officeDocument/2006/relationships/hyperlink" Target="bk://v_id/?1884" TargetMode="External"/><Relationship Id="rId46" Type="http://schemas.openxmlformats.org/officeDocument/2006/relationships/hyperlink" Target="bk://v_id/?1886" TargetMode="External"/><Relationship Id="rId47" Type="http://schemas.openxmlformats.org/officeDocument/2006/relationships/hyperlink" Target="bk://v_id/?1886" TargetMode="External"/><Relationship Id="rId48" Type="http://schemas.openxmlformats.org/officeDocument/2006/relationships/hyperlink" Target="bk://v_id/?1886" TargetMode="External"/><Relationship Id="rId49" Type="http://schemas.openxmlformats.org/officeDocument/2006/relationships/hyperlink" Target="bk://v_id/?1886" TargetMode="External"/><Relationship Id="rId50" Type="http://schemas.openxmlformats.org/officeDocument/2006/relationships/hyperlink" Target="bk://v_id/?1890" TargetMode="External"/><Relationship Id="rId51" Type="http://schemas.openxmlformats.org/officeDocument/2006/relationships/hyperlink" Target="bk://v_id/?1890" TargetMode="External"/><Relationship Id="rId52" Type="http://schemas.openxmlformats.org/officeDocument/2006/relationships/hyperlink" Target="bk://v_id/?1892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hyperlink" Target="bk://v_id/?1903" TargetMode="External"/><Relationship Id="rId3" Type="http://schemas.openxmlformats.org/officeDocument/2006/relationships/hyperlink" Target="bk://v_id/?1903" TargetMode="External"/><Relationship Id="rId4" Type="http://schemas.openxmlformats.org/officeDocument/2006/relationships/hyperlink" Target="bk://v_id/?1903" TargetMode="External"/><Relationship Id="rId5" Type="http://schemas.openxmlformats.org/officeDocument/2006/relationships/hyperlink" Target="bk://v_id/?1903" TargetMode="External"/><Relationship Id="rId6" Type="http://schemas.openxmlformats.org/officeDocument/2006/relationships/hyperlink" Target="bk://v_id/?1903" TargetMode="External"/><Relationship Id="rId7" Type="http://schemas.openxmlformats.org/officeDocument/2006/relationships/hyperlink" Target="bk://v_id/?1903" TargetMode="External"/><Relationship Id="rId8" Type="http://schemas.openxmlformats.org/officeDocument/2006/relationships/hyperlink" Target="bk://v_id/?1913" TargetMode="External"/><Relationship Id="rId9" Type="http://schemas.openxmlformats.org/officeDocument/2006/relationships/hyperlink" Target="bk://v_id/?1913" TargetMode="External"/><Relationship Id="rId10" Type="http://schemas.openxmlformats.org/officeDocument/2006/relationships/hyperlink" Target="bk://v_id/?1915" TargetMode="External"/><Relationship Id="rId11" Type="http://schemas.openxmlformats.org/officeDocument/2006/relationships/hyperlink" Target="bk://v_id/?1915" TargetMode="External"/><Relationship Id="rId12" Type="http://schemas.openxmlformats.org/officeDocument/2006/relationships/hyperlink" Target="bk://v_id/?1915" TargetMode="External"/><Relationship Id="rId13" Type="http://schemas.openxmlformats.org/officeDocument/2006/relationships/hyperlink" Target="bk://v_id/?1915" TargetMode="External"/><Relationship Id="rId14" Type="http://schemas.openxmlformats.org/officeDocument/2006/relationships/hyperlink" Target="bk://v_id/?1916" TargetMode="External"/><Relationship Id="rId15" Type="http://schemas.openxmlformats.org/officeDocument/2006/relationships/hyperlink" Target="bk://v_id/?1917" TargetMode="External"/><Relationship Id="rId16" Type="http://schemas.openxmlformats.org/officeDocument/2006/relationships/hyperlink" Target="bk://v_id/?1917" TargetMode="External"/><Relationship Id="rId17" Type="http://schemas.openxmlformats.org/officeDocument/2006/relationships/hyperlink" Target="bk://v_id/?1917" TargetMode="External"/><Relationship Id="rId18" Type="http://schemas.openxmlformats.org/officeDocument/2006/relationships/hyperlink" Target="bk://v_id/?1917" TargetMode="External"/><Relationship Id="rId19" Type="http://schemas.openxmlformats.org/officeDocument/2006/relationships/hyperlink" Target="bk://v_id/?1917" TargetMode="External"/><Relationship Id="rId20" Type="http://schemas.openxmlformats.org/officeDocument/2006/relationships/hyperlink" Target="bk://v_id/?1917" TargetMode="External"/><Relationship Id="rId21" Type="http://schemas.openxmlformats.org/officeDocument/2006/relationships/hyperlink" Target="bk://v_id/?1917" TargetMode="External"/><Relationship Id="rId22" Type="http://schemas.openxmlformats.org/officeDocument/2006/relationships/hyperlink" Target="bk://v_id/?1917" TargetMode="External"/><Relationship Id="rId23" Type="http://schemas.openxmlformats.org/officeDocument/2006/relationships/hyperlink" Target="bk://v_id/?1917" TargetMode="External"/><Relationship Id="rId24" Type="http://schemas.openxmlformats.org/officeDocument/2006/relationships/hyperlink" Target="bk://v_id/?1917" TargetMode="External"/><Relationship Id="rId25" Type="http://schemas.openxmlformats.org/officeDocument/2006/relationships/hyperlink" Target="bk://v_id/?1917" TargetMode="External"/><Relationship Id="rId26" Type="http://schemas.openxmlformats.org/officeDocument/2006/relationships/hyperlink" Target="bk://v_id/?1917" TargetMode="External"/><Relationship Id="rId27" Type="http://schemas.openxmlformats.org/officeDocument/2006/relationships/hyperlink" Target="bk://v_id/?1917" TargetMode="External"/><Relationship Id="rId28" Type="http://schemas.openxmlformats.org/officeDocument/2006/relationships/hyperlink" Target="bk://v_id/?1917" TargetMode="External"/><Relationship Id="rId29" Type="http://schemas.openxmlformats.org/officeDocument/2006/relationships/hyperlink" Target="bk://v_id/?1917" TargetMode="External"/><Relationship Id="rId30" Type="http://schemas.openxmlformats.org/officeDocument/2006/relationships/hyperlink" Target="bk://v_id/?1917" TargetMode="External"/><Relationship Id="rId31" Type="http://schemas.openxmlformats.org/officeDocument/2006/relationships/hyperlink" Target="bk://v_id/?1917" TargetMode="External"/><Relationship Id="rId32" Type="http://schemas.openxmlformats.org/officeDocument/2006/relationships/hyperlink" Target="bk://v_id/?1917" TargetMode="External"/><Relationship Id="rId33" Type="http://schemas.openxmlformats.org/officeDocument/2006/relationships/hyperlink" Target="bk://v_id/?1917" TargetMode="External"/><Relationship Id="rId34" Type="http://schemas.openxmlformats.org/officeDocument/2006/relationships/hyperlink" Target="bk://v_id/?1903" TargetMode="External"/><Relationship Id="rId35" Type="http://schemas.openxmlformats.org/officeDocument/2006/relationships/hyperlink" Target="bk://v_id/?1917" TargetMode="External"/><Relationship Id="rId36" Type="http://schemas.openxmlformats.org/officeDocument/2006/relationships/hyperlink" Target="bk://v_id/?1903" TargetMode="External"/><Relationship Id="rId37" Type="http://schemas.openxmlformats.org/officeDocument/2006/relationships/hyperlink" Target="bk://v_id/?1917" TargetMode="External"/><Relationship Id="rId38" Type="http://schemas.openxmlformats.org/officeDocument/2006/relationships/hyperlink" Target="bk://v_id/?1903" TargetMode="External"/><Relationship Id="rId39" Type="http://schemas.openxmlformats.org/officeDocument/2006/relationships/hyperlink" Target="bk://v_id/?1917" TargetMode="External"/><Relationship Id="rId40" Type="http://schemas.openxmlformats.org/officeDocument/2006/relationships/hyperlink" Target="bk://v_id/?1903" TargetMode="External"/><Relationship Id="rId41" Type="http://schemas.openxmlformats.org/officeDocument/2006/relationships/hyperlink" Target="bk://v_id/?1913" TargetMode="External"/><Relationship Id="rId42" Type="http://schemas.openxmlformats.org/officeDocument/2006/relationships/hyperlink" Target="bk://v_id/?1913" TargetMode="External"/><Relationship Id="rId43" Type="http://schemas.openxmlformats.org/officeDocument/2006/relationships/hyperlink" Target="bk://v_id/?1915" TargetMode="External"/><Relationship Id="rId44" Type="http://schemas.openxmlformats.org/officeDocument/2006/relationships/hyperlink" Target="bk://v_id/?1916" TargetMode="External"/><Relationship Id="rId45" Type="http://schemas.openxmlformats.org/officeDocument/2006/relationships/hyperlink" Target="bk://v_id/?1917" TargetMode="External"/><Relationship Id="rId46" Type="http://schemas.openxmlformats.org/officeDocument/2006/relationships/hyperlink" Target="bk://v_id/?1917" TargetMode="External"/><Relationship Id="rId47" Type="http://schemas.openxmlformats.org/officeDocument/2006/relationships/hyperlink" Target="bk://v_id/?1917" TargetMode="External"/><Relationship Id="rId48" Type="http://schemas.openxmlformats.org/officeDocument/2006/relationships/hyperlink" Target="bk://v_id/?1917" TargetMode="External"/><Relationship Id="rId49" Type="http://schemas.openxmlformats.org/officeDocument/2006/relationships/hyperlink" Target="bk://v_id/?1917" TargetMode="External"/><Relationship Id="rId50" Type="http://schemas.openxmlformats.org/officeDocument/2006/relationships/hyperlink" Target="bk://v_id/?1917" TargetMode="External"/><Relationship Id="rId51" Type="http://schemas.openxmlformats.org/officeDocument/2006/relationships/hyperlink" Target="bk://v_id/?1917" TargetMode="External"/><Relationship Id="rId52" Type="http://schemas.openxmlformats.org/officeDocument/2006/relationships/hyperlink" Target="bk://v_id/?1917" TargetMode="External"/><Relationship Id="rId53" Type="http://schemas.openxmlformats.org/officeDocument/2006/relationships/hyperlink" Target="bk://v_id/?1917" TargetMode="External"/><Relationship Id="rId54" Type="http://schemas.openxmlformats.org/officeDocument/2006/relationships/hyperlink" Target="bk://v_id/?1917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hyperlink" Target="bk://v_id/?1954" TargetMode="External"/><Relationship Id="rId3" Type="http://schemas.openxmlformats.org/officeDocument/2006/relationships/hyperlink" Target="bk://v_id/?1954" TargetMode="External"/><Relationship Id="rId4" Type="http://schemas.openxmlformats.org/officeDocument/2006/relationships/hyperlink" Target="bk://v_id/?1955" TargetMode="External"/><Relationship Id="rId5" Type="http://schemas.openxmlformats.org/officeDocument/2006/relationships/hyperlink" Target="bk://v_id/?1955" TargetMode="External"/><Relationship Id="rId6" Type="http://schemas.openxmlformats.org/officeDocument/2006/relationships/hyperlink" Target="bk://v_id/?1956" TargetMode="External"/><Relationship Id="rId7" Type="http://schemas.openxmlformats.org/officeDocument/2006/relationships/hyperlink" Target="bk://v_id/?1966" TargetMode="External"/><Relationship Id="rId8" Type="http://schemas.openxmlformats.org/officeDocument/2006/relationships/hyperlink" Target="bk://v_id/?1966" TargetMode="External"/><Relationship Id="rId9" Type="http://schemas.openxmlformats.org/officeDocument/2006/relationships/hyperlink" Target="bk://v_id/?1970" TargetMode="External"/><Relationship Id="rId10" Type="http://schemas.openxmlformats.org/officeDocument/2006/relationships/hyperlink" Target="bk://v_id/?1971" TargetMode="External"/><Relationship Id="rId11" Type="http://schemas.openxmlformats.org/officeDocument/2006/relationships/hyperlink" Target="bk://v_id/?1971" TargetMode="External"/><Relationship Id="rId12" Type="http://schemas.openxmlformats.org/officeDocument/2006/relationships/hyperlink" Target="bk://v_id/?1971" TargetMode="External"/><Relationship Id="rId13" Type="http://schemas.openxmlformats.org/officeDocument/2006/relationships/hyperlink" Target="bk://v_id/?1971" TargetMode="External"/><Relationship Id="rId14" Type="http://schemas.openxmlformats.org/officeDocument/2006/relationships/hyperlink" Target="bk://v_id/?1971" TargetMode="External"/><Relationship Id="rId15" Type="http://schemas.openxmlformats.org/officeDocument/2006/relationships/hyperlink" Target="bk://v_id/?1971" TargetMode="External"/><Relationship Id="rId16" Type="http://schemas.openxmlformats.org/officeDocument/2006/relationships/hyperlink" Target="bk://v_id/?1971" TargetMode="External"/><Relationship Id="rId17" Type="http://schemas.openxmlformats.org/officeDocument/2006/relationships/hyperlink" Target="bk://v_id/?1971" TargetMode="External"/><Relationship Id="rId18" Type="http://schemas.openxmlformats.org/officeDocument/2006/relationships/hyperlink" Target="bk://v_id/?1972" TargetMode="External"/><Relationship Id="rId19" Type="http://schemas.openxmlformats.org/officeDocument/2006/relationships/hyperlink" Target="bk://v_id/?1972" TargetMode="External"/><Relationship Id="rId20" Type="http://schemas.openxmlformats.org/officeDocument/2006/relationships/hyperlink" Target="bk://v_id/?1973" TargetMode="External"/><Relationship Id="rId21" Type="http://schemas.openxmlformats.org/officeDocument/2006/relationships/hyperlink" Target="bk://v_id/?1973" TargetMode="External"/><Relationship Id="rId22" Type="http://schemas.openxmlformats.org/officeDocument/2006/relationships/hyperlink" Target="bk://v_id/?1973" TargetMode="External"/><Relationship Id="rId23" Type="http://schemas.openxmlformats.org/officeDocument/2006/relationships/hyperlink" Target="bk://v_id/?1973" TargetMode="External"/><Relationship Id="rId24" Type="http://schemas.openxmlformats.org/officeDocument/2006/relationships/hyperlink" Target="bk://v_id/?1973" TargetMode="External"/><Relationship Id="rId25" Type="http://schemas.openxmlformats.org/officeDocument/2006/relationships/hyperlink" Target="bk://v_id/?1973" TargetMode="External"/><Relationship Id="rId26" Type="http://schemas.openxmlformats.org/officeDocument/2006/relationships/hyperlink" Target="bk://v_id/?1973" TargetMode="External"/><Relationship Id="rId27" Type="http://schemas.openxmlformats.org/officeDocument/2006/relationships/hyperlink" Target="bk://v_id/?1973" TargetMode="External"/><Relationship Id="rId28" Type="http://schemas.openxmlformats.org/officeDocument/2006/relationships/hyperlink" Target="bk://v_id/?1973" TargetMode="External"/><Relationship Id="rId29" Type="http://schemas.openxmlformats.org/officeDocument/2006/relationships/hyperlink" Target="bk://v_id/?1987" TargetMode="External"/><Relationship Id="rId30" Type="http://schemas.openxmlformats.org/officeDocument/2006/relationships/hyperlink" Target="bk://v_id/?1987" TargetMode="External"/><Relationship Id="rId31" Type="http://schemas.openxmlformats.org/officeDocument/2006/relationships/hyperlink" Target="bk://v_id/?1954" TargetMode="External"/><Relationship Id="rId32" Type="http://schemas.openxmlformats.org/officeDocument/2006/relationships/hyperlink" Target="bk://v_id/?1955" TargetMode="External"/><Relationship Id="rId33" Type="http://schemas.openxmlformats.org/officeDocument/2006/relationships/hyperlink" Target="bk://v_id/?1956" TargetMode="External"/><Relationship Id="rId34" Type="http://schemas.openxmlformats.org/officeDocument/2006/relationships/hyperlink" Target="bk://v_id/?1966" TargetMode="External"/><Relationship Id="rId35" Type="http://schemas.openxmlformats.org/officeDocument/2006/relationships/hyperlink" Target="bk://v_id/?1966" TargetMode="External"/><Relationship Id="rId36" Type="http://schemas.openxmlformats.org/officeDocument/2006/relationships/hyperlink" Target="bk://v_id/?1966" TargetMode="External"/><Relationship Id="rId37" Type="http://schemas.openxmlformats.org/officeDocument/2006/relationships/hyperlink" Target="bk://v_id/?1966" TargetMode="External"/><Relationship Id="rId38" Type="http://schemas.openxmlformats.org/officeDocument/2006/relationships/hyperlink" Target="bk://v_id/?1966" TargetMode="External"/><Relationship Id="rId39" Type="http://schemas.openxmlformats.org/officeDocument/2006/relationships/hyperlink" Target="bk://v_id/?1966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887"/>
  <sheetViews>
    <sheetView workbookViewId="0" showGridLines="0" zoomScale="50">
      <selection activeCell="I216" sqref="I216"/>
    </sheetView>
  </sheetViews>
  <sheetFormatPr defaultRowHeight="21.0" defaultColWidth="9"/>
  <cols>
    <col min="1" max="1" customWidth="1" width="16.179688" style="1"/>
    <col min="2" max="2" customWidth="1" width="25.0" style="1"/>
    <col min="3" max="3" customWidth="1" width="13.542969" style="1"/>
    <col min="4" max="4" customWidth="1" width="19.179688" style="1"/>
    <col min="5" max="5" customWidth="1" width="21.726562" style="1"/>
    <col min="6" max="6" customWidth="1" width="19.816406" style="1"/>
    <col min="7" max="7" customWidth="1" width="24.816406" style="1"/>
    <col min="8" max="8" customWidth="1" width="17.269531" style="1"/>
    <col min="9" max="9" customWidth="1" width="15.816406" style="1"/>
    <col min="10" max="10" customWidth="1" width="15.1796875" style="1"/>
    <col min="11" max="11" customWidth="1" width="10.542969" style="1"/>
    <col min="12" max="12" customWidth="1" width="36.54297" style="1"/>
    <col min="13" max="16384" customWidth="0" width="9.1796875" style="1"/>
  </cols>
  <sheetData>
    <row r="1" spans="8:8" ht="21.0" customHeight="1">
      <c r="A1" s="2" t="s">
        <v>0</v>
      </c>
    </row>
    <row r="2" spans="8:8" ht="21.0" customHeight="1">
      <c r="A2" s="2" t="s">
        <v>1</v>
      </c>
    </row>
    <row r="3" spans="8:8" ht="21.0" customHeight="1">
      <c r="A3" s="1" t="s">
        <v>2</v>
      </c>
    </row>
    <row r="4" spans="8:8" ht="21.0" customHeight="1">
      <c r="A4" s="3" t="s">
        <v>3</v>
      </c>
      <c r="B4" s="3" t="s">
        <v>4</v>
      </c>
      <c r="C4" s="3" t="s">
        <v>5</v>
      </c>
      <c r="D4" s="3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3" t="s">
        <v>14</v>
      </c>
    </row>
    <row r="5" spans="8:8" ht="21.0" customHeight="1">
      <c r="A5" s="5">
        <v>46204.0</v>
      </c>
      <c r="B5" s="6" t="s">
        <v>15</v>
      </c>
      <c r="C5" s="7" t="s">
        <v>16</v>
      </c>
      <c r="D5" s="6"/>
      <c r="E5" s="8">
        <v>18500.0</v>
      </c>
      <c r="F5" s="8">
        <v>18500.0</v>
      </c>
      <c r="G5" s="9">
        <v>0.0</v>
      </c>
      <c r="H5" s="8">
        <v>18500.0</v>
      </c>
      <c r="I5" s="8">
        <v>16759.0</v>
      </c>
      <c r="J5" s="8">
        <v>1741.0</v>
      </c>
      <c r="K5" s="9">
        <v>9.0</v>
      </c>
      <c r="L5" s="6"/>
    </row>
    <row r="6" spans="8:8" ht="21.0" customHeight="1">
      <c r="A6" s="10"/>
      <c r="B6" s="3" t="s">
        <v>17</v>
      </c>
      <c r="C6" s="4" t="s">
        <v>18</v>
      </c>
      <c r="D6" s="4" t="s">
        <v>19</v>
      </c>
      <c r="E6" s="4" t="s">
        <v>11</v>
      </c>
      <c r="F6" s="3" t="s">
        <v>20</v>
      </c>
    </row>
    <row r="7" spans="8:8" ht="21.0" customHeight="1">
      <c r="A7" s="10"/>
      <c r="B7" s="11" t="s">
        <v>21</v>
      </c>
      <c r="C7" s="9">
        <v>1.0</v>
      </c>
      <c r="D7" s="12">
        <v>9000.0</v>
      </c>
      <c r="E7" s="8">
        <v>8122.0</v>
      </c>
      <c r="F7" s="13"/>
    </row>
    <row r="8" spans="8:8" ht="21.0" customHeight="1">
      <c r="A8" s="10"/>
      <c r="B8" s="11" t="s">
        <v>22</v>
      </c>
      <c r="C8" s="9">
        <v>1.0</v>
      </c>
      <c r="D8" s="12">
        <v>9500.0</v>
      </c>
      <c r="E8" s="8">
        <v>8637.0</v>
      </c>
      <c r="F8" s="13"/>
    </row>
    <row r="9" spans="8:8" ht="21.0" customHeight="1">
      <c r="A9" s="10"/>
      <c r="B9" s="14"/>
      <c r="C9" s="15"/>
      <c r="D9" s="15"/>
      <c r="E9" s="15"/>
      <c r="F9" s="14"/>
    </row>
    <row r="10" spans="8:8" ht="21.0" customHeight="1">
      <c r="A10" s="16">
        <v>46204.0</v>
      </c>
      <c r="B10" s="6" t="s">
        <v>15</v>
      </c>
      <c r="C10" s="7" t="s">
        <v>23</v>
      </c>
      <c r="D10" s="6"/>
      <c r="E10" s="8">
        <v>5400.0</v>
      </c>
      <c r="F10" s="8">
        <v>5400.0</v>
      </c>
      <c r="G10" s="9">
        <v>0.0</v>
      </c>
      <c r="H10" s="8">
        <v>5400.0</v>
      </c>
      <c r="I10" s="8">
        <v>5200.0</v>
      </c>
      <c r="J10" s="9">
        <v>200.0</v>
      </c>
      <c r="K10" s="9">
        <v>4.0</v>
      </c>
      <c r="L10" s="6"/>
    </row>
    <row r="11" spans="8:8" ht="21.0" customHeight="1">
      <c r="A11" s="10"/>
      <c r="B11" s="3" t="s">
        <v>17</v>
      </c>
      <c r="C11" s="4" t="s">
        <v>18</v>
      </c>
      <c r="D11" s="4" t="s">
        <v>19</v>
      </c>
      <c r="E11" s="4" t="s">
        <v>11</v>
      </c>
      <c r="F11" s="3" t="s">
        <v>20</v>
      </c>
    </row>
    <row r="12" spans="8:8" ht="21.0" customHeight="1">
      <c r="A12" s="10"/>
      <c r="B12" s="11" t="s">
        <v>24</v>
      </c>
      <c r="C12" s="9">
        <v>1.0</v>
      </c>
      <c r="D12" s="12">
        <v>5400.0</v>
      </c>
      <c r="E12" s="8">
        <v>5200.0</v>
      </c>
      <c r="F12" s="13"/>
    </row>
    <row r="13" spans="8:8" ht="21.0" customHeight="1">
      <c r="A13" s="10"/>
      <c r="B13" s="14"/>
      <c r="C13" s="15"/>
      <c r="D13" s="15"/>
      <c r="E13" s="15"/>
      <c r="F13" s="14"/>
    </row>
    <row r="14" spans="8:8" ht="21.0" customHeight="1">
      <c r="A14" s="16">
        <v>46204.0</v>
      </c>
      <c r="B14" s="6" t="s">
        <v>25</v>
      </c>
      <c r="C14" s="7" t="s">
        <v>26</v>
      </c>
      <c r="D14" s="6"/>
      <c r="E14" s="8">
        <v>1533700.0</v>
      </c>
      <c r="F14" s="8">
        <v>1533700.0</v>
      </c>
      <c r="G14" s="9">
        <v>0.0</v>
      </c>
      <c r="H14" s="8">
        <v>1533700.0</v>
      </c>
      <c r="I14" s="8">
        <v>1579003.0</v>
      </c>
      <c r="J14" s="8">
        <v>-45303.0</v>
      </c>
      <c r="K14" s="9">
        <v>-3.0</v>
      </c>
      <c r="L14" s="6"/>
    </row>
    <row r="15" spans="8:8" ht="21.0" customHeight="1">
      <c r="A15" s="10"/>
      <c r="B15" s="3" t="s">
        <v>17</v>
      </c>
      <c r="C15" s="4" t="s">
        <v>18</v>
      </c>
      <c r="D15" s="4" t="s">
        <v>19</v>
      </c>
      <c r="E15" s="4" t="s">
        <v>11</v>
      </c>
      <c r="F15" s="3" t="s">
        <v>20</v>
      </c>
    </row>
    <row r="16" spans="8:8" ht="21.0" customHeight="1">
      <c r="A16" s="10"/>
      <c r="B16" s="11" t="s">
        <v>24</v>
      </c>
      <c r="C16" s="9">
        <v>200.0</v>
      </c>
      <c r="D16" s="12">
        <v>4950.0</v>
      </c>
      <c r="E16" s="8">
        <v>1040000.0</v>
      </c>
      <c r="F16" s="13"/>
    </row>
    <row r="17" spans="8:8" ht="21.0" customHeight="1">
      <c r="A17" s="10"/>
      <c r="B17" s="11" t="s">
        <v>27</v>
      </c>
      <c r="C17" s="9">
        <v>35.0</v>
      </c>
      <c r="D17" s="12">
        <v>8020.0</v>
      </c>
      <c r="E17" s="8">
        <v>268975.0</v>
      </c>
      <c r="F17" s="13"/>
    </row>
    <row r="18" spans="8:8" ht="21.0" customHeight="1">
      <c r="A18" s="10"/>
      <c r="B18" s="11" t="s">
        <v>28</v>
      </c>
      <c r="C18" s="9">
        <v>20.0</v>
      </c>
      <c r="D18" s="12">
        <v>13150.0</v>
      </c>
      <c r="E18" s="8">
        <v>270028.0</v>
      </c>
      <c r="F18" s="13"/>
    </row>
    <row r="19" spans="8:8" ht="21.0" customHeight="1">
      <c r="A19" s="10"/>
      <c r="B19" s="14"/>
      <c r="C19" s="15"/>
      <c r="D19" s="15"/>
      <c r="E19" s="15"/>
      <c r="F19" s="14"/>
    </row>
    <row r="20" spans="8:8" ht="21.0" customHeight="1">
      <c r="A20" s="5">
        <v>46205.0</v>
      </c>
      <c r="B20" s="6" t="s">
        <v>29</v>
      </c>
      <c r="C20" s="7" t="s">
        <v>30</v>
      </c>
      <c r="D20" s="6"/>
      <c r="E20" s="8">
        <v>821130.0</v>
      </c>
      <c r="F20" s="8">
        <v>821130.0</v>
      </c>
      <c r="G20" s="9">
        <v>0.0</v>
      </c>
      <c r="H20" s="8">
        <v>821130.0</v>
      </c>
      <c r="I20" s="8">
        <v>811313.0</v>
      </c>
      <c r="J20" s="8">
        <v>9817.0</v>
      </c>
      <c r="K20" s="9">
        <v>1.0</v>
      </c>
      <c r="L20" s="6"/>
    </row>
    <row r="21" spans="8:8" ht="21.0" customHeight="1">
      <c r="A21" s="10"/>
      <c r="B21" s="3" t="s">
        <v>17</v>
      </c>
      <c r="C21" s="4" t="s">
        <v>18</v>
      </c>
      <c r="D21" s="4" t="s">
        <v>19</v>
      </c>
      <c r="E21" s="4" t="s">
        <v>11</v>
      </c>
      <c r="F21" s="3" t="s">
        <v>20</v>
      </c>
    </row>
    <row r="22" spans="8:8" ht="21.0" customHeight="1">
      <c r="A22" s="10"/>
      <c r="B22" s="11" t="s">
        <v>24</v>
      </c>
      <c r="C22" s="9">
        <v>40.0</v>
      </c>
      <c r="D22" s="12">
        <v>4900.0</v>
      </c>
      <c r="E22" s="8">
        <v>208000.0</v>
      </c>
      <c r="F22" s="13"/>
    </row>
    <row r="23" spans="8:8" ht="21.0" customHeight="1">
      <c r="A23" s="10"/>
      <c r="B23" s="11" t="s">
        <v>31</v>
      </c>
      <c r="C23" s="9">
        <v>15.0</v>
      </c>
      <c r="D23" s="12">
        <v>17845.0</v>
      </c>
      <c r="E23" s="8">
        <v>256500.0</v>
      </c>
      <c r="F23" s="13"/>
    </row>
    <row r="24" spans="8:8" ht="21.0" customHeight="1">
      <c r="A24" s="10"/>
      <c r="B24" s="11" t="s">
        <v>32</v>
      </c>
      <c r="C24" s="9">
        <v>3.0</v>
      </c>
      <c r="D24" s="12">
        <v>16145.0</v>
      </c>
      <c r="E24" s="8">
        <v>45746.0</v>
      </c>
      <c r="F24" s="13"/>
    </row>
    <row r="25" spans="8:8" ht="21.0" customHeight="1">
      <c r="A25" s="10"/>
      <c r="B25" s="11" t="s">
        <v>33</v>
      </c>
      <c r="C25" s="9">
        <v>2.0</v>
      </c>
      <c r="D25" s="12">
        <v>16145.0</v>
      </c>
      <c r="E25" s="8">
        <v>31110.0</v>
      </c>
      <c r="F25" s="13"/>
    </row>
    <row r="26" spans="8:8" ht="21.0" customHeight="1">
      <c r="A26" s="10"/>
      <c r="B26" s="11" t="s">
        <v>28</v>
      </c>
      <c r="C26" s="9">
        <v>5.0</v>
      </c>
      <c r="D26" s="12">
        <v>13200.0</v>
      </c>
      <c r="E26" s="8">
        <v>67507.0</v>
      </c>
      <c r="F26" s="13"/>
    </row>
    <row r="27" spans="8:8" ht="21.0" customHeight="1">
      <c r="A27" s="10"/>
      <c r="B27" s="11" t="s">
        <v>34</v>
      </c>
      <c r="C27" s="9">
        <v>2.0</v>
      </c>
      <c r="D27" s="12">
        <v>22740.0</v>
      </c>
      <c r="E27" s="8">
        <v>43190.0</v>
      </c>
      <c r="F27" s="13"/>
    </row>
    <row r="28" spans="8:8" ht="21.0" customHeight="1">
      <c r="A28" s="10"/>
      <c r="B28" s="11" t="s">
        <v>35</v>
      </c>
      <c r="C28" s="9">
        <v>2.0</v>
      </c>
      <c r="D28" s="12">
        <v>21170.0</v>
      </c>
      <c r="E28" s="8">
        <v>40810.0</v>
      </c>
      <c r="F28" s="13"/>
    </row>
    <row r="29" spans="8:8" ht="21.0" customHeight="1">
      <c r="A29" s="10"/>
      <c r="B29" s="11" t="s">
        <v>36</v>
      </c>
      <c r="C29" s="9">
        <v>6.0</v>
      </c>
      <c r="D29" s="12">
        <v>15525.0</v>
      </c>
      <c r="E29" s="8">
        <v>89400.0</v>
      </c>
      <c r="F29" s="13"/>
    </row>
    <row r="30" spans="8:8" ht="21.0" customHeight="1">
      <c r="A30" s="10"/>
      <c r="B30" s="11" t="s">
        <v>37</v>
      </c>
      <c r="C30" s="9">
        <v>2.0</v>
      </c>
      <c r="D30" s="12">
        <v>8880.0</v>
      </c>
      <c r="E30" s="8">
        <v>17050.0</v>
      </c>
      <c r="F30" s="13"/>
    </row>
    <row r="31" spans="8:8" ht="21.0" customHeight="1">
      <c r="A31" s="10"/>
      <c r="B31" s="11" t="s">
        <v>38</v>
      </c>
      <c r="C31" s="9">
        <v>8.0</v>
      </c>
      <c r="D31" s="8">
        <v>1500.0</v>
      </c>
      <c r="E31" s="8">
        <v>12000.0</v>
      </c>
      <c r="F31" s="13"/>
    </row>
    <row r="32" spans="8:8" ht="21.0" customHeight="1">
      <c r="A32" s="10"/>
      <c r="B32" s="14"/>
      <c r="C32" s="15"/>
      <c r="D32" s="15"/>
      <c r="E32" s="15"/>
      <c r="F32" s="14"/>
    </row>
    <row r="33" spans="8:8" ht="21.0" customHeight="1">
      <c r="A33" s="16">
        <v>46205.0</v>
      </c>
      <c r="B33" s="6" t="s">
        <v>29</v>
      </c>
      <c r="C33" s="7" t="s">
        <v>39</v>
      </c>
      <c r="D33" s="6"/>
      <c r="E33" s="8">
        <v>256500.0</v>
      </c>
      <c r="F33" s="8">
        <v>256500.0</v>
      </c>
      <c r="G33" s="9">
        <v>0.0</v>
      </c>
      <c r="H33" s="8">
        <v>256500.0</v>
      </c>
      <c r="I33" s="8">
        <v>256500.0</v>
      </c>
      <c r="J33" s="9">
        <v>0.0</v>
      </c>
      <c r="K33" s="9">
        <v>0.0</v>
      </c>
      <c r="L33" s="6"/>
    </row>
    <row r="34" spans="8:8" ht="21.0" customHeight="1">
      <c r="A34" s="10"/>
      <c r="B34" s="3" t="s">
        <v>17</v>
      </c>
      <c r="C34" s="4" t="s">
        <v>18</v>
      </c>
      <c r="D34" s="4" t="s">
        <v>19</v>
      </c>
      <c r="E34" s="4" t="s">
        <v>11</v>
      </c>
      <c r="F34" s="3" t="s">
        <v>20</v>
      </c>
    </row>
    <row r="35" spans="8:8" ht="21.0" customHeight="1">
      <c r="A35" s="10"/>
      <c r="B35" s="11" t="s">
        <v>31</v>
      </c>
      <c r="C35" s="9">
        <v>15.0</v>
      </c>
      <c r="D35" s="12">
        <v>17100.0</v>
      </c>
      <c r="E35" s="8">
        <v>256500.0</v>
      </c>
      <c r="F35" s="13"/>
    </row>
    <row r="36" spans="8:8" ht="21.0" customHeight="1">
      <c r="A36" s="10"/>
      <c r="B36" s="14"/>
      <c r="C36" s="15"/>
      <c r="D36" s="15"/>
      <c r="E36" s="15"/>
      <c r="F36" s="14"/>
    </row>
    <row r="37" spans="8:8" ht="21.0" customHeight="1">
      <c r="A37" s="16">
        <v>46205.0</v>
      </c>
      <c r="B37" s="6" t="s">
        <v>40</v>
      </c>
      <c r="C37" s="7" t="s">
        <v>41</v>
      </c>
      <c r="D37" s="6"/>
      <c r="E37" s="8">
        <v>86000.0</v>
      </c>
      <c r="F37" s="8">
        <v>86000.0</v>
      </c>
      <c r="G37" s="9">
        <v>0.0</v>
      </c>
      <c r="H37" s="8">
        <v>86000.0</v>
      </c>
      <c r="I37" s="8">
        <v>86374.0</v>
      </c>
      <c r="J37" s="9">
        <v>-374.0</v>
      </c>
      <c r="K37" s="9">
        <v>0.0</v>
      </c>
      <c r="L37" s="6"/>
    </row>
    <row r="38" spans="8:8" ht="21.0" customHeight="1">
      <c r="A38" s="10"/>
      <c r="B38" s="3" t="s">
        <v>17</v>
      </c>
      <c r="C38" s="4" t="s">
        <v>18</v>
      </c>
      <c r="D38" s="4" t="s">
        <v>19</v>
      </c>
      <c r="E38" s="4" t="s">
        <v>11</v>
      </c>
      <c r="F38" s="3" t="s">
        <v>20</v>
      </c>
    </row>
    <row r="39" spans="8:8" ht="21.0" customHeight="1">
      <c r="A39" s="10"/>
      <c r="B39" s="11" t="s">
        <v>22</v>
      </c>
      <c r="C39" s="9">
        <v>10.0</v>
      </c>
      <c r="D39" s="12">
        <v>8600.0</v>
      </c>
      <c r="E39" s="8">
        <v>86374.0</v>
      </c>
      <c r="F39" s="13"/>
    </row>
    <row r="40" spans="8:8" ht="21.0" customHeight="1">
      <c r="A40" s="10"/>
      <c r="B40" s="14"/>
      <c r="C40" s="15"/>
      <c r="D40" s="15"/>
      <c r="E40" s="15"/>
      <c r="F40" s="14"/>
    </row>
    <row r="41" spans="8:8" ht="21.0" customHeight="1">
      <c r="A41" s="16">
        <v>46205.0</v>
      </c>
      <c r="B41" s="6" t="s">
        <v>29</v>
      </c>
      <c r="C41" s="7" t="s">
        <v>42</v>
      </c>
      <c r="D41" s="6"/>
      <c r="E41" s="8">
        <v>62070.0</v>
      </c>
      <c r="F41" s="8">
        <v>62070.0</v>
      </c>
      <c r="G41" s="9">
        <v>0.0</v>
      </c>
      <c r="H41" s="8">
        <v>62070.0</v>
      </c>
      <c r="I41" s="8">
        <v>59758.0</v>
      </c>
      <c r="J41" s="8">
        <v>2312.0</v>
      </c>
      <c r="K41" s="9">
        <v>4.0</v>
      </c>
      <c r="L41" s="6"/>
    </row>
    <row r="42" spans="8:8" ht="21.0" customHeight="1">
      <c r="A42" s="10"/>
      <c r="B42" s="3" t="s">
        <v>17</v>
      </c>
      <c r="C42" s="4" t="s">
        <v>18</v>
      </c>
      <c r="D42" s="4" t="s">
        <v>19</v>
      </c>
      <c r="E42" s="4" t="s">
        <v>11</v>
      </c>
      <c r="F42" s="3" t="s">
        <v>20</v>
      </c>
    </row>
    <row r="43" spans="8:8" ht="21.0" customHeight="1">
      <c r="A43" s="10"/>
      <c r="B43" s="11" t="s">
        <v>43</v>
      </c>
      <c r="C43" s="9">
        <v>1.0</v>
      </c>
      <c r="D43" s="12">
        <v>17700.0</v>
      </c>
      <c r="E43" s="8">
        <v>17150.0</v>
      </c>
      <c r="F43" s="13"/>
    </row>
    <row r="44" spans="8:8" ht="21.0" customHeight="1">
      <c r="A44" s="10"/>
      <c r="B44" s="11" t="s">
        <v>21</v>
      </c>
      <c r="C44" s="9">
        <v>1.0</v>
      </c>
      <c r="D44" s="12">
        <v>8500.0</v>
      </c>
      <c r="E44" s="8">
        <v>8122.0</v>
      </c>
      <c r="F44" s="13"/>
    </row>
    <row r="45" spans="8:8" ht="21.0" customHeight="1">
      <c r="A45" s="10"/>
      <c r="B45" s="11" t="s">
        <v>44</v>
      </c>
      <c r="C45" s="9">
        <v>1.0</v>
      </c>
      <c r="D45" s="12">
        <v>9200.0</v>
      </c>
      <c r="E45" s="8">
        <v>8990.0</v>
      </c>
      <c r="F45" s="13"/>
    </row>
    <row r="46" spans="8:8" ht="21.0" customHeight="1">
      <c r="A46" s="10"/>
      <c r="B46" s="11" t="s">
        <v>45</v>
      </c>
      <c r="C46" s="9">
        <v>2.0</v>
      </c>
      <c r="D46" s="12">
        <v>13335.0</v>
      </c>
      <c r="E46" s="8">
        <v>25496.0</v>
      </c>
      <c r="F46" s="13"/>
    </row>
    <row r="47" spans="8:8" ht="21.0" customHeight="1">
      <c r="A47" s="10"/>
      <c r="B47" s="14"/>
      <c r="C47" s="15"/>
      <c r="D47" s="15"/>
      <c r="E47" s="15"/>
      <c r="F47" s="14"/>
    </row>
    <row r="48" spans="8:8" ht="21.0" customHeight="1">
      <c r="A48" s="16">
        <v>46205.0</v>
      </c>
      <c r="B48" s="6" t="s">
        <v>40</v>
      </c>
      <c r="C48" s="7" t="s">
        <v>46</v>
      </c>
      <c r="D48" s="6"/>
      <c r="E48" s="8">
        <v>15000.0</v>
      </c>
      <c r="F48" s="8">
        <v>15000.0</v>
      </c>
      <c r="G48" s="9">
        <v>0.0</v>
      </c>
      <c r="H48" s="8">
        <v>15000.0</v>
      </c>
      <c r="I48" s="8">
        <v>15000.0</v>
      </c>
      <c r="J48" s="9">
        <v>0.0</v>
      </c>
      <c r="K48" s="9">
        <v>0.0</v>
      </c>
      <c r="L48" s="6"/>
    </row>
    <row r="49" spans="8:8" ht="21.0" customHeight="1">
      <c r="A49" s="10"/>
      <c r="B49" s="3" t="s">
        <v>17</v>
      </c>
      <c r="C49" s="4" t="s">
        <v>18</v>
      </c>
      <c r="D49" s="4" t="s">
        <v>19</v>
      </c>
      <c r="E49" s="4" t="s">
        <v>11</v>
      </c>
      <c r="F49" s="3" t="s">
        <v>20</v>
      </c>
    </row>
    <row r="50" spans="8:8" ht="21.0" customHeight="1">
      <c r="A50" s="10"/>
      <c r="B50" s="11" t="s">
        <v>38</v>
      </c>
      <c r="C50" s="9">
        <v>10.0</v>
      </c>
      <c r="D50" s="8">
        <v>1500.0</v>
      </c>
      <c r="E50" s="8">
        <v>15000.0</v>
      </c>
      <c r="F50" s="13"/>
    </row>
    <row r="51" spans="8:8" ht="21.0" customHeight="1">
      <c r="A51" s="10"/>
      <c r="B51" s="14"/>
      <c r="C51" s="15"/>
      <c r="D51" s="15"/>
      <c r="E51" s="15"/>
      <c r="F51" s="14"/>
    </row>
    <row r="52" spans="8:8" ht="21.0" customHeight="1">
      <c r="A52" s="16">
        <v>46205.0</v>
      </c>
      <c r="B52" s="6" t="s">
        <v>29</v>
      </c>
      <c r="C52" s="7" t="s">
        <v>47</v>
      </c>
      <c r="D52" s="6"/>
      <c r="E52" s="8">
        <v>11100.0</v>
      </c>
      <c r="F52" s="8">
        <v>11100.0</v>
      </c>
      <c r="G52" s="9">
        <v>0.0</v>
      </c>
      <c r="H52" s="8">
        <v>11100.0</v>
      </c>
      <c r="I52" s="8">
        <v>8109.0</v>
      </c>
      <c r="J52" s="8">
        <v>2991.0</v>
      </c>
      <c r="K52" s="9">
        <v>27.0</v>
      </c>
      <c r="L52" s="6"/>
    </row>
    <row r="53" spans="8:8" ht="21.0" customHeight="1">
      <c r="A53" s="10"/>
      <c r="B53" s="3" t="s">
        <v>17</v>
      </c>
      <c r="C53" s="4" t="s">
        <v>18</v>
      </c>
      <c r="D53" s="4" t="s">
        <v>19</v>
      </c>
      <c r="E53" s="4" t="s">
        <v>11</v>
      </c>
      <c r="F53" s="3" t="s">
        <v>20</v>
      </c>
    </row>
    <row r="54" spans="8:8" ht="21.0" customHeight="1">
      <c r="A54" s="10"/>
      <c r="B54" s="11" t="s">
        <v>38</v>
      </c>
      <c r="C54" s="9">
        <v>3.0</v>
      </c>
      <c r="D54" s="8">
        <v>1500.0</v>
      </c>
      <c r="E54" s="8">
        <v>4500.0</v>
      </c>
      <c r="F54" s="13"/>
    </row>
    <row r="55" spans="8:8" ht="21.0" customHeight="1">
      <c r="A55" s="10"/>
      <c r="B55" s="11" t="s">
        <v>48</v>
      </c>
      <c r="C55" s="9">
        <v>1.0</v>
      </c>
      <c r="D55" s="8">
        <v>1600.0</v>
      </c>
      <c r="E55" s="8">
        <v>1600.0</v>
      </c>
      <c r="F55" s="13"/>
    </row>
    <row r="56" spans="8:8" ht="21.0" customHeight="1">
      <c r="A56" s="10"/>
      <c r="B56" s="11" t="s">
        <v>49</v>
      </c>
      <c r="C56" s="9">
        <v>1.0</v>
      </c>
      <c r="D56" s="8">
        <v>5000.0</v>
      </c>
      <c r="E56" s="8">
        <v>2009.0</v>
      </c>
      <c r="F56" s="13"/>
    </row>
    <row r="57" spans="8:8" ht="21.0" customHeight="1">
      <c r="A57" s="10"/>
      <c r="B57" s="14"/>
      <c r="C57" s="15"/>
      <c r="D57" s="15"/>
      <c r="E57" s="15"/>
      <c r="F57" s="14"/>
    </row>
    <row r="58" spans="8:8" ht="21.0" customHeight="1">
      <c r="A58" s="16">
        <v>46205.0</v>
      </c>
      <c r="B58" s="6" t="s">
        <v>50</v>
      </c>
      <c r="C58" s="7" t="s">
        <v>51</v>
      </c>
      <c r="D58" s="6"/>
      <c r="E58" s="8">
        <v>1421000.0</v>
      </c>
      <c r="F58" s="8">
        <v>1421000.0</v>
      </c>
      <c r="G58" s="9">
        <v>0.0</v>
      </c>
      <c r="H58" s="8">
        <v>1421000.0</v>
      </c>
      <c r="I58" s="8">
        <v>1426855.0</v>
      </c>
      <c r="J58" s="8">
        <v>-5855.0</v>
      </c>
      <c r="K58" s="9">
        <v>0.0</v>
      </c>
      <c r="L58" s="6"/>
    </row>
    <row r="59" spans="8:8" ht="21.0" customHeight="1">
      <c r="A59" s="10"/>
      <c r="B59" s="3" t="s">
        <v>17</v>
      </c>
      <c r="C59" s="4" t="s">
        <v>18</v>
      </c>
      <c r="D59" s="4" t="s">
        <v>19</v>
      </c>
      <c r="E59" s="4" t="s">
        <v>11</v>
      </c>
      <c r="F59" s="3" t="s">
        <v>20</v>
      </c>
    </row>
    <row r="60" spans="8:8" ht="21.0" customHeight="1">
      <c r="A60" s="10"/>
      <c r="B60" s="11" t="s">
        <v>33</v>
      </c>
      <c r="C60" s="9">
        <v>25.0</v>
      </c>
      <c r="D60" s="12">
        <v>15655.0</v>
      </c>
      <c r="E60" s="8">
        <v>388875.0</v>
      </c>
      <c r="F60" s="13"/>
    </row>
    <row r="61" spans="8:8" ht="21.0" customHeight="1">
      <c r="A61" s="10"/>
      <c r="B61" s="11" t="s">
        <v>32</v>
      </c>
      <c r="C61" s="9">
        <v>30.0</v>
      </c>
      <c r="D61" s="12">
        <v>15655.0</v>
      </c>
      <c r="E61" s="8">
        <v>457456.0</v>
      </c>
      <c r="F61" s="13"/>
    </row>
    <row r="62" spans="8:8" ht="21.0" customHeight="1">
      <c r="A62" s="10"/>
      <c r="B62" s="11" t="s">
        <v>28</v>
      </c>
      <c r="C62" s="9">
        <v>35.0</v>
      </c>
      <c r="D62" s="12">
        <v>12900.0</v>
      </c>
      <c r="E62" s="8">
        <v>472549.0</v>
      </c>
      <c r="F62" s="13"/>
    </row>
    <row r="63" spans="8:8" ht="21.0" customHeight="1">
      <c r="A63" s="10"/>
      <c r="B63" s="11" t="s">
        <v>34</v>
      </c>
      <c r="C63" s="9">
        <v>5.0</v>
      </c>
      <c r="D63" s="12">
        <v>21695.0</v>
      </c>
      <c r="E63" s="8">
        <v>107975.0</v>
      </c>
      <c r="F63" s="13"/>
    </row>
    <row r="64" spans="8:8" ht="21.0" customHeight="1">
      <c r="A64" s="10"/>
      <c r="B64" s="14"/>
      <c r="C64" s="15"/>
      <c r="D64" s="15"/>
      <c r="E64" s="15"/>
      <c r="F64" s="14"/>
    </row>
    <row r="65" spans="8:8" ht="21.0" customHeight="1">
      <c r="A65" s="16">
        <v>46205.0</v>
      </c>
      <c r="B65" s="6" t="s">
        <v>29</v>
      </c>
      <c r="C65" s="7" t="s">
        <v>52</v>
      </c>
      <c r="D65" s="6"/>
      <c r="E65" s="8">
        <v>56940.0</v>
      </c>
      <c r="F65" s="8">
        <v>56940.0</v>
      </c>
      <c r="G65" s="9">
        <v>0.0</v>
      </c>
      <c r="H65" s="8">
        <v>56940.0</v>
      </c>
      <c r="I65" s="8">
        <v>55795.0</v>
      </c>
      <c r="J65" s="8">
        <v>1145.0</v>
      </c>
      <c r="K65" s="9">
        <v>2.0</v>
      </c>
      <c r="L65" s="6"/>
    </row>
    <row r="66" spans="8:8" ht="21.0" customHeight="1">
      <c r="A66" s="10"/>
      <c r="B66" s="3" t="s">
        <v>17</v>
      </c>
      <c r="C66" s="4" t="s">
        <v>18</v>
      </c>
      <c r="D66" s="4" t="s">
        <v>19</v>
      </c>
      <c r="E66" s="4" t="s">
        <v>11</v>
      </c>
      <c r="F66" s="3" t="s">
        <v>20</v>
      </c>
    </row>
    <row r="67" spans="8:8" ht="21.0" customHeight="1">
      <c r="A67" s="10"/>
      <c r="B67" s="11" t="s">
        <v>31</v>
      </c>
      <c r="C67" s="9">
        <v>2.0</v>
      </c>
      <c r="D67" s="12">
        <v>17100.0</v>
      </c>
      <c r="E67" s="8">
        <v>34200.0</v>
      </c>
      <c r="F67" s="13"/>
    </row>
    <row r="68" spans="8:8" ht="21.0" customHeight="1">
      <c r="A68" s="10"/>
      <c r="B68" s="11" t="s">
        <v>34</v>
      </c>
      <c r="C68" s="9">
        <v>1.0</v>
      </c>
      <c r="D68" s="12">
        <v>22740.0</v>
      </c>
      <c r="E68" s="8">
        <v>21595.0</v>
      </c>
      <c r="F68" s="13"/>
    </row>
    <row r="69" spans="8:8" ht="21.0" customHeight="1">
      <c r="A69" s="10"/>
      <c r="B69" s="14"/>
      <c r="C69" s="15"/>
      <c r="D69" s="15"/>
      <c r="E69" s="15"/>
      <c r="F69" s="14"/>
    </row>
    <row r="70" spans="8:8" ht="21.0" customHeight="1">
      <c r="A70" s="16">
        <v>46205.0</v>
      </c>
      <c r="B70" s="6" t="s">
        <v>40</v>
      </c>
      <c r="C70" s="7" t="s">
        <v>53</v>
      </c>
      <c r="D70" s="6"/>
      <c r="E70" s="8">
        <v>17200.0</v>
      </c>
      <c r="F70" s="8">
        <v>17200.0</v>
      </c>
      <c r="G70" s="9">
        <v>0.0</v>
      </c>
      <c r="H70" s="8">
        <v>17200.0</v>
      </c>
      <c r="I70" s="8">
        <v>17275.0</v>
      </c>
      <c r="J70" s="9">
        <v>-75.0</v>
      </c>
      <c r="K70" s="9">
        <v>0.0</v>
      </c>
      <c r="L70" s="6"/>
    </row>
    <row r="71" spans="8:8" ht="21.0" customHeight="1">
      <c r="A71" s="10"/>
      <c r="B71" s="3" t="s">
        <v>17</v>
      </c>
      <c r="C71" s="4" t="s">
        <v>18</v>
      </c>
      <c r="D71" s="4" t="s">
        <v>19</v>
      </c>
      <c r="E71" s="4" t="s">
        <v>11</v>
      </c>
      <c r="F71" s="3" t="s">
        <v>20</v>
      </c>
    </row>
    <row r="72" spans="8:8" ht="21.0" customHeight="1">
      <c r="A72" s="10"/>
      <c r="B72" s="11" t="s">
        <v>22</v>
      </c>
      <c r="C72" s="9">
        <v>2.0</v>
      </c>
      <c r="D72" s="12">
        <v>8600.0</v>
      </c>
      <c r="E72" s="8">
        <v>17275.0</v>
      </c>
      <c r="F72" s="13"/>
    </row>
    <row r="73" spans="8:8" ht="21.0" customHeight="1">
      <c r="A73" s="10"/>
      <c r="B73" s="14"/>
      <c r="C73" s="15"/>
      <c r="D73" s="15"/>
      <c r="E73" s="15"/>
      <c r="F73" s="14"/>
    </row>
    <row r="74" spans="8:8" ht="21.0" customHeight="1">
      <c r="A74" s="16">
        <v>46205.0</v>
      </c>
      <c r="B74" s="6" t="s">
        <v>29</v>
      </c>
      <c r="C74" s="7" t="s">
        <v>54</v>
      </c>
      <c r="D74" s="6"/>
      <c r="E74" s="8">
        <v>8880.0</v>
      </c>
      <c r="F74" s="8">
        <v>8880.0</v>
      </c>
      <c r="G74" s="9">
        <v>0.0</v>
      </c>
      <c r="H74" s="8">
        <v>8880.0</v>
      </c>
      <c r="I74" s="8">
        <v>8525.0</v>
      </c>
      <c r="J74" s="9">
        <v>355.0</v>
      </c>
      <c r="K74" s="9">
        <v>4.0</v>
      </c>
      <c r="L74" s="6"/>
    </row>
    <row r="75" spans="8:8" ht="21.0" customHeight="1">
      <c r="A75" s="10"/>
      <c r="B75" s="3" t="s">
        <v>17</v>
      </c>
      <c r="C75" s="4" t="s">
        <v>18</v>
      </c>
      <c r="D75" s="4" t="s">
        <v>19</v>
      </c>
      <c r="E75" s="4" t="s">
        <v>11</v>
      </c>
      <c r="F75" s="3" t="s">
        <v>20</v>
      </c>
    </row>
    <row r="76" spans="8:8" ht="21.0" customHeight="1">
      <c r="A76" s="10"/>
      <c r="B76" s="11" t="s">
        <v>37</v>
      </c>
      <c r="C76" s="9">
        <v>1.0</v>
      </c>
      <c r="D76" s="8">
        <v>8880.0</v>
      </c>
      <c r="E76" s="8">
        <v>8525.0</v>
      </c>
      <c r="F76" s="13"/>
    </row>
    <row r="77" spans="8:8" ht="21.0" customHeight="1">
      <c r="A77" s="10"/>
      <c r="B77" s="14"/>
      <c r="C77" s="15"/>
      <c r="D77" s="15"/>
      <c r="E77" s="15"/>
      <c r="F77" s="14"/>
    </row>
    <row r="78" spans="8:8" ht="21.0" customHeight="1">
      <c r="A78" s="16">
        <v>46205.0</v>
      </c>
      <c r="B78" s="6" t="s">
        <v>25</v>
      </c>
      <c r="C78" s="7" t="s">
        <v>55</v>
      </c>
      <c r="D78" s="6"/>
      <c r="E78" s="8">
        <v>1324235.0</v>
      </c>
      <c r="F78" s="8">
        <v>1324235.0</v>
      </c>
      <c r="G78" s="9">
        <v>0.0</v>
      </c>
      <c r="H78" s="8">
        <v>1324235.0</v>
      </c>
      <c r="I78" s="8">
        <v>1374250.0</v>
      </c>
      <c r="J78" s="8">
        <v>-50015.0</v>
      </c>
      <c r="K78" s="9">
        <v>-4.0</v>
      </c>
      <c r="L78" s="6"/>
    </row>
    <row r="79" spans="8:8" ht="21.0" customHeight="1">
      <c r="A79" s="10"/>
      <c r="B79" s="3" t="s">
        <v>17</v>
      </c>
      <c r="C79" s="4" t="s">
        <v>18</v>
      </c>
      <c r="D79" s="4" t="s">
        <v>19</v>
      </c>
      <c r="E79" s="4" t="s">
        <v>11</v>
      </c>
      <c r="F79" s="3" t="s">
        <v>20</v>
      </c>
    </row>
    <row r="80" spans="8:8" ht="21.0" customHeight="1">
      <c r="A80" s="10"/>
      <c r="B80" s="11" t="s">
        <v>24</v>
      </c>
      <c r="C80" s="9">
        <v>260.0</v>
      </c>
      <c r="D80" s="12">
        <v>5000.0</v>
      </c>
      <c r="E80" s="8">
        <v>1352000.0</v>
      </c>
      <c r="F80" s="13"/>
    </row>
    <row r="81" spans="8:8" ht="21.0" customHeight="1">
      <c r="A81" s="10"/>
      <c r="B81" s="11" t="s">
        <v>56</v>
      </c>
      <c r="C81" s="9">
        <v>1.0</v>
      </c>
      <c r="D81" s="12">
        <v>24235.0</v>
      </c>
      <c r="E81" s="8">
        <v>22250.0</v>
      </c>
      <c r="F81" s="13"/>
    </row>
    <row r="82" spans="8:8" ht="21.0" customHeight="1">
      <c r="A82" s="10"/>
      <c r="B82" s="14"/>
      <c r="C82" s="15"/>
      <c r="D82" s="15"/>
      <c r="E82" s="15"/>
      <c r="F82" s="14"/>
    </row>
    <row r="83" spans="8:8" ht="21.0" customHeight="1">
      <c r="A83" s="16">
        <v>46205.0</v>
      </c>
      <c r="B83" s="6" t="s">
        <v>25</v>
      </c>
      <c r="C83" s="7" t="s">
        <v>57</v>
      </c>
      <c r="D83" s="6"/>
      <c r="E83" s="8">
        <v>40100.0</v>
      </c>
      <c r="F83" s="8">
        <v>40100.0</v>
      </c>
      <c r="G83" s="9">
        <v>0.0</v>
      </c>
      <c r="H83" s="8">
        <v>40100.0</v>
      </c>
      <c r="I83" s="8">
        <v>38425.0</v>
      </c>
      <c r="J83" s="8">
        <v>1675.0</v>
      </c>
      <c r="K83" s="9">
        <v>4.0</v>
      </c>
      <c r="L83" s="6"/>
    </row>
    <row r="84" spans="8:8" ht="21.0" customHeight="1">
      <c r="A84" s="10"/>
      <c r="B84" s="3" t="s">
        <v>17</v>
      </c>
      <c r="C84" s="4" t="s">
        <v>18</v>
      </c>
      <c r="D84" s="4" t="s">
        <v>19</v>
      </c>
      <c r="E84" s="4" t="s">
        <v>11</v>
      </c>
      <c r="F84" s="3" t="s">
        <v>20</v>
      </c>
    </row>
    <row r="85" spans="8:8" ht="21.0" customHeight="1">
      <c r="A85" s="10"/>
      <c r="B85" s="11" t="s">
        <v>27</v>
      </c>
      <c r="C85" s="9">
        <v>5.0</v>
      </c>
      <c r="D85" s="12">
        <v>8020.0</v>
      </c>
      <c r="E85" s="8">
        <v>38425.0</v>
      </c>
      <c r="F85" s="13"/>
    </row>
    <row r="86" spans="8:8" ht="21.0" customHeight="1">
      <c r="A86" s="10"/>
      <c r="B86" s="14"/>
      <c r="C86" s="15"/>
      <c r="D86" s="15"/>
      <c r="E86" s="15"/>
      <c r="F86" s="14"/>
    </row>
    <row r="87" spans="8:8" ht="21.0" customHeight="1">
      <c r="A87" s="16">
        <v>46205.0</v>
      </c>
      <c r="B87" s="6" t="s">
        <v>25</v>
      </c>
      <c r="C87" s="7" t="s">
        <v>58</v>
      </c>
      <c r="D87" s="6"/>
      <c r="E87" s="8">
        <v>80200.0</v>
      </c>
      <c r="F87" s="8">
        <v>80200.0</v>
      </c>
      <c r="G87" s="9">
        <v>0.0</v>
      </c>
      <c r="H87" s="8">
        <v>80200.0</v>
      </c>
      <c r="I87" s="8">
        <v>76850.0</v>
      </c>
      <c r="J87" s="8">
        <v>3350.0</v>
      </c>
      <c r="K87" s="9">
        <v>4.0</v>
      </c>
      <c r="L87" s="6"/>
    </row>
    <row r="88" spans="8:8" ht="21.0" customHeight="1">
      <c r="A88" s="10"/>
      <c r="B88" s="3" t="s">
        <v>17</v>
      </c>
      <c r="C88" s="4" t="s">
        <v>18</v>
      </c>
      <c r="D88" s="4" t="s">
        <v>19</v>
      </c>
      <c r="E88" s="4" t="s">
        <v>11</v>
      </c>
      <c r="F88" s="3" t="s">
        <v>20</v>
      </c>
    </row>
    <row r="89" spans="8:8" ht="21.0" customHeight="1">
      <c r="A89" s="10"/>
      <c r="B89" s="11" t="s">
        <v>27</v>
      </c>
      <c r="C89" s="9">
        <v>10.0</v>
      </c>
      <c r="D89" s="12">
        <v>8020.0</v>
      </c>
      <c r="E89" s="8">
        <v>76850.0</v>
      </c>
      <c r="F89" s="13"/>
    </row>
    <row r="90" spans="8:8" ht="21.0" customHeight="1">
      <c r="A90" s="10"/>
      <c r="B90" s="14"/>
      <c r="C90" s="15"/>
      <c r="D90" s="15"/>
      <c r="E90" s="15"/>
      <c r="F90" s="14"/>
    </row>
    <row r="91" spans="8:8" ht="21.0" customHeight="1">
      <c r="A91" s="16">
        <v>46205.0</v>
      </c>
      <c r="B91" s="6" t="s">
        <v>59</v>
      </c>
      <c r="C91" s="7" t="s">
        <v>60</v>
      </c>
      <c r="D91" s="6"/>
      <c r="E91" s="8">
        <v>67080.0</v>
      </c>
      <c r="F91" s="8">
        <v>67080.0</v>
      </c>
      <c r="G91" s="9">
        <v>0.0</v>
      </c>
      <c r="H91" s="8">
        <v>67080.0</v>
      </c>
      <c r="I91" s="8">
        <v>62850.0</v>
      </c>
      <c r="J91" s="8">
        <v>4230.0</v>
      </c>
      <c r="K91" s="9">
        <v>6.0</v>
      </c>
      <c r="L91" s="6"/>
    </row>
    <row r="92" spans="8:8" ht="21.0" customHeight="1">
      <c r="A92" s="10"/>
      <c r="B92" s="3" t="s">
        <v>17</v>
      </c>
      <c r="C92" s="4" t="s">
        <v>18</v>
      </c>
      <c r="D92" s="4" t="s">
        <v>19</v>
      </c>
      <c r="E92" s="4" t="s">
        <v>11</v>
      </c>
      <c r="F92" s="3" t="s">
        <v>20</v>
      </c>
    </row>
    <row r="93" spans="8:8" ht="21.0" customHeight="1">
      <c r="A93" s="10"/>
      <c r="B93" s="11" t="s">
        <v>61</v>
      </c>
      <c r="C93" s="9">
        <v>2.0</v>
      </c>
      <c r="D93" s="12">
        <v>12885.0</v>
      </c>
      <c r="E93" s="8">
        <v>24240.0</v>
      </c>
      <c r="F93" s="13"/>
    </row>
    <row r="94" spans="8:8" ht="21.0" customHeight="1">
      <c r="A94" s="10"/>
      <c r="B94" s="11" t="s">
        <v>62</v>
      </c>
      <c r="C94" s="9">
        <v>2.0</v>
      </c>
      <c r="D94" s="12">
        <v>20655.0</v>
      </c>
      <c r="E94" s="8">
        <v>38610.0</v>
      </c>
      <c r="F94" s="13"/>
    </row>
    <row r="95" spans="8:8" ht="21.0" customHeight="1">
      <c r="A95" s="10"/>
      <c r="B95" s="14"/>
      <c r="C95" s="15"/>
      <c r="D95" s="15"/>
      <c r="E95" s="15"/>
      <c r="F95" s="14"/>
    </row>
    <row r="96" spans="8:8" ht="21.0" customHeight="1">
      <c r="A96" s="17">
        <v>46206.0</v>
      </c>
      <c r="B96" s="6" t="s">
        <v>63</v>
      </c>
      <c r="C96" s="7" t="s">
        <v>64</v>
      </c>
      <c r="D96" s="6"/>
      <c r="E96" s="8">
        <v>4026260.0</v>
      </c>
      <c r="F96" s="8">
        <v>4026260.0</v>
      </c>
      <c r="G96" s="9">
        <v>0.0</v>
      </c>
      <c r="H96" s="8">
        <v>4026260.0</v>
      </c>
      <c r="I96" s="8">
        <v>3965433.0</v>
      </c>
      <c r="J96" s="8">
        <v>60827.0</v>
      </c>
      <c r="K96" s="9">
        <v>2.0</v>
      </c>
      <c r="L96" s="6"/>
    </row>
    <row r="97" spans="8:8" ht="21.0" customHeight="1">
      <c r="A97" s="10"/>
      <c r="B97" s="3" t="s">
        <v>17</v>
      </c>
      <c r="C97" s="4" t="s">
        <v>18</v>
      </c>
      <c r="D97" s="4" t="s">
        <v>19</v>
      </c>
      <c r="E97" s="4" t="s">
        <v>11</v>
      </c>
      <c r="F97" s="3" t="s">
        <v>20</v>
      </c>
    </row>
    <row r="98" spans="8:8" ht="21.0" customHeight="1">
      <c r="A98" s="10"/>
      <c r="B98" s="11" t="s">
        <v>22</v>
      </c>
      <c r="C98" s="9">
        <v>140.0</v>
      </c>
      <c r="D98" s="8">
        <v>8990.0</v>
      </c>
      <c r="E98" s="8">
        <v>1209241.0</v>
      </c>
      <c r="F98" s="13"/>
    </row>
    <row r="99" spans="8:8" ht="21.0" customHeight="1">
      <c r="A99" s="10"/>
      <c r="B99" s="11" t="s">
        <v>45</v>
      </c>
      <c r="C99" s="9">
        <v>140.0</v>
      </c>
      <c r="D99" s="8">
        <v>12830.0</v>
      </c>
      <c r="E99" s="8">
        <v>1784732.0</v>
      </c>
      <c r="F99" s="13"/>
    </row>
    <row r="100" spans="8:8" ht="21.0" customHeight="1">
      <c r="A100" s="10"/>
      <c r="B100" s="11" t="s">
        <v>65</v>
      </c>
      <c r="C100" s="9">
        <v>84.0</v>
      </c>
      <c r="D100" s="8">
        <v>11315.0</v>
      </c>
      <c r="E100" s="8">
        <v>950460.0</v>
      </c>
      <c r="F100" s="13"/>
    </row>
    <row r="101" spans="8:8" ht="21.0" customHeight="1">
      <c r="A101" s="10"/>
      <c r="B101" s="11" t="s">
        <v>38</v>
      </c>
      <c r="C101" s="9">
        <v>14.0</v>
      </c>
      <c r="D101" s="8">
        <v>1500.0</v>
      </c>
      <c r="E101" s="8">
        <v>21000.0</v>
      </c>
      <c r="F101" s="13"/>
    </row>
    <row r="102" spans="8:8" ht="21.0" customHeight="1">
      <c r="A102" s="10"/>
      <c r="B102" s="14"/>
      <c r="C102" s="15"/>
      <c r="D102" s="15"/>
      <c r="E102" s="15"/>
      <c r="F102" s="14"/>
    </row>
    <row r="103" spans="8:8" ht="21.0" customHeight="1">
      <c r="A103" s="5">
        <v>46206.0</v>
      </c>
      <c r="B103" s="6" t="s">
        <v>66</v>
      </c>
      <c r="C103" s="7" t="s">
        <v>67</v>
      </c>
      <c r="D103" s="6"/>
      <c r="E103" s="8">
        <v>8796760.0</v>
      </c>
      <c r="F103" s="8">
        <v>2575760.0</v>
      </c>
      <c r="G103" s="8">
        <v>6221000.0</v>
      </c>
      <c r="H103" s="8">
        <v>8796760.0</v>
      </c>
      <c r="I103" s="8">
        <v>8663386.0</v>
      </c>
      <c r="J103" s="8">
        <v>133374.0</v>
      </c>
      <c r="K103" s="9">
        <v>2.0</v>
      </c>
      <c r="L103" s="6"/>
    </row>
    <row r="104" spans="8:8" ht="21.0" customHeight="1">
      <c r="A104" s="10"/>
      <c r="B104" s="3" t="s">
        <v>17</v>
      </c>
      <c r="C104" s="4" t="s">
        <v>18</v>
      </c>
      <c r="D104" s="4" t="s">
        <v>19</v>
      </c>
      <c r="E104" s="4" t="s">
        <v>11</v>
      </c>
      <c r="F104" s="3" t="s">
        <v>20</v>
      </c>
    </row>
    <row r="105" spans="8:8" ht="21.0" customHeight="1">
      <c r="A105" s="10"/>
      <c r="B105" s="11" t="s">
        <v>45</v>
      </c>
      <c r="C105" s="9">
        <v>280.0</v>
      </c>
      <c r="D105" s="12">
        <v>12930.0</v>
      </c>
      <c r="E105" s="8">
        <v>3569464.0</v>
      </c>
      <c r="F105" s="13"/>
    </row>
    <row r="106" spans="8:8" ht="21.0" customHeight="1">
      <c r="A106" s="10"/>
      <c r="B106" s="11" t="s">
        <v>22</v>
      </c>
      <c r="C106" s="9">
        <v>210.0</v>
      </c>
      <c r="D106" s="12">
        <v>8990.0</v>
      </c>
      <c r="E106" s="8">
        <v>1813862.0</v>
      </c>
      <c r="F106" s="13"/>
    </row>
    <row r="107" spans="8:8" ht="21.0" customHeight="1">
      <c r="A107" s="10"/>
      <c r="B107" s="11" t="s">
        <v>44</v>
      </c>
      <c r="C107" s="9">
        <v>140.0</v>
      </c>
      <c r="D107" s="12">
        <v>8990.0</v>
      </c>
      <c r="E107" s="8">
        <v>1258600.0</v>
      </c>
      <c r="F107" s="13"/>
    </row>
    <row r="108" spans="8:8" ht="21.0" customHeight="1">
      <c r="A108" s="10"/>
      <c r="B108" s="11" t="s">
        <v>65</v>
      </c>
      <c r="C108" s="9">
        <v>84.0</v>
      </c>
      <c r="D108" s="12">
        <v>11415.0</v>
      </c>
      <c r="E108" s="8">
        <v>950460.0</v>
      </c>
      <c r="F108" s="13"/>
    </row>
    <row r="109" spans="8:8" ht="21.0" customHeight="1">
      <c r="A109" s="10"/>
      <c r="B109" s="11" t="s">
        <v>38</v>
      </c>
      <c r="C109" s="9">
        <v>714.0</v>
      </c>
      <c r="D109" s="8">
        <v>1500.0</v>
      </c>
      <c r="E109" s="8">
        <v>1071000.0</v>
      </c>
      <c r="F109" s="13"/>
    </row>
    <row r="110" spans="8:8" ht="21.0" customHeight="1">
      <c r="A110" s="10"/>
      <c r="B110" s="14"/>
      <c r="C110" s="15"/>
      <c r="D110" s="15"/>
      <c r="E110" s="15"/>
      <c r="F110" s="14"/>
    </row>
    <row r="111" spans="8:8" ht="21.0" customHeight="1">
      <c r="A111" s="16">
        <v>46206.0</v>
      </c>
      <c r="B111" s="6" t="s">
        <v>29</v>
      </c>
      <c r="C111" s="7" t="s">
        <v>68</v>
      </c>
      <c r="D111" s="6"/>
      <c r="E111" s="8">
        <v>491680.0</v>
      </c>
      <c r="F111" s="8">
        <v>491680.0</v>
      </c>
      <c r="G111" s="9">
        <v>0.0</v>
      </c>
      <c r="H111" s="8">
        <v>491680.0</v>
      </c>
      <c r="I111" s="8">
        <v>475441.0</v>
      </c>
      <c r="J111" s="8">
        <v>16239.0</v>
      </c>
      <c r="K111" s="9">
        <v>3.0</v>
      </c>
      <c r="L111" s="6"/>
    </row>
    <row r="112" spans="8:8" ht="21.0" customHeight="1">
      <c r="A112" s="10"/>
      <c r="B112" s="3" t="s">
        <v>17</v>
      </c>
      <c r="C112" s="4" t="s">
        <v>18</v>
      </c>
      <c r="D112" s="4" t="s">
        <v>19</v>
      </c>
      <c r="E112" s="4" t="s">
        <v>11</v>
      </c>
      <c r="F112" s="3" t="s">
        <v>20</v>
      </c>
    </row>
    <row r="113" spans="8:8" ht="21.0" customHeight="1">
      <c r="A113" s="10"/>
      <c r="B113" s="11" t="s">
        <v>44</v>
      </c>
      <c r="C113" s="9">
        <v>15.0</v>
      </c>
      <c r="D113" s="12">
        <v>9200.0</v>
      </c>
      <c r="E113" s="8">
        <v>134850.0</v>
      </c>
      <c r="F113" s="13"/>
    </row>
    <row r="114" spans="8:8" ht="21.0" customHeight="1">
      <c r="A114" s="10"/>
      <c r="B114" s="11" t="s">
        <v>45</v>
      </c>
      <c r="C114" s="9">
        <v>10.0</v>
      </c>
      <c r="D114" s="12">
        <v>13335.0</v>
      </c>
      <c r="E114" s="8">
        <v>127481.0</v>
      </c>
      <c r="F114" s="13"/>
    </row>
    <row r="115" spans="8:8" ht="21.0" customHeight="1">
      <c r="A115" s="10"/>
      <c r="B115" s="11" t="s">
        <v>69</v>
      </c>
      <c r="C115" s="9">
        <v>1.0</v>
      </c>
      <c r="D115" s="12">
        <v>14450.0</v>
      </c>
      <c r="E115" s="8">
        <v>13780.0</v>
      </c>
      <c r="F115" s="13"/>
    </row>
    <row r="116" spans="8:8" ht="21.0" customHeight="1">
      <c r="A116" s="10"/>
      <c r="B116" s="11" t="s">
        <v>70</v>
      </c>
      <c r="C116" s="9">
        <v>1.0</v>
      </c>
      <c r="D116" s="12">
        <v>13460.0</v>
      </c>
      <c r="E116" s="8">
        <v>12855.0</v>
      </c>
      <c r="F116" s="13"/>
    </row>
    <row r="117" spans="8:8" ht="21.0" customHeight="1">
      <c r="A117" s="10"/>
      <c r="B117" s="11" t="s">
        <v>37</v>
      </c>
      <c r="C117" s="9">
        <v>5.0</v>
      </c>
      <c r="D117" s="12">
        <v>8880.0</v>
      </c>
      <c r="E117" s="8">
        <v>42625.0</v>
      </c>
      <c r="F117" s="13"/>
    </row>
    <row r="118" spans="8:8" ht="21.0" customHeight="1">
      <c r="A118" s="10"/>
      <c r="B118" s="11" t="s">
        <v>36</v>
      </c>
      <c r="C118" s="9">
        <v>1.0</v>
      </c>
      <c r="D118" s="12">
        <v>15525.0</v>
      </c>
      <c r="E118" s="8">
        <v>14900.0</v>
      </c>
      <c r="F118" s="13"/>
    </row>
    <row r="119" spans="8:8" ht="21.0" customHeight="1">
      <c r="A119" s="10"/>
      <c r="B119" s="11" t="s">
        <v>71</v>
      </c>
      <c r="C119" s="9">
        <v>1.0</v>
      </c>
      <c r="D119" s="12">
        <v>15945.0</v>
      </c>
      <c r="E119" s="8">
        <v>15375.0</v>
      </c>
      <c r="F119" s="13"/>
    </row>
    <row r="120" spans="8:8" ht="21.0" customHeight="1">
      <c r="A120" s="10"/>
      <c r="B120" s="11" t="s">
        <v>65</v>
      </c>
      <c r="C120" s="9">
        <v>5.0</v>
      </c>
      <c r="D120" s="12">
        <v>11910.0</v>
      </c>
      <c r="E120" s="8">
        <v>56575.0</v>
      </c>
      <c r="F120" s="13"/>
    </row>
    <row r="121" spans="8:8" ht="21.0" customHeight="1">
      <c r="A121" s="10"/>
      <c r="B121" s="11" t="s">
        <v>38</v>
      </c>
      <c r="C121" s="9">
        <v>38.0</v>
      </c>
      <c r="D121" s="8">
        <v>1500.0</v>
      </c>
      <c r="E121" s="8">
        <v>57000.0</v>
      </c>
      <c r="F121" s="13"/>
    </row>
    <row r="122" spans="8:8" ht="21.0" customHeight="1">
      <c r="A122" s="10"/>
      <c r="B122" s="14"/>
      <c r="C122" s="15"/>
      <c r="D122" s="15"/>
      <c r="E122" s="15"/>
      <c r="F122" s="14"/>
    </row>
    <row r="123" spans="8:8" ht="21.0" customHeight="1">
      <c r="A123" s="16">
        <v>46206.0</v>
      </c>
      <c r="B123" s="6" t="s">
        <v>40</v>
      </c>
      <c r="C123" s="7" t="s">
        <v>72</v>
      </c>
      <c r="D123" s="6"/>
      <c r="E123" s="8">
        <v>303000.0</v>
      </c>
      <c r="F123" s="8">
        <v>303000.0</v>
      </c>
      <c r="G123" s="9">
        <v>0.0</v>
      </c>
      <c r="H123" s="8">
        <v>303000.0</v>
      </c>
      <c r="I123" s="8">
        <v>304123.0</v>
      </c>
      <c r="J123" s="8">
        <v>-1123.0</v>
      </c>
      <c r="K123" s="9">
        <v>0.0</v>
      </c>
      <c r="L123" s="6"/>
    </row>
    <row r="124" spans="8:8" ht="21.0" customHeight="1">
      <c r="A124" s="10"/>
      <c r="B124" s="3" t="s">
        <v>17</v>
      </c>
      <c r="C124" s="4" t="s">
        <v>18</v>
      </c>
      <c r="D124" s="4" t="s">
        <v>19</v>
      </c>
      <c r="E124" s="4" t="s">
        <v>11</v>
      </c>
      <c r="F124" s="3" t="s">
        <v>20</v>
      </c>
    </row>
    <row r="125" spans="8:8" ht="21.0" customHeight="1">
      <c r="A125" s="10"/>
      <c r="B125" s="11" t="s">
        <v>22</v>
      </c>
      <c r="C125" s="9">
        <v>30.0</v>
      </c>
      <c r="D125" s="12">
        <v>8600.0</v>
      </c>
      <c r="E125" s="8">
        <v>259123.0</v>
      </c>
      <c r="F125" s="13"/>
    </row>
    <row r="126" spans="8:8" ht="21.0" customHeight="1">
      <c r="A126" s="10"/>
      <c r="B126" s="11" t="s">
        <v>38</v>
      </c>
      <c r="C126" s="9">
        <v>30.0</v>
      </c>
      <c r="D126" s="8">
        <v>1500.0</v>
      </c>
      <c r="E126" s="8">
        <v>45000.0</v>
      </c>
      <c r="F126" s="13"/>
    </row>
    <row r="127" spans="8:8" ht="21.0" customHeight="1">
      <c r="A127" s="10"/>
      <c r="B127" s="14"/>
      <c r="C127" s="15"/>
      <c r="D127" s="15"/>
      <c r="E127" s="15"/>
      <c r="F127" s="14"/>
    </row>
    <row r="128" spans="8:8" ht="21.0" customHeight="1">
      <c r="A128" s="16">
        <v>46206.0</v>
      </c>
      <c r="B128" s="6" t="s">
        <v>29</v>
      </c>
      <c r="C128" s="7" t="s">
        <v>73</v>
      </c>
      <c r="D128" s="6"/>
      <c r="E128" s="8">
        <v>20655.0</v>
      </c>
      <c r="F128" s="8">
        <v>20655.0</v>
      </c>
      <c r="G128" s="9">
        <v>0.0</v>
      </c>
      <c r="H128" s="8">
        <v>20655.0</v>
      </c>
      <c r="I128" s="8">
        <v>19305.0</v>
      </c>
      <c r="J128" s="8">
        <v>1350.0</v>
      </c>
      <c r="K128" s="9">
        <v>7.0</v>
      </c>
      <c r="L128" s="6"/>
    </row>
    <row r="129" spans="8:8" ht="21.0" customHeight="1">
      <c r="A129" s="10"/>
      <c r="B129" s="3" t="s">
        <v>17</v>
      </c>
      <c r="C129" s="4" t="s">
        <v>18</v>
      </c>
      <c r="D129" s="4" t="s">
        <v>19</v>
      </c>
      <c r="E129" s="4" t="s">
        <v>11</v>
      </c>
      <c r="F129" s="3" t="s">
        <v>20</v>
      </c>
    </row>
    <row r="130" spans="8:8" ht="21.0" customHeight="1">
      <c r="A130" s="10"/>
      <c r="B130" s="11" t="s">
        <v>62</v>
      </c>
      <c r="C130" s="9">
        <v>1.0</v>
      </c>
      <c r="D130" s="12">
        <v>20655.0</v>
      </c>
      <c r="E130" s="8">
        <v>19305.0</v>
      </c>
      <c r="F130" s="13"/>
    </row>
    <row r="131" spans="8:8" ht="21.0" customHeight="1">
      <c r="A131" s="10"/>
      <c r="B131" s="14"/>
      <c r="C131" s="15"/>
      <c r="D131" s="15"/>
      <c r="E131" s="15"/>
      <c r="F131" s="14"/>
    </row>
    <row r="132" spans="8:8" ht="21.0" customHeight="1">
      <c r="A132" s="16">
        <v>46206.0</v>
      </c>
      <c r="B132" s="6" t="s">
        <v>25</v>
      </c>
      <c r="C132" s="7" t="s">
        <v>74</v>
      </c>
      <c r="D132" s="6"/>
      <c r="E132" s="8">
        <v>1000000.0</v>
      </c>
      <c r="F132" s="8">
        <v>1000000.0</v>
      </c>
      <c r="G132" s="9">
        <v>0.0</v>
      </c>
      <c r="H132" s="8">
        <v>1000000.0</v>
      </c>
      <c r="I132" s="8">
        <v>1040000.0</v>
      </c>
      <c r="J132" s="8">
        <v>-40000.0</v>
      </c>
      <c r="K132" s="9">
        <v>-4.0</v>
      </c>
      <c r="L132" s="6"/>
    </row>
    <row r="133" spans="8:8" ht="21.0" customHeight="1">
      <c r="A133" s="10"/>
      <c r="B133" s="3" t="s">
        <v>17</v>
      </c>
      <c r="C133" s="4" t="s">
        <v>18</v>
      </c>
      <c r="D133" s="4" t="s">
        <v>19</v>
      </c>
      <c r="E133" s="4" t="s">
        <v>11</v>
      </c>
      <c r="F133" s="3" t="s">
        <v>20</v>
      </c>
    </row>
    <row r="134" spans="8:8" ht="21.0" customHeight="1">
      <c r="A134" s="10"/>
      <c r="B134" s="11" t="s">
        <v>24</v>
      </c>
      <c r="C134" s="9">
        <v>200.0</v>
      </c>
      <c r="D134" s="12">
        <v>5000.0</v>
      </c>
      <c r="E134" s="8">
        <v>1040000.0</v>
      </c>
      <c r="F134" s="13"/>
    </row>
    <row r="135" spans="8:8" ht="21.0" customHeight="1">
      <c r="A135" s="10"/>
      <c r="B135" s="14"/>
      <c r="C135" s="15"/>
      <c r="D135" s="15"/>
      <c r="E135" s="15"/>
      <c r="F135" s="14"/>
    </row>
    <row r="136" spans="8:8" ht="21.0" customHeight="1">
      <c r="A136" s="16">
        <v>46206.0</v>
      </c>
      <c r="B136" s="6" t="s">
        <v>75</v>
      </c>
      <c r="C136" s="7" t="s">
        <v>76</v>
      </c>
      <c r="D136" s="6"/>
      <c r="E136" s="8">
        <v>428160.0</v>
      </c>
      <c r="F136" s="9">
        <v>0.0</v>
      </c>
      <c r="G136" s="8">
        <v>428160.0</v>
      </c>
      <c r="H136" s="8">
        <v>428160.0</v>
      </c>
      <c r="I136" s="8">
        <v>414360.0</v>
      </c>
      <c r="J136" s="8">
        <v>13800.0</v>
      </c>
      <c r="K136" s="9">
        <v>3.0</v>
      </c>
      <c r="L136" s="6"/>
    </row>
    <row r="137" spans="8:8" ht="21.0" customHeight="1">
      <c r="A137" s="10"/>
      <c r="B137" s="3" t="s">
        <v>17</v>
      </c>
      <c r="C137" s="4" t="s">
        <v>18</v>
      </c>
      <c r="D137" s="4" t="s">
        <v>19</v>
      </c>
      <c r="E137" s="4" t="s">
        <v>11</v>
      </c>
      <c r="F137" s="3" t="s">
        <v>20</v>
      </c>
    </row>
    <row r="138" spans="8:8" ht="21.0" customHeight="1">
      <c r="A138" s="10"/>
      <c r="B138" s="11" t="s">
        <v>77</v>
      </c>
      <c r="C138" s="9">
        <v>24.0</v>
      </c>
      <c r="D138" s="12">
        <v>17840.0</v>
      </c>
      <c r="E138" s="8">
        <v>414360.0</v>
      </c>
      <c r="F138" s="13"/>
    </row>
    <row r="139" spans="8:8" ht="21.0" customHeight="1">
      <c r="A139" s="10"/>
      <c r="B139" s="14"/>
      <c r="C139" s="15"/>
      <c r="D139" s="15"/>
      <c r="E139" s="15"/>
      <c r="F139" s="14"/>
    </row>
    <row r="140" spans="8:8" ht="21.0" customHeight="1">
      <c r="A140" s="16">
        <v>46206.0</v>
      </c>
      <c r="B140" s="6" t="s">
        <v>78</v>
      </c>
      <c r="C140" s="7" t="s">
        <v>79</v>
      </c>
      <c r="D140" s="6"/>
      <c r="E140" s="8">
        <v>216900.0</v>
      </c>
      <c r="F140" s="9">
        <v>0.0</v>
      </c>
      <c r="G140" s="8">
        <v>216900.0</v>
      </c>
      <c r="H140" s="8">
        <v>216900.0</v>
      </c>
      <c r="I140" s="8">
        <v>209400.0</v>
      </c>
      <c r="J140" s="8">
        <v>7500.0</v>
      </c>
      <c r="K140" s="9">
        <v>3.0</v>
      </c>
      <c r="L140" s="6"/>
    </row>
    <row r="141" spans="8:8" ht="21.0" customHeight="1">
      <c r="A141" s="10"/>
      <c r="B141" s="3" t="s">
        <v>17</v>
      </c>
      <c r="C141" s="4" t="s">
        <v>18</v>
      </c>
      <c r="D141" s="4" t="s">
        <v>19</v>
      </c>
      <c r="E141" s="4" t="s">
        <v>11</v>
      </c>
      <c r="F141" s="3" t="s">
        <v>20</v>
      </c>
    </row>
    <row r="142" spans="8:8" ht="21.0" customHeight="1">
      <c r="A142" s="10"/>
      <c r="B142" s="11" t="s">
        <v>80</v>
      </c>
      <c r="C142" s="9">
        <v>20.0</v>
      </c>
      <c r="D142" s="12">
        <v>9345.0</v>
      </c>
      <c r="E142" s="8">
        <v>179400.0</v>
      </c>
      <c r="F142" s="13"/>
    </row>
    <row r="143" spans="8:8" ht="21.0" customHeight="1">
      <c r="A143" s="10"/>
      <c r="B143" s="11" t="s">
        <v>38</v>
      </c>
      <c r="C143" s="9">
        <v>20.0</v>
      </c>
      <c r="D143" s="8">
        <v>1500.0</v>
      </c>
      <c r="E143" s="8">
        <v>30000.0</v>
      </c>
      <c r="F143" s="13"/>
    </row>
    <row r="144" spans="8:8" ht="21.0" customHeight="1">
      <c r="A144" s="10"/>
      <c r="B144" s="14"/>
      <c r="C144" s="15"/>
      <c r="D144" s="15"/>
      <c r="E144" s="15"/>
      <c r="F144" s="14"/>
    </row>
    <row r="145" spans="8:8" ht="21.0" customHeight="1">
      <c r="A145" s="16">
        <v>46206.0</v>
      </c>
      <c r="B145" s="6" t="s">
        <v>81</v>
      </c>
      <c r="C145" s="7" t="s">
        <v>82</v>
      </c>
      <c r="D145" s="6"/>
      <c r="E145" s="8">
        <v>75000.0</v>
      </c>
      <c r="F145" s="8">
        <v>75000.0</v>
      </c>
      <c r="G145" s="9">
        <v>0.0</v>
      </c>
      <c r="H145" s="8">
        <v>75000.0</v>
      </c>
      <c r="I145" s="8">
        <v>70852.0</v>
      </c>
      <c r="J145" s="8">
        <v>4148.0</v>
      </c>
      <c r="K145" s="9">
        <v>6.0</v>
      </c>
      <c r="L145" s="6"/>
    </row>
    <row r="146" spans="8:8" ht="21.0" customHeight="1">
      <c r="A146" s="10"/>
      <c r="B146" s="3" t="s">
        <v>17</v>
      </c>
      <c r="C146" s="4" t="s">
        <v>18</v>
      </c>
      <c r="D146" s="4" t="s">
        <v>19</v>
      </c>
      <c r="E146" s="4" t="s">
        <v>11</v>
      </c>
      <c r="F146" s="3" t="s">
        <v>20</v>
      </c>
    </row>
    <row r="147" spans="8:8" ht="21.0" customHeight="1">
      <c r="A147" s="10"/>
      <c r="B147" s="11" t="s">
        <v>24</v>
      </c>
      <c r="C147" s="9">
        <v>2.0</v>
      </c>
      <c r="D147" s="12">
        <v>5400.0</v>
      </c>
      <c r="E147" s="8">
        <v>10400.0</v>
      </c>
      <c r="F147" s="13"/>
    </row>
    <row r="148" spans="8:8" ht="21.0" customHeight="1">
      <c r="A148" s="10"/>
      <c r="B148" s="11" t="s">
        <v>43</v>
      </c>
      <c r="C148" s="9">
        <v>2.0</v>
      </c>
      <c r="D148" s="18">
        <v>18300.0</v>
      </c>
      <c r="E148" s="8">
        <v>34300.0</v>
      </c>
      <c r="F148" s="13"/>
    </row>
    <row r="149" spans="8:8" ht="21.0" customHeight="1">
      <c r="A149" s="10"/>
      <c r="B149" s="11" t="s">
        <v>44</v>
      </c>
      <c r="C149" s="9">
        <v>1.0</v>
      </c>
      <c r="D149" s="12">
        <v>9200.0</v>
      </c>
      <c r="E149" s="8">
        <v>8990.0</v>
      </c>
      <c r="F149" s="13"/>
    </row>
    <row r="150" spans="8:8" ht="21.0" customHeight="1">
      <c r="A150" s="10"/>
      <c r="B150" s="11" t="s">
        <v>37</v>
      </c>
      <c r="C150" s="9">
        <v>1.0</v>
      </c>
      <c r="D150" s="12">
        <v>9200.0</v>
      </c>
      <c r="E150" s="8">
        <v>8525.0</v>
      </c>
      <c r="F150" s="13"/>
    </row>
    <row r="151" spans="8:8" ht="21.0" customHeight="1">
      <c r="A151" s="10"/>
      <c r="B151" s="11" t="s">
        <v>22</v>
      </c>
      <c r="C151" s="9">
        <v>1.0</v>
      </c>
      <c r="D151" s="12">
        <v>9200.0</v>
      </c>
      <c r="E151" s="8">
        <v>8637.0</v>
      </c>
      <c r="F151" s="13"/>
    </row>
    <row r="152" spans="8:8" ht="21.0" customHeight="1">
      <c r="A152" s="10"/>
      <c r="B152" s="14"/>
      <c r="C152" s="15"/>
      <c r="D152" s="15"/>
      <c r="E152" s="15"/>
      <c r="F152" s="14"/>
    </row>
    <row r="153" spans="8:8" ht="21.0" customHeight="1">
      <c r="A153" s="16">
        <v>46206.0</v>
      </c>
      <c r="B153" s="6" t="s">
        <v>50</v>
      </c>
      <c r="C153" s="7" t="s">
        <v>83</v>
      </c>
      <c r="D153" s="6"/>
      <c r="E153" s="8">
        <v>710000.0</v>
      </c>
      <c r="F153" s="8">
        <v>710000.0</v>
      </c>
      <c r="G153" s="9">
        <v>0.0</v>
      </c>
      <c r="H153" s="8">
        <v>710000.0</v>
      </c>
      <c r="I153" s="8">
        <v>684000.0</v>
      </c>
      <c r="J153" s="8">
        <v>26000.0</v>
      </c>
      <c r="K153" s="9">
        <v>4.0</v>
      </c>
      <c r="L153" s="6"/>
    </row>
    <row r="154" spans="8:8" ht="21.0" customHeight="1">
      <c r="A154" s="10"/>
      <c r="B154" s="3" t="s">
        <v>17</v>
      </c>
      <c r="C154" s="4" t="s">
        <v>18</v>
      </c>
      <c r="D154" s="4" t="s">
        <v>19</v>
      </c>
      <c r="E154" s="4" t="s">
        <v>11</v>
      </c>
      <c r="F154" s="3" t="s">
        <v>20</v>
      </c>
    </row>
    <row r="155" spans="8:8" ht="21.0" customHeight="1">
      <c r="A155" s="10"/>
      <c r="B155" s="11" t="s">
        <v>31</v>
      </c>
      <c r="C155" s="9">
        <v>40.0</v>
      </c>
      <c r="D155" s="12">
        <v>17750.0</v>
      </c>
      <c r="E155" s="8">
        <v>684000.0</v>
      </c>
      <c r="F155" s="13"/>
    </row>
    <row r="156" spans="8:8" ht="21.0" customHeight="1">
      <c r="A156" s="10"/>
      <c r="B156" s="14"/>
      <c r="C156" s="15"/>
      <c r="D156" s="15"/>
      <c r="E156" s="15"/>
      <c r="F156" s="14"/>
    </row>
    <row r="157" spans="8:8" ht="21.0" customHeight="1">
      <c r="A157" s="16">
        <v>46206.0</v>
      </c>
      <c r="B157" s="6" t="s">
        <v>75</v>
      </c>
      <c r="C157" s="7" t="s">
        <v>84</v>
      </c>
      <c r="D157" s="6"/>
      <c r="E157" s="8">
        <v>7500.0</v>
      </c>
      <c r="F157" s="9">
        <v>0.0</v>
      </c>
      <c r="G157" s="8">
        <v>7500.0</v>
      </c>
      <c r="H157" s="8">
        <v>7500.0</v>
      </c>
      <c r="I157" s="8">
        <v>7500.0</v>
      </c>
      <c r="J157" s="9">
        <v>0.0</v>
      </c>
      <c r="K157" s="9">
        <v>0.0</v>
      </c>
      <c r="L157" s="6"/>
    </row>
    <row r="158" spans="8:8" ht="21.0" customHeight="1">
      <c r="A158" s="10"/>
      <c r="B158" s="3" t="s">
        <v>17</v>
      </c>
      <c r="C158" s="4" t="s">
        <v>18</v>
      </c>
      <c r="D158" s="4" t="s">
        <v>19</v>
      </c>
      <c r="E158" s="4" t="s">
        <v>11</v>
      </c>
      <c r="F158" s="3" t="s">
        <v>20</v>
      </c>
    </row>
    <row r="159" spans="8:8" ht="21.0" customHeight="1">
      <c r="A159" s="10"/>
      <c r="B159" s="11" t="s">
        <v>38</v>
      </c>
      <c r="C159" s="9">
        <v>5.0</v>
      </c>
      <c r="D159" s="8">
        <v>1500.0</v>
      </c>
      <c r="E159" s="8">
        <v>7500.0</v>
      </c>
      <c r="F159" s="13"/>
    </row>
    <row r="160" spans="8:8" ht="21.0" customHeight="1">
      <c r="A160" s="10"/>
      <c r="B160" s="14"/>
      <c r="C160" s="15"/>
      <c r="D160" s="15"/>
      <c r="E160" s="15"/>
      <c r="F160" s="14"/>
    </row>
    <row r="161" spans="8:8" ht="21.0" customHeight="1">
      <c r="A161" s="16">
        <v>46206.0</v>
      </c>
      <c r="B161" s="6" t="s">
        <v>85</v>
      </c>
      <c r="C161" s="7" t="s">
        <v>86</v>
      </c>
      <c r="D161" s="6"/>
      <c r="E161" s="8">
        <v>89830.0</v>
      </c>
      <c r="F161" s="8">
        <v>89830.0</v>
      </c>
      <c r="G161" s="9">
        <v>0.0</v>
      </c>
      <c r="H161" s="8">
        <v>89830.0</v>
      </c>
      <c r="I161" s="8">
        <v>82513.0</v>
      </c>
      <c r="J161" s="8">
        <v>7317.0</v>
      </c>
      <c r="K161" s="9">
        <v>8.0</v>
      </c>
      <c r="L161" s="6"/>
    </row>
    <row r="162" spans="8:8" ht="21.0" customHeight="1">
      <c r="A162" s="10"/>
      <c r="B162" s="3" t="s">
        <v>17</v>
      </c>
      <c r="C162" s="4" t="s">
        <v>18</v>
      </c>
      <c r="D162" s="4" t="s">
        <v>19</v>
      </c>
      <c r="E162" s="4" t="s">
        <v>11</v>
      </c>
      <c r="F162" s="3" t="s">
        <v>20</v>
      </c>
    </row>
    <row r="163" spans="8:8" ht="21.0" customHeight="1">
      <c r="A163" s="10"/>
      <c r="B163" s="11" t="s">
        <v>87</v>
      </c>
      <c r="C163" s="9">
        <v>2.0</v>
      </c>
      <c r="D163" s="18">
        <v>22565.0</v>
      </c>
      <c r="E163" s="8">
        <v>40880.0</v>
      </c>
      <c r="F163" s="13"/>
    </row>
    <row r="164" spans="8:8" ht="21.0" customHeight="1">
      <c r="A164" s="10"/>
      <c r="B164" s="11" t="s">
        <v>45</v>
      </c>
      <c r="C164" s="9">
        <v>2.0</v>
      </c>
      <c r="D164" s="12">
        <v>13950.0</v>
      </c>
      <c r="E164" s="8">
        <v>25496.0</v>
      </c>
      <c r="F164" s="13"/>
    </row>
    <row r="165" spans="8:8" ht="21.0" customHeight="1">
      <c r="A165" s="10"/>
      <c r="B165" s="11" t="s">
        <v>22</v>
      </c>
      <c r="C165" s="9">
        <v>1.0</v>
      </c>
      <c r="D165" s="12">
        <v>9300.0</v>
      </c>
      <c r="E165" s="8">
        <v>8637.0</v>
      </c>
      <c r="F165" s="13"/>
    </row>
    <row r="166" spans="8:8" ht="21.0" customHeight="1">
      <c r="A166" s="10"/>
      <c r="B166" s="11" t="s">
        <v>38</v>
      </c>
      <c r="C166" s="9">
        <v>5.0</v>
      </c>
      <c r="D166" s="8">
        <v>1500.0</v>
      </c>
      <c r="E166" s="8">
        <v>7500.0</v>
      </c>
      <c r="F166" s="13"/>
    </row>
    <row r="167" spans="8:8" ht="21.0" customHeight="1">
      <c r="A167" s="10"/>
      <c r="B167" s="14"/>
      <c r="C167" s="15"/>
      <c r="D167" s="15"/>
      <c r="E167" s="15"/>
      <c r="F167" s="14"/>
    </row>
    <row r="168" spans="8:8" ht="21.0" customHeight="1">
      <c r="A168" s="16">
        <v>46206.0</v>
      </c>
      <c r="B168" s="6" t="s">
        <v>50</v>
      </c>
      <c r="C168" s="7" t="s">
        <v>88</v>
      </c>
      <c r="D168" s="6"/>
      <c r="E168" s="8">
        <v>516000.0</v>
      </c>
      <c r="F168" s="8">
        <v>516000.0</v>
      </c>
      <c r="G168" s="9">
        <v>0.0</v>
      </c>
      <c r="H168" s="8">
        <v>516000.0</v>
      </c>
      <c r="I168" s="8">
        <v>513000.0</v>
      </c>
      <c r="J168" s="8">
        <v>3000.0</v>
      </c>
      <c r="K168" s="9">
        <v>1.0</v>
      </c>
      <c r="L168" s="6"/>
    </row>
    <row r="169" spans="8:8" ht="21.0" customHeight="1">
      <c r="A169" s="10"/>
      <c r="B169" s="3" t="s">
        <v>17</v>
      </c>
      <c r="C169" s="4" t="s">
        <v>18</v>
      </c>
      <c r="D169" s="4" t="s">
        <v>19</v>
      </c>
      <c r="E169" s="4" t="s">
        <v>11</v>
      </c>
      <c r="F169" s="3" t="s">
        <v>20</v>
      </c>
    </row>
    <row r="170" spans="8:8" ht="21.0" customHeight="1">
      <c r="A170" s="10"/>
      <c r="B170" s="11" t="s">
        <v>31</v>
      </c>
      <c r="C170" s="9">
        <v>30.0</v>
      </c>
      <c r="D170" s="12">
        <v>17200.0</v>
      </c>
      <c r="E170" s="8">
        <v>513000.0</v>
      </c>
      <c r="F170" s="13"/>
    </row>
    <row r="171" spans="8:8" ht="21.0" customHeight="1">
      <c r="A171" s="10"/>
      <c r="B171" s="14"/>
      <c r="C171" s="15"/>
      <c r="D171" s="15"/>
      <c r="E171" s="15"/>
      <c r="F171" s="14"/>
    </row>
    <row r="172" spans="8:8" ht="21.0" customHeight="1">
      <c r="A172" s="5">
        <v>46207.0</v>
      </c>
      <c r="B172" s="6" t="s">
        <v>15</v>
      </c>
      <c r="C172" s="7" t="s">
        <v>89</v>
      </c>
      <c r="D172" s="6"/>
      <c r="E172" s="8">
        <v>27000.0</v>
      </c>
      <c r="F172" s="8">
        <v>27000.0</v>
      </c>
      <c r="G172" s="9">
        <v>0.0</v>
      </c>
      <c r="H172" s="8">
        <v>27000.0</v>
      </c>
      <c r="I172" s="8">
        <v>24366.0</v>
      </c>
      <c r="J172" s="8">
        <v>2634.0</v>
      </c>
      <c r="K172" s="9">
        <v>10.0</v>
      </c>
      <c r="L172" s="6"/>
    </row>
    <row r="173" spans="8:8" ht="21.0" customHeight="1">
      <c r="A173" s="10"/>
      <c r="B173" s="3" t="s">
        <v>17</v>
      </c>
      <c r="C173" s="4" t="s">
        <v>18</v>
      </c>
      <c r="D173" s="4" t="s">
        <v>19</v>
      </c>
      <c r="E173" s="4" t="s">
        <v>11</v>
      </c>
      <c r="F173" s="3" t="s">
        <v>20</v>
      </c>
    </row>
    <row r="174" spans="8:8" ht="21.0" customHeight="1">
      <c r="A174" s="10"/>
      <c r="B174" s="11" t="s">
        <v>21</v>
      </c>
      <c r="C174" s="9">
        <v>3.0</v>
      </c>
      <c r="D174" s="12">
        <v>9000.0</v>
      </c>
      <c r="E174" s="8">
        <v>24366.0</v>
      </c>
      <c r="F174" s="13"/>
    </row>
    <row r="175" spans="8:8" ht="21.0" customHeight="1">
      <c r="A175" s="10"/>
      <c r="B175" s="14"/>
      <c r="C175" s="15"/>
      <c r="D175" s="15"/>
      <c r="E175" s="15"/>
      <c r="F175" s="14"/>
    </row>
    <row r="176" spans="8:8" ht="21.0" customHeight="1">
      <c r="A176" s="16">
        <v>46207.0</v>
      </c>
      <c r="B176" s="6" t="s">
        <v>15</v>
      </c>
      <c r="C176" s="7" t="s">
        <v>90</v>
      </c>
      <c r="D176" s="6"/>
      <c r="E176" s="8">
        <v>150000.0</v>
      </c>
      <c r="F176" s="8">
        <v>150000.0</v>
      </c>
      <c r="G176" s="9">
        <v>0.0</v>
      </c>
      <c r="H176" s="8">
        <v>150000.0</v>
      </c>
      <c r="I176" s="8">
        <v>156000.0</v>
      </c>
      <c r="J176" s="8">
        <v>-6000.0</v>
      </c>
      <c r="K176" s="9">
        <v>-4.0</v>
      </c>
      <c r="L176" s="6"/>
    </row>
    <row r="177" spans="8:8" ht="21.0" customHeight="1">
      <c r="A177" s="10"/>
      <c r="B177" s="3" t="s">
        <v>17</v>
      </c>
      <c r="C177" s="4" t="s">
        <v>18</v>
      </c>
      <c r="D177" s="4" t="s">
        <v>19</v>
      </c>
      <c r="E177" s="4" t="s">
        <v>11</v>
      </c>
      <c r="F177" s="3" t="s">
        <v>20</v>
      </c>
    </row>
    <row r="178" spans="8:8" ht="21.0" customHeight="1">
      <c r="A178" s="10"/>
      <c r="B178" s="11" t="s">
        <v>24</v>
      </c>
      <c r="C178" s="9">
        <v>30.0</v>
      </c>
      <c r="D178" s="12">
        <v>5000.0</v>
      </c>
      <c r="E178" s="8">
        <v>156000.0</v>
      </c>
      <c r="F178" s="13"/>
    </row>
    <row r="179" spans="8:8" ht="21.0" customHeight="1">
      <c r="A179" s="10"/>
      <c r="B179" s="14"/>
      <c r="C179" s="15"/>
      <c r="D179" s="15"/>
      <c r="E179" s="15"/>
      <c r="F179" s="14"/>
    </row>
    <row r="180" spans="8:8" ht="21.0" customHeight="1">
      <c r="A180" s="16">
        <v>46207.0</v>
      </c>
      <c r="B180" s="6" t="s">
        <v>50</v>
      </c>
      <c r="C180" s="7" t="s">
        <v>91</v>
      </c>
      <c r="D180" s="6"/>
      <c r="E180" s="8">
        <v>1326000.0</v>
      </c>
      <c r="F180" s="8">
        <v>485750.0</v>
      </c>
      <c r="G180" s="8">
        <v>840250.0</v>
      </c>
      <c r="H180" s="8">
        <v>1326000.0</v>
      </c>
      <c r="I180" s="8">
        <v>1375100.0</v>
      </c>
      <c r="J180" s="8">
        <v>-49100.0</v>
      </c>
      <c r="K180" s="9">
        <v>-4.0</v>
      </c>
      <c r="L180" s="6"/>
    </row>
    <row r="181" spans="8:8" ht="21.0" customHeight="1">
      <c r="A181" s="10"/>
      <c r="B181" s="3" t="s">
        <v>17</v>
      </c>
      <c r="C181" s="4" t="s">
        <v>18</v>
      </c>
      <c r="D181" s="4" t="s">
        <v>19</v>
      </c>
      <c r="E181" s="4" t="s">
        <v>11</v>
      </c>
      <c r="F181" s="3" t="s">
        <v>20</v>
      </c>
    </row>
    <row r="182" spans="8:8" ht="21.0" customHeight="1">
      <c r="A182" s="10"/>
      <c r="B182" s="11" t="s">
        <v>24</v>
      </c>
      <c r="C182" s="9">
        <v>248.0</v>
      </c>
      <c r="D182" s="12">
        <v>5000.0</v>
      </c>
      <c r="E182" s="8">
        <v>1289600.0</v>
      </c>
      <c r="F182" s="13"/>
    </row>
    <row r="183" spans="8:8" ht="21.0" customHeight="1">
      <c r="A183" s="10"/>
      <c r="B183" s="11" t="s">
        <v>31</v>
      </c>
      <c r="C183" s="9">
        <v>5.0</v>
      </c>
      <c r="D183" s="12">
        <v>17200.0</v>
      </c>
      <c r="E183" s="8">
        <v>85500.0</v>
      </c>
      <c r="F183" s="13"/>
    </row>
    <row r="184" spans="8:8" ht="21.0" customHeight="1">
      <c r="A184" s="10"/>
      <c r="B184" s="14"/>
      <c r="C184" s="15"/>
      <c r="D184" s="15"/>
      <c r="E184" s="15"/>
      <c r="F184" s="14"/>
    </row>
    <row r="185" spans="8:8" ht="21.0" customHeight="1">
      <c r="A185" s="16">
        <v>46207.0</v>
      </c>
      <c r="B185" s="6" t="s">
        <v>50</v>
      </c>
      <c r="C185" s="7" t="s">
        <v>92</v>
      </c>
      <c r="D185" s="6"/>
      <c r="E185" s="8">
        <v>842250.0</v>
      </c>
      <c r="F185" s="8">
        <v>842250.0</v>
      </c>
      <c r="G185" s="9">
        <v>0.0</v>
      </c>
      <c r="H185" s="8">
        <v>842250.0</v>
      </c>
      <c r="I185" s="8">
        <v>857292.0</v>
      </c>
      <c r="J185" s="8">
        <v>-15042.0</v>
      </c>
      <c r="K185" s="9">
        <v>-2.0</v>
      </c>
      <c r="L185" s="6"/>
    </row>
    <row r="186" spans="8:8" ht="21.0" customHeight="1">
      <c r="A186" s="10"/>
      <c r="B186" s="3" t="s">
        <v>17</v>
      </c>
      <c r="C186" s="4" t="s">
        <v>18</v>
      </c>
      <c r="D186" s="4" t="s">
        <v>19</v>
      </c>
      <c r="E186" s="4" t="s">
        <v>11</v>
      </c>
      <c r="F186" s="3" t="s">
        <v>20</v>
      </c>
    </row>
    <row r="187" spans="8:8" ht="21.0" customHeight="1">
      <c r="A187" s="10"/>
      <c r="B187" s="11" t="s">
        <v>93</v>
      </c>
      <c r="C187" s="9">
        <v>5.0</v>
      </c>
      <c r="D187" s="12">
        <v>11230.0</v>
      </c>
      <c r="E187" s="8">
        <v>55650.0</v>
      </c>
      <c r="F187" s="13"/>
    </row>
    <row r="188" spans="8:8" ht="21.0" customHeight="1">
      <c r="A188" s="10"/>
      <c r="B188" s="11" t="s">
        <v>31</v>
      </c>
      <c r="C188" s="9">
        <v>5.0</v>
      </c>
      <c r="D188" s="12">
        <v>17200.0</v>
      </c>
      <c r="E188" s="8">
        <v>85500.0</v>
      </c>
      <c r="F188" s="13"/>
    </row>
    <row r="189" spans="8:8" ht="21.0" customHeight="1">
      <c r="A189" s="10"/>
      <c r="B189" s="11" t="s">
        <v>33</v>
      </c>
      <c r="C189" s="9">
        <v>20.0</v>
      </c>
      <c r="D189" s="12">
        <v>15655.0</v>
      </c>
      <c r="E189" s="8">
        <v>311100.0</v>
      </c>
      <c r="F189" s="13"/>
    </row>
    <row r="190" spans="8:8" ht="21.0" customHeight="1">
      <c r="A190" s="10"/>
      <c r="B190" s="11" t="s">
        <v>28</v>
      </c>
      <c r="C190" s="9">
        <v>30.0</v>
      </c>
      <c r="D190" s="12">
        <v>12900.0</v>
      </c>
      <c r="E190" s="8">
        <v>405042.0</v>
      </c>
      <c r="F190" s="13"/>
    </row>
    <row r="191" spans="8:8" ht="21.0" customHeight="1">
      <c r="A191" s="10"/>
      <c r="B191" s="14"/>
      <c r="C191" s="15"/>
      <c r="D191" s="15"/>
      <c r="E191" s="15"/>
      <c r="F191" s="14"/>
    </row>
    <row r="192" spans="8:8" ht="21.0" customHeight="1">
      <c r="A192" s="16">
        <v>46207.0</v>
      </c>
      <c r="B192" s="6" t="s">
        <v>25</v>
      </c>
      <c r="C192" s="7" t="s">
        <v>94</v>
      </c>
      <c r="D192" s="6"/>
      <c r="E192" s="8">
        <v>495000.0</v>
      </c>
      <c r="F192" s="8">
        <v>495000.0</v>
      </c>
      <c r="G192" s="9">
        <v>0.0</v>
      </c>
      <c r="H192" s="8">
        <v>495000.0</v>
      </c>
      <c r="I192" s="8">
        <v>486094.0</v>
      </c>
      <c r="J192" s="8">
        <v>8906.0</v>
      </c>
      <c r="K192" s="9">
        <v>2.0</v>
      </c>
      <c r="L192" s="6"/>
    </row>
    <row r="193" spans="8:8" ht="21.0" customHeight="1">
      <c r="A193" s="10"/>
      <c r="B193" s="3" t="s">
        <v>17</v>
      </c>
      <c r="C193" s="4" t="s">
        <v>18</v>
      </c>
      <c r="D193" s="4" t="s">
        <v>19</v>
      </c>
      <c r="E193" s="4" t="s">
        <v>11</v>
      </c>
      <c r="F193" s="3" t="s">
        <v>20</v>
      </c>
    </row>
    <row r="194" spans="8:8" ht="21.0" customHeight="1">
      <c r="A194" s="10"/>
      <c r="B194" s="11" t="s">
        <v>21</v>
      </c>
      <c r="C194" s="9">
        <v>50.0</v>
      </c>
      <c r="D194" s="12">
        <v>8300.0</v>
      </c>
      <c r="E194" s="8">
        <v>406094.0</v>
      </c>
      <c r="F194" s="13"/>
    </row>
    <row r="195" spans="8:8" ht="21.0" customHeight="1">
      <c r="A195" s="10"/>
      <c r="B195" s="11" t="s">
        <v>48</v>
      </c>
      <c r="C195" s="9">
        <v>50.0</v>
      </c>
      <c r="D195" s="8">
        <v>1600.0</v>
      </c>
      <c r="E195" s="8">
        <v>80000.0</v>
      </c>
      <c r="F195" s="13"/>
    </row>
    <row r="196" spans="8:8" ht="21.0" customHeight="1">
      <c r="A196" s="10"/>
      <c r="B196" s="14"/>
      <c r="C196" s="15"/>
      <c r="D196" s="15"/>
      <c r="E196" s="15"/>
      <c r="F196" s="14"/>
    </row>
    <row r="197" spans="8:8" ht="21.0" customHeight="1">
      <c r="A197" s="16">
        <v>46207.0</v>
      </c>
      <c r="B197" s="6" t="s">
        <v>95</v>
      </c>
      <c r="C197" s="7" t="s">
        <v>96</v>
      </c>
      <c r="D197" s="6"/>
      <c r="E197" s="8">
        <v>40380.0</v>
      </c>
      <c r="F197" s="8">
        <v>40380.0</v>
      </c>
      <c r="G197" s="9">
        <v>0.0</v>
      </c>
      <c r="H197" s="8">
        <v>40380.0</v>
      </c>
      <c r="I197" s="8">
        <v>38565.0</v>
      </c>
      <c r="J197" s="8">
        <v>1815.0</v>
      </c>
      <c r="K197" s="9">
        <v>4.0</v>
      </c>
      <c r="L197" s="6"/>
    </row>
    <row r="198" spans="8:8" ht="21.0" customHeight="1">
      <c r="A198" s="10"/>
      <c r="B198" s="3" t="s">
        <v>17</v>
      </c>
      <c r="C198" s="4" t="s">
        <v>18</v>
      </c>
      <c r="D198" s="4" t="s">
        <v>19</v>
      </c>
      <c r="E198" s="4" t="s">
        <v>11</v>
      </c>
      <c r="F198" s="3" t="s">
        <v>20</v>
      </c>
    </row>
    <row r="199" spans="8:8" ht="21.0" customHeight="1">
      <c r="A199" s="10"/>
      <c r="B199" s="11" t="s">
        <v>70</v>
      </c>
      <c r="C199" s="9">
        <v>3.0</v>
      </c>
      <c r="D199" s="12">
        <v>13460.0</v>
      </c>
      <c r="E199" s="8">
        <v>38565.0</v>
      </c>
      <c r="F199" s="13"/>
    </row>
    <row r="200" spans="8:8" ht="21.0" customHeight="1">
      <c r="A200" s="10"/>
      <c r="B200" s="14"/>
      <c r="C200" s="15"/>
      <c r="D200" s="15"/>
      <c r="E200" s="15"/>
      <c r="F200" s="14"/>
    </row>
    <row r="201" spans="8:8" ht="21.0" customHeight="1">
      <c r="A201" s="16">
        <v>46207.0</v>
      </c>
      <c r="B201" s="6" t="s">
        <v>97</v>
      </c>
      <c r="C201" s="7" t="s">
        <v>98</v>
      </c>
      <c r="D201" s="6"/>
      <c r="E201" s="8">
        <v>4939800.0</v>
      </c>
      <c r="F201" s="8">
        <v>4939800.0</v>
      </c>
      <c r="G201" s="9">
        <v>0.0</v>
      </c>
      <c r="H201" s="8">
        <v>4939800.0</v>
      </c>
      <c r="I201" s="8">
        <v>4915226.0</v>
      </c>
      <c r="J201" s="8">
        <v>24574.0</v>
      </c>
      <c r="K201" s="9">
        <v>0.0</v>
      </c>
      <c r="L201" s="6" t="s">
        <v>99</v>
      </c>
    </row>
    <row r="202" spans="8:8" ht="21.0" customHeight="1">
      <c r="A202" s="10"/>
      <c r="B202" s="3" t="s">
        <v>17</v>
      </c>
      <c r="C202" s="4" t="s">
        <v>18</v>
      </c>
      <c r="D202" s="4" t="s">
        <v>19</v>
      </c>
      <c r="E202" s="4" t="s">
        <v>11</v>
      </c>
      <c r="F202" s="3" t="s">
        <v>20</v>
      </c>
    </row>
    <row r="203" spans="8:8" ht="21.0" customHeight="1">
      <c r="A203" s="10"/>
      <c r="B203" s="11" t="s">
        <v>45</v>
      </c>
      <c r="C203" s="9">
        <v>300.0</v>
      </c>
      <c r="D203" s="12">
        <v>12830.0</v>
      </c>
      <c r="E203" s="8">
        <v>3824426.0</v>
      </c>
      <c r="F203" s="13"/>
    </row>
    <row r="204" spans="8:8" ht="21.0" customHeight="1">
      <c r="A204" s="10"/>
      <c r="B204" s="11" t="s">
        <v>100</v>
      </c>
      <c r="C204" s="9">
        <v>40.0</v>
      </c>
      <c r="D204" s="12">
        <v>10915.0</v>
      </c>
      <c r="E204" s="8">
        <v>436600.0</v>
      </c>
      <c r="F204" s="13"/>
    </row>
    <row r="205" spans="8:8" ht="21.0" customHeight="1">
      <c r="A205" s="10"/>
      <c r="B205" s="11" t="s">
        <v>101</v>
      </c>
      <c r="C205" s="9">
        <v>10.0</v>
      </c>
      <c r="D205" s="12">
        <v>12920.0</v>
      </c>
      <c r="E205" s="8">
        <v>129200.0</v>
      </c>
      <c r="F205" s="13"/>
    </row>
    <row r="206" spans="8:8" ht="21.0" customHeight="1">
      <c r="A206" s="10"/>
      <c r="B206" s="11" t="s">
        <v>38</v>
      </c>
      <c r="C206" s="9">
        <v>350.0</v>
      </c>
      <c r="D206" s="8">
        <v>1500.0</v>
      </c>
      <c r="E206" s="8">
        <v>525000.0</v>
      </c>
      <c r="F206" s="13"/>
    </row>
    <row r="207" spans="8:8" ht="21.0" customHeight="1">
      <c r="A207" s="10"/>
      <c r="B207" s="14"/>
      <c r="C207" s="15"/>
      <c r="D207" s="15"/>
      <c r="E207" s="15"/>
      <c r="F207" s="14"/>
    </row>
    <row r="208" spans="8:8" ht="21.0" customHeight="1">
      <c r="A208" s="16">
        <v>46207.0</v>
      </c>
      <c r="B208" s="6" t="s">
        <v>102</v>
      </c>
      <c r="C208" s="7" t="s">
        <v>103</v>
      </c>
      <c r="D208" s="6"/>
      <c r="E208" s="8">
        <v>9500.0</v>
      </c>
      <c r="F208" s="8">
        <v>9500.0</v>
      </c>
      <c r="G208" s="9">
        <v>0.0</v>
      </c>
      <c r="H208" s="8">
        <v>9500.0</v>
      </c>
      <c r="I208" s="8">
        <v>8637.0</v>
      </c>
      <c r="J208" s="9">
        <v>863.0</v>
      </c>
      <c r="K208" s="9">
        <v>9.0</v>
      </c>
      <c r="L208" s="6"/>
    </row>
    <row r="209" spans="8:8" ht="21.0" customHeight="1">
      <c r="A209" s="10"/>
      <c r="B209" s="3" t="s">
        <v>17</v>
      </c>
      <c r="C209" s="4" t="s">
        <v>18</v>
      </c>
      <c r="D209" s="4" t="s">
        <v>19</v>
      </c>
      <c r="E209" s="4" t="s">
        <v>11</v>
      </c>
      <c r="F209" s="3" t="s">
        <v>20</v>
      </c>
    </row>
    <row r="210" spans="8:8" ht="21.0" customHeight="1">
      <c r="A210" s="10"/>
      <c r="B210" s="11" t="s">
        <v>22</v>
      </c>
      <c r="C210" s="9">
        <v>1.0</v>
      </c>
      <c r="D210" s="12">
        <v>9500.0</v>
      </c>
      <c r="E210" s="8">
        <v>8637.0</v>
      </c>
      <c r="F210" s="13"/>
    </row>
    <row r="211" spans="8:8" ht="21.0" customHeight="1">
      <c r="A211" s="10"/>
      <c r="B211" s="14"/>
      <c r="C211" s="15"/>
      <c r="D211" s="15"/>
      <c r="E211" s="15"/>
      <c r="F211" s="14"/>
    </row>
    <row r="212" spans="8:8" ht="21.0" customHeight="1">
      <c r="A212" s="16">
        <v>46207.0</v>
      </c>
      <c r="B212" s="6" t="s">
        <v>104</v>
      </c>
      <c r="C212" s="7" t="s">
        <v>105</v>
      </c>
      <c r="D212" s="6"/>
      <c r="E212" s="8">
        <v>44340.0</v>
      </c>
      <c r="F212" s="8">
        <v>44340.0</v>
      </c>
      <c r="G212" s="9">
        <v>0.0</v>
      </c>
      <c r="H212" s="8">
        <v>44340.0</v>
      </c>
      <c r="I212" s="8">
        <v>43100.0</v>
      </c>
      <c r="J212" s="8">
        <v>1240.0</v>
      </c>
      <c r="K212" s="9">
        <v>3.0</v>
      </c>
      <c r="L212" s="6"/>
    </row>
    <row r="213" spans="8:8" ht="21.0" customHeight="1">
      <c r="A213" s="10"/>
      <c r="B213" s="3" t="s">
        <v>17</v>
      </c>
      <c r="C213" s="4" t="s">
        <v>18</v>
      </c>
      <c r="D213" s="4" t="s">
        <v>19</v>
      </c>
      <c r="E213" s="4" t="s">
        <v>11</v>
      </c>
      <c r="F213" s="3" t="s">
        <v>20</v>
      </c>
    </row>
    <row r="214" spans="8:8" ht="21.0" customHeight="1">
      <c r="A214" s="10"/>
      <c r="B214" s="11" t="s">
        <v>24</v>
      </c>
      <c r="C214" s="9">
        <v>5.0</v>
      </c>
      <c r="D214" s="12">
        <v>5300.0</v>
      </c>
      <c r="E214" s="8">
        <v>26000.0</v>
      </c>
      <c r="F214" s="13"/>
    </row>
    <row r="215" spans="8:8" ht="21.0" customHeight="1">
      <c r="A215" s="10"/>
      <c r="B215" s="11" t="s">
        <v>31</v>
      </c>
      <c r="C215" s="9">
        <v>1.0</v>
      </c>
      <c r="D215" s="12">
        <v>17840.0</v>
      </c>
      <c r="E215" s="8">
        <v>17100.0</v>
      </c>
      <c r="F215" s="13"/>
    </row>
    <row r="216" spans="8:8" ht="21.0" customHeight="1">
      <c r="A216" s="10"/>
      <c r="B216" s="14"/>
      <c r="C216" s="15"/>
      <c r="D216" s="15"/>
      <c r="E216" s="15"/>
      <c r="F216" s="14"/>
      <c r="H216" s="19">
        <f>SUM(H172:H212)</f>
        <v>7874270.0</v>
      </c>
      <c r="I216" s="19">
        <f>SUM(I172:I212)</f>
        <v>7904380.0</v>
      </c>
      <c r="J216" s="19">
        <f>SUM(J172:J212)</f>
        <v>-30110.0</v>
      </c>
    </row>
    <row r="217" spans="8:8" ht="21.0" customHeight="1">
      <c r="A217" s="5">
        <v>46209.0</v>
      </c>
      <c r="B217" s="6" t="s">
        <v>106</v>
      </c>
      <c r="C217" s="7" t="s">
        <v>107</v>
      </c>
      <c r="D217" s="6"/>
      <c r="E217" s="8">
        <v>2647500.0</v>
      </c>
      <c r="F217" s="8">
        <v>2647500.0</v>
      </c>
      <c r="G217" s="9">
        <v>0.0</v>
      </c>
      <c r="H217" s="8">
        <v>2647500.0</v>
      </c>
      <c r="I217" s="8">
        <v>2715050.0</v>
      </c>
      <c r="J217" s="8">
        <v>-67550.0</v>
      </c>
      <c r="K217" s="9">
        <v>-3.0</v>
      </c>
      <c r="L217" s="6"/>
    </row>
    <row r="218" spans="8:8" ht="21.0" customHeight="1">
      <c r="A218" s="10"/>
      <c r="B218" s="3" t="s">
        <v>17</v>
      </c>
      <c r="C218" s="4" t="s">
        <v>18</v>
      </c>
      <c r="D218" s="4" t="s">
        <v>19</v>
      </c>
      <c r="E218" s="4" t="s">
        <v>11</v>
      </c>
      <c r="F218" s="3" t="s">
        <v>20</v>
      </c>
    </row>
    <row r="219" spans="8:8" ht="21.0" customHeight="1">
      <c r="A219" s="10"/>
      <c r="B219" s="11" t="s">
        <v>24</v>
      </c>
      <c r="C219" s="9">
        <v>330.0</v>
      </c>
      <c r="D219" s="8">
        <v>4950.0</v>
      </c>
      <c r="E219" s="8">
        <v>1716000.0</v>
      </c>
      <c r="F219" s="13"/>
    </row>
    <row r="220" spans="8:8" ht="21.0" customHeight="1">
      <c r="A220" s="10"/>
      <c r="B220" s="11" t="s">
        <v>27</v>
      </c>
      <c r="C220" s="9">
        <v>130.0</v>
      </c>
      <c r="D220" s="8">
        <v>7800.0</v>
      </c>
      <c r="E220" s="8">
        <v>999050.0</v>
      </c>
      <c r="F220" s="13"/>
    </row>
    <row r="221" spans="8:8" ht="21.0" customHeight="1">
      <c r="A221" s="10"/>
      <c r="B221" s="14"/>
      <c r="C221" s="15"/>
      <c r="D221" s="15"/>
      <c r="E221" s="15"/>
      <c r="F221" s="14"/>
    </row>
    <row r="222" spans="8:8" ht="21.0" customHeight="1">
      <c r="A222" s="16">
        <v>46209.0</v>
      </c>
      <c r="B222" s="6" t="s">
        <v>25</v>
      </c>
      <c r="C222" s="7" t="s">
        <v>108</v>
      </c>
      <c r="D222" s="6"/>
      <c r="E222" s="8">
        <v>890100.0</v>
      </c>
      <c r="F222" s="8">
        <v>890100.0</v>
      </c>
      <c r="G222" s="9">
        <v>0.0</v>
      </c>
      <c r="H222" s="8">
        <v>890100.0</v>
      </c>
      <c r="I222" s="8">
        <v>854885.0</v>
      </c>
      <c r="J222" s="8">
        <v>35215.0</v>
      </c>
      <c r="K222" s="9">
        <v>4.0</v>
      </c>
      <c r="L222" s="6"/>
    </row>
    <row r="223" spans="8:8" ht="21.0" customHeight="1">
      <c r="A223" s="10"/>
      <c r="B223" s="3" t="s">
        <v>17</v>
      </c>
      <c r="C223" s="4" t="s">
        <v>18</v>
      </c>
      <c r="D223" s="4" t="s">
        <v>19</v>
      </c>
      <c r="E223" s="4" t="s">
        <v>11</v>
      </c>
      <c r="F223" s="3" t="s">
        <v>20</v>
      </c>
    </row>
    <row r="224" spans="8:8" ht="21.0" customHeight="1">
      <c r="A224" s="10"/>
      <c r="B224" s="11" t="s">
        <v>45</v>
      </c>
      <c r="C224" s="9">
        <v>60.0</v>
      </c>
      <c r="D224" s="8">
        <v>13335.0</v>
      </c>
      <c r="E224" s="8">
        <v>764885.0</v>
      </c>
      <c r="F224" s="13"/>
    </row>
    <row r="225" spans="8:8" ht="21.0" customHeight="1">
      <c r="A225" s="10"/>
      <c r="B225" s="11" t="s">
        <v>38</v>
      </c>
      <c r="C225" s="9">
        <v>60.0</v>
      </c>
      <c r="D225" s="8">
        <v>1500.0</v>
      </c>
      <c r="E225" s="8">
        <v>90000.0</v>
      </c>
      <c r="F225" s="13"/>
    </row>
    <row r="226" spans="8:8" ht="21.0" customHeight="1">
      <c r="A226" s="10"/>
      <c r="B226" s="14"/>
      <c r="C226" s="15"/>
      <c r="D226" s="15"/>
      <c r="E226" s="15"/>
      <c r="F226" s="14"/>
    </row>
    <row r="227" spans="8:8" ht="21.0" customHeight="1">
      <c r="A227" s="16">
        <v>46209.0</v>
      </c>
      <c r="B227" s="6" t="s">
        <v>109</v>
      </c>
      <c r="C227" s="7" t="s">
        <v>110</v>
      </c>
      <c r="D227" s="6"/>
      <c r="E227" s="8">
        <v>18300.0</v>
      </c>
      <c r="F227" s="8">
        <v>18300.0</v>
      </c>
      <c r="G227" s="9">
        <v>0.0</v>
      </c>
      <c r="H227" s="8">
        <v>18300.0</v>
      </c>
      <c r="I227" s="8">
        <v>17150.0</v>
      </c>
      <c r="J227" s="8">
        <v>1150.0</v>
      </c>
      <c r="K227" s="9">
        <v>6.0</v>
      </c>
      <c r="L227" s="6"/>
    </row>
    <row r="228" spans="8:8" ht="21.0" customHeight="1">
      <c r="A228" s="10"/>
      <c r="B228" s="3" t="s">
        <v>17</v>
      </c>
      <c r="C228" s="4" t="s">
        <v>18</v>
      </c>
      <c r="D228" s="4" t="s">
        <v>19</v>
      </c>
      <c r="E228" s="4" t="s">
        <v>11</v>
      </c>
      <c r="F228" s="3" t="s">
        <v>20</v>
      </c>
    </row>
    <row r="229" spans="8:8" ht="21.0" customHeight="1">
      <c r="A229" s="10"/>
      <c r="B229" s="11" t="s">
        <v>43</v>
      </c>
      <c r="C229" s="9">
        <v>1.0</v>
      </c>
      <c r="D229" s="8">
        <v>18300.0</v>
      </c>
      <c r="E229" s="8">
        <v>17150.0</v>
      </c>
      <c r="F229" s="13"/>
    </row>
    <row r="230" spans="8:8" ht="21.0" customHeight="1">
      <c r="A230" s="10"/>
      <c r="B230" s="14"/>
      <c r="C230" s="15"/>
      <c r="D230" s="15"/>
      <c r="E230" s="15"/>
      <c r="F230" s="14"/>
    </row>
    <row r="231" spans="8:8" ht="21.0" customHeight="1">
      <c r="A231" s="16">
        <v>46209.0</v>
      </c>
      <c r="B231" s="6" t="s">
        <v>25</v>
      </c>
      <c r="C231" s="7" t="s">
        <v>111</v>
      </c>
      <c r="D231" s="6"/>
      <c r="E231" s="8">
        <v>968400.0</v>
      </c>
      <c r="F231" s="8">
        <v>165017.0</v>
      </c>
      <c r="G231" s="8">
        <v>803383.0</v>
      </c>
      <c r="H231" s="8">
        <v>968400.0</v>
      </c>
      <c r="I231" s="8">
        <v>933561.0</v>
      </c>
      <c r="J231" s="8">
        <v>34839.0</v>
      </c>
      <c r="K231" s="9">
        <v>4.0</v>
      </c>
      <c r="L231" s="6"/>
    </row>
    <row r="232" spans="8:8" ht="21.0" customHeight="1">
      <c r="A232" s="10"/>
      <c r="B232" s="3" t="s">
        <v>17</v>
      </c>
      <c r="C232" s="4" t="s">
        <v>18</v>
      </c>
      <c r="D232" s="4" t="s">
        <v>19</v>
      </c>
      <c r="E232" s="4" t="s">
        <v>11</v>
      </c>
      <c r="F232" s="3" t="s">
        <v>20</v>
      </c>
    </row>
    <row r="233" spans="8:8" ht="21.0" customHeight="1">
      <c r="A233" s="10"/>
      <c r="B233" s="11" t="s">
        <v>44</v>
      </c>
      <c r="C233" s="9">
        <v>30.0</v>
      </c>
      <c r="D233" s="8">
        <v>9200.0</v>
      </c>
      <c r="E233" s="8">
        <v>269700.0</v>
      </c>
      <c r="F233" s="13"/>
    </row>
    <row r="234" spans="8:8" ht="21.0" customHeight="1">
      <c r="A234" s="10"/>
      <c r="B234" s="11" t="s">
        <v>22</v>
      </c>
      <c r="C234" s="9">
        <v>30.0</v>
      </c>
      <c r="D234" s="8">
        <v>9200.0</v>
      </c>
      <c r="E234" s="8">
        <v>259123.0</v>
      </c>
      <c r="F234" s="13"/>
    </row>
    <row r="235" spans="8:8" ht="21.0" customHeight="1">
      <c r="A235" s="10"/>
      <c r="B235" s="11" t="s">
        <v>21</v>
      </c>
      <c r="C235" s="9">
        <v>20.0</v>
      </c>
      <c r="D235" s="8">
        <v>8300.0</v>
      </c>
      <c r="E235" s="8">
        <v>162438.0</v>
      </c>
      <c r="F235" s="13"/>
    </row>
    <row r="236" spans="8:8" ht="21.0" customHeight="1">
      <c r="A236" s="10"/>
      <c r="B236" s="11" t="s">
        <v>37</v>
      </c>
      <c r="C236" s="9">
        <v>12.0</v>
      </c>
      <c r="D236" s="8">
        <v>9200.0</v>
      </c>
      <c r="E236" s="8">
        <v>102300.0</v>
      </c>
      <c r="F236" s="13"/>
    </row>
    <row r="237" spans="8:8" ht="21.0" customHeight="1">
      <c r="A237" s="10"/>
      <c r="B237" s="11" t="s">
        <v>38</v>
      </c>
      <c r="C237" s="9">
        <v>72.0</v>
      </c>
      <c r="D237" s="8">
        <v>1500.0</v>
      </c>
      <c r="E237" s="8">
        <v>108000.0</v>
      </c>
      <c r="F237" s="13"/>
    </row>
    <row r="238" spans="8:8" ht="21.0" customHeight="1">
      <c r="A238" s="10"/>
      <c r="B238" s="11" t="s">
        <v>48</v>
      </c>
      <c r="C238" s="9">
        <v>20.0</v>
      </c>
      <c r="D238" s="8">
        <v>1600.0</v>
      </c>
      <c r="E238" s="8">
        <v>32000.0</v>
      </c>
      <c r="F238" s="13"/>
    </row>
    <row r="239" spans="8:8" ht="21.0" customHeight="1">
      <c r="A239" s="10"/>
      <c r="B239" s="14"/>
      <c r="C239" s="15"/>
      <c r="D239" s="15"/>
      <c r="E239" s="15"/>
      <c r="F239" s="14"/>
    </row>
    <row r="240" spans="8:8" ht="21.0" customHeight="1">
      <c r="A240" s="16">
        <v>46209.0</v>
      </c>
      <c r="B240" s="6" t="s">
        <v>29</v>
      </c>
      <c r="C240" s="7" t="s">
        <v>112</v>
      </c>
      <c r="D240" s="6"/>
      <c r="E240" s="8">
        <v>358030.0</v>
      </c>
      <c r="F240" s="8">
        <v>358030.0</v>
      </c>
      <c r="G240" s="9">
        <v>0.0</v>
      </c>
      <c r="H240" s="8">
        <v>358030.0</v>
      </c>
      <c r="I240" s="8">
        <v>348817.0</v>
      </c>
      <c r="J240" s="8">
        <v>9213.0</v>
      </c>
      <c r="K240" s="9">
        <v>3.0</v>
      </c>
      <c r="L240" s="6"/>
    </row>
    <row r="241" spans="8:8" ht="21.0" customHeight="1">
      <c r="A241" s="10"/>
      <c r="B241" s="3" t="s">
        <v>17</v>
      </c>
      <c r="C241" s="4" t="s">
        <v>18</v>
      </c>
      <c r="D241" s="4" t="s">
        <v>19</v>
      </c>
      <c r="E241" s="4" t="s">
        <v>11</v>
      </c>
      <c r="F241" s="3" t="s">
        <v>20</v>
      </c>
    </row>
    <row r="242" spans="8:8" ht="21.0" customHeight="1">
      <c r="A242" s="10"/>
      <c r="B242" s="11" t="s">
        <v>44</v>
      </c>
      <c r="C242" s="9">
        <v>21.0</v>
      </c>
      <c r="D242" s="8">
        <v>9200.0</v>
      </c>
      <c r="E242" s="8">
        <v>188790.0</v>
      </c>
      <c r="F242" s="13"/>
    </row>
    <row r="243" spans="8:8" ht="21.0" customHeight="1">
      <c r="A243" s="10"/>
      <c r="B243" s="11" t="s">
        <v>45</v>
      </c>
      <c r="C243" s="9">
        <v>7.0</v>
      </c>
      <c r="D243" s="8">
        <v>13335.0</v>
      </c>
      <c r="E243" s="8">
        <v>89237.0</v>
      </c>
      <c r="F243" s="13"/>
    </row>
    <row r="244" spans="8:8" ht="21.0" customHeight="1">
      <c r="A244" s="10"/>
      <c r="B244" s="11" t="s">
        <v>65</v>
      </c>
      <c r="C244" s="9">
        <v>1.0</v>
      </c>
      <c r="D244" s="8">
        <v>11910.0</v>
      </c>
      <c r="E244" s="8">
        <v>11315.0</v>
      </c>
      <c r="F244" s="13"/>
    </row>
    <row r="245" spans="8:8" ht="21.0" customHeight="1">
      <c r="A245" s="10"/>
      <c r="B245" s="11" t="s">
        <v>113</v>
      </c>
      <c r="C245" s="9">
        <v>1.0</v>
      </c>
      <c r="D245" s="8">
        <v>14575.0</v>
      </c>
      <c r="E245" s="8">
        <v>14475.0</v>
      </c>
      <c r="F245" s="13"/>
    </row>
    <row r="246" spans="8:8" ht="21.0" customHeight="1">
      <c r="A246" s="10"/>
      <c r="B246" s="11" t="s">
        <v>38</v>
      </c>
      <c r="C246" s="9">
        <v>30.0</v>
      </c>
      <c r="D246" s="8">
        <v>1500.0</v>
      </c>
      <c r="E246" s="8">
        <v>45000.0</v>
      </c>
      <c r="F246" s="13"/>
    </row>
    <row r="247" spans="8:8" ht="21.0" customHeight="1">
      <c r="A247" s="10"/>
      <c r="B247" s="14"/>
      <c r="C247" s="15"/>
      <c r="D247" s="15"/>
      <c r="E247" s="15"/>
      <c r="F247" s="14"/>
    </row>
    <row r="248" spans="8:8" ht="21.0" customHeight="1">
      <c r="A248" s="16">
        <v>46209.0</v>
      </c>
      <c r="B248" s="6" t="s">
        <v>40</v>
      </c>
      <c r="C248" s="7" t="s">
        <v>114</v>
      </c>
      <c r="D248" s="6"/>
      <c r="E248" s="8">
        <v>34400.0</v>
      </c>
      <c r="F248" s="8">
        <v>34400.0</v>
      </c>
      <c r="G248" s="9">
        <v>0.0</v>
      </c>
      <c r="H248" s="8">
        <v>34400.0</v>
      </c>
      <c r="I248" s="8">
        <v>34550.0</v>
      </c>
      <c r="J248" s="9">
        <v>-150.0</v>
      </c>
      <c r="K248" s="9">
        <v>0.0</v>
      </c>
      <c r="L248" s="6"/>
    </row>
    <row r="249" spans="8:8" ht="21.0" customHeight="1">
      <c r="A249" s="10"/>
      <c r="B249" s="3" t="s">
        <v>17</v>
      </c>
      <c r="C249" s="4" t="s">
        <v>18</v>
      </c>
      <c r="D249" s="4" t="s">
        <v>19</v>
      </c>
      <c r="E249" s="4" t="s">
        <v>11</v>
      </c>
      <c r="F249" s="3" t="s">
        <v>20</v>
      </c>
    </row>
    <row r="250" spans="8:8" ht="21.0" customHeight="1">
      <c r="A250" s="10"/>
      <c r="B250" s="11" t="s">
        <v>22</v>
      </c>
      <c r="C250" s="9">
        <v>4.0</v>
      </c>
      <c r="D250" s="8">
        <v>8600.0</v>
      </c>
      <c r="E250" s="8">
        <v>34550.0</v>
      </c>
      <c r="F250" s="13"/>
    </row>
    <row r="251" spans="8:8" ht="21.0" customHeight="1">
      <c r="A251" s="10"/>
      <c r="B251" s="14"/>
      <c r="C251" s="15"/>
      <c r="D251" s="15"/>
      <c r="E251" s="15"/>
      <c r="F251" s="14"/>
    </row>
    <row r="252" spans="8:8" ht="21.0" customHeight="1">
      <c r="A252" s="16">
        <v>46209.0</v>
      </c>
      <c r="B252" s="6" t="s">
        <v>106</v>
      </c>
      <c r="C252" s="7" t="s">
        <v>115</v>
      </c>
      <c r="D252" s="6"/>
      <c r="E252" s="8">
        <v>495000.0</v>
      </c>
      <c r="F252" s="8">
        <v>227500.0</v>
      </c>
      <c r="G252" s="8">
        <v>267500.0</v>
      </c>
      <c r="H252" s="8">
        <v>495000.0</v>
      </c>
      <c r="I252" s="8">
        <v>520000.0</v>
      </c>
      <c r="J252" s="8">
        <v>-25000.0</v>
      </c>
      <c r="K252" s="9">
        <v>-5.0</v>
      </c>
      <c r="L252" s="6"/>
    </row>
    <row r="253" spans="8:8" ht="21.0" customHeight="1">
      <c r="A253" s="10"/>
      <c r="B253" s="3" t="s">
        <v>17</v>
      </c>
      <c r="C253" s="4" t="s">
        <v>18</v>
      </c>
      <c r="D253" s="4" t="s">
        <v>19</v>
      </c>
      <c r="E253" s="4" t="s">
        <v>11</v>
      </c>
      <c r="F253" s="3" t="s">
        <v>20</v>
      </c>
    </row>
    <row r="254" spans="8:8" ht="21.0" customHeight="1">
      <c r="A254" s="10"/>
      <c r="B254" s="11" t="s">
        <v>24</v>
      </c>
      <c r="C254" s="9">
        <v>100.0</v>
      </c>
      <c r="D254" s="8">
        <v>4950.0</v>
      </c>
      <c r="E254" s="8">
        <v>520000.0</v>
      </c>
      <c r="F254" s="13"/>
    </row>
    <row r="255" spans="8:8" ht="21.0" customHeight="1">
      <c r="A255" s="10"/>
      <c r="B255" s="14"/>
      <c r="C255" s="15"/>
      <c r="D255" s="15"/>
      <c r="E255" s="15"/>
      <c r="F255" s="14"/>
    </row>
    <row r="256" spans="8:8" ht="21.0" customHeight="1">
      <c r="A256" s="16">
        <v>46209.0</v>
      </c>
      <c r="B256" s="6" t="s">
        <v>95</v>
      </c>
      <c r="C256" s="7" t="s">
        <v>116</v>
      </c>
      <c r="D256" s="6"/>
      <c r="E256" s="8">
        <v>119620.0</v>
      </c>
      <c r="F256" s="8">
        <v>100000.0</v>
      </c>
      <c r="G256" s="8">
        <v>19620.0</v>
      </c>
      <c r="H256" s="8">
        <v>119620.0</v>
      </c>
      <c r="I256" s="8">
        <v>114936.0</v>
      </c>
      <c r="J256" s="8">
        <v>4684.0</v>
      </c>
      <c r="K256" s="9">
        <v>4.0</v>
      </c>
      <c r="L256" s="6"/>
    </row>
    <row r="257" spans="8:8" ht="21.0" customHeight="1">
      <c r="A257" s="10"/>
      <c r="B257" s="3" t="s">
        <v>17</v>
      </c>
      <c r="C257" s="4" t="s">
        <v>18</v>
      </c>
      <c r="D257" s="4" t="s">
        <v>19</v>
      </c>
      <c r="E257" s="4" t="s">
        <v>11</v>
      </c>
      <c r="F257" s="3" t="s">
        <v>20</v>
      </c>
    </row>
    <row r="258" spans="8:8" ht="21.0" customHeight="1">
      <c r="A258" s="10"/>
      <c r="B258" s="11" t="s">
        <v>22</v>
      </c>
      <c r="C258" s="9">
        <v>4.0</v>
      </c>
      <c r="D258" s="8">
        <v>9200.0</v>
      </c>
      <c r="E258" s="8">
        <v>34550.0</v>
      </c>
      <c r="F258" s="13"/>
    </row>
    <row r="259" spans="8:8" ht="21.0" customHeight="1">
      <c r="A259" s="10"/>
      <c r="B259" s="11" t="s">
        <v>45</v>
      </c>
      <c r="C259" s="9">
        <v>2.0</v>
      </c>
      <c r="D259" s="8">
        <v>13335.0</v>
      </c>
      <c r="E259" s="8">
        <v>25496.0</v>
      </c>
      <c r="F259" s="13"/>
    </row>
    <row r="260" spans="8:8" ht="21.0" customHeight="1">
      <c r="A260" s="10"/>
      <c r="B260" s="11" t="s">
        <v>44</v>
      </c>
      <c r="C260" s="9">
        <v>3.0</v>
      </c>
      <c r="D260" s="8">
        <v>9200.0</v>
      </c>
      <c r="E260" s="8">
        <v>26970.0</v>
      </c>
      <c r="F260" s="13"/>
    </row>
    <row r="261" spans="8:8" ht="21.0" customHeight="1">
      <c r="A261" s="10"/>
      <c r="B261" s="11" t="s">
        <v>101</v>
      </c>
      <c r="C261" s="9">
        <v>1.0</v>
      </c>
      <c r="D261" s="8">
        <v>13550.0</v>
      </c>
      <c r="E261" s="8">
        <v>12920.0</v>
      </c>
      <c r="F261" s="13"/>
    </row>
    <row r="262" spans="8:8" ht="21.0" customHeight="1">
      <c r="A262" s="10"/>
      <c r="B262" s="11" t="s">
        <v>38</v>
      </c>
      <c r="C262" s="9">
        <v>10.0</v>
      </c>
      <c r="D262" s="8">
        <v>1500.0</v>
      </c>
      <c r="E262" s="8">
        <v>15000.0</v>
      </c>
      <c r="F262" s="13"/>
    </row>
    <row r="263" spans="8:8" ht="21.0" customHeight="1">
      <c r="A263" s="10"/>
      <c r="B263" s="14"/>
      <c r="C263" s="15"/>
      <c r="D263" s="15"/>
      <c r="E263" s="15"/>
      <c r="F263" s="14"/>
    </row>
    <row r="264" spans="8:8" ht="21.0" customHeight="1">
      <c r="A264" s="16">
        <v>46209.0</v>
      </c>
      <c r="B264" s="6" t="s">
        <v>63</v>
      </c>
      <c r="C264" s="7" t="s">
        <v>117</v>
      </c>
      <c r="D264" s="6"/>
      <c r="E264" s="8">
        <v>863040.0</v>
      </c>
      <c r="F264" s="8">
        <v>863040.0</v>
      </c>
      <c r="G264" s="9">
        <v>0.0</v>
      </c>
      <c r="H264" s="8">
        <v>863040.0</v>
      </c>
      <c r="I264" s="8">
        <v>838361.0</v>
      </c>
      <c r="J264" s="8">
        <v>24679.0</v>
      </c>
      <c r="K264" s="9">
        <v>3.0</v>
      </c>
      <c r="L264" s="6"/>
    </row>
    <row r="265" spans="8:8" ht="21.0" customHeight="1">
      <c r="A265" s="10"/>
      <c r="B265" s="3" t="s">
        <v>17</v>
      </c>
      <c r="C265" s="4" t="s">
        <v>18</v>
      </c>
      <c r="D265" s="4" t="s">
        <v>19</v>
      </c>
      <c r="E265" s="4" t="s">
        <v>11</v>
      </c>
      <c r="F265" s="3" t="s">
        <v>20</v>
      </c>
    </row>
    <row r="266" spans="8:8" ht="21.0" customHeight="1">
      <c r="A266" s="10"/>
      <c r="B266" s="11" t="s">
        <v>22</v>
      </c>
      <c r="C266" s="9">
        <v>70.0</v>
      </c>
      <c r="D266" s="8">
        <v>8990.0</v>
      </c>
      <c r="E266" s="8">
        <v>604621.0</v>
      </c>
      <c r="F266" s="13"/>
    </row>
    <row r="267" spans="8:8" ht="21.0" customHeight="1">
      <c r="A267" s="10"/>
      <c r="B267" s="11" t="s">
        <v>44</v>
      </c>
      <c r="C267" s="9">
        <v>26.0</v>
      </c>
      <c r="D267" s="8">
        <v>8990.0</v>
      </c>
      <c r="E267" s="8">
        <v>233740.0</v>
      </c>
      <c r="F267" s="13"/>
    </row>
    <row r="268" spans="8:8" ht="21.0" customHeight="1">
      <c r="A268" s="10"/>
      <c r="B268" s="14"/>
      <c r="C268" s="15"/>
      <c r="D268" s="15"/>
      <c r="E268" s="15"/>
      <c r="F268" s="14"/>
    </row>
    <row r="269" spans="8:8" ht="21.0" customHeight="1">
      <c r="A269" s="16">
        <v>46209.0</v>
      </c>
      <c r="B269" s="6" t="s">
        <v>104</v>
      </c>
      <c r="C269" s="7" t="s">
        <v>118</v>
      </c>
      <c r="D269" s="6"/>
      <c r="E269" s="8">
        <v>31550.0</v>
      </c>
      <c r="F269" s="8">
        <v>31550.0</v>
      </c>
      <c r="G269" s="9">
        <v>0.0</v>
      </c>
      <c r="H269" s="8">
        <v>31550.0</v>
      </c>
      <c r="I269" s="8">
        <v>29980.0</v>
      </c>
      <c r="J269" s="8">
        <v>1570.0</v>
      </c>
      <c r="K269" s="9">
        <v>5.0</v>
      </c>
      <c r="L269" s="6"/>
    </row>
    <row r="270" spans="8:8" ht="21.0" customHeight="1">
      <c r="A270" s="10"/>
      <c r="B270" s="3" t="s">
        <v>17</v>
      </c>
      <c r="C270" s="4" t="s">
        <v>18</v>
      </c>
      <c r="D270" s="4" t="s">
        <v>19</v>
      </c>
      <c r="E270" s="4" t="s">
        <v>11</v>
      </c>
      <c r="F270" s="3" t="s">
        <v>20</v>
      </c>
    </row>
    <row r="271" spans="8:8" ht="21.0" customHeight="1">
      <c r="A271" s="10"/>
      <c r="B271" s="11" t="s">
        <v>119</v>
      </c>
      <c r="C271" s="9">
        <v>2.0</v>
      </c>
      <c r="D271" s="8">
        <v>13125.0</v>
      </c>
      <c r="E271" s="8">
        <v>24780.0</v>
      </c>
      <c r="F271" s="13"/>
    </row>
    <row r="272" spans="8:8" ht="21.0" customHeight="1">
      <c r="A272" s="10"/>
      <c r="B272" s="11" t="s">
        <v>24</v>
      </c>
      <c r="C272" s="9">
        <v>1.0</v>
      </c>
      <c r="D272" s="8">
        <v>5300.0</v>
      </c>
      <c r="E272" s="8">
        <v>5200.0</v>
      </c>
      <c r="F272" s="13"/>
    </row>
    <row r="273" spans="8:8" ht="21.0" customHeight="1">
      <c r="A273" s="10"/>
      <c r="B273" s="14"/>
      <c r="C273" s="15"/>
      <c r="D273" s="15"/>
      <c r="E273" s="15"/>
      <c r="F273" s="14"/>
    </row>
    <row r="274" spans="8:8" ht="21.0" customHeight="1">
      <c r="A274" s="16">
        <v>46209.0</v>
      </c>
      <c r="B274" s="6" t="s">
        <v>78</v>
      </c>
      <c r="C274" s="7" t="s">
        <v>120</v>
      </c>
      <c r="D274" s="6"/>
      <c r="E274" s="8">
        <v>777505.0</v>
      </c>
      <c r="F274" s="8">
        <v>450000.0</v>
      </c>
      <c r="G274" s="8">
        <v>327505.0</v>
      </c>
      <c r="H274" s="8">
        <v>777505.0</v>
      </c>
      <c r="I274" s="8">
        <v>737753.0</v>
      </c>
      <c r="J274" s="8">
        <v>39752.0</v>
      </c>
      <c r="K274" s="9">
        <v>5.0</v>
      </c>
      <c r="L274" s="6"/>
    </row>
    <row r="275" spans="8:8" ht="21.0" customHeight="1">
      <c r="A275" s="10"/>
      <c r="B275" s="3" t="s">
        <v>17</v>
      </c>
      <c r="C275" s="4" t="s">
        <v>18</v>
      </c>
      <c r="D275" s="4" t="s">
        <v>19</v>
      </c>
      <c r="E275" s="4" t="s">
        <v>11</v>
      </c>
      <c r="F275" s="3" t="s">
        <v>20</v>
      </c>
    </row>
    <row r="276" spans="8:8" ht="21.0" customHeight="1">
      <c r="A276" s="10"/>
      <c r="B276" s="11" t="s">
        <v>22</v>
      </c>
      <c r="C276" s="9">
        <v>64.0</v>
      </c>
      <c r="D276" s="8">
        <v>9200.0</v>
      </c>
      <c r="E276" s="8">
        <v>552796.0</v>
      </c>
      <c r="F276" s="13"/>
    </row>
    <row r="277" spans="8:8" ht="21.0" customHeight="1">
      <c r="A277" s="10"/>
      <c r="B277" s="11" t="s">
        <v>45</v>
      </c>
      <c r="C277" s="9">
        <v>4.0</v>
      </c>
      <c r="D277" s="8">
        <v>13335.0</v>
      </c>
      <c r="E277" s="8">
        <v>50992.0</v>
      </c>
      <c r="F277" s="13"/>
    </row>
    <row r="278" spans="8:8" ht="21.0" customHeight="1">
      <c r="A278" s="10"/>
      <c r="B278" s="11" t="s">
        <v>37</v>
      </c>
      <c r="C278" s="9">
        <v>1.0</v>
      </c>
      <c r="D278" s="8">
        <v>8880.0</v>
      </c>
      <c r="E278" s="8">
        <v>8525.0</v>
      </c>
      <c r="F278" s="13"/>
    </row>
    <row r="279" spans="8:8" ht="21.0" customHeight="1">
      <c r="A279" s="10"/>
      <c r="B279" s="11" t="s">
        <v>87</v>
      </c>
      <c r="C279" s="9">
        <v>1.0</v>
      </c>
      <c r="D279" s="8">
        <v>21485.0</v>
      </c>
      <c r="E279" s="8">
        <v>20440.0</v>
      </c>
      <c r="F279" s="13"/>
    </row>
    <row r="280" spans="8:8" ht="21.0" customHeight="1">
      <c r="A280" s="10"/>
      <c r="B280" s="11" t="s">
        <v>38</v>
      </c>
      <c r="C280" s="9">
        <v>70.0</v>
      </c>
      <c r="D280" s="8">
        <v>1500.0</v>
      </c>
      <c r="E280" s="8">
        <v>105000.0</v>
      </c>
      <c r="F280" s="13"/>
    </row>
    <row r="281" spans="8:8" ht="21.0" customHeight="1">
      <c r="A281" s="10"/>
      <c r="B281" s="14"/>
      <c r="C281" s="15"/>
      <c r="D281" s="15"/>
      <c r="E281" s="15"/>
      <c r="F281" s="14"/>
    </row>
    <row r="282" spans="8:8" ht="21.0" customHeight="1">
      <c r="A282" s="16">
        <v>46209.0</v>
      </c>
      <c r="B282" s="6" t="s">
        <v>15</v>
      </c>
      <c r="C282" s="7" t="s">
        <v>121</v>
      </c>
      <c r="D282" s="6"/>
      <c r="E282" s="8">
        <v>28500.0</v>
      </c>
      <c r="F282" s="8">
        <v>28500.0</v>
      </c>
      <c r="G282" s="9">
        <v>0.0</v>
      </c>
      <c r="H282" s="8">
        <v>28500.0</v>
      </c>
      <c r="I282" s="8">
        <v>26152.0</v>
      </c>
      <c r="J282" s="8">
        <v>2348.0</v>
      </c>
      <c r="K282" s="9">
        <v>8.0</v>
      </c>
      <c r="L282" s="6"/>
    </row>
    <row r="283" spans="8:8" ht="21.0" customHeight="1">
      <c r="A283" s="10"/>
      <c r="B283" s="3" t="s">
        <v>17</v>
      </c>
      <c r="C283" s="4" t="s">
        <v>18</v>
      </c>
      <c r="D283" s="4" t="s">
        <v>19</v>
      </c>
      <c r="E283" s="4" t="s">
        <v>11</v>
      </c>
      <c r="F283" s="3" t="s">
        <v>20</v>
      </c>
    </row>
    <row r="284" spans="8:8" ht="21.0" customHeight="1">
      <c r="A284" s="10"/>
      <c r="B284" s="11" t="s">
        <v>22</v>
      </c>
      <c r="C284" s="9">
        <v>1.0</v>
      </c>
      <c r="D284" s="8">
        <v>9500.0</v>
      </c>
      <c r="E284" s="8">
        <v>8637.0</v>
      </c>
      <c r="F284" s="13"/>
    </row>
    <row r="285" spans="8:8" ht="21.0" customHeight="1">
      <c r="A285" s="10"/>
      <c r="B285" s="11" t="s">
        <v>44</v>
      </c>
      <c r="C285" s="9">
        <v>1.0</v>
      </c>
      <c r="D285" s="8">
        <v>9500.0</v>
      </c>
      <c r="E285" s="8">
        <v>8990.0</v>
      </c>
      <c r="F285" s="13"/>
    </row>
    <row r="286" spans="8:8" ht="21.0" customHeight="1">
      <c r="A286" s="10"/>
      <c r="B286" s="11" t="s">
        <v>37</v>
      </c>
      <c r="C286" s="9">
        <v>1.0</v>
      </c>
      <c r="D286" s="8">
        <v>9500.0</v>
      </c>
      <c r="E286" s="8">
        <v>8525.0</v>
      </c>
      <c r="F286" s="13"/>
    </row>
    <row r="287" spans="8:8" ht="21.0" customHeight="1">
      <c r="A287" s="10"/>
      <c r="B287" s="14"/>
      <c r="C287" s="15"/>
      <c r="D287" s="15"/>
      <c r="E287" s="15"/>
      <c r="F287" s="14"/>
    </row>
    <row r="288" spans="8:8" ht="21.0" customHeight="1">
      <c r="A288" s="16">
        <v>46209.0</v>
      </c>
      <c r="B288" s="6" t="s">
        <v>122</v>
      </c>
      <c r="C288" s="7" t="s">
        <v>123</v>
      </c>
      <c r="D288" s="6"/>
      <c r="E288" s="8">
        <v>19000.0</v>
      </c>
      <c r="F288" s="8">
        <v>19000.0</v>
      </c>
      <c r="G288" s="9">
        <v>0.0</v>
      </c>
      <c r="H288" s="8">
        <v>19000.0</v>
      </c>
      <c r="I288" s="8">
        <v>17275.0</v>
      </c>
      <c r="J288" s="8">
        <v>1725.0</v>
      </c>
      <c r="K288" s="9">
        <v>9.0</v>
      </c>
      <c r="L288" s="6"/>
    </row>
    <row r="289" spans="8:8" ht="21.0" customHeight="1">
      <c r="A289" s="10"/>
      <c r="B289" s="3" t="s">
        <v>17</v>
      </c>
      <c r="C289" s="4" t="s">
        <v>18</v>
      </c>
      <c r="D289" s="4" t="s">
        <v>19</v>
      </c>
      <c r="E289" s="4" t="s">
        <v>11</v>
      </c>
      <c r="F289" s="3" t="s">
        <v>20</v>
      </c>
    </row>
    <row r="290" spans="8:8" ht="21.0" customHeight="1">
      <c r="A290" s="10"/>
      <c r="B290" s="11" t="s">
        <v>22</v>
      </c>
      <c r="C290" s="9">
        <v>2.0</v>
      </c>
      <c r="D290" s="8">
        <v>9500.0</v>
      </c>
      <c r="E290" s="8">
        <v>17275.0</v>
      </c>
      <c r="F290" s="13"/>
    </row>
    <row r="291" spans="8:8" ht="21.0" customHeight="1">
      <c r="A291" s="10"/>
      <c r="B291" s="14"/>
      <c r="C291" s="15"/>
      <c r="D291" s="15"/>
      <c r="E291" s="15"/>
      <c r="F291" s="14"/>
    </row>
    <row r="292" spans="8:8" ht="21.0" customHeight="1">
      <c r="A292" s="5">
        <v>46210.0</v>
      </c>
      <c r="B292" s="6" t="s">
        <v>63</v>
      </c>
      <c r="C292" s="7" t="s">
        <v>124</v>
      </c>
      <c r="D292" s="6"/>
      <c r="E292" s="8">
        <v>1930160.0</v>
      </c>
      <c r="F292" s="8">
        <v>1930160.0</v>
      </c>
      <c r="G292" s="9">
        <v>0.0</v>
      </c>
      <c r="H292" s="8">
        <v>1930160.0</v>
      </c>
      <c r="I292" s="8">
        <v>1880801.0</v>
      </c>
      <c r="J292" s="8">
        <v>49359.0</v>
      </c>
      <c r="K292" s="9">
        <v>3.0</v>
      </c>
      <c r="L292" s="6"/>
    </row>
    <row r="293" spans="8:8" ht="21.0" customHeight="1">
      <c r="A293" s="10"/>
      <c r="B293" s="3" t="s">
        <v>17</v>
      </c>
      <c r="C293" s="4" t="s">
        <v>18</v>
      </c>
      <c r="D293" s="4" t="s">
        <v>19</v>
      </c>
      <c r="E293" s="4" t="s">
        <v>11</v>
      </c>
      <c r="F293" s="3" t="s">
        <v>20</v>
      </c>
    </row>
    <row r="294" spans="8:8" ht="21.0" customHeight="1">
      <c r="A294" s="10"/>
      <c r="B294" s="11" t="s">
        <v>22</v>
      </c>
      <c r="C294" s="9">
        <v>140.0</v>
      </c>
      <c r="D294" s="8">
        <v>8990.0</v>
      </c>
      <c r="E294" s="8">
        <v>1209241.0</v>
      </c>
      <c r="F294" s="13"/>
    </row>
    <row r="295" spans="8:8" ht="21.0" customHeight="1">
      <c r="A295" s="10"/>
      <c r="B295" s="11" t="s">
        <v>44</v>
      </c>
      <c r="C295" s="9">
        <v>44.0</v>
      </c>
      <c r="D295" s="8">
        <v>8990.0</v>
      </c>
      <c r="E295" s="8">
        <v>395560.0</v>
      </c>
      <c r="F295" s="13"/>
    </row>
    <row r="296" spans="8:8" ht="21.0" customHeight="1">
      <c r="A296" s="10"/>
      <c r="B296" s="11" t="s">
        <v>38</v>
      </c>
      <c r="C296" s="9">
        <v>184.0</v>
      </c>
      <c r="D296" s="8">
        <v>1500.0</v>
      </c>
      <c r="E296" s="8">
        <v>276000.0</v>
      </c>
      <c r="F296" s="13"/>
    </row>
    <row r="297" spans="8:8" ht="21.0" customHeight="1">
      <c r="A297" s="10"/>
      <c r="B297" s="14"/>
      <c r="C297" s="15"/>
      <c r="D297" s="15"/>
      <c r="E297" s="15"/>
      <c r="F297" s="14"/>
    </row>
    <row r="298" spans="8:8" ht="21.0" customHeight="1">
      <c r="A298" s="16">
        <v>46210.0</v>
      </c>
      <c r="B298" s="6" t="s">
        <v>125</v>
      </c>
      <c r="C298" s="7" t="s">
        <v>126</v>
      </c>
      <c r="D298" s="6"/>
      <c r="E298" s="8">
        <v>612000.0</v>
      </c>
      <c r="F298" s="8">
        <v>350000.0</v>
      </c>
      <c r="G298" s="8">
        <v>262000.0</v>
      </c>
      <c r="H298" s="8">
        <v>612000.0</v>
      </c>
      <c r="I298" s="8">
        <v>624000.0</v>
      </c>
      <c r="J298" s="8">
        <v>-12000.0</v>
      </c>
      <c r="K298" s="9">
        <v>-2.0</v>
      </c>
      <c r="L298" s="6"/>
    </row>
    <row r="299" spans="8:8" ht="21.0" customHeight="1">
      <c r="A299" s="10"/>
      <c r="B299" s="3" t="s">
        <v>17</v>
      </c>
      <c r="C299" s="4" t="s">
        <v>18</v>
      </c>
      <c r="D299" s="4" t="s">
        <v>19</v>
      </c>
      <c r="E299" s="4" t="s">
        <v>11</v>
      </c>
      <c r="F299" s="3" t="s">
        <v>20</v>
      </c>
    </row>
    <row r="300" spans="8:8" ht="21.0" customHeight="1">
      <c r="A300" s="10"/>
      <c r="B300" s="11" t="s">
        <v>24</v>
      </c>
      <c r="C300" s="9">
        <v>120.0</v>
      </c>
      <c r="D300" s="8">
        <v>5100.0</v>
      </c>
      <c r="E300" s="8">
        <v>624000.0</v>
      </c>
      <c r="F300" s="13"/>
    </row>
    <row r="301" spans="8:8" ht="21.0" customHeight="1">
      <c r="A301" s="10"/>
      <c r="B301" s="14"/>
      <c r="C301" s="15"/>
      <c r="D301" s="15"/>
      <c r="E301" s="15"/>
      <c r="F301" s="14"/>
    </row>
    <row r="302" spans="8:8" ht="21.0" customHeight="1">
      <c r="A302" s="16">
        <v>46210.0</v>
      </c>
      <c r="B302" s="6" t="s">
        <v>127</v>
      </c>
      <c r="C302" s="7" t="s">
        <v>128</v>
      </c>
      <c r="D302" s="6"/>
      <c r="E302" s="8">
        <v>1237500.0</v>
      </c>
      <c r="F302" s="8">
        <v>1237500.0</v>
      </c>
      <c r="G302" s="9">
        <v>0.0</v>
      </c>
      <c r="H302" s="8">
        <v>1237500.0</v>
      </c>
      <c r="I302" s="8">
        <v>1300000.0</v>
      </c>
      <c r="J302" s="8">
        <v>-62500.0</v>
      </c>
      <c r="K302" s="9">
        <v>-5.0</v>
      </c>
      <c r="L302" s="6" t="s">
        <v>129</v>
      </c>
    </row>
    <row r="303" spans="8:8" ht="21.0" customHeight="1">
      <c r="A303" s="10"/>
      <c r="B303" s="3" t="s">
        <v>17</v>
      </c>
      <c r="C303" s="4" t="s">
        <v>18</v>
      </c>
      <c r="D303" s="4" t="s">
        <v>19</v>
      </c>
      <c r="E303" s="4" t="s">
        <v>11</v>
      </c>
      <c r="F303" s="3" t="s">
        <v>20</v>
      </c>
    </row>
    <row r="304" spans="8:8" ht="21.0" customHeight="1">
      <c r="A304" s="10"/>
      <c r="B304" s="11" t="s">
        <v>24</v>
      </c>
      <c r="C304" s="9">
        <v>250.0</v>
      </c>
      <c r="D304" s="8">
        <v>4950.0</v>
      </c>
      <c r="E304" s="8">
        <v>1300000.0</v>
      </c>
      <c r="F304" s="13"/>
    </row>
    <row r="305" spans="8:8" ht="21.0" customHeight="1">
      <c r="A305" s="10"/>
      <c r="B305" s="14"/>
      <c r="C305" s="15"/>
      <c r="D305" s="15"/>
      <c r="E305" s="15"/>
      <c r="F305" s="14"/>
    </row>
    <row r="306" spans="8:8" ht="21.0" customHeight="1">
      <c r="A306" s="16">
        <v>46210.0</v>
      </c>
      <c r="B306" s="6" t="s">
        <v>50</v>
      </c>
      <c r="C306" s="7" t="s">
        <v>130</v>
      </c>
      <c r="D306" s="6"/>
      <c r="E306" s="8">
        <v>172000.0</v>
      </c>
      <c r="F306" s="8">
        <v>172000.0</v>
      </c>
      <c r="G306" s="9">
        <v>0.0</v>
      </c>
      <c r="H306" s="8">
        <v>172000.0</v>
      </c>
      <c r="I306" s="8">
        <v>171000.0</v>
      </c>
      <c r="J306" s="8">
        <v>1000.0</v>
      </c>
      <c r="K306" s="9">
        <v>1.0</v>
      </c>
      <c r="L306" s="6"/>
    </row>
    <row r="307" spans="8:8" ht="21.0" customHeight="1">
      <c r="A307" s="10"/>
      <c r="B307" s="3" t="s">
        <v>17</v>
      </c>
      <c r="C307" s="4" t="s">
        <v>18</v>
      </c>
      <c r="D307" s="4" t="s">
        <v>19</v>
      </c>
      <c r="E307" s="4" t="s">
        <v>11</v>
      </c>
      <c r="F307" s="3" t="s">
        <v>20</v>
      </c>
    </row>
    <row r="308" spans="8:8" ht="21.0" customHeight="1">
      <c r="A308" s="10"/>
      <c r="B308" s="11" t="s">
        <v>31</v>
      </c>
      <c r="C308" s="9">
        <v>10.0</v>
      </c>
      <c r="D308" s="8">
        <v>17200.0</v>
      </c>
      <c r="E308" s="8">
        <v>171000.0</v>
      </c>
      <c r="F308" s="13"/>
    </row>
    <row r="309" spans="8:8" ht="21.0" customHeight="1">
      <c r="A309" s="10"/>
      <c r="B309" s="14"/>
      <c r="C309" s="15"/>
      <c r="D309" s="15"/>
      <c r="E309" s="15"/>
      <c r="F309" s="14"/>
    </row>
    <row r="310" spans="8:8" ht="21.0" customHeight="1">
      <c r="A310" s="16">
        <v>46210.0</v>
      </c>
      <c r="B310" s="6" t="s">
        <v>25</v>
      </c>
      <c r="C310" s="7" t="s">
        <v>131</v>
      </c>
      <c r="D310" s="6"/>
      <c r="E310" s="8">
        <v>626695.0</v>
      </c>
      <c r="F310" s="8">
        <v>626695.0</v>
      </c>
      <c r="G310" s="9">
        <v>0.0</v>
      </c>
      <c r="H310" s="8">
        <v>626695.0</v>
      </c>
      <c r="I310" s="8">
        <v>595903.0</v>
      </c>
      <c r="J310" s="8">
        <v>30792.0</v>
      </c>
      <c r="K310" s="9">
        <v>5.0</v>
      </c>
      <c r="L310" s="6"/>
    </row>
    <row r="311" spans="8:8" ht="21.0" customHeight="1">
      <c r="A311" s="10"/>
      <c r="B311" s="3" t="s">
        <v>17</v>
      </c>
      <c r="C311" s="4" t="s">
        <v>18</v>
      </c>
      <c r="D311" s="4" t="s">
        <v>19</v>
      </c>
      <c r="E311" s="4" t="s">
        <v>11</v>
      </c>
      <c r="F311" s="3" t="s">
        <v>20</v>
      </c>
    </row>
    <row r="312" spans="8:8" ht="21.0" customHeight="1">
      <c r="A312" s="10"/>
      <c r="B312" s="11" t="s">
        <v>22</v>
      </c>
      <c r="C312" s="9">
        <v>25.0</v>
      </c>
      <c r="D312" s="8">
        <v>9200.0</v>
      </c>
      <c r="E312" s="8">
        <v>215936.0</v>
      </c>
      <c r="F312" s="13"/>
    </row>
    <row r="313" spans="8:8" ht="21.0" customHeight="1">
      <c r="A313" s="10"/>
      <c r="B313" s="11" t="s">
        <v>45</v>
      </c>
      <c r="C313" s="9">
        <v>17.0</v>
      </c>
      <c r="D313" s="8">
        <v>13335.0</v>
      </c>
      <c r="E313" s="8">
        <v>216717.0</v>
      </c>
      <c r="F313" s="13"/>
    </row>
    <row r="314" spans="8:8" ht="21.0" customHeight="1">
      <c r="A314" s="10"/>
      <c r="B314" s="11" t="s">
        <v>37</v>
      </c>
      <c r="C314" s="9">
        <v>10.0</v>
      </c>
      <c r="D314" s="8">
        <v>9200.0</v>
      </c>
      <c r="E314" s="8">
        <v>85250.0</v>
      </c>
      <c r="F314" s="13"/>
    </row>
    <row r="315" spans="8:8" ht="21.0" customHeight="1">
      <c r="A315" s="10"/>
      <c r="B315" s="11" t="s">
        <v>38</v>
      </c>
      <c r="C315" s="9">
        <v>52.0</v>
      </c>
      <c r="D315" s="8">
        <v>1500.0</v>
      </c>
      <c r="E315" s="8">
        <v>78000.0</v>
      </c>
      <c r="F315" s="13"/>
    </row>
    <row r="316" spans="8:8" ht="21.0" customHeight="1">
      <c r="A316" s="10"/>
      <c r="B316" s="14"/>
      <c r="C316" s="15"/>
      <c r="D316" s="15"/>
      <c r="E316" s="15"/>
      <c r="F316" s="14"/>
    </row>
    <row r="317" spans="8:8" ht="21.0" customHeight="1">
      <c r="A317" s="16">
        <v>46210.0</v>
      </c>
      <c r="B317" s="6" t="s">
        <v>132</v>
      </c>
      <c r="C317" s="7" t="s">
        <v>133</v>
      </c>
      <c r="D317" s="6"/>
      <c r="E317" s="8">
        <v>4512900.0</v>
      </c>
      <c r="F317" s="8">
        <v>4512900.0</v>
      </c>
      <c r="G317" s="9">
        <v>0.0</v>
      </c>
      <c r="H317" s="8">
        <v>4512900.0</v>
      </c>
      <c r="I317" s="8">
        <v>4460698.0</v>
      </c>
      <c r="J317" s="8">
        <v>52202.0</v>
      </c>
      <c r="K317" s="9">
        <v>1.0</v>
      </c>
      <c r="L317" s="6" t="s">
        <v>134</v>
      </c>
    </row>
    <row r="318" spans="8:8" ht="21.0" customHeight="1">
      <c r="A318" s="10"/>
      <c r="B318" s="3" t="s">
        <v>17</v>
      </c>
      <c r="C318" s="4" t="s">
        <v>18</v>
      </c>
      <c r="D318" s="4" t="s">
        <v>19</v>
      </c>
      <c r="E318" s="4" t="s">
        <v>11</v>
      </c>
      <c r="F318" s="3" t="s">
        <v>20</v>
      </c>
    </row>
    <row r="319" spans="8:8" ht="21.0" customHeight="1">
      <c r="A319" s="10"/>
      <c r="B319" s="11" t="s">
        <v>45</v>
      </c>
      <c r="C319" s="9">
        <v>210.0</v>
      </c>
      <c r="D319" s="8">
        <v>12930.0</v>
      </c>
      <c r="E319" s="8">
        <v>2677098.0</v>
      </c>
      <c r="F319" s="13"/>
    </row>
    <row r="320" spans="8:8" ht="21.0" customHeight="1">
      <c r="A320" s="10"/>
      <c r="B320" s="11" t="s">
        <v>44</v>
      </c>
      <c r="C320" s="9">
        <v>140.0</v>
      </c>
      <c r="D320" s="8">
        <v>9090.0</v>
      </c>
      <c r="E320" s="8">
        <v>1258600.0</v>
      </c>
      <c r="F320" s="13"/>
    </row>
    <row r="321" spans="8:8" ht="21.0" customHeight="1">
      <c r="A321" s="10"/>
      <c r="B321" s="11" t="s">
        <v>38</v>
      </c>
      <c r="C321" s="9">
        <v>350.0</v>
      </c>
      <c r="D321" s="8">
        <v>1500.0</v>
      </c>
      <c r="E321" s="8">
        <v>525000.0</v>
      </c>
      <c r="F321" s="13"/>
    </row>
    <row r="322" spans="8:8" ht="21.0" customHeight="1">
      <c r="A322" s="10"/>
      <c r="B322" s="14"/>
      <c r="C322" s="15"/>
      <c r="D322" s="15"/>
      <c r="E322" s="15"/>
      <c r="F322" s="14"/>
    </row>
    <row r="323" spans="8:8" ht="21.0" customHeight="1">
      <c r="A323" s="16">
        <v>46210.0</v>
      </c>
      <c r="B323" s="6" t="s">
        <v>40</v>
      </c>
      <c r="C323" s="7" t="s">
        <v>135</v>
      </c>
      <c r="D323" s="6"/>
      <c r="E323" s="8">
        <v>111100.0</v>
      </c>
      <c r="F323" s="8">
        <v>111100.0</v>
      </c>
      <c r="G323" s="9">
        <v>0.0</v>
      </c>
      <c r="H323" s="8">
        <v>111100.0</v>
      </c>
      <c r="I323" s="8">
        <v>111512.0</v>
      </c>
      <c r="J323" s="9">
        <v>-412.0</v>
      </c>
      <c r="K323" s="9">
        <v>0.0</v>
      </c>
      <c r="L323" s="6"/>
    </row>
    <row r="324" spans="8:8" ht="21.0" customHeight="1">
      <c r="A324" s="10"/>
      <c r="B324" s="3" t="s">
        <v>17</v>
      </c>
      <c r="C324" s="4" t="s">
        <v>18</v>
      </c>
      <c r="D324" s="4" t="s">
        <v>19</v>
      </c>
      <c r="E324" s="4" t="s">
        <v>11</v>
      </c>
      <c r="F324" s="3" t="s">
        <v>20</v>
      </c>
    </row>
    <row r="325" spans="8:8" ht="21.0" customHeight="1">
      <c r="A325" s="10"/>
      <c r="B325" s="11" t="s">
        <v>22</v>
      </c>
      <c r="C325" s="9">
        <v>11.0</v>
      </c>
      <c r="D325" s="8">
        <v>8600.0</v>
      </c>
      <c r="E325" s="8">
        <v>95012.0</v>
      </c>
      <c r="F325" s="13"/>
    </row>
    <row r="326" spans="8:8" ht="21.0" customHeight="1">
      <c r="A326" s="10"/>
      <c r="B326" s="11" t="s">
        <v>38</v>
      </c>
      <c r="C326" s="9">
        <v>11.0</v>
      </c>
      <c r="D326" s="8">
        <v>1500.0</v>
      </c>
      <c r="E326" s="8">
        <v>16500.0</v>
      </c>
      <c r="F326" s="13"/>
    </row>
    <row r="327" spans="8:8" ht="21.0" customHeight="1">
      <c r="A327" s="10"/>
      <c r="B327" s="14"/>
      <c r="C327" s="15"/>
      <c r="D327" s="15"/>
      <c r="E327" s="15"/>
      <c r="F327" s="14"/>
    </row>
    <row r="328" spans="8:8" ht="21.0" customHeight="1">
      <c r="A328" s="16">
        <v>46210.0</v>
      </c>
      <c r="B328" s="6" t="s">
        <v>29</v>
      </c>
      <c r="C328" s="7" t="s">
        <v>136</v>
      </c>
      <c r="D328" s="6"/>
      <c r="E328" s="8">
        <v>756425.0</v>
      </c>
      <c r="F328" s="8">
        <v>756425.0</v>
      </c>
      <c r="G328" s="9">
        <v>0.0</v>
      </c>
      <c r="H328" s="8">
        <v>756425.0</v>
      </c>
      <c r="I328" s="8">
        <v>750305.0</v>
      </c>
      <c r="J328" s="8">
        <v>6120.0</v>
      </c>
      <c r="K328" s="9">
        <v>1.0</v>
      </c>
      <c r="L328" s="6"/>
    </row>
    <row r="329" spans="8:8" ht="21.0" customHeight="1">
      <c r="A329" s="10"/>
      <c r="B329" s="3" t="s">
        <v>17</v>
      </c>
      <c r="C329" s="4" t="s">
        <v>18</v>
      </c>
      <c r="D329" s="4" t="s">
        <v>19</v>
      </c>
      <c r="E329" s="4" t="s">
        <v>11</v>
      </c>
      <c r="F329" s="3" t="s">
        <v>20</v>
      </c>
    </row>
    <row r="330" spans="8:8" ht="21.0" customHeight="1">
      <c r="A330" s="10"/>
      <c r="B330" s="11" t="s">
        <v>22</v>
      </c>
      <c r="C330" s="9">
        <v>27.0</v>
      </c>
      <c r="D330" s="8">
        <v>8800.0</v>
      </c>
      <c r="E330" s="8">
        <v>233211.0</v>
      </c>
      <c r="F330" s="13"/>
    </row>
    <row r="331" spans="8:8" ht="21.0" customHeight="1">
      <c r="A331" s="10"/>
      <c r="B331" s="11" t="s">
        <v>113</v>
      </c>
      <c r="C331" s="9">
        <v>2.0</v>
      </c>
      <c r="D331" s="8">
        <v>14575.0</v>
      </c>
      <c r="E331" s="8">
        <v>28950.0</v>
      </c>
      <c r="F331" s="13"/>
    </row>
    <row r="332" spans="8:8" ht="21.0" customHeight="1">
      <c r="A332" s="10"/>
      <c r="B332" s="11" t="s">
        <v>44</v>
      </c>
      <c r="C332" s="9">
        <v>5.0</v>
      </c>
      <c r="D332" s="8">
        <v>9200.0</v>
      </c>
      <c r="E332" s="8">
        <v>44950.0</v>
      </c>
      <c r="F332" s="13"/>
    </row>
    <row r="333" spans="8:8" ht="21.0" customHeight="1">
      <c r="A333" s="10"/>
      <c r="B333" s="11" t="s">
        <v>37</v>
      </c>
      <c r="C333" s="9">
        <v>5.0</v>
      </c>
      <c r="D333" s="8">
        <v>8880.0</v>
      </c>
      <c r="E333" s="8">
        <v>42625.0</v>
      </c>
      <c r="F333" s="13"/>
    </row>
    <row r="334" spans="8:8" ht="21.0" customHeight="1">
      <c r="A334" s="10"/>
      <c r="B334" s="11" t="s">
        <v>24</v>
      </c>
      <c r="C334" s="9">
        <v>30.0</v>
      </c>
      <c r="D334" s="8">
        <v>4900.0</v>
      </c>
      <c r="E334" s="8">
        <v>156000.0</v>
      </c>
      <c r="F334" s="13"/>
    </row>
    <row r="335" spans="8:8" ht="21.0" customHeight="1">
      <c r="A335" s="10"/>
      <c r="B335" s="11" t="s">
        <v>27</v>
      </c>
      <c r="C335" s="9">
        <v>15.0</v>
      </c>
      <c r="D335" s="8">
        <v>8020.0</v>
      </c>
      <c r="E335" s="8">
        <v>115275.0</v>
      </c>
      <c r="F335" s="13"/>
    </row>
    <row r="336" spans="8:8" ht="21.0" customHeight="1">
      <c r="A336" s="10"/>
      <c r="B336" s="11" t="s">
        <v>65</v>
      </c>
      <c r="C336" s="9">
        <v>3.0</v>
      </c>
      <c r="D336" s="8">
        <v>11910.0</v>
      </c>
      <c r="E336" s="8">
        <v>33945.0</v>
      </c>
      <c r="F336" s="13"/>
    </row>
    <row r="337" spans="8:8" ht="21.0" customHeight="1">
      <c r="A337" s="10"/>
      <c r="B337" s="11" t="s">
        <v>31</v>
      </c>
      <c r="C337" s="9">
        <v>1.0</v>
      </c>
      <c r="D337" s="8">
        <v>17100.0</v>
      </c>
      <c r="E337" s="8">
        <v>17100.0</v>
      </c>
      <c r="F337" s="13"/>
    </row>
    <row r="338" spans="8:8" ht="21.0" customHeight="1">
      <c r="A338" s="10"/>
      <c r="B338" s="11" t="s">
        <v>32</v>
      </c>
      <c r="C338" s="9">
        <v>1.0</v>
      </c>
      <c r="D338" s="8">
        <v>16145.0</v>
      </c>
      <c r="E338" s="8">
        <v>15249.0</v>
      </c>
      <c r="F338" s="13"/>
    </row>
    <row r="339" spans="8:8" ht="21.0" customHeight="1">
      <c r="A339" s="10"/>
      <c r="B339" s="11" t="s">
        <v>38</v>
      </c>
      <c r="C339" s="9">
        <v>42.0</v>
      </c>
      <c r="D339" s="8">
        <v>1500.0</v>
      </c>
      <c r="E339" s="8">
        <v>63000.0</v>
      </c>
      <c r="F339" s="13"/>
    </row>
    <row r="340" spans="8:8" ht="21.0" customHeight="1">
      <c r="A340" s="10"/>
      <c r="B340" s="14"/>
      <c r="C340" s="15"/>
      <c r="D340" s="15"/>
      <c r="E340" s="15"/>
      <c r="F340" s="14"/>
    </row>
    <row r="341" spans="8:8" ht="21.0" customHeight="1">
      <c r="A341" s="16">
        <v>46210.0</v>
      </c>
      <c r="B341" s="6" t="s">
        <v>59</v>
      </c>
      <c r="C341" s="7" t="s">
        <v>137</v>
      </c>
      <c r="D341" s="6"/>
      <c r="E341" s="8">
        <v>1170400.0</v>
      </c>
      <c r="F341" s="8">
        <v>1000000.0</v>
      </c>
      <c r="G341" s="8">
        <v>170400.0</v>
      </c>
      <c r="H341" s="8">
        <v>1170400.0</v>
      </c>
      <c r="I341" s="8">
        <v>1204100.0</v>
      </c>
      <c r="J341" s="8">
        <v>-33700.0</v>
      </c>
      <c r="K341" s="9">
        <v>-3.0</v>
      </c>
      <c r="L341" s="6"/>
    </row>
    <row r="342" spans="8:8" ht="21.0" customHeight="1">
      <c r="A342" s="10"/>
      <c r="B342" s="3" t="s">
        <v>17</v>
      </c>
      <c r="C342" s="4" t="s">
        <v>18</v>
      </c>
      <c r="D342" s="4" t="s">
        <v>19</v>
      </c>
      <c r="E342" s="4" t="s">
        <v>11</v>
      </c>
      <c r="F342" s="3" t="s">
        <v>20</v>
      </c>
    </row>
    <row r="343" spans="8:8" ht="21.0" customHeight="1">
      <c r="A343" s="10"/>
      <c r="B343" s="11" t="s">
        <v>24</v>
      </c>
      <c r="C343" s="9">
        <v>202.0</v>
      </c>
      <c r="D343" s="8">
        <v>5000.0</v>
      </c>
      <c r="E343" s="8">
        <v>1050400.0</v>
      </c>
      <c r="F343" s="13"/>
    </row>
    <row r="344" spans="8:8" ht="21.0" customHeight="1">
      <c r="A344" s="10"/>
      <c r="B344" s="11" t="s">
        <v>27</v>
      </c>
      <c r="C344" s="9">
        <v>20.0</v>
      </c>
      <c r="D344" s="8">
        <v>8020.0</v>
      </c>
      <c r="E344" s="8">
        <v>153700.0</v>
      </c>
      <c r="F344" s="13"/>
    </row>
    <row r="345" spans="8:8" ht="21.0" customHeight="1">
      <c r="A345" s="10"/>
      <c r="B345" s="14"/>
      <c r="C345" s="15"/>
      <c r="D345" s="15"/>
      <c r="E345" s="15"/>
      <c r="F345" s="14"/>
    </row>
    <row r="346" spans="8:8" ht="21.0" customHeight="1">
      <c r="A346" s="16">
        <v>46210.0</v>
      </c>
      <c r="B346" s="6" t="s">
        <v>78</v>
      </c>
      <c r="C346" s="7" t="s">
        <v>138</v>
      </c>
      <c r="D346" s="6"/>
      <c r="E346" s="8">
        <v>747900.0</v>
      </c>
      <c r="F346" s="8">
        <v>218400.0</v>
      </c>
      <c r="G346" s="8">
        <v>529500.0</v>
      </c>
      <c r="H346" s="8">
        <v>747900.0</v>
      </c>
      <c r="I346" s="8">
        <v>737493.0</v>
      </c>
      <c r="J346" s="8">
        <v>10407.0</v>
      </c>
      <c r="K346" s="9">
        <v>1.0</v>
      </c>
      <c r="L346" s="6"/>
    </row>
    <row r="347" spans="8:8" ht="21.0" customHeight="1">
      <c r="A347" s="10"/>
      <c r="B347" s="3" t="s">
        <v>17</v>
      </c>
      <c r="C347" s="4" t="s">
        <v>18</v>
      </c>
      <c r="D347" s="4" t="s">
        <v>19</v>
      </c>
      <c r="E347" s="4" t="s">
        <v>11</v>
      </c>
      <c r="F347" s="3" t="s">
        <v>20</v>
      </c>
    </row>
    <row r="348" spans="8:8" ht="21.0" customHeight="1">
      <c r="A348" s="10"/>
      <c r="B348" s="11" t="s">
        <v>45</v>
      </c>
      <c r="C348" s="9">
        <v>30.0</v>
      </c>
      <c r="D348" s="8">
        <v>12930.0</v>
      </c>
      <c r="E348" s="8">
        <v>382443.0</v>
      </c>
      <c r="F348" s="13"/>
    </row>
    <row r="349" spans="8:8" ht="21.0" customHeight="1">
      <c r="A349" s="10"/>
      <c r="B349" s="11" t="s">
        <v>37</v>
      </c>
      <c r="C349" s="9">
        <v>10.0</v>
      </c>
      <c r="D349" s="8">
        <v>8800.0</v>
      </c>
      <c r="E349" s="8">
        <v>85250.0</v>
      </c>
      <c r="F349" s="13"/>
    </row>
    <row r="350" spans="8:8" ht="21.0" customHeight="1">
      <c r="A350" s="10"/>
      <c r="B350" s="11" t="s">
        <v>44</v>
      </c>
      <c r="C350" s="9">
        <v>20.0</v>
      </c>
      <c r="D350" s="8">
        <v>9100.0</v>
      </c>
      <c r="E350" s="8">
        <v>179800.0</v>
      </c>
      <c r="F350" s="13"/>
    </row>
    <row r="351" spans="8:8" ht="21.0" customHeight="1">
      <c r="A351" s="10"/>
      <c r="B351" s="11" t="s">
        <v>38</v>
      </c>
      <c r="C351" s="9">
        <v>60.0</v>
      </c>
      <c r="D351" s="8">
        <v>1500.0</v>
      </c>
      <c r="E351" s="8">
        <v>90000.0</v>
      </c>
      <c r="F351" s="13"/>
    </row>
    <row r="352" spans="8:8" ht="21.0" customHeight="1">
      <c r="A352" s="10"/>
      <c r="B352" s="14"/>
      <c r="C352" s="15"/>
      <c r="D352" s="15"/>
      <c r="E352" s="15"/>
      <c r="F352" s="14"/>
    </row>
    <row r="353" spans="8:8" ht="21.0" customHeight="1">
      <c r="A353" s="16">
        <v>46210.0</v>
      </c>
      <c r="B353" s="6" t="s">
        <v>139</v>
      </c>
      <c r="C353" s="7" t="s">
        <v>140</v>
      </c>
      <c r="D353" s="6"/>
      <c r="E353" s="8">
        <v>3597375.0</v>
      </c>
      <c r="F353" s="8">
        <v>3590175.0</v>
      </c>
      <c r="G353" s="8">
        <v>7200.0</v>
      </c>
      <c r="H353" s="8">
        <v>3597375.0</v>
      </c>
      <c r="I353" s="8">
        <v>3420503.0</v>
      </c>
      <c r="J353" s="8">
        <v>176872.0</v>
      </c>
      <c r="K353" s="9">
        <v>5.0</v>
      </c>
      <c r="L353" s="6"/>
    </row>
    <row r="354" spans="8:8" ht="21.0" customHeight="1">
      <c r="A354" s="10"/>
      <c r="B354" s="3" t="s">
        <v>17</v>
      </c>
      <c r="C354" s="4" t="s">
        <v>18</v>
      </c>
      <c r="D354" s="4" t="s">
        <v>19</v>
      </c>
      <c r="E354" s="4" t="s">
        <v>11</v>
      </c>
      <c r="F354" s="3" t="s">
        <v>20</v>
      </c>
    </row>
    <row r="355" spans="8:8" ht="21.0" customHeight="1">
      <c r="A355" s="10"/>
      <c r="B355" s="11" t="s">
        <v>22</v>
      </c>
      <c r="C355" s="9">
        <v>200.0</v>
      </c>
      <c r="D355" s="8">
        <v>8600.0</v>
      </c>
      <c r="E355" s="8">
        <v>1727488.0</v>
      </c>
      <c r="F355" s="13"/>
    </row>
    <row r="356" spans="8:8" ht="21.0" customHeight="1">
      <c r="A356" s="10"/>
      <c r="B356" s="11" t="s">
        <v>37</v>
      </c>
      <c r="C356" s="9">
        <v>40.0</v>
      </c>
      <c r="D356" s="8">
        <v>8800.0</v>
      </c>
      <c r="E356" s="8">
        <v>341000.0</v>
      </c>
      <c r="F356" s="13"/>
    </row>
    <row r="357" spans="8:8" ht="21.0" customHeight="1">
      <c r="A357" s="10"/>
      <c r="B357" s="11" t="s">
        <v>87</v>
      </c>
      <c r="C357" s="9">
        <v>6.0</v>
      </c>
      <c r="D357" s="8">
        <v>20540.0</v>
      </c>
      <c r="E357" s="8">
        <v>122640.0</v>
      </c>
      <c r="F357" s="13"/>
    </row>
    <row r="358" spans="8:8" ht="21.0" customHeight="1">
      <c r="A358" s="10"/>
      <c r="B358" s="11" t="s">
        <v>100</v>
      </c>
      <c r="C358" s="9">
        <v>15.0</v>
      </c>
      <c r="D358" s="8">
        <v>11480.0</v>
      </c>
      <c r="E358" s="8">
        <v>163725.0</v>
      </c>
      <c r="F358" s="13"/>
    </row>
    <row r="359" spans="8:8" ht="21.0" customHeight="1">
      <c r="A359" s="10"/>
      <c r="B359" s="11" t="s">
        <v>65</v>
      </c>
      <c r="C359" s="9">
        <v>20.0</v>
      </c>
      <c r="D359" s="8">
        <v>11415.0</v>
      </c>
      <c r="E359" s="8">
        <v>226300.0</v>
      </c>
      <c r="F359" s="13"/>
    </row>
    <row r="360" spans="8:8" ht="21.0" customHeight="1">
      <c r="A360" s="10"/>
      <c r="B360" s="11" t="s">
        <v>44</v>
      </c>
      <c r="C360" s="9">
        <v>15.0</v>
      </c>
      <c r="D360" s="8">
        <v>9090.0</v>
      </c>
      <c r="E360" s="8">
        <v>134850.0</v>
      </c>
      <c r="F360" s="13"/>
    </row>
    <row r="361" spans="8:8" ht="21.0" customHeight="1">
      <c r="A361" s="10"/>
      <c r="B361" s="11" t="s">
        <v>101</v>
      </c>
      <c r="C361" s="9">
        <v>10.0</v>
      </c>
      <c r="D361" s="8">
        <v>13020.0</v>
      </c>
      <c r="E361" s="8">
        <v>129200.0</v>
      </c>
      <c r="F361" s="13"/>
    </row>
    <row r="362" spans="8:8" ht="21.0" customHeight="1">
      <c r="A362" s="10"/>
      <c r="B362" s="11" t="s">
        <v>45</v>
      </c>
      <c r="C362" s="9">
        <v>5.0</v>
      </c>
      <c r="D362" s="8">
        <v>12930.0</v>
      </c>
      <c r="E362" s="8">
        <v>63740.0</v>
      </c>
      <c r="F362" s="13"/>
    </row>
    <row r="363" spans="8:8" ht="21.0" customHeight="1">
      <c r="A363" s="10"/>
      <c r="B363" s="11" t="s">
        <v>141</v>
      </c>
      <c r="C363" s="9">
        <v>3.0</v>
      </c>
      <c r="D363" s="8">
        <v>14145.0</v>
      </c>
      <c r="E363" s="8">
        <v>40560.0</v>
      </c>
      <c r="F363" s="13"/>
    </row>
    <row r="364" spans="8:8" ht="21.0" customHeight="1">
      <c r="A364" s="10"/>
      <c r="B364" s="11" t="s">
        <v>38</v>
      </c>
      <c r="C364" s="9">
        <v>314.0</v>
      </c>
      <c r="D364" s="8">
        <v>2000.0</v>
      </c>
      <c r="E364" s="8">
        <v>471000.0</v>
      </c>
      <c r="F364" s="13"/>
    </row>
    <row r="365" spans="8:8" ht="21.0" customHeight="1">
      <c r="A365" s="10"/>
      <c r="B365" s="14"/>
      <c r="C365" s="15"/>
      <c r="D365" s="15"/>
      <c r="E365" s="15"/>
      <c r="F365" s="14"/>
    </row>
    <row r="366" spans="8:8" ht="21.0" customHeight="1">
      <c r="A366" s="16">
        <v>46210.0</v>
      </c>
      <c r="B366" s="6" t="s">
        <v>29</v>
      </c>
      <c r="C366" s="7" t="s">
        <v>142</v>
      </c>
      <c r="D366" s="6"/>
      <c r="E366" s="8">
        <v>17760.0</v>
      </c>
      <c r="F366" s="8">
        <v>17760.0</v>
      </c>
      <c r="G366" s="9">
        <v>0.0</v>
      </c>
      <c r="H366" s="8">
        <v>17760.0</v>
      </c>
      <c r="I366" s="8">
        <v>17050.0</v>
      </c>
      <c r="J366" s="9">
        <v>710.0</v>
      </c>
      <c r="K366" s="9">
        <v>4.0</v>
      </c>
      <c r="L366" s="6"/>
    </row>
    <row r="367" spans="8:8" ht="21.0" customHeight="1">
      <c r="A367" s="10"/>
      <c r="B367" s="3" t="s">
        <v>17</v>
      </c>
      <c r="C367" s="4" t="s">
        <v>18</v>
      </c>
      <c r="D367" s="4" t="s">
        <v>19</v>
      </c>
      <c r="E367" s="4" t="s">
        <v>11</v>
      </c>
      <c r="F367" s="3" t="s">
        <v>20</v>
      </c>
    </row>
    <row r="368" spans="8:8" ht="21.0" customHeight="1">
      <c r="A368" s="10"/>
      <c r="B368" s="11" t="s">
        <v>37</v>
      </c>
      <c r="C368" s="9">
        <v>2.0</v>
      </c>
      <c r="D368" s="8">
        <v>8880.0</v>
      </c>
      <c r="E368" s="8">
        <v>17050.0</v>
      </c>
      <c r="F368" s="13"/>
    </row>
    <row r="369" spans="8:8" ht="21.0" customHeight="1">
      <c r="A369" s="10"/>
      <c r="B369" s="14"/>
      <c r="C369" s="15"/>
      <c r="D369" s="15"/>
      <c r="E369" s="15"/>
      <c r="F369" s="14"/>
    </row>
    <row r="370" spans="8:8" ht="21.0" customHeight="1">
      <c r="A370" s="16">
        <v>46210.0</v>
      </c>
      <c r="B370" s="6" t="s">
        <v>95</v>
      </c>
      <c r="C370" s="7" t="s">
        <v>143</v>
      </c>
      <c r="D370" s="6"/>
      <c r="E370" s="8">
        <v>160400.0</v>
      </c>
      <c r="F370" s="8">
        <v>150000.0</v>
      </c>
      <c r="G370" s="8">
        <v>10400.0</v>
      </c>
      <c r="H370" s="8">
        <v>160400.0</v>
      </c>
      <c r="I370" s="8">
        <v>153700.0</v>
      </c>
      <c r="J370" s="8">
        <v>6700.0</v>
      </c>
      <c r="K370" s="9">
        <v>4.0</v>
      </c>
      <c r="L370" s="6"/>
    </row>
    <row r="371" spans="8:8" ht="21.0" customHeight="1">
      <c r="A371" s="10"/>
      <c r="B371" s="3" t="s">
        <v>17</v>
      </c>
      <c r="C371" s="4" t="s">
        <v>18</v>
      </c>
      <c r="D371" s="4" t="s">
        <v>19</v>
      </c>
      <c r="E371" s="4" t="s">
        <v>11</v>
      </c>
      <c r="F371" s="3" t="s">
        <v>20</v>
      </c>
    </row>
    <row r="372" spans="8:8" ht="21.0" customHeight="1">
      <c r="A372" s="10"/>
      <c r="B372" s="11" t="s">
        <v>27</v>
      </c>
      <c r="C372" s="9">
        <v>20.0</v>
      </c>
      <c r="D372" s="8">
        <v>8020.0</v>
      </c>
      <c r="E372" s="8">
        <v>153700.0</v>
      </c>
      <c r="F372" s="13"/>
    </row>
    <row r="373" spans="8:8" ht="21.0" customHeight="1">
      <c r="A373" s="10"/>
      <c r="B373" s="14"/>
      <c r="C373" s="15"/>
      <c r="D373" s="15"/>
      <c r="E373" s="15"/>
      <c r="F373" s="14"/>
    </row>
    <row r="374" spans="8:8" ht="21.0" customHeight="1">
      <c r="A374" s="16">
        <v>46210.0</v>
      </c>
      <c r="B374" s="6" t="s">
        <v>15</v>
      </c>
      <c r="C374" s="7" t="s">
        <v>144</v>
      </c>
      <c r="D374" s="6"/>
      <c r="E374" s="8">
        <v>5300.0</v>
      </c>
      <c r="F374" s="8">
        <v>5300.0</v>
      </c>
      <c r="G374" s="9">
        <v>0.0</v>
      </c>
      <c r="H374" s="8">
        <v>5300.0</v>
      </c>
      <c r="I374" s="8">
        <v>5200.0</v>
      </c>
      <c r="J374" s="9">
        <v>100.0</v>
      </c>
      <c r="K374" s="9">
        <v>2.0</v>
      </c>
      <c r="L374" s="6"/>
    </row>
    <row r="375" spans="8:8" ht="21.0" customHeight="1">
      <c r="A375" s="10"/>
      <c r="B375" s="3" t="s">
        <v>17</v>
      </c>
      <c r="C375" s="4" t="s">
        <v>18</v>
      </c>
      <c r="D375" s="4" t="s">
        <v>19</v>
      </c>
      <c r="E375" s="4" t="s">
        <v>11</v>
      </c>
      <c r="F375" s="3" t="s">
        <v>20</v>
      </c>
    </row>
    <row r="376" spans="8:8" ht="21.0" customHeight="1">
      <c r="A376" s="10"/>
      <c r="B376" s="11" t="s">
        <v>24</v>
      </c>
      <c r="C376" s="9">
        <v>1.0</v>
      </c>
      <c r="D376" s="8">
        <v>5300.0</v>
      </c>
      <c r="E376" s="8">
        <v>5200.0</v>
      </c>
      <c r="F376" s="13"/>
    </row>
    <row r="377" spans="8:8" ht="21.0" customHeight="1">
      <c r="A377" s="10"/>
      <c r="B377" s="14"/>
      <c r="C377" s="15"/>
      <c r="D377" s="15"/>
      <c r="E377" s="15"/>
      <c r="F377" s="14"/>
    </row>
    <row r="378" spans="8:8" ht="21.0" customHeight="1">
      <c r="A378" s="5">
        <v>46211.0</v>
      </c>
      <c r="B378" s="6" t="s">
        <v>145</v>
      </c>
      <c r="C378" s="7" t="s">
        <v>146</v>
      </c>
      <c r="D378" s="6"/>
      <c r="E378" s="8">
        <v>339400.0</v>
      </c>
      <c r="F378" s="8">
        <v>301400.0</v>
      </c>
      <c r="G378" s="8">
        <v>38000.0</v>
      </c>
      <c r="H378" s="8">
        <v>339400.0</v>
      </c>
      <c r="I378" s="8">
        <v>303486.0</v>
      </c>
      <c r="J378" s="8">
        <v>35914.0</v>
      </c>
      <c r="K378" s="9">
        <v>11.0</v>
      </c>
      <c r="L378" s="6" t="s">
        <v>147</v>
      </c>
    </row>
    <row r="379" spans="8:8" ht="21.0" customHeight="1">
      <c r="A379" s="10"/>
      <c r="B379" s="3" t="s">
        <v>17</v>
      </c>
      <c r="C379" s="4" t="s">
        <v>18</v>
      </c>
      <c r="D379" s="4" t="s">
        <v>19</v>
      </c>
      <c r="E379" s="4" t="s">
        <v>11</v>
      </c>
      <c r="F379" s="3" t="s">
        <v>20</v>
      </c>
    </row>
    <row r="380" spans="8:8" ht="21.0" customHeight="1">
      <c r="A380" s="10"/>
      <c r="B380" s="11" t="s">
        <v>45</v>
      </c>
      <c r="C380" s="9">
        <v>5.0</v>
      </c>
      <c r="D380" s="8">
        <v>13335.0</v>
      </c>
      <c r="E380" s="8">
        <v>63734.0</v>
      </c>
      <c r="F380" s="13"/>
    </row>
    <row r="381" spans="8:8" ht="21.0" customHeight="1">
      <c r="A381" s="10"/>
      <c r="B381" s="11" t="s">
        <v>87</v>
      </c>
      <c r="C381" s="9">
        <v>5.0</v>
      </c>
      <c r="D381" s="8">
        <v>21485.0</v>
      </c>
      <c r="E381" s="8">
        <v>102200.0</v>
      </c>
      <c r="F381" s="13"/>
    </row>
    <row r="382" spans="8:8" ht="21.0" customHeight="1">
      <c r="A382" s="10"/>
      <c r="B382" s="11" t="s">
        <v>65</v>
      </c>
      <c r="C382" s="9">
        <v>5.0</v>
      </c>
      <c r="D382" s="8">
        <v>11910.0</v>
      </c>
      <c r="E382" s="8">
        <v>56575.0</v>
      </c>
      <c r="F382" s="13"/>
    </row>
    <row r="383" spans="8:8" ht="21.0" customHeight="1">
      <c r="A383" s="10"/>
      <c r="B383" s="11" t="s">
        <v>101</v>
      </c>
      <c r="C383" s="9">
        <v>5.0</v>
      </c>
      <c r="D383" s="8">
        <v>13550.0</v>
      </c>
      <c r="E383" s="8">
        <v>64600.0</v>
      </c>
      <c r="F383" s="13"/>
    </row>
    <row r="384" spans="8:8" ht="21.0" customHeight="1">
      <c r="A384" s="10"/>
      <c r="B384" s="11" t="s">
        <v>148</v>
      </c>
      <c r="C384" s="9">
        <v>10.0</v>
      </c>
      <c r="D384" s="8">
        <v>2000.0</v>
      </c>
      <c r="E384" s="8">
        <v>1377.0</v>
      </c>
      <c r="F384" s="13"/>
    </row>
    <row r="385" spans="8:8" ht="21.0" customHeight="1">
      <c r="A385" s="10"/>
      <c r="B385" s="11" t="s">
        <v>38</v>
      </c>
      <c r="C385" s="9">
        <v>10.0</v>
      </c>
      <c r="D385" s="8">
        <v>1800.0</v>
      </c>
      <c r="E385" s="8">
        <v>15000.0</v>
      </c>
      <c r="F385" s="13"/>
    </row>
    <row r="386" spans="8:8" ht="21.0" customHeight="1">
      <c r="A386" s="10"/>
      <c r="B386" s="14"/>
      <c r="C386" s="15"/>
      <c r="D386" s="15"/>
      <c r="E386" s="15"/>
      <c r="F386" s="14"/>
    </row>
    <row r="387" spans="8:8" ht="21.0" customHeight="1">
      <c r="A387" s="16">
        <v>46211.0</v>
      </c>
      <c r="B387" s="6" t="s">
        <v>29</v>
      </c>
      <c r="C387" s="7" t="s">
        <v>149</v>
      </c>
      <c r="D387" s="6"/>
      <c r="E387" s="8">
        <v>84365.0</v>
      </c>
      <c r="F387" s="8">
        <v>84365.0</v>
      </c>
      <c r="G387" s="9">
        <v>0.0</v>
      </c>
      <c r="H387" s="8">
        <v>84365.0</v>
      </c>
      <c r="I387" s="8">
        <v>79360.0</v>
      </c>
      <c r="J387" s="8">
        <v>5005.0</v>
      </c>
      <c r="K387" s="9">
        <v>6.0</v>
      </c>
      <c r="L387" s="6"/>
    </row>
    <row r="388" spans="8:8" ht="21.0" customHeight="1">
      <c r="A388" s="10"/>
      <c r="B388" s="3" t="s">
        <v>17</v>
      </c>
      <c r="C388" s="4" t="s">
        <v>18</v>
      </c>
      <c r="D388" s="4" t="s">
        <v>19</v>
      </c>
      <c r="E388" s="4" t="s">
        <v>11</v>
      </c>
      <c r="F388" s="3" t="s">
        <v>20</v>
      </c>
    </row>
    <row r="389" spans="8:8" ht="21.0" customHeight="1">
      <c r="A389" s="10"/>
      <c r="B389" s="11" t="s">
        <v>150</v>
      </c>
      <c r="C389" s="9">
        <v>2.0</v>
      </c>
      <c r="D389" s="8">
        <v>10315.0</v>
      </c>
      <c r="E389" s="8">
        <v>19850.0</v>
      </c>
      <c r="F389" s="13"/>
    </row>
    <row r="390" spans="8:8" ht="21.0" customHeight="1">
      <c r="A390" s="10"/>
      <c r="B390" s="11" t="s">
        <v>36</v>
      </c>
      <c r="C390" s="9">
        <v>1.0</v>
      </c>
      <c r="D390" s="8">
        <v>15525.0</v>
      </c>
      <c r="E390" s="8">
        <v>14900.0</v>
      </c>
      <c r="F390" s="13"/>
    </row>
    <row r="391" spans="8:8" ht="21.0" customHeight="1">
      <c r="A391" s="10"/>
      <c r="B391" s="11" t="s">
        <v>69</v>
      </c>
      <c r="C391" s="9">
        <v>1.0</v>
      </c>
      <c r="D391" s="8">
        <v>14450.0</v>
      </c>
      <c r="E391" s="8">
        <v>13780.0</v>
      </c>
      <c r="F391" s="13"/>
    </row>
    <row r="392" spans="8:8" ht="21.0" customHeight="1">
      <c r="A392" s="10"/>
      <c r="B392" s="11" t="s">
        <v>100</v>
      </c>
      <c r="C392" s="9">
        <v>2.0</v>
      </c>
      <c r="D392" s="8">
        <v>11480.0</v>
      </c>
      <c r="E392" s="8">
        <v>21830.0</v>
      </c>
      <c r="F392" s="13"/>
    </row>
    <row r="393" spans="8:8" ht="21.0" customHeight="1">
      <c r="A393" s="10"/>
      <c r="B393" s="11" t="s">
        <v>38</v>
      </c>
      <c r="C393" s="9">
        <v>6.0</v>
      </c>
      <c r="D393" s="8">
        <v>1800.0</v>
      </c>
      <c r="E393" s="8">
        <v>9000.0</v>
      </c>
      <c r="F393" s="13"/>
    </row>
    <row r="394" spans="8:8" ht="21.0" customHeight="1">
      <c r="A394" s="10"/>
      <c r="B394" s="14"/>
      <c r="C394" s="15"/>
      <c r="D394" s="15"/>
      <c r="E394" s="15"/>
      <c r="F394" s="14"/>
    </row>
    <row r="395" spans="8:8" ht="21.0" customHeight="1">
      <c r="A395" s="16">
        <v>46211.0</v>
      </c>
      <c r="B395" s="6" t="s">
        <v>29</v>
      </c>
      <c r="C395" s="7" t="s">
        <v>151</v>
      </c>
      <c r="D395" s="6"/>
      <c r="E395" s="8">
        <v>745625.0</v>
      </c>
      <c r="F395" s="8">
        <v>745625.0</v>
      </c>
      <c r="G395" s="9">
        <v>0.0</v>
      </c>
      <c r="H395" s="8">
        <v>745625.0</v>
      </c>
      <c r="I395" s="8">
        <v>723181.0</v>
      </c>
      <c r="J395" s="8">
        <v>22444.0</v>
      </c>
      <c r="K395" s="9">
        <v>3.0</v>
      </c>
      <c r="L395" s="6"/>
    </row>
    <row r="396" spans="8:8" ht="21.0" customHeight="1">
      <c r="A396" s="10"/>
      <c r="B396" s="3" t="s">
        <v>17</v>
      </c>
      <c r="C396" s="4" t="s">
        <v>18</v>
      </c>
      <c r="D396" s="4" t="s">
        <v>19</v>
      </c>
      <c r="E396" s="4" t="s">
        <v>11</v>
      </c>
      <c r="F396" s="3" t="s">
        <v>20</v>
      </c>
    </row>
    <row r="397" spans="8:8" ht="21.0" customHeight="1">
      <c r="A397" s="10"/>
      <c r="B397" s="11" t="s">
        <v>31</v>
      </c>
      <c r="C397" s="9">
        <v>20.0</v>
      </c>
      <c r="D397" s="8">
        <v>17100.0</v>
      </c>
      <c r="E397" s="8">
        <v>342000.0</v>
      </c>
      <c r="F397" s="13"/>
    </row>
    <row r="398" spans="8:8" ht="21.0" customHeight="1">
      <c r="A398" s="10"/>
      <c r="B398" s="11" t="s">
        <v>32</v>
      </c>
      <c r="C398" s="9">
        <v>25.0</v>
      </c>
      <c r="D398" s="8">
        <v>16145.0</v>
      </c>
      <c r="E398" s="8">
        <v>381181.0</v>
      </c>
      <c r="F398" s="13"/>
    </row>
    <row r="399" spans="8:8" ht="21.0" customHeight="1">
      <c r="A399" s="10"/>
      <c r="B399" s="14"/>
      <c r="C399" s="15"/>
      <c r="D399" s="15"/>
      <c r="E399" s="15"/>
      <c r="F399" s="14"/>
    </row>
    <row r="400" spans="8:8" ht="21.0" customHeight="1">
      <c r="A400" s="16">
        <v>46211.0</v>
      </c>
      <c r="B400" s="6" t="s">
        <v>152</v>
      </c>
      <c r="C400" s="7" t="s">
        <v>153</v>
      </c>
      <c r="D400" s="6"/>
      <c r="E400" s="8">
        <v>149300.0</v>
      </c>
      <c r="F400" s="8">
        <v>149300.0</v>
      </c>
      <c r="G400" s="9">
        <v>0.0</v>
      </c>
      <c r="H400" s="8">
        <v>149300.0</v>
      </c>
      <c r="I400" s="8">
        <v>128845.0</v>
      </c>
      <c r="J400" s="8">
        <v>20455.0</v>
      </c>
      <c r="K400" s="9">
        <v>14.0</v>
      </c>
      <c r="L400" s="6"/>
    </row>
    <row r="401" spans="8:8" ht="21.0" customHeight="1">
      <c r="A401" s="10"/>
      <c r="B401" s="3" t="s">
        <v>17</v>
      </c>
      <c r="C401" s="4" t="s">
        <v>18</v>
      </c>
      <c r="D401" s="4" t="s">
        <v>19</v>
      </c>
      <c r="E401" s="4" t="s">
        <v>11</v>
      </c>
      <c r="F401" s="3" t="s">
        <v>20</v>
      </c>
    </row>
    <row r="402" spans="8:8" ht="21.0" customHeight="1">
      <c r="A402" s="10"/>
      <c r="B402" s="11" t="s">
        <v>45</v>
      </c>
      <c r="C402" s="9">
        <v>10.0</v>
      </c>
      <c r="D402" s="8">
        <v>12930.0</v>
      </c>
      <c r="E402" s="8">
        <v>127468.0</v>
      </c>
      <c r="F402" s="13"/>
    </row>
    <row r="403" spans="8:8" ht="21.0" customHeight="1">
      <c r="A403" s="10"/>
      <c r="B403" s="11" t="s">
        <v>148</v>
      </c>
      <c r="C403" s="9">
        <v>10.0</v>
      </c>
      <c r="D403" s="8">
        <v>2000.0</v>
      </c>
      <c r="E403" s="8">
        <v>1377.0</v>
      </c>
      <c r="F403" s="13"/>
    </row>
    <row r="404" spans="8:8" ht="21.0" customHeight="1">
      <c r="A404" s="10"/>
      <c r="B404" s="14"/>
      <c r="C404" s="15"/>
      <c r="D404" s="15"/>
      <c r="E404" s="15"/>
      <c r="F404" s="14"/>
    </row>
    <row r="405" spans="8:8" ht="21.0" customHeight="1">
      <c r="A405" s="16">
        <v>46211.0</v>
      </c>
      <c r="B405" s="6" t="s">
        <v>154</v>
      </c>
      <c r="C405" s="7" t="s">
        <v>155</v>
      </c>
      <c r="D405" s="6"/>
      <c r="E405" s="8">
        <v>226290.0</v>
      </c>
      <c r="F405" s="8">
        <v>226290.0</v>
      </c>
      <c r="G405" s="9">
        <v>0.0</v>
      </c>
      <c r="H405" s="8">
        <v>226290.0</v>
      </c>
      <c r="I405" s="8">
        <v>210309.0</v>
      </c>
      <c r="J405" s="8">
        <v>15981.0</v>
      </c>
      <c r="K405" s="9">
        <v>7.0</v>
      </c>
      <c r="L405" s="6"/>
    </row>
    <row r="406" spans="8:8" ht="21.0" customHeight="1">
      <c r="A406" s="10"/>
      <c r="B406" s="3" t="s">
        <v>17</v>
      </c>
      <c r="C406" s="4" t="s">
        <v>18</v>
      </c>
      <c r="D406" s="4" t="s">
        <v>19</v>
      </c>
      <c r="E406" s="4" t="s">
        <v>11</v>
      </c>
      <c r="F406" s="3" t="s">
        <v>20</v>
      </c>
    </row>
    <row r="407" spans="8:8" ht="21.0" customHeight="1">
      <c r="A407" s="10"/>
      <c r="B407" s="11" t="s">
        <v>44</v>
      </c>
      <c r="C407" s="9">
        <v>4.0</v>
      </c>
      <c r="D407" s="8">
        <v>9200.0</v>
      </c>
      <c r="E407" s="8">
        <v>35960.0</v>
      </c>
      <c r="F407" s="13"/>
    </row>
    <row r="408" spans="8:8" ht="21.0" customHeight="1">
      <c r="A408" s="10"/>
      <c r="B408" s="11" t="s">
        <v>65</v>
      </c>
      <c r="C408" s="9">
        <v>2.0</v>
      </c>
      <c r="D408" s="8">
        <v>11910.0</v>
      </c>
      <c r="E408" s="8">
        <v>22630.0</v>
      </c>
      <c r="F408" s="13"/>
    </row>
    <row r="409" spans="8:8" ht="21.0" customHeight="1">
      <c r="A409" s="10"/>
      <c r="B409" s="11" t="s">
        <v>37</v>
      </c>
      <c r="C409" s="9">
        <v>4.0</v>
      </c>
      <c r="D409" s="8">
        <v>9200.0</v>
      </c>
      <c r="E409" s="8">
        <v>34100.0</v>
      </c>
      <c r="F409" s="13"/>
    </row>
    <row r="410" spans="8:8" ht="21.0" customHeight="1">
      <c r="A410" s="10"/>
      <c r="B410" s="11" t="s">
        <v>45</v>
      </c>
      <c r="C410" s="9">
        <v>2.0</v>
      </c>
      <c r="D410" s="8">
        <v>13335.0</v>
      </c>
      <c r="E410" s="8">
        <v>25494.0</v>
      </c>
      <c r="F410" s="13"/>
    </row>
    <row r="411" spans="8:8" ht="21.0" customHeight="1">
      <c r="A411" s="10"/>
      <c r="B411" s="11" t="s">
        <v>27</v>
      </c>
      <c r="C411" s="9">
        <v>10.0</v>
      </c>
      <c r="D411" s="8">
        <v>8020.0</v>
      </c>
      <c r="E411" s="8">
        <v>76850.0</v>
      </c>
      <c r="F411" s="13"/>
    </row>
    <row r="412" spans="8:8" ht="21.0" customHeight="1">
      <c r="A412" s="10"/>
      <c r="B412" s="11" t="s">
        <v>38</v>
      </c>
      <c r="C412" s="9">
        <v>10.0</v>
      </c>
      <c r="D412" s="8">
        <v>1800.0</v>
      </c>
      <c r="E412" s="8">
        <v>15000.0</v>
      </c>
      <c r="F412" s="13"/>
    </row>
    <row r="413" spans="8:8" ht="21.0" customHeight="1">
      <c r="A413" s="10"/>
      <c r="B413" s="11" t="s">
        <v>148</v>
      </c>
      <c r="C413" s="9">
        <v>2.0</v>
      </c>
      <c r="D413" s="8">
        <v>2000.0</v>
      </c>
      <c r="E413" s="9">
        <v>275.0</v>
      </c>
      <c r="F413" s="13"/>
    </row>
    <row r="414" spans="8:8" ht="21.0" customHeight="1">
      <c r="A414" s="10"/>
      <c r="B414" s="14"/>
      <c r="C414" s="15"/>
      <c r="D414" s="15"/>
      <c r="E414" s="15"/>
      <c r="F414" s="14"/>
    </row>
    <row r="415" spans="8:8" ht="21.0" customHeight="1">
      <c r="A415" s="16">
        <v>46211.0</v>
      </c>
      <c r="B415" s="6" t="s">
        <v>102</v>
      </c>
      <c r="C415" s="7" t="s">
        <v>156</v>
      </c>
      <c r="D415" s="6"/>
      <c r="E415" s="8">
        <v>9500.0</v>
      </c>
      <c r="F415" s="8">
        <v>9500.0</v>
      </c>
      <c r="G415" s="9">
        <v>0.0</v>
      </c>
      <c r="H415" s="8">
        <v>9500.0</v>
      </c>
      <c r="I415" s="8">
        <v>8637.0</v>
      </c>
      <c r="J415" s="9">
        <v>863.0</v>
      </c>
      <c r="K415" s="9">
        <v>9.0</v>
      </c>
      <c r="L415" s="6"/>
    </row>
    <row r="416" spans="8:8" ht="21.0" customHeight="1">
      <c r="A416" s="10"/>
      <c r="B416" s="3" t="s">
        <v>17</v>
      </c>
      <c r="C416" s="4" t="s">
        <v>18</v>
      </c>
      <c r="D416" s="4" t="s">
        <v>19</v>
      </c>
      <c r="E416" s="4" t="s">
        <v>11</v>
      </c>
      <c r="F416" s="3" t="s">
        <v>20</v>
      </c>
    </row>
    <row r="417" spans="8:8" ht="21.0" customHeight="1">
      <c r="A417" s="10"/>
      <c r="B417" s="11" t="s">
        <v>22</v>
      </c>
      <c r="C417" s="9">
        <v>1.0</v>
      </c>
      <c r="D417" s="8">
        <v>9500.0</v>
      </c>
      <c r="E417" s="8">
        <v>8637.0</v>
      </c>
      <c r="F417" s="13"/>
    </row>
    <row r="418" spans="8:8" ht="21.0" customHeight="1">
      <c r="A418" s="10"/>
      <c r="B418" s="14"/>
      <c r="C418" s="15"/>
      <c r="D418" s="15"/>
      <c r="E418" s="15"/>
      <c r="F418" s="14"/>
    </row>
    <row r="419" spans="8:8" ht="21.0" customHeight="1">
      <c r="A419" s="16">
        <v>46211.0</v>
      </c>
      <c r="B419" s="6" t="s">
        <v>157</v>
      </c>
      <c r="C419" s="7" t="s">
        <v>158</v>
      </c>
      <c r="D419" s="6"/>
      <c r="E419" s="8">
        <v>230200.0</v>
      </c>
      <c r="F419" s="8">
        <v>230200.0</v>
      </c>
      <c r="G419" s="9">
        <v>0.0</v>
      </c>
      <c r="H419" s="8">
        <v>230200.0</v>
      </c>
      <c r="I419" s="8">
        <v>232850.0</v>
      </c>
      <c r="J419" s="8">
        <v>-2650.0</v>
      </c>
      <c r="K419" s="9">
        <v>-1.0</v>
      </c>
      <c r="L419" s="6"/>
    </row>
    <row r="420" spans="8:8" ht="21.0" customHeight="1">
      <c r="A420" s="10"/>
      <c r="B420" s="3" t="s">
        <v>17</v>
      </c>
      <c r="C420" s="4" t="s">
        <v>18</v>
      </c>
      <c r="D420" s="4" t="s">
        <v>19</v>
      </c>
      <c r="E420" s="4" t="s">
        <v>11</v>
      </c>
      <c r="F420" s="3" t="s">
        <v>20</v>
      </c>
    </row>
    <row r="421" spans="8:8" ht="21.0" customHeight="1">
      <c r="A421" s="10"/>
      <c r="B421" s="11" t="s">
        <v>24</v>
      </c>
      <c r="C421" s="9">
        <v>30.0</v>
      </c>
      <c r="D421" s="8">
        <v>5000.0</v>
      </c>
      <c r="E421" s="8">
        <v>156000.0</v>
      </c>
      <c r="F421" s="13"/>
    </row>
    <row r="422" spans="8:8" ht="21.0" customHeight="1">
      <c r="A422" s="10"/>
      <c r="B422" s="11" t="s">
        <v>27</v>
      </c>
      <c r="C422" s="9">
        <v>10.0</v>
      </c>
      <c r="D422" s="8">
        <v>8020.0</v>
      </c>
      <c r="E422" s="8">
        <v>76850.0</v>
      </c>
      <c r="F422" s="13"/>
    </row>
    <row r="423" spans="8:8" ht="21.0" customHeight="1">
      <c r="A423" s="10"/>
      <c r="B423" s="14"/>
      <c r="C423" s="15"/>
      <c r="D423" s="15"/>
      <c r="E423" s="15"/>
      <c r="F423" s="14"/>
    </row>
    <row r="424" spans="8:8" ht="21.0" customHeight="1">
      <c r="A424" s="16">
        <v>46211.0</v>
      </c>
      <c r="B424" s="6" t="s">
        <v>15</v>
      </c>
      <c r="C424" s="7" t="s">
        <v>159</v>
      </c>
      <c r="D424" s="6"/>
      <c r="E424" s="8">
        <v>55000.0</v>
      </c>
      <c r="F424" s="8">
        <v>55000.0</v>
      </c>
      <c r="G424" s="9">
        <v>0.0</v>
      </c>
      <c r="H424" s="8">
        <v>55000.0</v>
      </c>
      <c r="I424" s="8">
        <v>50575.0</v>
      </c>
      <c r="J424" s="8">
        <v>4425.0</v>
      </c>
      <c r="K424" s="9">
        <v>8.0</v>
      </c>
      <c r="L424" s="6"/>
    </row>
    <row r="425" spans="8:8" ht="21.0" customHeight="1">
      <c r="A425" s="10"/>
      <c r="B425" s="3" t="s">
        <v>17</v>
      </c>
      <c r="C425" s="4" t="s">
        <v>18</v>
      </c>
      <c r="D425" s="4" t="s">
        <v>19</v>
      </c>
      <c r="E425" s="4" t="s">
        <v>11</v>
      </c>
      <c r="F425" s="3" t="s">
        <v>20</v>
      </c>
    </row>
    <row r="426" spans="8:8" ht="21.0" customHeight="1">
      <c r="A426" s="10"/>
      <c r="B426" s="11" t="s">
        <v>22</v>
      </c>
      <c r="C426" s="9">
        <v>4.0</v>
      </c>
      <c r="D426" s="8">
        <v>9200.0</v>
      </c>
      <c r="E426" s="8">
        <v>34550.0</v>
      </c>
      <c r="F426" s="13"/>
    </row>
    <row r="427" spans="8:8" ht="21.0" customHeight="1">
      <c r="A427" s="10"/>
      <c r="B427" s="11" t="s">
        <v>37</v>
      </c>
      <c r="C427" s="9">
        <v>1.0</v>
      </c>
      <c r="D427" s="8">
        <v>9200.0</v>
      </c>
      <c r="E427" s="8">
        <v>8525.0</v>
      </c>
      <c r="F427" s="13"/>
    </row>
    <row r="428" spans="8:8" ht="21.0" customHeight="1">
      <c r="A428" s="10"/>
      <c r="B428" s="11" t="s">
        <v>38</v>
      </c>
      <c r="C428" s="9">
        <v>5.0</v>
      </c>
      <c r="D428" s="8">
        <v>1800.0</v>
      </c>
      <c r="E428" s="8">
        <v>7500.0</v>
      </c>
      <c r="F428" s="13"/>
    </row>
    <row r="429" spans="8:8" ht="21.0" customHeight="1">
      <c r="A429" s="10"/>
      <c r="B429" s="14"/>
      <c r="C429" s="15"/>
      <c r="D429" s="15"/>
      <c r="E429" s="15"/>
      <c r="F429" s="14"/>
    </row>
    <row r="430" spans="8:8" ht="21.0" customHeight="1">
      <c r="A430" s="16">
        <v>46211.0</v>
      </c>
      <c r="B430" s="6" t="s">
        <v>104</v>
      </c>
      <c r="C430" s="7" t="s">
        <v>160</v>
      </c>
      <c r="D430" s="6"/>
      <c r="E430" s="8">
        <v>15125.0</v>
      </c>
      <c r="F430" s="8">
        <v>15125.0</v>
      </c>
      <c r="G430" s="9">
        <v>0.0</v>
      </c>
      <c r="H430" s="8">
        <v>15125.0</v>
      </c>
      <c r="I430" s="8">
        <v>13890.0</v>
      </c>
      <c r="J430" s="8">
        <v>1235.0</v>
      </c>
      <c r="K430" s="9">
        <v>8.0</v>
      </c>
      <c r="L430" s="6"/>
    </row>
    <row r="431" spans="8:8" ht="21.0" customHeight="1">
      <c r="A431" s="10"/>
      <c r="B431" s="3" t="s">
        <v>17</v>
      </c>
      <c r="C431" s="4" t="s">
        <v>18</v>
      </c>
      <c r="D431" s="4" t="s">
        <v>19</v>
      </c>
      <c r="E431" s="4" t="s">
        <v>11</v>
      </c>
      <c r="F431" s="3" t="s">
        <v>20</v>
      </c>
    </row>
    <row r="432" spans="8:8" ht="21.0" customHeight="1">
      <c r="A432" s="10"/>
      <c r="B432" s="11" t="s">
        <v>119</v>
      </c>
      <c r="C432" s="9">
        <v>1.0</v>
      </c>
      <c r="D432" s="8">
        <v>13125.0</v>
      </c>
      <c r="E432" s="8">
        <v>12390.0</v>
      </c>
      <c r="F432" s="13"/>
    </row>
    <row r="433" spans="8:8" ht="21.0" customHeight="1">
      <c r="A433" s="10"/>
      <c r="B433" s="11" t="s">
        <v>38</v>
      </c>
      <c r="C433" s="9">
        <v>1.0</v>
      </c>
      <c r="D433" s="8">
        <v>2000.0</v>
      </c>
      <c r="E433" s="8">
        <v>1500.0</v>
      </c>
      <c r="F433" s="13"/>
    </row>
    <row r="434" spans="8:8" ht="21.0" customHeight="1">
      <c r="A434" s="10"/>
      <c r="B434" s="14"/>
      <c r="C434" s="15"/>
      <c r="D434" s="15"/>
      <c r="E434" s="15"/>
      <c r="F434" s="14"/>
    </row>
    <row r="435" spans="8:8" ht="21.0" customHeight="1">
      <c r="A435" s="16">
        <v>46211.0</v>
      </c>
      <c r="B435" s="6" t="s">
        <v>78</v>
      </c>
      <c r="C435" s="7" t="s">
        <v>161</v>
      </c>
      <c r="D435" s="6"/>
      <c r="E435" s="8">
        <v>1048720.0</v>
      </c>
      <c r="F435" s="8">
        <v>600000.0</v>
      </c>
      <c r="G435" s="8">
        <v>448720.0</v>
      </c>
      <c r="H435" s="8">
        <v>1048720.0</v>
      </c>
      <c r="I435" s="8">
        <v>916641.0</v>
      </c>
      <c r="J435" s="8">
        <v>132079.0</v>
      </c>
      <c r="K435" s="9">
        <v>13.0</v>
      </c>
      <c r="L435" s="6"/>
    </row>
    <row r="436" spans="8:8" ht="21.0" customHeight="1">
      <c r="A436" s="10"/>
      <c r="B436" s="3" t="s">
        <v>17</v>
      </c>
      <c r="C436" s="4" t="s">
        <v>18</v>
      </c>
      <c r="D436" s="4" t="s">
        <v>19</v>
      </c>
      <c r="E436" s="4" t="s">
        <v>11</v>
      </c>
      <c r="F436" s="3" t="s">
        <v>20</v>
      </c>
    </row>
    <row r="437" spans="8:8" ht="21.0" customHeight="1">
      <c r="A437" s="10"/>
      <c r="B437" s="11" t="s">
        <v>45</v>
      </c>
      <c r="C437" s="9">
        <v>60.0</v>
      </c>
      <c r="D437" s="8">
        <v>12930.0</v>
      </c>
      <c r="E437" s="8">
        <v>764806.0</v>
      </c>
      <c r="F437" s="13"/>
    </row>
    <row r="438" spans="8:8" ht="21.0" customHeight="1">
      <c r="A438" s="10"/>
      <c r="B438" s="11" t="s">
        <v>65</v>
      </c>
      <c r="C438" s="9">
        <v>2.0</v>
      </c>
      <c r="D438" s="8">
        <v>11910.0</v>
      </c>
      <c r="E438" s="8">
        <v>22630.0</v>
      </c>
      <c r="F438" s="13"/>
    </row>
    <row r="439" spans="8:8" ht="21.0" customHeight="1">
      <c r="A439" s="10"/>
      <c r="B439" s="11" t="s">
        <v>69</v>
      </c>
      <c r="C439" s="9">
        <v>3.0</v>
      </c>
      <c r="D439" s="8">
        <v>14450.0</v>
      </c>
      <c r="E439" s="8">
        <v>41340.0</v>
      </c>
      <c r="F439" s="13"/>
    </row>
    <row r="440" spans="8:8" ht="21.0" customHeight="1">
      <c r="A440" s="10"/>
      <c r="B440" s="11" t="s">
        <v>101</v>
      </c>
      <c r="C440" s="9">
        <v>5.0</v>
      </c>
      <c r="D440" s="8">
        <v>13550.0</v>
      </c>
      <c r="E440" s="8">
        <v>64600.0</v>
      </c>
      <c r="F440" s="13"/>
    </row>
    <row r="441" spans="8:8" ht="21.0" customHeight="1">
      <c r="A441" s="10"/>
      <c r="B441" s="11" t="s">
        <v>148</v>
      </c>
      <c r="C441" s="9">
        <v>60.0</v>
      </c>
      <c r="D441" s="8">
        <v>2000.0</v>
      </c>
      <c r="E441" s="8">
        <v>8265.0</v>
      </c>
      <c r="F441" s="13"/>
    </row>
    <row r="442" spans="8:8" ht="21.0" customHeight="1">
      <c r="A442" s="10"/>
      <c r="B442" s="11" t="s">
        <v>38</v>
      </c>
      <c r="C442" s="9">
        <v>10.0</v>
      </c>
      <c r="D442" s="8">
        <v>1800.0</v>
      </c>
      <c r="E442" s="8">
        <v>15000.0</v>
      </c>
      <c r="F442" s="13"/>
    </row>
    <row r="443" spans="8:8" ht="21.0" customHeight="1">
      <c r="A443" s="10"/>
      <c r="B443" s="14"/>
      <c r="C443" s="15"/>
      <c r="D443" s="15"/>
      <c r="E443" s="15"/>
      <c r="F443" s="14"/>
    </row>
    <row r="444" spans="8:8" ht="21.0" customHeight="1">
      <c r="A444" s="16">
        <v>46211.0</v>
      </c>
      <c r="B444" s="6" t="s">
        <v>25</v>
      </c>
      <c r="C444" s="7" t="s">
        <v>162</v>
      </c>
      <c r="D444" s="6"/>
      <c r="E444" s="8">
        <v>839225.0</v>
      </c>
      <c r="F444" s="8">
        <v>839225.0</v>
      </c>
      <c r="G444" s="9">
        <v>0.0</v>
      </c>
      <c r="H444" s="8">
        <v>839225.0</v>
      </c>
      <c r="I444" s="8">
        <v>865500.0</v>
      </c>
      <c r="J444" s="8">
        <v>-26275.0</v>
      </c>
      <c r="K444" s="9">
        <v>-3.0</v>
      </c>
      <c r="L444" s="6"/>
    </row>
    <row r="445" spans="8:8" ht="21.0" customHeight="1">
      <c r="A445" s="10"/>
      <c r="B445" s="3" t="s">
        <v>17</v>
      </c>
      <c r="C445" s="4" t="s">
        <v>18</v>
      </c>
      <c r="D445" s="4" t="s">
        <v>19</v>
      </c>
      <c r="E445" s="4" t="s">
        <v>11</v>
      </c>
      <c r="F445" s="3" t="s">
        <v>20</v>
      </c>
    </row>
    <row r="446" spans="8:8" ht="21.0" customHeight="1">
      <c r="A446" s="10"/>
      <c r="B446" s="11" t="s">
        <v>24</v>
      </c>
      <c r="C446" s="9">
        <v>150.0</v>
      </c>
      <c r="D446" s="8">
        <v>5000.0</v>
      </c>
      <c r="E446" s="8">
        <v>780000.0</v>
      </c>
      <c r="F446" s="13"/>
    </row>
    <row r="447" spans="8:8" ht="21.0" customHeight="1">
      <c r="A447" s="10"/>
      <c r="B447" s="11" t="s">
        <v>31</v>
      </c>
      <c r="C447" s="9">
        <v>5.0</v>
      </c>
      <c r="D447" s="8">
        <v>17845.0</v>
      </c>
      <c r="E447" s="8">
        <v>85500.0</v>
      </c>
      <c r="F447" s="13"/>
    </row>
    <row r="448" spans="8:8" ht="21.0" customHeight="1">
      <c r="A448" s="10"/>
      <c r="B448" s="14"/>
      <c r="C448" s="15"/>
      <c r="D448" s="15"/>
      <c r="E448" s="15"/>
      <c r="F448" s="14"/>
    </row>
    <row r="449" spans="8:8" ht="21.0" customHeight="1">
      <c r="A449" s="16">
        <v>46211.0</v>
      </c>
      <c r="B449" s="6" t="s">
        <v>163</v>
      </c>
      <c r="C449" s="7" t="s">
        <v>164</v>
      </c>
      <c r="D449" s="6"/>
      <c r="E449" s="8">
        <v>167570.0</v>
      </c>
      <c r="F449" s="8">
        <v>167570.0</v>
      </c>
      <c r="G449" s="9">
        <v>0.0</v>
      </c>
      <c r="H449" s="8">
        <v>167570.0</v>
      </c>
      <c r="I449" s="8">
        <v>156747.0</v>
      </c>
      <c r="J449" s="8">
        <v>10823.0</v>
      </c>
      <c r="K449" s="9">
        <v>6.0</v>
      </c>
      <c r="L449" s="6"/>
    </row>
    <row r="450" spans="8:8" ht="21.0" customHeight="1">
      <c r="A450" s="10"/>
      <c r="B450" s="3" t="s">
        <v>17</v>
      </c>
      <c r="C450" s="4" t="s">
        <v>18</v>
      </c>
      <c r="D450" s="4" t="s">
        <v>19</v>
      </c>
      <c r="E450" s="4" t="s">
        <v>11</v>
      </c>
      <c r="F450" s="3" t="s">
        <v>20</v>
      </c>
    </row>
    <row r="451" spans="8:8" ht="21.0" customHeight="1">
      <c r="A451" s="10"/>
      <c r="B451" s="11" t="s">
        <v>22</v>
      </c>
      <c r="C451" s="9">
        <v>5.0</v>
      </c>
      <c r="D451" s="8">
        <v>9200.0</v>
      </c>
      <c r="E451" s="8">
        <v>43187.0</v>
      </c>
      <c r="F451" s="13"/>
    </row>
    <row r="452" spans="8:8" ht="21.0" customHeight="1">
      <c r="A452" s="10"/>
      <c r="B452" s="11" t="s">
        <v>150</v>
      </c>
      <c r="C452" s="9">
        <v>2.0</v>
      </c>
      <c r="D452" s="8">
        <v>10315.0</v>
      </c>
      <c r="E452" s="8">
        <v>19850.0</v>
      </c>
      <c r="F452" s="13"/>
    </row>
    <row r="453" spans="8:8" ht="21.0" customHeight="1">
      <c r="A453" s="10"/>
      <c r="B453" s="11" t="s">
        <v>93</v>
      </c>
      <c r="C453" s="9">
        <v>3.0</v>
      </c>
      <c r="D453" s="8">
        <v>11600.0</v>
      </c>
      <c r="E453" s="8">
        <v>33390.0</v>
      </c>
      <c r="F453" s="13"/>
    </row>
    <row r="454" spans="8:8" ht="21.0" customHeight="1">
      <c r="A454" s="10"/>
      <c r="B454" s="11" t="s">
        <v>141</v>
      </c>
      <c r="C454" s="9">
        <v>2.0</v>
      </c>
      <c r="D454" s="8">
        <v>14145.0</v>
      </c>
      <c r="E454" s="8">
        <v>27040.0</v>
      </c>
      <c r="F454" s="13"/>
    </row>
    <row r="455" spans="8:8" ht="21.0" customHeight="1">
      <c r="A455" s="10"/>
      <c r="B455" s="11" t="s">
        <v>69</v>
      </c>
      <c r="C455" s="9">
        <v>1.0</v>
      </c>
      <c r="D455" s="8">
        <v>14450.0</v>
      </c>
      <c r="E455" s="8">
        <v>13780.0</v>
      </c>
      <c r="F455" s="13"/>
    </row>
    <row r="456" spans="8:8" ht="21.0" customHeight="1">
      <c r="A456" s="10"/>
      <c r="B456" s="11" t="s">
        <v>38</v>
      </c>
      <c r="C456" s="9">
        <v>13.0</v>
      </c>
      <c r="D456" s="8">
        <v>1800.0</v>
      </c>
      <c r="E456" s="8">
        <v>19500.0</v>
      </c>
      <c r="F456" s="13"/>
    </row>
    <row r="457" spans="8:8" ht="21.0" customHeight="1">
      <c r="A457" s="10"/>
      <c r="B457" s="14"/>
      <c r="C457" s="15"/>
      <c r="D457" s="15"/>
      <c r="E457" s="15"/>
      <c r="F457" s="14"/>
    </row>
    <row r="458" spans="8:8" ht="21.0" customHeight="1">
      <c r="A458" s="16">
        <v>46211.0</v>
      </c>
      <c r="B458" s="6" t="s">
        <v>165</v>
      </c>
      <c r="C458" s="7" t="s">
        <v>166</v>
      </c>
      <c r="D458" s="6"/>
      <c r="E458" s="8">
        <v>3724000.0</v>
      </c>
      <c r="F458" s="8">
        <v>3724000.0</v>
      </c>
      <c r="G458" s="9">
        <v>0.0</v>
      </c>
      <c r="H458" s="8">
        <v>3724000.0</v>
      </c>
      <c r="I458" s="8">
        <v>3542481.0</v>
      </c>
      <c r="J458" s="8">
        <v>181519.0</v>
      </c>
      <c r="K458" s="9">
        <v>5.0</v>
      </c>
      <c r="L458" s="6" t="s">
        <v>167</v>
      </c>
    </row>
    <row r="459" spans="8:8" ht="21.0" customHeight="1">
      <c r="A459" s="10"/>
      <c r="B459" s="3" t="s">
        <v>17</v>
      </c>
      <c r="C459" s="4" t="s">
        <v>18</v>
      </c>
      <c r="D459" s="4" t="s">
        <v>19</v>
      </c>
      <c r="E459" s="4" t="s">
        <v>11</v>
      </c>
      <c r="F459" s="3" t="s">
        <v>20</v>
      </c>
    </row>
    <row r="460" spans="8:8" ht="21.0" customHeight="1">
      <c r="A460" s="10"/>
      <c r="B460" s="11" t="s">
        <v>22</v>
      </c>
      <c r="C460" s="9">
        <v>300.0</v>
      </c>
      <c r="D460" s="8">
        <v>8600.0</v>
      </c>
      <c r="E460" s="8">
        <v>2591231.0</v>
      </c>
      <c r="F460" s="13"/>
    </row>
    <row r="461" spans="8:8" ht="21.0" customHeight="1">
      <c r="A461" s="10"/>
      <c r="B461" s="11" t="s">
        <v>37</v>
      </c>
      <c r="C461" s="9">
        <v>50.0</v>
      </c>
      <c r="D461" s="8">
        <v>8880.0</v>
      </c>
      <c r="E461" s="8">
        <v>426250.0</v>
      </c>
      <c r="F461" s="13"/>
    </row>
    <row r="462" spans="8:8" ht="21.0" customHeight="1">
      <c r="A462" s="10"/>
      <c r="B462" s="11" t="s">
        <v>38</v>
      </c>
      <c r="C462" s="9">
        <v>350.0</v>
      </c>
      <c r="D462" s="8">
        <v>2000.0</v>
      </c>
      <c r="E462" s="8">
        <v>525000.0</v>
      </c>
      <c r="F462" s="13"/>
    </row>
    <row r="463" spans="8:8" ht="21.0" customHeight="1">
      <c r="A463" s="10"/>
      <c r="B463" s="14"/>
      <c r="C463" s="15"/>
      <c r="D463" s="15"/>
      <c r="E463" s="15"/>
      <c r="F463" s="14"/>
    </row>
    <row r="464" spans="8:8" ht="21.0" customHeight="1">
      <c r="A464" s="16">
        <v>46211.0</v>
      </c>
      <c r="B464" s="6" t="s">
        <v>168</v>
      </c>
      <c r="C464" s="7" t="s">
        <v>169</v>
      </c>
      <c r="D464" s="6"/>
      <c r="E464" s="8">
        <v>775800.0</v>
      </c>
      <c r="F464" s="8">
        <v>775800.0</v>
      </c>
      <c r="G464" s="9">
        <v>0.0</v>
      </c>
      <c r="H464" s="8">
        <v>775800.0</v>
      </c>
      <c r="I464" s="8">
        <v>764806.0</v>
      </c>
      <c r="J464" s="8">
        <v>10994.0</v>
      </c>
      <c r="K464" s="9">
        <v>1.0</v>
      </c>
      <c r="L464" s="6"/>
    </row>
    <row r="465" spans="8:8" ht="21.0" customHeight="1">
      <c r="A465" s="10"/>
      <c r="B465" s="3" t="s">
        <v>17</v>
      </c>
      <c r="C465" s="4" t="s">
        <v>18</v>
      </c>
      <c r="D465" s="4" t="s">
        <v>19</v>
      </c>
      <c r="E465" s="4" t="s">
        <v>11</v>
      </c>
      <c r="F465" s="3" t="s">
        <v>20</v>
      </c>
    </row>
    <row r="466" spans="8:8" ht="21.0" customHeight="1">
      <c r="A466" s="10"/>
      <c r="B466" s="11" t="s">
        <v>45</v>
      </c>
      <c r="C466" s="9">
        <v>60.0</v>
      </c>
      <c r="D466" s="8">
        <v>12930.0</v>
      </c>
      <c r="E466" s="8">
        <v>764806.0</v>
      </c>
      <c r="F466" s="13"/>
    </row>
    <row r="467" spans="8:8" ht="21.0" customHeight="1">
      <c r="A467" s="10"/>
      <c r="B467" s="14"/>
      <c r="C467" s="15"/>
      <c r="D467" s="15"/>
      <c r="E467" s="15"/>
      <c r="F467" s="14"/>
    </row>
    <row r="468" spans="8:8" ht="21.0" customHeight="1">
      <c r="A468" s="16">
        <v>46211.0</v>
      </c>
      <c r="B468" s="6" t="s">
        <v>168</v>
      </c>
      <c r="C468" s="7" t="s">
        <v>170</v>
      </c>
      <c r="D468" s="6"/>
      <c r="E468" s="8">
        <v>120000.0</v>
      </c>
      <c r="F468" s="8">
        <v>120000.0</v>
      </c>
      <c r="G468" s="9">
        <v>0.0</v>
      </c>
      <c r="H468" s="8">
        <v>120000.0</v>
      </c>
      <c r="I468" s="8">
        <v>8265.0</v>
      </c>
      <c r="J468" s="8">
        <v>111735.0</v>
      </c>
      <c r="K468" s="9">
        <v>93.0</v>
      </c>
      <c r="L468" s="6"/>
    </row>
    <row r="469" spans="8:8" ht="21.0" customHeight="1">
      <c r="A469" s="10"/>
      <c r="B469" s="3" t="s">
        <v>17</v>
      </c>
      <c r="C469" s="4" t="s">
        <v>18</v>
      </c>
      <c r="D469" s="4" t="s">
        <v>19</v>
      </c>
      <c r="E469" s="4" t="s">
        <v>11</v>
      </c>
      <c r="F469" s="3" t="s">
        <v>20</v>
      </c>
    </row>
    <row r="470" spans="8:8" ht="21.0" customHeight="1">
      <c r="A470" s="10"/>
      <c r="B470" s="11" t="s">
        <v>148</v>
      </c>
      <c r="C470" s="9">
        <v>60.0</v>
      </c>
      <c r="D470" s="8">
        <v>2000.0</v>
      </c>
      <c r="E470" s="8">
        <v>8265.0</v>
      </c>
      <c r="F470" s="13"/>
    </row>
    <row r="471" spans="8:8" ht="21.0" customHeight="1">
      <c r="A471" s="10"/>
      <c r="B471" s="14"/>
      <c r="C471" s="15"/>
      <c r="D471" s="15"/>
      <c r="E471" s="15"/>
      <c r="F471" s="14"/>
    </row>
    <row r="472" spans="8:8" ht="21.0" customHeight="1">
      <c r="A472" s="16">
        <v>46211.0</v>
      </c>
      <c r="B472" s="6" t="s">
        <v>59</v>
      </c>
      <c r="C472" s="7" t="s">
        <v>171</v>
      </c>
      <c r="D472" s="6"/>
      <c r="E472" s="8">
        <v>535500.0</v>
      </c>
      <c r="F472" s="8">
        <v>500000.0</v>
      </c>
      <c r="G472" s="8">
        <v>35500.0</v>
      </c>
      <c r="H472" s="8">
        <v>535500.0</v>
      </c>
      <c r="I472" s="8">
        <v>502875.0</v>
      </c>
      <c r="J472" s="8">
        <v>32625.0</v>
      </c>
      <c r="K472" s="9">
        <v>6.0</v>
      </c>
      <c r="L472" s="6"/>
    </row>
    <row r="473" spans="8:8" ht="21.0" customHeight="1">
      <c r="A473" s="10"/>
      <c r="B473" s="3" t="s">
        <v>17</v>
      </c>
      <c r="C473" s="4" t="s">
        <v>18</v>
      </c>
      <c r="D473" s="4" t="s">
        <v>19</v>
      </c>
      <c r="E473" s="4" t="s">
        <v>11</v>
      </c>
      <c r="F473" s="3" t="s">
        <v>20</v>
      </c>
    </row>
    <row r="474" spans="8:8" ht="21.0" customHeight="1">
      <c r="A474" s="10"/>
      <c r="B474" s="11" t="s">
        <v>65</v>
      </c>
      <c r="C474" s="9">
        <v>10.0</v>
      </c>
      <c r="D474" s="8">
        <v>11910.0</v>
      </c>
      <c r="E474" s="8">
        <v>113150.0</v>
      </c>
      <c r="F474" s="13"/>
    </row>
    <row r="475" spans="8:8" ht="21.0" customHeight="1">
      <c r="A475" s="10"/>
      <c r="B475" s="11" t="s">
        <v>80</v>
      </c>
      <c r="C475" s="9">
        <v>10.0</v>
      </c>
      <c r="D475" s="8">
        <v>9345.0</v>
      </c>
      <c r="E475" s="8">
        <v>89700.0</v>
      </c>
      <c r="F475" s="13"/>
    </row>
    <row r="476" spans="8:8" ht="21.0" customHeight="1">
      <c r="A476" s="10"/>
      <c r="B476" s="11" t="s">
        <v>141</v>
      </c>
      <c r="C476" s="9">
        <v>5.0</v>
      </c>
      <c r="D476" s="8">
        <v>14145.0</v>
      </c>
      <c r="E476" s="8">
        <v>67600.0</v>
      </c>
      <c r="F476" s="13"/>
    </row>
    <row r="477" spans="8:8" ht="21.0" customHeight="1">
      <c r="A477" s="10"/>
      <c r="B477" s="11" t="s">
        <v>36</v>
      </c>
      <c r="C477" s="9">
        <v>6.0</v>
      </c>
      <c r="D477" s="8">
        <v>15525.0</v>
      </c>
      <c r="E477" s="8">
        <v>89400.0</v>
      </c>
      <c r="F477" s="13"/>
    </row>
    <row r="478" spans="8:8" ht="21.0" customHeight="1">
      <c r="A478" s="10"/>
      <c r="B478" s="11" t="s">
        <v>62</v>
      </c>
      <c r="C478" s="9">
        <v>5.0</v>
      </c>
      <c r="D478" s="8">
        <v>20655.0</v>
      </c>
      <c r="E478" s="8">
        <v>96525.0</v>
      </c>
      <c r="F478" s="13"/>
    </row>
    <row r="479" spans="8:8" ht="21.0" customHeight="1">
      <c r="A479" s="10"/>
      <c r="B479" s="11" t="s">
        <v>38</v>
      </c>
      <c r="C479" s="9">
        <v>31.0</v>
      </c>
      <c r="D479" s="8">
        <v>1800.0</v>
      </c>
      <c r="E479" s="8">
        <v>46500.0</v>
      </c>
      <c r="F479" s="13"/>
    </row>
    <row r="480" spans="8:8" ht="21.0" customHeight="1">
      <c r="A480" s="10"/>
      <c r="B480" s="14"/>
      <c r="C480" s="15"/>
      <c r="D480" s="15"/>
      <c r="E480" s="15"/>
      <c r="F480" s="14"/>
    </row>
    <row r="481" spans="8:8" ht="21.0" customHeight="1">
      <c r="A481" s="16">
        <v>46211.0</v>
      </c>
      <c r="B481" s="6" t="s">
        <v>157</v>
      </c>
      <c r="C481" s="7" t="s">
        <v>172</v>
      </c>
      <c r="D481" s="6"/>
      <c r="E481" s="8">
        <v>50000.0</v>
      </c>
      <c r="F481" s="8">
        <v>50000.0</v>
      </c>
      <c r="G481" s="9">
        <v>0.0</v>
      </c>
      <c r="H481" s="8">
        <v>50000.0</v>
      </c>
      <c r="I481" s="8">
        <v>52000.0</v>
      </c>
      <c r="J481" s="8">
        <v>-2000.0</v>
      </c>
      <c r="K481" s="9">
        <v>-4.0</v>
      </c>
      <c r="L481" s="6"/>
    </row>
    <row r="482" spans="8:8" ht="21.0" customHeight="1">
      <c r="A482" s="10"/>
      <c r="B482" s="3" t="s">
        <v>17</v>
      </c>
      <c r="C482" s="4" t="s">
        <v>18</v>
      </c>
      <c r="D482" s="4" t="s">
        <v>19</v>
      </c>
      <c r="E482" s="4" t="s">
        <v>11</v>
      </c>
      <c r="F482" s="3" t="s">
        <v>20</v>
      </c>
    </row>
    <row r="483" spans="8:8" ht="21.0" customHeight="1">
      <c r="A483" s="10"/>
      <c r="B483" s="11" t="s">
        <v>24</v>
      </c>
      <c r="C483" s="9">
        <v>10.0</v>
      </c>
      <c r="D483" s="8">
        <v>5000.0</v>
      </c>
      <c r="E483" s="8">
        <v>52000.0</v>
      </c>
      <c r="F483" s="13"/>
    </row>
    <row r="484" spans="8:8" ht="21.0" customHeight="1">
      <c r="A484" s="10"/>
      <c r="B484" s="14"/>
      <c r="C484" s="15"/>
      <c r="D484" s="15"/>
      <c r="E484" s="15"/>
      <c r="F484" s="14"/>
    </row>
    <row r="485" spans="8:8" ht="21.0" customHeight="1">
      <c r="A485" s="16">
        <v>46211.0</v>
      </c>
      <c r="B485" s="6" t="s">
        <v>78</v>
      </c>
      <c r="C485" s="7" t="s">
        <v>173</v>
      </c>
      <c r="D485" s="6"/>
      <c r="E485" s="8">
        <v>45000.0</v>
      </c>
      <c r="F485" s="8">
        <v>18000.0</v>
      </c>
      <c r="G485" s="8">
        <v>27000.0</v>
      </c>
      <c r="H485" s="8">
        <v>45000.0</v>
      </c>
      <c r="I485" s="8">
        <v>34615.0</v>
      </c>
      <c r="J485" s="8">
        <v>10385.0</v>
      </c>
      <c r="K485" s="9">
        <v>23.0</v>
      </c>
      <c r="L485" s="6"/>
    </row>
    <row r="486" spans="8:8" ht="21.0" customHeight="1">
      <c r="A486" s="10"/>
      <c r="B486" s="3" t="s">
        <v>17</v>
      </c>
      <c r="C486" s="4" t="s">
        <v>18</v>
      </c>
      <c r="D486" s="4" t="s">
        <v>19</v>
      </c>
      <c r="E486" s="4" t="s">
        <v>11</v>
      </c>
      <c r="F486" s="3" t="s">
        <v>20</v>
      </c>
    </row>
    <row r="487" spans="8:8" ht="21.0" customHeight="1">
      <c r="A487" s="10"/>
      <c r="B487" s="11" t="s">
        <v>174</v>
      </c>
      <c r="C487" s="9">
        <v>60.0</v>
      </c>
      <c r="D487" s="9">
        <v>750.0</v>
      </c>
      <c r="E487" s="8">
        <v>34615.0</v>
      </c>
      <c r="F487" s="13"/>
    </row>
    <row r="488" spans="8:8" ht="21.0" customHeight="1">
      <c r="A488" s="10"/>
      <c r="B488" s="14"/>
      <c r="C488" s="15"/>
      <c r="D488" s="15"/>
      <c r="E488" s="15"/>
      <c r="F488" s="14"/>
    </row>
    <row r="489" spans="8:8" ht="21.0" customHeight="1">
      <c r="A489" s="20">
        <v>46212.0</v>
      </c>
      <c r="B489" s="6" t="s">
        <v>152</v>
      </c>
      <c r="C489" s="7" t="s">
        <v>175</v>
      </c>
      <c r="D489" s="6"/>
      <c r="E489" s="8">
        <v>895800.0</v>
      </c>
      <c r="F489" s="8">
        <v>895800.0</v>
      </c>
      <c r="G489" s="9">
        <v>0.0</v>
      </c>
      <c r="H489" s="8">
        <v>895800.0</v>
      </c>
      <c r="I489" s="8">
        <v>773071.0</v>
      </c>
      <c r="J489" s="8">
        <v>122729.0</v>
      </c>
      <c r="K489" s="9">
        <v>14.0</v>
      </c>
      <c r="L489" s="6"/>
    </row>
    <row r="490" spans="8:8" ht="21.0" customHeight="1">
      <c r="A490" s="10"/>
      <c r="B490" s="3" t="s">
        <v>17</v>
      </c>
      <c r="C490" s="4" t="s">
        <v>18</v>
      </c>
      <c r="D490" s="4" t="s">
        <v>19</v>
      </c>
      <c r="E490" s="4" t="s">
        <v>11</v>
      </c>
      <c r="F490" s="3" t="s">
        <v>20</v>
      </c>
    </row>
    <row r="491" spans="8:8" ht="21.0" customHeight="1">
      <c r="A491" s="10"/>
      <c r="B491" s="11" t="s">
        <v>45</v>
      </c>
      <c r="C491" s="9">
        <v>60.0</v>
      </c>
      <c r="D491" s="8">
        <v>12930.0</v>
      </c>
      <c r="E491" s="8">
        <v>764806.0</v>
      </c>
      <c r="F491" s="13"/>
    </row>
    <row r="492" spans="8:8" ht="21.0" customHeight="1">
      <c r="A492" s="10"/>
      <c r="B492" s="11" t="s">
        <v>148</v>
      </c>
      <c r="C492" s="9">
        <v>60.0</v>
      </c>
      <c r="D492" s="8">
        <v>2000.0</v>
      </c>
      <c r="E492" s="8">
        <v>8265.0</v>
      </c>
      <c r="F492" s="13"/>
    </row>
    <row r="493" spans="8:8" ht="21.0" customHeight="1">
      <c r="A493" s="10"/>
      <c r="B493" s="14"/>
      <c r="C493" s="15"/>
      <c r="D493" s="15"/>
      <c r="E493" s="15"/>
      <c r="F493" s="14"/>
    </row>
    <row r="494" spans="8:8" ht="21.0" customHeight="1">
      <c r="A494" s="16">
        <v>46212.0</v>
      </c>
      <c r="B494" s="6" t="s">
        <v>29</v>
      </c>
      <c r="C494" s="7" t="s">
        <v>176</v>
      </c>
      <c r="D494" s="6"/>
      <c r="E494" s="8">
        <v>216950.0</v>
      </c>
      <c r="F494" s="8">
        <v>216950.0</v>
      </c>
      <c r="G494" s="9">
        <v>0.0</v>
      </c>
      <c r="H494" s="8">
        <v>216950.0</v>
      </c>
      <c r="I494" s="8">
        <v>215950.0</v>
      </c>
      <c r="J494" s="8">
        <v>1000.0</v>
      </c>
      <c r="K494" s="9">
        <v>0.0</v>
      </c>
      <c r="L494" s="6"/>
    </row>
    <row r="495" spans="8:8" ht="21.0" customHeight="1">
      <c r="A495" s="10"/>
      <c r="B495" s="3" t="s">
        <v>17</v>
      </c>
      <c r="C495" s="4" t="s">
        <v>18</v>
      </c>
      <c r="D495" s="4" t="s">
        <v>19</v>
      </c>
      <c r="E495" s="4" t="s">
        <v>11</v>
      </c>
      <c r="F495" s="3" t="s">
        <v>20</v>
      </c>
    </row>
    <row r="496" spans="8:8" ht="21.0" customHeight="1">
      <c r="A496" s="10"/>
      <c r="B496" s="11" t="s">
        <v>34</v>
      </c>
      <c r="C496" s="9">
        <v>10.0</v>
      </c>
      <c r="D496" s="8">
        <v>21695.0</v>
      </c>
      <c r="E496" s="8">
        <v>215950.0</v>
      </c>
      <c r="F496" s="13"/>
    </row>
    <row r="497" spans="8:8" ht="21.0" customHeight="1">
      <c r="A497" s="10"/>
      <c r="B497" s="14"/>
      <c r="C497" s="15"/>
      <c r="D497" s="15"/>
      <c r="E497" s="15"/>
      <c r="F497" s="14"/>
    </row>
    <row r="498" spans="8:8" ht="21.0" customHeight="1">
      <c r="A498" s="16">
        <v>46212.0</v>
      </c>
      <c r="B498" s="6" t="s">
        <v>50</v>
      </c>
      <c r="C498" s="7" t="s">
        <v>177</v>
      </c>
      <c r="D498" s="6"/>
      <c r="E498" s="8">
        <v>1224685.0</v>
      </c>
      <c r="F498" s="8">
        <v>1224685.0</v>
      </c>
      <c r="G498" s="9">
        <v>0.0</v>
      </c>
      <c r="H498" s="8">
        <v>1224685.0</v>
      </c>
      <c r="I498" s="8">
        <v>1173635.0</v>
      </c>
      <c r="J498" s="8">
        <v>51050.0</v>
      </c>
      <c r="K498" s="9">
        <v>4.0</v>
      </c>
      <c r="L498" s="6"/>
    </row>
    <row r="499" spans="8:8" ht="21.0" customHeight="1">
      <c r="A499" s="10"/>
      <c r="B499" s="3" t="s">
        <v>17</v>
      </c>
      <c r="C499" s="4" t="s">
        <v>18</v>
      </c>
      <c r="D499" s="4" t="s">
        <v>19</v>
      </c>
      <c r="E499" s="4" t="s">
        <v>11</v>
      </c>
      <c r="F499" s="3" t="s">
        <v>20</v>
      </c>
    </row>
    <row r="500" spans="8:8" ht="21.0" customHeight="1">
      <c r="A500" s="10"/>
      <c r="B500" s="11" t="s">
        <v>69</v>
      </c>
      <c r="C500" s="9">
        <v>2.0</v>
      </c>
      <c r="D500" s="8">
        <v>14450.0</v>
      </c>
      <c r="E500" s="8">
        <v>27560.0</v>
      </c>
      <c r="F500" s="13"/>
    </row>
    <row r="501" spans="8:8" ht="21.0" customHeight="1">
      <c r="A501" s="10"/>
      <c r="B501" s="11" t="s">
        <v>150</v>
      </c>
      <c r="C501" s="9">
        <v>2.0</v>
      </c>
      <c r="D501" s="8">
        <v>10315.0</v>
      </c>
      <c r="E501" s="8">
        <v>19850.0</v>
      </c>
      <c r="F501" s="13"/>
    </row>
    <row r="502" spans="8:8" ht="21.0" customHeight="1">
      <c r="A502" s="10"/>
      <c r="B502" s="11" t="s">
        <v>70</v>
      </c>
      <c r="C502" s="9">
        <v>3.0</v>
      </c>
      <c r="D502" s="8">
        <v>13350.0</v>
      </c>
      <c r="E502" s="8">
        <v>38565.0</v>
      </c>
      <c r="F502" s="13"/>
    </row>
    <row r="503" spans="8:8" ht="21.0" customHeight="1">
      <c r="A503" s="10"/>
      <c r="B503" s="11" t="s">
        <v>62</v>
      </c>
      <c r="C503" s="9">
        <v>3.0</v>
      </c>
      <c r="D503" s="8">
        <v>20655.0</v>
      </c>
      <c r="E503" s="8">
        <v>57915.0</v>
      </c>
      <c r="F503" s="13"/>
    </row>
    <row r="504" spans="8:8" ht="21.0" customHeight="1">
      <c r="A504" s="10"/>
      <c r="B504" s="11" t="s">
        <v>65</v>
      </c>
      <c r="C504" s="9">
        <v>10.0</v>
      </c>
      <c r="D504" s="8">
        <v>11910.0</v>
      </c>
      <c r="E504" s="8">
        <v>113150.0</v>
      </c>
      <c r="F504" s="13"/>
    </row>
    <row r="505" spans="8:8" ht="21.0" customHeight="1">
      <c r="A505" s="10"/>
      <c r="B505" s="11" t="s">
        <v>36</v>
      </c>
      <c r="C505" s="9">
        <v>4.0</v>
      </c>
      <c r="D505" s="8">
        <v>15525.0</v>
      </c>
      <c r="E505" s="8">
        <v>59600.0</v>
      </c>
      <c r="F505" s="13"/>
    </row>
    <row r="506" spans="8:8" ht="21.0" customHeight="1">
      <c r="A506" s="10"/>
      <c r="B506" s="11" t="s">
        <v>44</v>
      </c>
      <c r="C506" s="9">
        <v>2.0</v>
      </c>
      <c r="D506" s="8">
        <v>9200.0</v>
      </c>
      <c r="E506" s="8">
        <v>17980.0</v>
      </c>
      <c r="F506" s="13"/>
    </row>
    <row r="507" spans="8:8" ht="21.0" customHeight="1">
      <c r="A507" s="10"/>
      <c r="B507" s="11" t="s">
        <v>27</v>
      </c>
      <c r="C507" s="9">
        <v>30.0</v>
      </c>
      <c r="D507" s="8">
        <v>8020.0</v>
      </c>
      <c r="E507" s="8">
        <v>230550.0</v>
      </c>
      <c r="F507" s="13"/>
    </row>
    <row r="508" spans="8:8" ht="21.0" customHeight="1">
      <c r="A508" s="10"/>
      <c r="B508" s="11" t="s">
        <v>178</v>
      </c>
      <c r="C508" s="9">
        <v>20.0</v>
      </c>
      <c r="D508" s="8">
        <v>23770.0</v>
      </c>
      <c r="E508" s="8">
        <v>455500.0</v>
      </c>
      <c r="F508" s="13"/>
    </row>
    <row r="509" spans="8:8" ht="21.0" customHeight="1">
      <c r="A509" s="10"/>
      <c r="B509" s="11" t="s">
        <v>80</v>
      </c>
      <c r="C509" s="9">
        <v>2.0</v>
      </c>
      <c r="D509" s="8">
        <v>9345.0</v>
      </c>
      <c r="E509" s="8">
        <v>17940.0</v>
      </c>
      <c r="F509" s="13"/>
    </row>
    <row r="510" spans="8:8" ht="21.0" customHeight="1">
      <c r="A510" s="10"/>
      <c r="B510" s="11" t="s">
        <v>35</v>
      </c>
      <c r="C510" s="9">
        <v>5.0</v>
      </c>
      <c r="D510" s="8">
        <v>21170.0</v>
      </c>
      <c r="E510" s="8">
        <v>102025.0</v>
      </c>
      <c r="F510" s="13"/>
    </row>
    <row r="511" spans="8:8" ht="21.0" customHeight="1">
      <c r="A511" s="10"/>
      <c r="B511" s="11" t="s">
        <v>38</v>
      </c>
      <c r="C511" s="9">
        <v>22.0</v>
      </c>
      <c r="D511" s="8">
        <v>1500.0</v>
      </c>
      <c r="E511" s="8">
        <v>33000.0</v>
      </c>
      <c r="F511" s="13"/>
    </row>
    <row r="512" spans="8:8" ht="21.0" customHeight="1">
      <c r="A512" s="10"/>
      <c r="B512" s="14"/>
      <c r="C512" s="15"/>
      <c r="D512" s="15"/>
      <c r="E512" s="15"/>
      <c r="F512" s="14"/>
    </row>
    <row r="513" spans="8:8" ht="21.0" customHeight="1">
      <c r="A513" s="16">
        <v>46212.0</v>
      </c>
      <c r="B513" s="6" t="s">
        <v>157</v>
      </c>
      <c r="C513" s="7" t="s">
        <v>179</v>
      </c>
      <c r="D513" s="6"/>
      <c r="E513" s="8">
        <v>141255.0</v>
      </c>
      <c r="F513" s="8">
        <v>141255.0</v>
      </c>
      <c r="G513" s="9">
        <v>0.0</v>
      </c>
      <c r="H513" s="8">
        <v>141255.0</v>
      </c>
      <c r="I513" s="8">
        <v>132730.0</v>
      </c>
      <c r="J513" s="8">
        <v>8525.0</v>
      </c>
      <c r="K513" s="9">
        <v>6.0</v>
      </c>
      <c r="L513" s="6"/>
    </row>
    <row r="514" spans="8:8" ht="21.0" customHeight="1">
      <c r="A514" s="10"/>
      <c r="B514" s="3" t="s">
        <v>17</v>
      </c>
      <c r="C514" s="4" t="s">
        <v>18</v>
      </c>
      <c r="D514" s="4" t="s">
        <v>19</v>
      </c>
      <c r="E514" s="4" t="s">
        <v>11</v>
      </c>
      <c r="F514" s="3" t="s">
        <v>20</v>
      </c>
    </row>
    <row r="515" spans="8:8" ht="21.0" customHeight="1">
      <c r="A515" s="10"/>
      <c r="B515" s="11" t="s">
        <v>65</v>
      </c>
      <c r="C515" s="9">
        <v>3.0</v>
      </c>
      <c r="D515" s="8">
        <v>11910.0</v>
      </c>
      <c r="E515" s="8">
        <v>33945.0</v>
      </c>
      <c r="F515" s="13"/>
    </row>
    <row r="516" spans="8:8" ht="21.0" customHeight="1">
      <c r="A516" s="10"/>
      <c r="B516" s="11" t="s">
        <v>80</v>
      </c>
      <c r="C516" s="9">
        <v>3.0</v>
      </c>
      <c r="D516" s="8">
        <v>9345.0</v>
      </c>
      <c r="E516" s="8">
        <v>26910.0</v>
      </c>
      <c r="F516" s="13"/>
    </row>
    <row r="517" spans="8:8" ht="21.0" customHeight="1">
      <c r="A517" s="10"/>
      <c r="B517" s="11" t="s">
        <v>36</v>
      </c>
      <c r="C517" s="9">
        <v>2.0</v>
      </c>
      <c r="D517" s="8">
        <v>15525.0</v>
      </c>
      <c r="E517" s="8">
        <v>29800.0</v>
      </c>
      <c r="F517" s="13"/>
    </row>
    <row r="518" spans="8:8" ht="21.0" customHeight="1">
      <c r="A518" s="10"/>
      <c r="B518" s="11" t="s">
        <v>37</v>
      </c>
      <c r="C518" s="9">
        <v>3.0</v>
      </c>
      <c r="D518" s="8">
        <v>8880.0</v>
      </c>
      <c r="E518" s="8">
        <v>25575.0</v>
      </c>
      <c r="F518" s="13"/>
    </row>
    <row r="519" spans="8:8" ht="21.0" customHeight="1">
      <c r="A519" s="10"/>
      <c r="B519" s="11" t="s">
        <v>38</v>
      </c>
      <c r="C519" s="9">
        <v>11.0</v>
      </c>
      <c r="D519" s="8">
        <v>1800.0</v>
      </c>
      <c r="E519" s="8">
        <v>16500.0</v>
      </c>
      <c r="F519" s="13"/>
    </row>
    <row r="520" spans="8:8" ht="21.0" customHeight="1">
      <c r="A520" s="10"/>
      <c r="B520" s="14"/>
      <c r="C520" s="15"/>
      <c r="D520" s="15"/>
      <c r="E520" s="15"/>
      <c r="F520" s="14"/>
    </row>
    <row r="521" spans="8:8" ht="21.0" customHeight="1">
      <c r="A521" s="16">
        <v>46212.0</v>
      </c>
      <c r="B521" s="6" t="s">
        <v>81</v>
      </c>
      <c r="C521" s="7" t="s">
        <v>180</v>
      </c>
      <c r="D521" s="6"/>
      <c r="E521" s="8">
        <v>87700.0</v>
      </c>
      <c r="F521" s="8">
        <v>87700.0</v>
      </c>
      <c r="G521" s="9">
        <v>0.0</v>
      </c>
      <c r="H521" s="8">
        <v>87700.0</v>
      </c>
      <c r="I521" s="8">
        <v>83263.0</v>
      </c>
      <c r="J521" s="8">
        <v>4437.0</v>
      </c>
      <c r="K521" s="9">
        <v>5.0</v>
      </c>
      <c r="L521" s="6"/>
    </row>
    <row r="522" spans="8:8" ht="21.0" customHeight="1">
      <c r="A522" s="10"/>
      <c r="B522" s="3" t="s">
        <v>17</v>
      </c>
      <c r="C522" s="4" t="s">
        <v>18</v>
      </c>
      <c r="D522" s="4" t="s">
        <v>19</v>
      </c>
      <c r="E522" s="4" t="s">
        <v>11</v>
      </c>
      <c r="F522" s="3" t="s">
        <v>20</v>
      </c>
    </row>
    <row r="523" spans="8:8" ht="21.0" customHeight="1">
      <c r="A523" s="10"/>
      <c r="B523" s="11" t="s">
        <v>21</v>
      </c>
      <c r="C523" s="9">
        <v>4.0</v>
      </c>
      <c r="D523" s="8">
        <v>8500.0</v>
      </c>
      <c r="E523" s="8">
        <v>32488.0</v>
      </c>
      <c r="F523" s="13"/>
    </row>
    <row r="524" spans="8:8" ht="21.0" customHeight="1">
      <c r="A524" s="10"/>
      <c r="B524" s="11" t="s">
        <v>22</v>
      </c>
      <c r="C524" s="9">
        <v>2.0</v>
      </c>
      <c r="D524" s="8">
        <v>9200.0</v>
      </c>
      <c r="E524" s="8">
        <v>17275.0</v>
      </c>
      <c r="F524" s="13"/>
    </row>
    <row r="525" spans="8:8" ht="21.0" customHeight="1">
      <c r="A525" s="10"/>
      <c r="B525" s="11" t="s">
        <v>181</v>
      </c>
      <c r="C525" s="9">
        <v>1.0</v>
      </c>
      <c r="D525" s="8">
        <v>17000.0</v>
      </c>
      <c r="E525" s="8">
        <v>16350.0</v>
      </c>
      <c r="F525" s="13"/>
    </row>
    <row r="526" spans="8:8" ht="21.0" customHeight="1">
      <c r="A526" s="10"/>
      <c r="B526" s="11" t="s">
        <v>43</v>
      </c>
      <c r="C526" s="9">
        <v>1.0</v>
      </c>
      <c r="D526" s="8">
        <v>18300.0</v>
      </c>
      <c r="E526" s="8">
        <v>17150.0</v>
      </c>
      <c r="F526" s="13"/>
    </row>
    <row r="527" spans="8:8" ht="21.0" customHeight="1">
      <c r="A527" s="10"/>
      <c r="B527" s="14"/>
      <c r="C527" s="15"/>
      <c r="D527" s="15"/>
      <c r="E527" s="15"/>
      <c r="F527" s="14"/>
    </row>
    <row r="528" spans="8:8" ht="21.0" customHeight="1">
      <c r="A528" s="16">
        <v>46212.0</v>
      </c>
      <c r="B528" s="6" t="s">
        <v>154</v>
      </c>
      <c r="C528" s="7" t="s">
        <v>182</v>
      </c>
      <c r="D528" s="6"/>
      <c r="E528" s="8">
        <v>94455.0</v>
      </c>
      <c r="F528" s="8">
        <v>94455.0</v>
      </c>
      <c r="G528" s="9">
        <v>0.0</v>
      </c>
      <c r="H528" s="8">
        <v>94455.0</v>
      </c>
      <c r="I528" s="8">
        <v>88600.0</v>
      </c>
      <c r="J528" s="8">
        <v>5855.0</v>
      </c>
      <c r="K528" s="9">
        <v>6.0</v>
      </c>
      <c r="L528" s="6"/>
    </row>
    <row r="529" spans="8:8" ht="21.0" customHeight="1">
      <c r="A529" s="10"/>
      <c r="B529" s="3" t="s">
        <v>17</v>
      </c>
      <c r="C529" s="4" t="s">
        <v>18</v>
      </c>
      <c r="D529" s="4" t="s">
        <v>19</v>
      </c>
      <c r="E529" s="4" t="s">
        <v>11</v>
      </c>
      <c r="F529" s="3" t="s">
        <v>20</v>
      </c>
    </row>
    <row r="530" spans="8:8" ht="21.0" customHeight="1">
      <c r="A530" s="10"/>
      <c r="B530" s="11" t="s">
        <v>65</v>
      </c>
      <c r="C530" s="9">
        <v>4.0</v>
      </c>
      <c r="D530" s="8">
        <v>11910.0</v>
      </c>
      <c r="E530" s="8">
        <v>45260.0</v>
      </c>
      <c r="F530" s="13"/>
    </row>
    <row r="531" spans="8:8" ht="21.0" customHeight="1">
      <c r="A531" s="10"/>
      <c r="B531" s="11" t="s">
        <v>80</v>
      </c>
      <c r="C531" s="9">
        <v>2.0</v>
      </c>
      <c r="D531" s="8">
        <v>9345.0</v>
      </c>
      <c r="E531" s="8">
        <v>17940.0</v>
      </c>
      <c r="F531" s="13"/>
    </row>
    <row r="532" spans="8:8" ht="21.0" customHeight="1">
      <c r="A532" s="10"/>
      <c r="B532" s="11" t="s">
        <v>36</v>
      </c>
      <c r="C532" s="9">
        <v>1.0</v>
      </c>
      <c r="D532" s="8">
        <v>15525.0</v>
      </c>
      <c r="E532" s="8">
        <v>14900.0</v>
      </c>
      <c r="F532" s="13"/>
    </row>
    <row r="533" spans="8:8" ht="21.0" customHeight="1">
      <c r="A533" s="10"/>
      <c r="B533" s="11" t="s">
        <v>38</v>
      </c>
      <c r="C533" s="9">
        <v>7.0</v>
      </c>
      <c r="D533" s="8">
        <v>1800.0</v>
      </c>
      <c r="E533" s="8">
        <v>10500.0</v>
      </c>
      <c r="F533" s="13"/>
    </row>
    <row r="534" spans="8:8" ht="21.0" customHeight="1">
      <c r="A534" s="10"/>
      <c r="B534" s="14"/>
      <c r="C534" s="15"/>
      <c r="D534" s="15"/>
      <c r="E534" s="15"/>
      <c r="F534" s="14"/>
    </row>
    <row r="535" spans="8:8" ht="21.0" customHeight="1">
      <c r="A535" s="16">
        <v>46212.0</v>
      </c>
      <c r="B535" s="6" t="s">
        <v>15</v>
      </c>
      <c r="C535" s="7" t="s">
        <v>183</v>
      </c>
      <c r="D535" s="6"/>
      <c r="E535" s="8">
        <v>18400.0</v>
      </c>
      <c r="F535" s="8">
        <v>18400.0</v>
      </c>
      <c r="G535" s="9">
        <v>0.0</v>
      </c>
      <c r="H535" s="8">
        <v>18400.0</v>
      </c>
      <c r="I535" s="8">
        <v>17627.0</v>
      </c>
      <c r="J535" s="9">
        <v>773.0</v>
      </c>
      <c r="K535" s="9">
        <v>4.0</v>
      </c>
      <c r="L535" s="6"/>
    </row>
    <row r="536" spans="8:8" ht="21.0" customHeight="1">
      <c r="A536" s="10"/>
      <c r="B536" s="3" t="s">
        <v>17</v>
      </c>
      <c r="C536" s="4" t="s">
        <v>18</v>
      </c>
      <c r="D536" s="4" t="s">
        <v>19</v>
      </c>
      <c r="E536" s="4" t="s">
        <v>11</v>
      </c>
      <c r="F536" s="3" t="s">
        <v>20</v>
      </c>
    </row>
    <row r="537" spans="8:8" ht="21.0" customHeight="1">
      <c r="A537" s="10"/>
      <c r="B537" s="11" t="s">
        <v>44</v>
      </c>
      <c r="C537" s="9">
        <v>1.0</v>
      </c>
      <c r="D537" s="8">
        <v>9200.0</v>
      </c>
      <c r="E537" s="8">
        <v>8990.0</v>
      </c>
      <c r="F537" s="13"/>
    </row>
    <row r="538" spans="8:8" ht="21.0" customHeight="1">
      <c r="A538" s="10"/>
      <c r="B538" s="11" t="s">
        <v>22</v>
      </c>
      <c r="C538" s="9">
        <v>1.0</v>
      </c>
      <c r="D538" s="8">
        <v>9200.0</v>
      </c>
      <c r="E538" s="8">
        <v>8637.0</v>
      </c>
      <c r="F538" s="13"/>
    </row>
    <row r="539" spans="8:8" ht="21.0" customHeight="1">
      <c r="A539" s="10"/>
      <c r="B539" s="14"/>
      <c r="C539" s="15"/>
      <c r="D539" s="15"/>
      <c r="E539" s="15"/>
      <c r="F539" s="14"/>
    </row>
    <row r="540" spans="8:8" ht="21.0" customHeight="1">
      <c r="A540" s="16">
        <v>46212.0</v>
      </c>
      <c r="B540" s="6" t="s">
        <v>95</v>
      </c>
      <c r="C540" s="7" t="s">
        <v>184</v>
      </c>
      <c r="D540" s="6"/>
      <c r="E540" s="8">
        <v>95970.0</v>
      </c>
      <c r="F540" s="9">
        <v>0.0</v>
      </c>
      <c r="G540" s="8">
        <v>95970.0</v>
      </c>
      <c r="H540" s="8">
        <v>95970.0</v>
      </c>
      <c r="I540" s="8">
        <v>92185.0</v>
      </c>
      <c r="J540" s="8">
        <v>3785.0</v>
      </c>
      <c r="K540" s="9">
        <v>4.0</v>
      </c>
      <c r="L540" s="6"/>
    </row>
    <row r="541" spans="8:8" ht="21.0" customHeight="1">
      <c r="A541" s="10"/>
      <c r="B541" s="3" t="s">
        <v>17</v>
      </c>
      <c r="C541" s="4" t="s">
        <v>18</v>
      </c>
      <c r="D541" s="4" t="s">
        <v>19</v>
      </c>
      <c r="E541" s="4" t="s">
        <v>11</v>
      </c>
      <c r="F541" s="3" t="s">
        <v>20</v>
      </c>
    </row>
    <row r="542" spans="8:8" ht="21.0" customHeight="1">
      <c r="A542" s="10"/>
      <c r="B542" s="11" t="s">
        <v>80</v>
      </c>
      <c r="C542" s="9">
        <v>2.0</v>
      </c>
      <c r="D542" s="8">
        <v>9345.0</v>
      </c>
      <c r="E542" s="8">
        <v>17940.0</v>
      </c>
      <c r="F542" s="13"/>
    </row>
    <row r="543" spans="8:8" ht="21.0" customHeight="1">
      <c r="A543" s="10"/>
      <c r="B543" s="11" t="s">
        <v>65</v>
      </c>
      <c r="C543" s="9">
        <v>3.0</v>
      </c>
      <c r="D543" s="8">
        <v>11910.0</v>
      </c>
      <c r="E543" s="8">
        <v>33945.0</v>
      </c>
      <c r="F543" s="13"/>
    </row>
    <row r="544" spans="8:8" ht="21.0" customHeight="1">
      <c r="A544" s="10"/>
      <c r="B544" s="11" t="s">
        <v>36</v>
      </c>
      <c r="C544" s="9">
        <v>2.0</v>
      </c>
      <c r="D544" s="8">
        <v>15525.0</v>
      </c>
      <c r="E544" s="8">
        <v>29800.0</v>
      </c>
      <c r="F544" s="13"/>
    </row>
    <row r="545" spans="8:8" ht="21.0" customHeight="1">
      <c r="A545" s="10"/>
      <c r="B545" s="11" t="s">
        <v>38</v>
      </c>
      <c r="C545" s="9">
        <v>7.0</v>
      </c>
      <c r="D545" s="8">
        <v>1500.0</v>
      </c>
      <c r="E545" s="8">
        <v>10500.0</v>
      </c>
      <c r="F545" s="13"/>
    </row>
    <row r="546" spans="8:8" ht="21.0" customHeight="1">
      <c r="A546" s="10"/>
      <c r="B546" s="14"/>
      <c r="C546" s="15"/>
      <c r="D546" s="15"/>
      <c r="E546" s="15"/>
      <c r="F546" s="14"/>
    </row>
    <row r="547" spans="8:8" ht="21.0" customHeight="1">
      <c r="A547" s="16">
        <v>46212.0</v>
      </c>
      <c r="B547" s="6" t="s">
        <v>29</v>
      </c>
      <c r="C547" s="7" t="s">
        <v>185</v>
      </c>
      <c r="D547" s="6"/>
      <c r="E547" s="8">
        <v>411800.0</v>
      </c>
      <c r="F547" s="8">
        <v>411800.0</v>
      </c>
      <c r="G547" s="9">
        <v>0.0</v>
      </c>
      <c r="H547" s="8">
        <v>411800.0</v>
      </c>
      <c r="I547" s="8">
        <v>383481.0</v>
      </c>
      <c r="J547" s="8">
        <v>28319.0</v>
      </c>
      <c r="K547" s="9">
        <v>7.0</v>
      </c>
      <c r="L547" s="6"/>
    </row>
    <row r="548" spans="8:8" ht="21.0" customHeight="1">
      <c r="A548" s="10"/>
      <c r="B548" s="3" t="s">
        <v>17</v>
      </c>
      <c r="C548" s="4" t="s">
        <v>18</v>
      </c>
      <c r="D548" s="4" t="s">
        <v>19</v>
      </c>
      <c r="E548" s="4" t="s">
        <v>11</v>
      </c>
      <c r="F548" s="3" t="s">
        <v>20</v>
      </c>
    </row>
    <row r="549" spans="8:8" ht="21.0" customHeight="1">
      <c r="A549" s="10"/>
      <c r="B549" s="11" t="s">
        <v>22</v>
      </c>
      <c r="C549" s="9">
        <v>5.0</v>
      </c>
      <c r="D549" s="8">
        <v>8800.0</v>
      </c>
      <c r="E549" s="8">
        <v>43187.0</v>
      </c>
      <c r="F549" s="13"/>
    </row>
    <row r="550" spans="8:8" ht="21.0" customHeight="1">
      <c r="A550" s="10"/>
      <c r="B550" s="11" t="s">
        <v>44</v>
      </c>
      <c r="C550" s="9">
        <v>10.0</v>
      </c>
      <c r="D550" s="8">
        <v>9200.0</v>
      </c>
      <c r="E550" s="8">
        <v>89900.0</v>
      </c>
      <c r="F550" s="13"/>
    </row>
    <row r="551" spans="8:8" ht="21.0" customHeight="1">
      <c r="A551" s="10"/>
      <c r="B551" s="11" t="s">
        <v>87</v>
      </c>
      <c r="C551" s="9">
        <v>2.0</v>
      </c>
      <c r="D551" s="8">
        <v>21400.0</v>
      </c>
      <c r="E551" s="8">
        <v>40880.0</v>
      </c>
      <c r="F551" s="13"/>
    </row>
    <row r="552" spans="8:8" ht="21.0" customHeight="1">
      <c r="A552" s="10"/>
      <c r="B552" s="11" t="s">
        <v>36</v>
      </c>
      <c r="C552" s="9">
        <v>2.0</v>
      </c>
      <c r="D552" s="8">
        <v>15525.0</v>
      </c>
      <c r="E552" s="8">
        <v>29800.0</v>
      </c>
      <c r="F552" s="13"/>
    </row>
    <row r="553" spans="8:8" ht="21.0" customHeight="1">
      <c r="A553" s="10"/>
      <c r="B553" s="11" t="s">
        <v>65</v>
      </c>
      <c r="C553" s="9">
        <v>2.0</v>
      </c>
      <c r="D553" s="8">
        <v>11910.0</v>
      </c>
      <c r="E553" s="8">
        <v>22630.0</v>
      </c>
      <c r="F553" s="13"/>
    </row>
    <row r="554" spans="8:8" ht="21.0" customHeight="1">
      <c r="A554" s="10"/>
      <c r="B554" s="11" t="s">
        <v>45</v>
      </c>
      <c r="C554" s="9">
        <v>3.0</v>
      </c>
      <c r="D554" s="8">
        <v>13335.0</v>
      </c>
      <c r="E554" s="8">
        <v>38240.0</v>
      </c>
      <c r="F554" s="13"/>
    </row>
    <row r="555" spans="8:8" ht="21.0" customHeight="1">
      <c r="A555" s="10"/>
      <c r="B555" s="11" t="s">
        <v>37</v>
      </c>
      <c r="C555" s="9">
        <v>2.0</v>
      </c>
      <c r="D555" s="8">
        <v>8880.0</v>
      </c>
      <c r="E555" s="8">
        <v>17050.0</v>
      </c>
      <c r="F555" s="13"/>
    </row>
    <row r="556" spans="8:8" ht="21.0" customHeight="1">
      <c r="A556" s="10"/>
      <c r="B556" s="11" t="s">
        <v>70</v>
      </c>
      <c r="C556" s="9">
        <v>1.0</v>
      </c>
      <c r="D556" s="8">
        <v>13460.0</v>
      </c>
      <c r="E556" s="8">
        <v>12855.0</v>
      </c>
      <c r="F556" s="13"/>
    </row>
    <row r="557" spans="8:8" ht="21.0" customHeight="1">
      <c r="A557" s="10"/>
      <c r="B557" s="11" t="s">
        <v>93</v>
      </c>
      <c r="C557" s="9">
        <v>1.0</v>
      </c>
      <c r="D557" s="8">
        <v>11415.0</v>
      </c>
      <c r="E557" s="8">
        <v>11130.0</v>
      </c>
      <c r="F557" s="13"/>
    </row>
    <row r="558" spans="8:8" ht="21.0" customHeight="1">
      <c r="A558" s="10"/>
      <c r="B558" s="11" t="s">
        <v>101</v>
      </c>
      <c r="C558" s="9">
        <v>2.0</v>
      </c>
      <c r="D558" s="8">
        <v>13020.0</v>
      </c>
      <c r="E558" s="8">
        <v>25840.0</v>
      </c>
      <c r="F558" s="13"/>
    </row>
    <row r="559" spans="8:8" ht="21.0" customHeight="1">
      <c r="A559" s="10"/>
      <c r="B559" s="11" t="s">
        <v>69</v>
      </c>
      <c r="C559" s="9">
        <v>1.0</v>
      </c>
      <c r="D559" s="8">
        <v>14450.0</v>
      </c>
      <c r="E559" s="8">
        <v>13780.0</v>
      </c>
      <c r="F559" s="13"/>
    </row>
    <row r="560" spans="8:8" ht="21.0" customHeight="1">
      <c r="A560" s="10"/>
      <c r="B560" s="11" t="s">
        <v>38</v>
      </c>
      <c r="C560" s="9">
        <v>25.0</v>
      </c>
      <c r="D560" s="8">
        <v>1800.0</v>
      </c>
      <c r="E560" s="8">
        <v>37500.0</v>
      </c>
      <c r="F560" s="13"/>
    </row>
    <row r="561" spans="8:8" ht="21.0" customHeight="1">
      <c r="A561" s="10"/>
      <c r="B561" s="11" t="s">
        <v>148</v>
      </c>
      <c r="C561" s="9">
        <v>5.0</v>
      </c>
      <c r="D561" s="8">
        <v>2000.0</v>
      </c>
      <c r="E561" s="9">
        <v>689.0</v>
      </c>
      <c r="F561" s="13"/>
    </row>
    <row r="562" spans="8:8" ht="21.0" customHeight="1">
      <c r="A562" s="10"/>
      <c r="B562" s="14"/>
      <c r="C562" s="15"/>
      <c r="D562" s="15"/>
      <c r="E562" s="15"/>
      <c r="F562" s="14"/>
    </row>
    <row r="563" spans="8:8" ht="21.0" customHeight="1">
      <c r="A563" s="16">
        <v>46212.0</v>
      </c>
      <c r="B563" s="6" t="s">
        <v>29</v>
      </c>
      <c r="C563" s="7" t="s">
        <v>186</v>
      </c>
      <c r="D563" s="6"/>
      <c r="E563" s="8">
        <v>76675.0</v>
      </c>
      <c r="F563" s="8">
        <v>76675.0</v>
      </c>
      <c r="G563" s="9">
        <v>0.0</v>
      </c>
      <c r="H563" s="8">
        <v>76675.0</v>
      </c>
      <c r="I563" s="8">
        <v>64423.0</v>
      </c>
      <c r="J563" s="8">
        <v>12252.0</v>
      </c>
      <c r="K563" s="9">
        <v>16.0</v>
      </c>
      <c r="L563" s="6"/>
    </row>
    <row r="564" spans="8:8" ht="21.0" customHeight="1">
      <c r="A564" s="10"/>
      <c r="B564" s="3" t="s">
        <v>17</v>
      </c>
      <c r="C564" s="4" t="s">
        <v>18</v>
      </c>
      <c r="D564" s="4" t="s">
        <v>19</v>
      </c>
      <c r="E564" s="4" t="s">
        <v>11</v>
      </c>
      <c r="F564" s="3" t="s">
        <v>20</v>
      </c>
    </row>
    <row r="565" spans="8:8" ht="21.0" customHeight="1">
      <c r="A565" s="10"/>
      <c r="B565" s="11" t="s">
        <v>45</v>
      </c>
      <c r="C565" s="9">
        <v>5.0</v>
      </c>
      <c r="D565" s="8">
        <v>13335.0</v>
      </c>
      <c r="E565" s="8">
        <v>63734.0</v>
      </c>
      <c r="F565" s="13"/>
    </row>
    <row r="566" spans="8:8" ht="21.0" customHeight="1">
      <c r="A566" s="10"/>
      <c r="B566" s="11" t="s">
        <v>148</v>
      </c>
      <c r="C566" s="9">
        <v>5.0</v>
      </c>
      <c r="D566" s="8">
        <v>2000.0</v>
      </c>
      <c r="E566" s="9">
        <v>689.0</v>
      </c>
      <c r="F566" s="13"/>
    </row>
    <row r="567" spans="8:8" ht="21.0" customHeight="1">
      <c r="A567" s="10"/>
      <c r="B567" s="14"/>
      <c r="C567" s="15"/>
      <c r="D567" s="15"/>
      <c r="E567" s="15"/>
      <c r="F567" s="14"/>
    </row>
    <row r="568" spans="8:8" ht="21.0" customHeight="1">
      <c r="A568" s="16">
        <v>46212.0</v>
      </c>
      <c r="B568" s="6" t="s">
        <v>29</v>
      </c>
      <c r="C568" s="7" t="s">
        <v>187</v>
      </c>
      <c r="D568" s="6"/>
      <c r="E568" s="8">
        <v>101635.0</v>
      </c>
      <c r="F568" s="8">
        <v>101635.0</v>
      </c>
      <c r="G568" s="9">
        <v>0.0</v>
      </c>
      <c r="H568" s="8">
        <v>101635.0</v>
      </c>
      <c r="I568" s="8">
        <v>94995.0</v>
      </c>
      <c r="J568" s="8">
        <v>6640.0</v>
      </c>
      <c r="K568" s="9">
        <v>7.0</v>
      </c>
      <c r="L568" s="6"/>
    </row>
    <row r="569" spans="8:8" ht="21.0" customHeight="1">
      <c r="A569" s="10"/>
      <c r="B569" s="3" t="s">
        <v>17</v>
      </c>
      <c r="C569" s="4" t="s">
        <v>18</v>
      </c>
      <c r="D569" s="4" t="s">
        <v>19</v>
      </c>
      <c r="E569" s="4" t="s">
        <v>11</v>
      </c>
      <c r="F569" s="3" t="s">
        <v>20</v>
      </c>
    </row>
    <row r="570" spans="8:8" ht="21.0" customHeight="1">
      <c r="A570" s="10"/>
      <c r="B570" s="11" t="s">
        <v>65</v>
      </c>
      <c r="C570" s="9">
        <v>2.0</v>
      </c>
      <c r="D570" s="8">
        <v>11910.0</v>
      </c>
      <c r="E570" s="8">
        <v>22630.0</v>
      </c>
      <c r="F570" s="13"/>
    </row>
    <row r="571" spans="8:8" ht="21.0" customHeight="1">
      <c r="A571" s="10"/>
      <c r="B571" s="11" t="s">
        <v>37</v>
      </c>
      <c r="C571" s="9">
        <v>1.0</v>
      </c>
      <c r="D571" s="8">
        <v>8880.0</v>
      </c>
      <c r="E571" s="8">
        <v>8525.0</v>
      </c>
      <c r="F571" s="13"/>
    </row>
    <row r="572" spans="8:8" ht="21.0" customHeight="1">
      <c r="A572" s="10"/>
      <c r="B572" s="11" t="s">
        <v>44</v>
      </c>
      <c r="C572" s="9">
        <v>2.0</v>
      </c>
      <c r="D572" s="8">
        <v>9200.0</v>
      </c>
      <c r="E572" s="8">
        <v>17980.0</v>
      </c>
      <c r="F572" s="13"/>
    </row>
    <row r="573" spans="8:8" ht="21.0" customHeight="1">
      <c r="A573" s="10"/>
      <c r="B573" s="11" t="s">
        <v>45</v>
      </c>
      <c r="C573" s="9">
        <v>1.0</v>
      </c>
      <c r="D573" s="8">
        <v>13335.0</v>
      </c>
      <c r="E573" s="8">
        <v>12747.0</v>
      </c>
      <c r="F573" s="13"/>
    </row>
    <row r="574" spans="8:8" ht="21.0" customHeight="1">
      <c r="A574" s="10"/>
      <c r="B574" s="11" t="s">
        <v>22</v>
      </c>
      <c r="C574" s="9">
        <v>2.0</v>
      </c>
      <c r="D574" s="8">
        <v>8800.0</v>
      </c>
      <c r="E574" s="8">
        <v>17275.0</v>
      </c>
      <c r="F574" s="13"/>
    </row>
    <row r="575" spans="8:8" ht="21.0" customHeight="1">
      <c r="A575" s="10"/>
      <c r="B575" s="11" t="s">
        <v>24</v>
      </c>
      <c r="C575" s="9">
        <v>1.0</v>
      </c>
      <c r="D575" s="8">
        <v>5000.0</v>
      </c>
      <c r="E575" s="8">
        <v>5200.0</v>
      </c>
      <c r="F575" s="13"/>
    </row>
    <row r="576" spans="8:8" ht="21.0" customHeight="1">
      <c r="A576" s="10"/>
      <c r="B576" s="11" t="s">
        <v>38</v>
      </c>
      <c r="C576" s="9">
        <v>7.0</v>
      </c>
      <c r="D576" s="8">
        <v>1800.0</v>
      </c>
      <c r="E576" s="8">
        <v>10500.0</v>
      </c>
      <c r="F576" s="13"/>
    </row>
    <row r="577" spans="8:8" ht="21.0" customHeight="1">
      <c r="A577" s="10"/>
      <c r="B577" s="11" t="s">
        <v>148</v>
      </c>
      <c r="C577" s="9">
        <v>1.0</v>
      </c>
      <c r="D577" s="8">
        <v>2000.0</v>
      </c>
      <c r="E577" s="9">
        <v>138.0</v>
      </c>
      <c r="F577" s="13"/>
    </row>
    <row r="578" spans="8:8" ht="21.0" customHeight="1">
      <c r="A578" s="10"/>
      <c r="B578" s="14"/>
      <c r="C578" s="15"/>
      <c r="D578" s="15"/>
      <c r="E578" s="15"/>
      <c r="F578" s="14"/>
    </row>
    <row r="579" spans="8:8" ht="21.0" customHeight="1">
      <c r="A579" s="16">
        <v>46212.0</v>
      </c>
      <c r="B579" s="6" t="s">
        <v>122</v>
      </c>
      <c r="C579" s="7" t="s">
        <v>188</v>
      </c>
      <c r="D579" s="6"/>
      <c r="E579" s="8">
        <v>23800.0</v>
      </c>
      <c r="F579" s="8">
        <v>23800.0</v>
      </c>
      <c r="G579" s="9">
        <v>0.0</v>
      </c>
      <c r="H579" s="8">
        <v>23800.0</v>
      </c>
      <c r="I579" s="8">
        <v>21959.0</v>
      </c>
      <c r="J579" s="8">
        <v>1841.0</v>
      </c>
      <c r="K579" s="9">
        <v>8.0</v>
      </c>
      <c r="L579" s="6"/>
    </row>
    <row r="580" spans="8:8" ht="21.0" customHeight="1">
      <c r="A580" s="10"/>
      <c r="B580" s="3" t="s">
        <v>17</v>
      </c>
      <c r="C580" s="4" t="s">
        <v>18</v>
      </c>
      <c r="D580" s="4" t="s">
        <v>19</v>
      </c>
      <c r="E580" s="4" t="s">
        <v>11</v>
      </c>
      <c r="F580" s="3" t="s">
        <v>20</v>
      </c>
    </row>
    <row r="581" spans="8:8" ht="21.0" customHeight="1">
      <c r="A581" s="10"/>
      <c r="B581" s="11" t="s">
        <v>22</v>
      </c>
      <c r="C581" s="9">
        <v>1.0</v>
      </c>
      <c r="D581" s="8">
        <v>9500.0</v>
      </c>
      <c r="E581" s="8">
        <v>8637.0</v>
      </c>
      <c r="F581" s="13"/>
    </row>
    <row r="582" spans="8:8" ht="21.0" customHeight="1">
      <c r="A582" s="10"/>
      <c r="B582" s="11" t="s">
        <v>21</v>
      </c>
      <c r="C582" s="9">
        <v>1.0</v>
      </c>
      <c r="D582" s="8">
        <v>9000.0</v>
      </c>
      <c r="E582" s="8">
        <v>8122.0</v>
      </c>
      <c r="F582" s="13"/>
    </row>
    <row r="583" spans="8:8" ht="21.0" customHeight="1">
      <c r="A583" s="10"/>
      <c r="B583" s="11" t="s">
        <v>24</v>
      </c>
      <c r="C583" s="9">
        <v>1.0</v>
      </c>
      <c r="D583" s="8">
        <v>5300.0</v>
      </c>
      <c r="E583" s="8">
        <v>5200.0</v>
      </c>
      <c r="F583" s="13"/>
    </row>
    <row r="584" spans="8:8" ht="21.0" customHeight="1">
      <c r="A584" s="10"/>
      <c r="B584" s="14"/>
      <c r="C584" s="15"/>
      <c r="D584" s="15"/>
      <c r="E584" s="15"/>
      <c r="F584" s="14"/>
    </row>
    <row r="585" spans="8:8" ht="21.0" customHeight="1">
      <c r="A585" s="21">
        <v>46213.0</v>
      </c>
      <c r="B585" s="6" t="s">
        <v>104</v>
      </c>
      <c r="C585" s="7" t="s">
        <v>189</v>
      </c>
      <c r="D585" s="6"/>
      <c r="E585" s="8">
        <v>284450.0</v>
      </c>
      <c r="F585" s="8">
        <v>284450.0</v>
      </c>
      <c r="G585" s="9">
        <v>0.0</v>
      </c>
      <c r="H585" s="8">
        <v>284450.0</v>
      </c>
      <c r="I585" s="8">
        <v>259300.0</v>
      </c>
      <c r="J585" s="8">
        <v>25150.0</v>
      </c>
      <c r="K585" s="9">
        <v>9.0</v>
      </c>
      <c r="L585" s="6"/>
    </row>
    <row r="586" spans="8:8" ht="21.0" customHeight="1">
      <c r="A586" s="10"/>
      <c r="B586" s="3" t="s">
        <v>17</v>
      </c>
      <c r="C586" s="4" t="s">
        <v>18</v>
      </c>
      <c r="D586" s="4" t="s">
        <v>19</v>
      </c>
      <c r="E586" s="4" t="s">
        <v>11</v>
      </c>
      <c r="F586" s="3" t="s">
        <v>20</v>
      </c>
    </row>
    <row r="587" spans="8:8" ht="21.0" customHeight="1">
      <c r="A587" s="10"/>
      <c r="B587" s="11" t="s">
        <v>190</v>
      </c>
      <c r="C587" s="9">
        <v>10.0</v>
      </c>
      <c r="D587" s="8">
        <v>28445.0</v>
      </c>
      <c r="E587" s="8">
        <v>259300.0</v>
      </c>
      <c r="F587" s="13"/>
    </row>
    <row r="588" spans="8:8" ht="21.0" customHeight="1">
      <c r="A588" s="10"/>
      <c r="B588" s="14"/>
      <c r="C588" s="15"/>
      <c r="D588" s="15"/>
      <c r="E588" s="15"/>
      <c r="F588" s="14"/>
    </row>
    <row r="589" spans="8:8" ht="21.0" customHeight="1">
      <c r="A589" s="16">
        <v>46213.0</v>
      </c>
      <c r="B589" s="6" t="s">
        <v>25</v>
      </c>
      <c r="C589" s="7" t="s">
        <v>191</v>
      </c>
      <c r="D589" s="6"/>
      <c r="E589" s="8">
        <v>1000000.0</v>
      </c>
      <c r="F589" s="8">
        <v>1000000.0</v>
      </c>
      <c r="G589" s="9">
        <v>0.0</v>
      </c>
      <c r="H589" s="8">
        <v>1000000.0</v>
      </c>
      <c r="I589" s="8">
        <v>1040000.0</v>
      </c>
      <c r="J589" s="8">
        <v>-40000.0</v>
      </c>
      <c r="K589" s="9">
        <v>-4.0</v>
      </c>
      <c r="L589" s="6"/>
    </row>
    <row r="590" spans="8:8" ht="21.0" customHeight="1">
      <c r="A590" s="10"/>
      <c r="B590" s="3" t="s">
        <v>17</v>
      </c>
      <c r="C590" s="4" t="s">
        <v>18</v>
      </c>
      <c r="D590" s="4" t="s">
        <v>19</v>
      </c>
      <c r="E590" s="4" t="s">
        <v>11</v>
      </c>
      <c r="F590" s="3" t="s">
        <v>20</v>
      </c>
    </row>
    <row r="591" spans="8:8" ht="21.0" customHeight="1">
      <c r="A591" s="10"/>
      <c r="B591" s="11" t="s">
        <v>24</v>
      </c>
      <c r="C591" s="9">
        <v>200.0</v>
      </c>
      <c r="D591" s="8">
        <v>5000.0</v>
      </c>
      <c r="E591" s="8">
        <v>1040000.0</v>
      </c>
      <c r="F591" s="13"/>
    </row>
    <row r="592" spans="8:8" ht="21.0" customHeight="1">
      <c r="A592" s="10"/>
      <c r="B592" s="14"/>
      <c r="C592" s="15"/>
      <c r="D592" s="15"/>
      <c r="E592" s="15"/>
      <c r="F592" s="14"/>
    </row>
    <row r="593" spans="8:8" ht="21.0" customHeight="1">
      <c r="A593" s="16">
        <v>46213.0</v>
      </c>
      <c r="B593" s="6" t="s">
        <v>29</v>
      </c>
      <c r="C593" s="7" t="s">
        <v>192</v>
      </c>
      <c r="D593" s="6"/>
      <c r="E593" s="8">
        <v>115415.0</v>
      </c>
      <c r="F593" s="8">
        <v>115415.0</v>
      </c>
      <c r="G593" s="9">
        <v>0.0</v>
      </c>
      <c r="H593" s="8">
        <v>115415.0</v>
      </c>
      <c r="I593" s="8">
        <v>108409.0</v>
      </c>
      <c r="J593" s="8">
        <v>7006.0</v>
      </c>
      <c r="K593" s="9">
        <v>6.0</v>
      </c>
      <c r="L593" s="6"/>
    </row>
    <row r="594" spans="8:8" ht="21.0" customHeight="1">
      <c r="A594" s="10"/>
      <c r="B594" s="3" t="s">
        <v>17</v>
      </c>
      <c r="C594" s="4" t="s">
        <v>18</v>
      </c>
      <c r="D594" s="4" t="s">
        <v>19</v>
      </c>
      <c r="E594" s="4" t="s">
        <v>11</v>
      </c>
      <c r="F594" s="3" t="s">
        <v>20</v>
      </c>
    </row>
    <row r="595" spans="8:8" ht="21.0" customHeight="1">
      <c r="A595" s="10"/>
      <c r="B595" s="11" t="s">
        <v>150</v>
      </c>
      <c r="C595" s="9">
        <v>5.0</v>
      </c>
      <c r="D595" s="8">
        <v>10315.0</v>
      </c>
      <c r="E595" s="8">
        <v>49625.0</v>
      </c>
      <c r="F595" s="13"/>
    </row>
    <row r="596" spans="8:8" ht="21.0" customHeight="1">
      <c r="A596" s="10"/>
      <c r="B596" s="11" t="s">
        <v>65</v>
      </c>
      <c r="C596" s="9">
        <v>4.0</v>
      </c>
      <c r="D596" s="8">
        <v>11910.0</v>
      </c>
      <c r="E596" s="8">
        <v>45260.0</v>
      </c>
      <c r="F596" s="13"/>
    </row>
    <row r="597" spans="8:8" ht="21.0" customHeight="1">
      <c r="A597" s="10"/>
      <c r="B597" s="11" t="s">
        <v>38</v>
      </c>
      <c r="C597" s="9">
        <v>9.0</v>
      </c>
      <c r="D597" s="8">
        <v>1800.0</v>
      </c>
      <c r="E597" s="8">
        <v>13524.0</v>
      </c>
      <c r="F597" s="13"/>
    </row>
    <row r="598" spans="8:8" ht="21.0" customHeight="1">
      <c r="A598" s="10"/>
      <c r="B598" s="14"/>
      <c r="C598" s="15"/>
      <c r="D598" s="15"/>
      <c r="E598" s="15"/>
      <c r="F598" s="14"/>
    </row>
    <row r="599" spans="8:8" ht="21.0" customHeight="1">
      <c r="A599" s="16">
        <v>46213.0</v>
      </c>
      <c r="B599" s="6" t="s">
        <v>81</v>
      </c>
      <c r="C599" s="7" t="s">
        <v>193</v>
      </c>
      <c r="D599" s="6"/>
      <c r="E599" s="8">
        <v>55950.0</v>
      </c>
      <c r="F599" s="8">
        <v>55950.0</v>
      </c>
      <c r="G599" s="9">
        <v>0.0</v>
      </c>
      <c r="H599" s="8">
        <v>55950.0</v>
      </c>
      <c r="I599" s="8">
        <v>53009.0</v>
      </c>
      <c r="J599" s="8">
        <v>2941.0</v>
      </c>
      <c r="K599" s="9">
        <v>5.0</v>
      </c>
      <c r="L599" s="6"/>
    </row>
    <row r="600" spans="8:8" ht="21.0" customHeight="1">
      <c r="A600" s="10"/>
      <c r="B600" s="3" t="s">
        <v>17</v>
      </c>
      <c r="C600" s="4" t="s">
        <v>18</v>
      </c>
      <c r="D600" s="4" t="s">
        <v>19</v>
      </c>
      <c r="E600" s="4" t="s">
        <v>11</v>
      </c>
      <c r="F600" s="3" t="s">
        <v>20</v>
      </c>
    </row>
    <row r="601" spans="8:8" ht="21.0" customHeight="1">
      <c r="A601" s="10"/>
      <c r="B601" s="11" t="s">
        <v>45</v>
      </c>
      <c r="C601" s="9">
        <v>1.0</v>
      </c>
      <c r="D601" s="8">
        <v>13335.0</v>
      </c>
      <c r="E601" s="8">
        <v>12747.0</v>
      </c>
      <c r="F601" s="13"/>
    </row>
    <row r="602" spans="8:8" ht="21.0" customHeight="1">
      <c r="A602" s="10"/>
      <c r="B602" s="11" t="s">
        <v>22</v>
      </c>
      <c r="C602" s="9">
        <v>1.0</v>
      </c>
      <c r="D602" s="8">
        <v>9200.0</v>
      </c>
      <c r="E602" s="8">
        <v>8637.0</v>
      </c>
      <c r="F602" s="13"/>
    </row>
    <row r="603" spans="8:8" ht="21.0" customHeight="1">
      <c r="A603" s="10"/>
      <c r="B603" s="11" t="s">
        <v>43</v>
      </c>
      <c r="C603" s="9">
        <v>1.0</v>
      </c>
      <c r="D603" s="8">
        <v>18300.0</v>
      </c>
      <c r="E603" s="8">
        <v>17150.0</v>
      </c>
      <c r="F603" s="13"/>
    </row>
    <row r="604" spans="8:8" ht="21.0" customHeight="1">
      <c r="A604" s="10"/>
      <c r="B604" s="11" t="s">
        <v>113</v>
      </c>
      <c r="C604" s="9">
        <v>1.0</v>
      </c>
      <c r="D604" s="8">
        <v>15115.0</v>
      </c>
      <c r="E604" s="8">
        <v>14475.0</v>
      </c>
      <c r="F604" s="13"/>
    </row>
    <row r="605" spans="8:8" ht="21.0" customHeight="1">
      <c r="A605" s="10"/>
      <c r="B605" s="14"/>
      <c r="C605" s="15"/>
      <c r="D605" s="15"/>
      <c r="E605" s="15"/>
      <c r="F605" s="14"/>
    </row>
    <row r="606" spans="8:8" ht="21.0" customHeight="1">
      <c r="A606" s="16">
        <v>46213.0</v>
      </c>
      <c r="B606" s="6" t="s">
        <v>163</v>
      </c>
      <c r="C606" s="7" t="s">
        <v>194</v>
      </c>
      <c r="D606" s="6"/>
      <c r="E606" s="8">
        <v>61125.0</v>
      </c>
      <c r="F606" s="8">
        <v>61125.0</v>
      </c>
      <c r="G606" s="9">
        <v>0.0</v>
      </c>
      <c r="H606" s="8">
        <v>61125.0</v>
      </c>
      <c r="I606" s="8">
        <v>58500.0</v>
      </c>
      <c r="J606" s="8">
        <v>2625.0</v>
      </c>
      <c r="K606" s="9">
        <v>4.0</v>
      </c>
      <c r="L606" s="6"/>
    </row>
    <row r="607" spans="8:8" ht="21.0" customHeight="1">
      <c r="A607" s="10"/>
      <c r="B607" s="3" t="s">
        <v>17</v>
      </c>
      <c r="C607" s="4" t="s">
        <v>18</v>
      </c>
      <c r="D607" s="4" t="s">
        <v>19</v>
      </c>
      <c r="E607" s="4" t="s">
        <v>11</v>
      </c>
      <c r="F607" s="3" t="s">
        <v>20</v>
      </c>
    </row>
    <row r="608" spans="8:8" ht="21.0" customHeight="1">
      <c r="A608" s="10"/>
      <c r="B608" s="11" t="s">
        <v>141</v>
      </c>
      <c r="C608" s="9">
        <v>3.0</v>
      </c>
      <c r="D608" s="8">
        <v>14145.0</v>
      </c>
      <c r="E608" s="8">
        <v>40560.0</v>
      </c>
      <c r="F608" s="13"/>
    </row>
    <row r="609" spans="8:8" ht="21.0" customHeight="1">
      <c r="A609" s="10"/>
      <c r="B609" s="11" t="s">
        <v>80</v>
      </c>
      <c r="C609" s="9">
        <v>2.0</v>
      </c>
      <c r="D609" s="8">
        <v>9345.0</v>
      </c>
      <c r="E609" s="8">
        <v>17940.0</v>
      </c>
      <c r="F609" s="13"/>
    </row>
    <row r="610" spans="8:8" ht="21.0" customHeight="1">
      <c r="A610" s="10"/>
      <c r="B610" s="14"/>
      <c r="C610" s="15"/>
      <c r="D610" s="15"/>
      <c r="E610" s="15"/>
      <c r="F610" s="14"/>
    </row>
    <row r="611" spans="8:8" ht="21.0" customHeight="1">
      <c r="A611" s="16">
        <v>46213.0</v>
      </c>
      <c r="B611" s="6" t="s">
        <v>15</v>
      </c>
      <c r="C611" s="7" t="s">
        <v>195</v>
      </c>
      <c r="D611" s="6"/>
      <c r="E611" s="8">
        <v>22600.0</v>
      </c>
      <c r="F611" s="8">
        <v>22600.0</v>
      </c>
      <c r="G611" s="9">
        <v>0.0</v>
      </c>
      <c r="H611" s="8">
        <v>22600.0</v>
      </c>
      <c r="I611" s="8">
        <v>20280.0</v>
      </c>
      <c r="J611" s="8">
        <v>2320.0</v>
      </c>
      <c r="K611" s="9">
        <v>10.0</v>
      </c>
      <c r="L611" s="6" t="s">
        <v>196</v>
      </c>
    </row>
    <row r="612" spans="8:8" ht="21.0" customHeight="1">
      <c r="A612" s="10"/>
      <c r="B612" s="3" t="s">
        <v>17</v>
      </c>
      <c r="C612" s="4" t="s">
        <v>18</v>
      </c>
      <c r="D612" s="4" t="s">
        <v>19</v>
      </c>
      <c r="E612" s="4" t="s">
        <v>11</v>
      </c>
      <c r="F612" s="3" t="s">
        <v>20</v>
      </c>
    </row>
    <row r="613" spans="8:8" ht="21.0" customHeight="1">
      <c r="A613" s="10"/>
      <c r="B613" s="11" t="s">
        <v>22</v>
      </c>
      <c r="C613" s="9">
        <v>2.0</v>
      </c>
      <c r="D613" s="8">
        <v>9500.0</v>
      </c>
      <c r="E613" s="8">
        <v>17275.0</v>
      </c>
      <c r="F613" s="13"/>
    </row>
    <row r="614" spans="8:8" ht="21.0" customHeight="1">
      <c r="A614" s="10"/>
      <c r="B614" s="11" t="s">
        <v>38</v>
      </c>
      <c r="C614" s="9">
        <v>2.0</v>
      </c>
      <c r="D614" s="8">
        <v>1800.0</v>
      </c>
      <c r="E614" s="8">
        <v>3005.0</v>
      </c>
      <c r="F614" s="13"/>
    </row>
    <row r="615" spans="8:8" ht="21.0" customHeight="1">
      <c r="A615" s="10"/>
      <c r="B615" s="14"/>
      <c r="C615" s="15"/>
      <c r="D615" s="15"/>
      <c r="E615" s="15"/>
      <c r="F615" s="14"/>
    </row>
    <row r="616" spans="8:8" ht="21.0" customHeight="1">
      <c r="A616" s="16">
        <v>46213.0</v>
      </c>
      <c r="B616" s="6" t="s">
        <v>15</v>
      </c>
      <c r="C616" s="7" t="s">
        <v>197</v>
      </c>
      <c r="D616" s="6"/>
      <c r="E616" s="8">
        <v>9500.0</v>
      </c>
      <c r="F616" s="8">
        <v>9500.0</v>
      </c>
      <c r="G616" s="9">
        <v>0.0</v>
      </c>
      <c r="H616" s="8">
        <v>9500.0</v>
      </c>
      <c r="I616" s="8">
        <v>8637.0</v>
      </c>
      <c r="J616" s="9">
        <v>863.0</v>
      </c>
      <c r="K616" s="9">
        <v>9.0</v>
      </c>
      <c r="L616" s="6"/>
    </row>
    <row r="617" spans="8:8" ht="21.0" customHeight="1">
      <c r="A617" s="10"/>
      <c r="B617" s="3" t="s">
        <v>17</v>
      </c>
      <c r="C617" s="4" t="s">
        <v>18</v>
      </c>
      <c r="D617" s="4" t="s">
        <v>19</v>
      </c>
      <c r="E617" s="4" t="s">
        <v>11</v>
      </c>
      <c r="F617" s="3" t="s">
        <v>20</v>
      </c>
    </row>
    <row r="618" spans="8:8" ht="21.0" customHeight="1">
      <c r="A618" s="10"/>
      <c r="B618" s="11" t="s">
        <v>22</v>
      </c>
      <c r="C618" s="9">
        <v>1.0</v>
      </c>
      <c r="D618" s="8">
        <v>9500.0</v>
      </c>
      <c r="E618" s="8">
        <v>8637.0</v>
      </c>
      <c r="F618" s="13"/>
    </row>
    <row r="619" spans="8:8" ht="21.0" customHeight="1">
      <c r="A619" s="10"/>
      <c r="B619" s="14"/>
      <c r="C619" s="15"/>
      <c r="D619" s="15"/>
      <c r="E619" s="15"/>
      <c r="F619" s="14"/>
    </row>
    <row r="620" spans="8:8" ht="21.0" customHeight="1">
      <c r="A620" s="22">
        <v>46214.0</v>
      </c>
      <c r="B620" s="6" t="s">
        <v>102</v>
      </c>
      <c r="C620" s="7" t="s">
        <v>198</v>
      </c>
      <c r="D620" s="6"/>
      <c r="E620" s="8">
        <v>56000.0</v>
      </c>
      <c r="F620" s="8">
        <v>56000.0</v>
      </c>
      <c r="G620" s="9">
        <v>0.0</v>
      </c>
      <c r="H620" s="8">
        <v>56000.0</v>
      </c>
      <c r="I620" s="8">
        <v>51146.0</v>
      </c>
      <c r="J620" s="8">
        <v>4854.0</v>
      </c>
      <c r="K620" s="9">
        <v>9.0</v>
      </c>
      <c r="L620" s="6"/>
    </row>
    <row r="621" spans="8:8" ht="21.0" customHeight="1">
      <c r="A621" s="10"/>
      <c r="B621" s="3" t="s">
        <v>17</v>
      </c>
      <c r="C621" s="4" t="s">
        <v>18</v>
      </c>
      <c r="D621" s="4" t="s">
        <v>19</v>
      </c>
      <c r="E621" s="4" t="s">
        <v>11</v>
      </c>
      <c r="F621" s="3" t="s">
        <v>20</v>
      </c>
    </row>
    <row r="622" spans="8:8" ht="21.0" customHeight="1">
      <c r="A622" s="10"/>
      <c r="B622" s="11" t="s">
        <v>21</v>
      </c>
      <c r="C622" s="9">
        <v>2.0</v>
      </c>
      <c r="D622" s="8">
        <v>9000.0</v>
      </c>
      <c r="E622" s="8">
        <v>16244.0</v>
      </c>
      <c r="F622" s="13"/>
    </row>
    <row r="623" spans="8:8" ht="21.0" customHeight="1">
      <c r="A623" s="10"/>
      <c r="B623" s="11" t="s">
        <v>22</v>
      </c>
      <c r="C623" s="9">
        <v>3.0</v>
      </c>
      <c r="D623" s="8">
        <v>9500.0</v>
      </c>
      <c r="E623" s="8">
        <v>25912.0</v>
      </c>
      <c r="F623" s="13"/>
    </row>
    <row r="624" spans="8:8" ht="21.0" customHeight="1">
      <c r="A624" s="10"/>
      <c r="B624" s="11" t="s">
        <v>44</v>
      </c>
      <c r="C624" s="9">
        <v>1.0</v>
      </c>
      <c r="D624" s="8">
        <v>9500.0</v>
      </c>
      <c r="E624" s="8">
        <v>8990.0</v>
      </c>
      <c r="F624" s="13"/>
    </row>
    <row r="625" spans="8:8" ht="21.0" customHeight="1">
      <c r="A625" s="10"/>
      <c r="B625" s="14"/>
      <c r="C625" s="15"/>
      <c r="D625" s="15"/>
      <c r="E625" s="15"/>
      <c r="F625" s="14"/>
    </row>
    <row r="626" spans="8:8" ht="21.0" customHeight="1">
      <c r="A626" s="16">
        <v>46214.0</v>
      </c>
      <c r="B626" s="6" t="s">
        <v>15</v>
      </c>
      <c r="C626" s="7" t="s">
        <v>199</v>
      </c>
      <c r="D626" s="6"/>
      <c r="E626" s="8">
        <v>16140.0</v>
      </c>
      <c r="F626" s="8">
        <v>16140.0</v>
      </c>
      <c r="G626" s="9">
        <v>0.0</v>
      </c>
      <c r="H626" s="8">
        <v>16140.0</v>
      </c>
      <c r="I626" s="8">
        <v>14900.0</v>
      </c>
      <c r="J626" s="8">
        <v>1240.0</v>
      </c>
      <c r="K626" s="9">
        <v>8.0</v>
      </c>
      <c r="L626" s="6"/>
    </row>
    <row r="627" spans="8:8" ht="21.0" customHeight="1">
      <c r="A627" s="10"/>
      <c r="B627" s="3" t="s">
        <v>17</v>
      </c>
      <c r="C627" s="4" t="s">
        <v>18</v>
      </c>
      <c r="D627" s="4" t="s">
        <v>19</v>
      </c>
      <c r="E627" s="4" t="s">
        <v>11</v>
      </c>
      <c r="F627" s="3" t="s">
        <v>20</v>
      </c>
    </row>
    <row r="628" spans="8:8" ht="21.0" customHeight="1">
      <c r="A628" s="10"/>
      <c r="B628" s="11" t="s">
        <v>36</v>
      </c>
      <c r="C628" s="9">
        <v>1.0</v>
      </c>
      <c r="D628" s="8">
        <v>16140.0</v>
      </c>
      <c r="E628" s="8">
        <v>14900.0</v>
      </c>
      <c r="F628" s="13"/>
    </row>
    <row r="629" spans="8:8" ht="21.0" customHeight="1">
      <c r="A629" s="10"/>
      <c r="B629" s="14"/>
      <c r="C629" s="15"/>
      <c r="D629" s="15"/>
      <c r="E629" s="15"/>
      <c r="F629" s="14"/>
    </row>
    <row r="630" spans="8:8" ht="21.0" customHeight="1">
      <c r="A630" s="16">
        <v>46214.0</v>
      </c>
      <c r="B630" s="6" t="s">
        <v>95</v>
      </c>
      <c r="C630" s="7" t="s">
        <v>200</v>
      </c>
      <c r="D630" s="6"/>
      <c r="E630" s="8">
        <v>150000.0</v>
      </c>
      <c r="F630" s="8">
        <v>150000.0</v>
      </c>
      <c r="G630" s="9">
        <v>0.0</v>
      </c>
      <c r="H630" s="8">
        <v>150000.0</v>
      </c>
      <c r="I630" s="8">
        <v>156000.0</v>
      </c>
      <c r="J630" s="8">
        <v>-6000.0</v>
      </c>
      <c r="K630" s="9">
        <v>-4.0</v>
      </c>
      <c r="L630" s="6"/>
    </row>
    <row r="631" spans="8:8" ht="21.0" customHeight="1">
      <c r="A631" s="10"/>
      <c r="B631" s="3" t="s">
        <v>17</v>
      </c>
      <c r="C631" s="4" t="s">
        <v>18</v>
      </c>
      <c r="D631" s="4" t="s">
        <v>19</v>
      </c>
      <c r="E631" s="4" t="s">
        <v>11</v>
      </c>
      <c r="F631" s="3" t="s">
        <v>20</v>
      </c>
    </row>
    <row r="632" spans="8:8" ht="21.0" customHeight="1">
      <c r="A632" s="10"/>
      <c r="B632" s="11" t="s">
        <v>24</v>
      </c>
      <c r="C632" s="9">
        <v>30.0</v>
      </c>
      <c r="D632" s="8">
        <v>5000.0</v>
      </c>
      <c r="E632" s="8">
        <v>156000.0</v>
      </c>
      <c r="F632" s="13"/>
    </row>
    <row r="633" spans="8:8" ht="21.0" customHeight="1">
      <c r="A633" s="10"/>
      <c r="B633" s="14"/>
      <c r="C633" s="15"/>
      <c r="D633" s="15"/>
      <c r="E633" s="15"/>
      <c r="F633" s="14"/>
    </row>
    <row r="634" spans="8:8" ht="21.0" customHeight="1">
      <c r="A634" s="16">
        <v>46214.0</v>
      </c>
      <c r="B634" s="6" t="s">
        <v>15</v>
      </c>
      <c r="C634" s="7" t="s">
        <v>201</v>
      </c>
      <c r="D634" s="6"/>
      <c r="E634" s="8">
        <v>15950.0</v>
      </c>
      <c r="F634" s="8">
        <v>15950.0</v>
      </c>
      <c r="G634" s="9">
        <v>0.0</v>
      </c>
      <c r="H634" s="8">
        <v>15950.0</v>
      </c>
      <c r="I634" s="8">
        <v>12888.0</v>
      </c>
      <c r="J634" s="8">
        <v>3062.0</v>
      </c>
      <c r="K634" s="9">
        <v>19.0</v>
      </c>
      <c r="L634" s="6"/>
    </row>
    <row r="635" spans="8:8" ht="21.0" customHeight="1">
      <c r="A635" s="10"/>
      <c r="B635" s="3" t="s">
        <v>17</v>
      </c>
      <c r="C635" s="4" t="s">
        <v>18</v>
      </c>
      <c r="D635" s="4" t="s">
        <v>19</v>
      </c>
      <c r="E635" s="4" t="s">
        <v>11</v>
      </c>
      <c r="F635" s="3" t="s">
        <v>20</v>
      </c>
    </row>
    <row r="636" spans="8:8" ht="21.0" customHeight="1">
      <c r="A636" s="10"/>
      <c r="B636" s="11" t="s">
        <v>45</v>
      </c>
      <c r="C636" s="9">
        <v>1.0</v>
      </c>
      <c r="D636" s="8">
        <v>13950.0</v>
      </c>
      <c r="E636" s="8">
        <v>12747.0</v>
      </c>
      <c r="F636" s="13"/>
    </row>
    <row r="637" spans="8:8" ht="21.0" customHeight="1">
      <c r="A637" s="10"/>
      <c r="B637" s="11" t="s">
        <v>148</v>
      </c>
      <c r="C637" s="9">
        <v>1.0</v>
      </c>
      <c r="D637" s="8">
        <v>2000.0</v>
      </c>
      <c r="E637" s="9">
        <v>141.0</v>
      </c>
      <c r="F637" s="13"/>
    </row>
    <row r="638" spans="8:8" ht="21.0" customHeight="1">
      <c r="A638" s="10"/>
      <c r="B638" s="14"/>
      <c r="C638" s="15"/>
      <c r="D638" s="15"/>
      <c r="E638" s="15"/>
      <c r="F638" s="14"/>
    </row>
    <row r="639" spans="8:8" ht="21.0" customHeight="1">
      <c r="A639" s="16">
        <v>46214.0</v>
      </c>
      <c r="B639" s="6" t="s">
        <v>106</v>
      </c>
      <c r="C639" s="7" t="s">
        <v>202</v>
      </c>
      <c r="D639" s="6"/>
      <c r="E639" s="8">
        <v>500000.0</v>
      </c>
      <c r="F639" s="8">
        <v>90000.0</v>
      </c>
      <c r="G639" s="8">
        <v>410000.0</v>
      </c>
      <c r="H639" s="8">
        <v>500000.0</v>
      </c>
      <c r="I639" s="8">
        <v>520000.0</v>
      </c>
      <c r="J639" s="8">
        <v>-20000.0</v>
      </c>
      <c r="K639" s="9">
        <v>-4.0</v>
      </c>
      <c r="L639" s="6"/>
    </row>
    <row r="640" spans="8:8" ht="21.0" customHeight="1">
      <c r="A640" s="10"/>
      <c r="B640" s="3" t="s">
        <v>17</v>
      </c>
      <c r="C640" s="4" t="s">
        <v>18</v>
      </c>
      <c r="D640" s="4" t="s">
        <v>19</v>
      </c>
      <c r="E640" s="4" t="s">
        <v>11</v>
      </c>
      <c r="F640" s="3" t="s">
        <v>20</v>
      </c>
    </row>
    <row r="641" spans="8:8" ht="21.0" customHeight="1">
      <c r="A641" s="10"/>
      <c r="B641" s="11" t="s">
        <v>24</v>
      </c>
      <c r="C641" s="9">
        <v>100.0</v>
      </c>
      <c r="D641" s="8">
        <v>5000.0</v>
      </c>
      <c r="E641" s="8">
        <v>520000.0</v>
      </c>
      <c r="F641" s="13"/>
    </row>
    <row r="642" spans="8:8" ht="21.0" customHeight="1">
      <c r="A642" s="10"/>
      <c r="B642" s="14"/>
      <c r="C642" s="15"/>
      <c r="D642" s="15"/>
      <c r="E642" s="15"/>
      <c r="F642" s="14"/>
    </row>
    <row r="643" spans="8:8" ht="21.0" customHeight="1">
      <c r="A643" s="16">
        <v>46214.0</v>
      </c>
      <c r="B643" s="6" t="s">
        <v>85</v>
      </c>
      <c r="C643" s="7" t="s">
        <v>203</v>
      </c>
      <c r="D643" s="6"/>
      <c r="E643" s="8">
        <v>337825.0</v>
      </c>
      <c r="F643" s="8">
        <v>337825.0</v>
      </c>
      <c r="G643" s="9">
        <v>0.0</v>
      </c>
      <c r="H643" s="8">
        <v>337825.0</v>
      </c>
      <c r="I643" s="8">
        <v>282487.0</v>
      </c>
      <c r="J643" s="8">
        <v>55338.0</v>
      </c>
      <c r="K643" s="9">
        <v>16.0</v>
      </c>
      <c r="L643" s="6"/>
    </row>
    <row r="644" spans="8:8" ht="21.0" customHeight="1">
      <c r="A644" s="10"/>
      <c r="B644" s="3" t="s">
        <v>17</v>
      </c>
      <c r="C644" s="4" t="s">
        <v>18</v>
      </c>
      <c r="D644" s="4" t="s">
        <v>19</v>
      </c>
      <c r="E644" s="4" t="s">
        <v>11</v>
      </c>
      <c r="F644" s="3" t="s">
        <v>20</v>
      </c>
    </row>
    <row r="645" spans="8:8" ht="21.0" customHeight="1">
      <c r="A645" s="10"/>
      <c r="B645" s="11" t="s">
        <v>45</v>
      </c>
      <c r="C645" s="9">
        <v>10.0</v>
      </c>
      <c r="D645" s="8">
        <v>13950.0</v>
      </c>
      <c r="E645" s="8">
        <v>127468.0</v>
      </c>
      <c r="F645" s="13"/>
    </row>
    <row r="646" spans="8:8" ht="21.0" customHeight="1">
      <c r="A646" s="10"/>
      <c r="B646" s="11" t="s">
        <v>87</v>
      </c>
      <c r="C646" s="9">
        <v>5.0</v>
      </c>
      <c r="D646" s="8">
        <v>22565.0</v>
      </c>
      <c r="E646" s="8">
        <v>102200.0</v>
      </c>
      <c r="F646" s="13"/>
    </row>
    <row r="647" spans="8:8" ht="21.0" customHeight="1">
      <c r="A647" s="10"/>
      <c r="B647" s="11" t="s">
        <v>22</v>
      </c>
      <c r="C647" s="9">
        <v>5.0</v>
      </c>
      <c r="D647" s="8">
        <v>9300.0</v>
      </c>
      <c r="E647" s="8">
        <v>43187.0</v>
      </c>
      <c r="F647" s="13"/>
    </row>
    <row r="648" spans="8:8" ht="21.0" customHeight="1">
      <c r="A648" s="10"/>
      <c r="B648" s="11" t="s">
        <v>148</v>
      </c>
      <c r="C648" s="9">
        <v>15.0</v>
      </c>
      <c r="D648" s="8">
        <v>2000.0</v>
      </c>
      <c r="E648" s="8">
        <v>2116.0</v>
      </c>
      <c r="F648" s="13"/>
    </row>
    <row r="649" spans="8:8" ht="21.0" customHeight="1">
      <c r="A649" s="10"/>
      <c r="B649" s="11" t="s">
        <v>38</v>
      </c>
      <c r="C649" s="9">
        <v>5.0</v>
      </c>
      <c r="D649" s="8">
        <v>1800.0</v>
      </c>
      <c r="E649" s="8">
        <v>7516.0</v>
      </c>
      <c r="F649" s="13"/>
    </row>
    <row r="650" spans="8:8" ht="21.0" customHeight="1">
      <c r="A650" s="10"/>
      <c r="B650" s="14"/>
      <c r="C650" s="15"/>
      <c r="D650" s="15"/>
      <c r="E650" s="15"/>
      <c r="F650" s="14"/>
    </row>
    <row r="651" spans="8:8" ht="21.0" customHeight="1">
      <c r="A651" s="16">
        <v>46214.0</v>
      </c>
      <c r="B651" s="6" t="s">
        <v>29</v>
      </c>
      <c r="C651" s="7" t="s">
        <v>204</v>
      </c>
      <c r="D651" s="6"/>
      <c r="E651" s="8">
        <v>438990.0</v>
      </c>
      <c r="F651" s="8">
        <v>438990.0</v>
      </c>
      <c r="G651" s="9">
        <v>0.0</v>
      </c>
      <c r="H651" s="8">
        <v>438990.0</v>
      </c>
      <c r="I651" s="8">
        <v>407274.0</v>
      </c>
      <c r="J651" s="8">
        <v>31716.0</v>
      </c>
      <c r="K651" s="9">
        <v>7.0</v>
      </c>
      <c r="L651" s="6"/>
    </row>
    <row r="652" spans="8:8" ht="21.0" customHeight="1">
      <c r="A652" s="10"/>
      <c r="B652" s="3" t="s">
        <v>17</v>
      </c>
      <c r="C652" s="4" t="s">
        <v>18</v>
      </c>
      <c r="D652" s="4" t="s">
        <v>19</v>
      </c>
      <c r="E652" s="4" t="s">
        <v>11</v>
      </c>
      <c r="F652" s="3" t="s">
        <v>20</v>
      </c>
    </row>
    <row r="653" spans="8:8" ht="21.0" customHeight="1">
      <c r="A653" s="10"/>
      <c r="B653" s="11" t="s">
        <v>44</v>
      </c>
      <c r="C653" s="9">
        <v>10.0</v>
      </c>
      <c r="D653" s="8">
        <v>9200.0</v>
      </c>
      <c r="E653" s="8">
        <v>89900.0</v>
      </c>
      <c r="F653" s="13"/>
    </row>
    <row r="654" spans="8:8" ht="21.0" customHeight="1">
      <c r="A654" s="10"/>
      <c r="B654" s="11" t="s">
        <v>65</v>
      </c>
      <c r="C654" s="9">
        <v>5.0</v>
      </c>
      <c r="D654" s="8">
        <v>11910.0</v>
      </c>
      <c r="E654" s="8">
        <v>56575.0</v>
      </c>
      <c r="F654" s="13"/>
    </row>
    <row r="655" spans="8:8" ht="21.0" customHeight="1">
      <c r="A655" s="10"/>
      <c r="B655" s="11" t="s">
        <v>22</v>
      </c>
      <c r="C655" s="9">
        <v>5.0</v>
      </c>
      <c r="D655" s="8">
        <v>8800.0</v>
      </c>
      <c r="E655" s="8">
        <v>43187.0</v>
      </c>
      <c r="F655" s="13"/>
    </row>
    <row r="656" spans="8:8" ht="21.0" customHeight="1">
      <c r="A656" s="10"/>
      <c r="B656" s="11" t="s">
        <v>45</v>
      </c>
      <c r="C656" s="9">
        <v>5.0</v>
      </c>
      <c r="D656" s="8">
        <v>13335.0</v>
      </c>
      <c r="E656" s="8">
        <v>63734.0</v>
      </c>
      <c r="F656" s="13"/>
    </row>
    <row r="657" spans="8:8" ht="21.0" customHeight="1">
      <c r="A657" s="10"/>
      <c r="B657" s="11" t="s">
        <v>36</v>
      </c>
      <c r="C657" s="9">
        <v>3.0</v>
      </c>
      <c r="D657" s="8">
        <v>15525.0</v>
      </c>
      <c r="E657" s="8">
        <v>44700.0</v>
      </c>
      <c r="F657" s="13"/>
    </row>
    <row r="658" spans="8:8" ht="21.0" customHeight="1">
      <c r="A658" s="10"/>
      <c r="B658" s="11" t="s">
        <v>93</v>
      </c>
      <c r="C658" s="9">
        <v>2.0</v>
      </c>
      <c r="D658" s="8">
        <v>11415.0</v>
      </c>
      <c r="E658" s="8">
        <v>22260.0</v>
      </c>
      <c r="F658" s="13"/>
    </row>
    <row r="659" spans="8:8" ht="21.0" customHeight="1">
      <c r="A659" s="10"/>
      <c r="B659" s="11" t="s">
        <v>32</v>
      </c>
      <c r="C659" s="9">
        <v>1.0</v>
      </c>
      <c r="D659" s="8">
        <v>16145.0</v>
      </c>
      <c r="E659" s="8">
        <v>15247.0</v>
      </c>
      <c r="F659" s="13"/>
    </row>
    <row r="660" spans="8:8" ht="21.0" customHeight="1">
      <c r="A660" s="10"/>
      <c r="B660" s="11" t="s">
        <v>113</v>
      </c>
      <c r="C660" s="9">
        <v>1.0</v>
      </c>
      <c r="D660" s="8">
        <v>14575.0</v>
      </c>
      <c r="E660" s="8">
        <v>14475.0</v>
      </c>
      <c r="F660" s="13"/>
    </row>
    <row r="661" spans="8:8" ht="21.0" customHeight="1">
      <c r="A661" s="10"/>
      <c r="B661" s="11" t="s">
        <v>77</v>
      </c>
      <c r="C661" s="9">
        <v>1.0</v>
      </c>
      <c r="D661" s="8">
        <v>17840.0</v>
      </c>
      <c r="E661" s="8">
        <v>17265.0</v>
      </c>
      <c r="F661" s="13"/>
    </row>
    <row r="662" spans="8:8" ht="21.0" customHeight="1">
      <c r="A662" s="10"/>
      <c r="B662" s="11" t="s">
        <v>148</v>
      </c>
      <c r="C662" s="9">
        <v>6.0</v>
      </c>
      <c r="D662" s="8">
        <v>2000.0</v>
      </c>
      <c r="E662" s="9">
        <v>847.0</v>
      </c>
      <c r="F662" s="13"/>
    </row>
    <row r="663" spans="8:8" ht="21.0" customHeight="1">
      <c r="A663" s="10"/>
      <c r="B663" s="11" t="s">
        <v>38</v>
      </c>
      <c r="C663" s="9">
        <v>26.0</v>
      </c>
      <c r="D663" s="8">
        <v>1800.0</v>
      </c>
      <c r="E663" s="8">
        <v>39084.0</v>
      </c>
      <c r="F663" s="13"/>
    </row>
    <row r="664" spans="8:8" ht="21.0" customHeight="1">
      <c r="A664" s="10"/>
      <c r="B664" s="14"/>
      <c r="C664" s="15"/>
      <c r="D664" s="15"/>
      <c r="E664" s="15"/>
      <c r="F664" s="14"/>
    </row>
    <row r="665" spans="8:8" ht="21.0" customHeight="1">
      <c r="A665" s="16">
        <v>46214.0</v>
      </c>
      <c r="B665" s="6" t="s">
        <v>25</v>
      </c>
      <c r="C665" s="7" t="s">
        <v>205</v>
      </c>
      <c r="D665" s="6"/>
      <c r="E665" s="8">
        <v>660400.0</v>
      </c>
      <c r="F665" s="8">
        <v>660400.0</v>
      </c>
      <c r="G665" s="9">
        <v>0.0</v>
      </c>
      <c r="H665" s="8">
        <v>660400.0</v>
      </c>
      <c r="I665" s="8">
        <v>673700.0</v>
      </c>
      <c r="J665" s="8">
        <v>-13300.0</v>
      </c>
      <c r="K665" s="9">
        <v>-2.0</v>
      </c>
      <c r="L665" s="6"/>
    </row>
    <row r="666" spans="8:8" ht="21.0" customHeight="1">
      <c r="A666" s="10"/>
      <c r="B666" s="3" t="s">
        <v>17</v>
      </c>
      <c r="C666" s="4" t="s">
        <v>18</v>
      </c>
      <c r="D666" s="4" t="s">
        <v>19</v>
      </c>
      <c r="E666" s="4" t="s">
        <v>11</v>
      </c>
      <c r="F666" s="3" t="s">
        <v>20</v>
      </c>
    </row>
    <row r="667" spans="8:8" ht="21.0" customHeight="1">
      <c r="A667" s="10"/>
      <c r="B667" s="11" t="s">
        <v>24</v>
      </c>
      <c r="C667" s="9">
        <v>100.0</v>
      </c>
      <c r="D667" s="8">
        <v>5000.0</v>
      </c>
      <c r="E667" s="8">
        <v>520000.0</v>
      </c>
      <c r="F667" s="13"/>
    </row>
    <row r="668" spans="8:8" ht="21.0" customHeight="1">
      <c r="A668" s="10"/>
      <c r="B668" s="11" t="s">
        <v>27</v>
      </c>
      <c r="C668" s="9">
        <v>20.0</v>
      </c>
      <c r="D668" s="8">
        <v>8020.0</v>
      </c>
      <c r="E668" s="8">
        <v>153700.0</v>
      </c>
      <c r="F668" s="13"/>
    </row>
    <row r="669" spans="8:8" ht="21.0" customHeight="1">
      <c r="A669" s="10"/>
      <c r="B669" s="14"/>
      <c r="C669" s="15"/>
      <c r="D669" s="15"/>
      <c r="E669" s="15"/>
      <c r="F669" s="14"/>
    </row>
    <row r="670" spans="8:8" ht="21.0" customHeight="1">
      <c r="A670" s="16">
        <v>46214.0</v>
      </c>
      <c r="B670" s="6" t="s">
        <v>75</v>
      </c>
      <c r="C670" s="7" t="s">
        <v>206</v>
      </c>
      <c r="D670" s="6"/>
      <c r="E670" s="8">
        <v>308000.0</v>
      </c>
      <c r="F670" s="9">
        <v>0.0</v>
      </c>
      <c r="G670" s="8">
        <v>308000.0</v>
      </c>
      <c r="H670" s="8">
        <v>308000.0</v>
      </c>
      <c r="I670" s="8">
        <v>283939.0</v>
      </c>
      <c r="J670" s="8">
        <v>24061.0</v>
      </c>
      <c r="K670" s="9">
        <v>8.0</v>
      </c>
      <c r="L670" s="6"/>
    </row>
    <row r="671" spans="8:8" ht="21.0" customHeight="1">
      <c r="A671" s="10"/>
      <c r="B671" s="3" t="s">
        <v>17</v>
      </c>
      <c r="C671" s="4" t="s">
        <v>18</v>
      </c>
      <c r="D671" s="4" t="s">
        <v>19</v>
      </c>
      <c r="E671" s="4" t="s">
        <v>11</v>
      </c>
      <c r="F671" s="3" t="s">
        <v>20</v>
      </c>
    </row>
    <row r="672" spans="8:8" ht="21.0" customHeight="1">
      <c r="A672" s="10"/>
      <c r="B672" s="11" t="s">
        <v>22</v>
      </c>
      <c r="C672" s="9">
        <v>28.0</v>
      </c>
      <c r="D672" s="8">
        <v>9200.0</v>
      </c>
      <c r="E672" s="8">
        <v>241848.0</v>
      </c>
      <c r="F672" s="13"/>
    </row>
    <row r="673" spans="8:8" ht="21.0" customHeight="1">
      <c r="A673" s="10"/>
      <c r="B673" s="11" t="s">
        <v>38</v>
      </c>
      <c r="C673" s="9">
        <v>28.0</v>
      </c>
      <c r="D673" s="8">
        <v>1800.0</v>
      </c>
      <c r="E673" s="8">
        <v>42091.0</v>
      </c>
      <c r="F673" s="13"/>
    </row>
    <row r="674" spans="8:8" ht="21.0" customHeight="1">
      <c r="A674" s="10"/>
      <c r="B674" s="14"/>
      <c r="C674" s="15"/>
      <c r="D674" s="15"/>
      <c r="E674" s="15"/>
      <c r="F674" s="14"/>
    </row>
    <row r="675" spans="8:8" ht="21.0" customHeight="1">
      <c r="A675" s="16">
        <v>46214.0</v>
      </c>
      <c r="B675" s="6" t="s">
        <v>50</v>
      </c>
      <c r="C675" s="7" t="s">
        <v>207</v>
      </c>
      <c r="D675" s="6"/>
      <c r="E675" s="8">
        <v>936840.0</v>
      </c>
      <c r="F675" s="8">
        <v>936840.0</v>
      </c>
      <c r="G675" s="9">
        <v>0.0</v>
      </c>
      <c r="H675" s="8">
        <v>936840.0</v>
      </c>
      <c r="I675" s="8">
        <v>843647.0</v>
      </c>
      <c r="J675" s="8">
        <v>93193.0</v>
      </c>
      <c r="K675" s="9">
        <v>10.0</v>
      </c>
      <c r="L675" s="6"/>
    </row>
    <row r="676" spans="8:8" ht="21.0" customHeight="1">
      <c r="A676" s="10"/>
      <c r="B676" s="3" t="s">
        <v>17</v>
      </c>
      <c r="C676" s="4" t="s">
        <v>18</v>
      </c>
      <c r="D676" s="4" t="s">
        <v>19</v>
      </c>
      <c r="E676" s="4" t="s">
        <v>11</v>
      </c>
      <c r="F676" s="3" t="s">
        <v>20</v>
      </c>
    </row>
    <row r="677" spans="8:8" ht="21.0" customHeight="1">
      <c r="A677" s="10"/>
      <c r="B677" s="11" t="s">
        <v>44</v>
      </c>
      <c r="C677" s="9">
        <v>10.0</v>
      </c>
      <c r="D677" s="8">
        <v>9200.0</v>
      </c>
      <c r="E677" s="8">
        <v>89900.0</v>
      </c>
      <c r="F677" s="13"/>
    </row>
    <row r="678" spans="8:8" ht="21.0" customHeight="1">
      <c r="A678" s="10"/>
      <c r="B678" s="11" t="s">
        <v>45</v>
      </c>
      <c r="C678" s="9">
        <v>20.0</v>
      </c>
      <c r="D678" s="8">
        <v>13335.0</v>
      </c>
      <c r="E678" s="8">
        <v>254935.0</v>
      </c>
      <c r="F678" s="13"/>
    </row>
    <row r="679" spans="8:8" ht="21.0" customHeight="1">
      <c r="A679" s="10"/>
      <c r="B679" s="11" t="s">
        <v>65</v>
      </c>
      <c r="C679" s="9">
        <v>9.0</v>
      </c>
      <c r="D679" s="8">
        <v>11910.0</v>
      </c>
      <c r="E679" s="8">
        <v>101835.0</v>
      </c>
      <c r="F679" s="13"/>
    </row>
    <row r="680" spans="8:8" ht="21.0" customHeight="1">
      <c r="A680" s="10"/>
      <c r="B680" s="11" t="s">
        <v>113</v>
      </c>
      <c r="C680" s="9">
        <v>10.0</v>
      </c>
      <c r="D680" s="8">
        <v>14475.0</v>
      </c>
      <c r="E680" s="8">
        <v>144750.0</v>
      </c>
      <c r="F680" s="13"/>
    </row>
    <row r="681" spans="8:8" ht="21.0" customHeight="1">
      <c r="A681" s="10"/>
      <c r="B681" s="11" t="s">
        <v>87</v>
      </c>
      <c r="C681" s="9">
        <v>10.0</v>
      </c>
      <c r="D681" s="8">
        <v>21400.0</v>
      </c>
      <c r="E681" s="8">
        <v>204400.0</v>
      </c>
      <c r="F681" s="13"/>
    </row>
    <row r="682" spans="8:8" ht="21.0" customHeight="1">
      <c r="A682" s="10"/>
      <c r="B682" s="11" t="s">
        <v>148</v>
      </c>
      <c r="C682" s="9">
        <v>30.0</v>
      </c>
      <c r="D682" s="8">
        <v>2000.0</v>
      </c>
      <c r="E682" s="8">
        <v>4233.0</v>
      </c>
      <c r="F682" s="13"/>
    </row>
    <row r="683" spans="8:8" ht="21.0" customHeight="1">
      <c r="A683" s="10"/>
      <c r="B683" s="11" t="s">
        <v>38</v>
      </c>
      <c r="C683" s="9">
        <v>29.0</v>
      </c>
      <c r="D683" s="8">
        <v>1800.0</v>
      </c>
      <c r="E683" s="8">
        <v>43594.0</v>
      </c>
      <c r="F683" s="13"/>
    </row>
    <row r="684" spans="8:8" ht="21.0" customHeight="1">
      <c r="A684" s="10"/>
      <c r="B684" s="14"/>
      <c r="C684" s="15"/>
      <c r="D684" s="15"/>
      <c r="E684" s="15"/>
      <c r="F684" s="14"/>
    </row>
    <row r="685" spans="8:8" ht="21.0" customHeight="1">
      <c r="A685" s="16">
        <v>46214.0</v>
      </c>
      <c r="B685" s="6" t="s">
        <v>122</v>
      </c>
      <c r="C685" s="7" t="s">
        <v>208</v>
      </c>
      <c r="D685" s="6"/>
      <c r="E685" s="8">
        <v>136420.0</v>
      </c>
      <c r="F685" s="8">
        <v>136420.0</v>
      </c>
      <c r="G685" s="9">
        <v>0.0</v>
      </c>
      <c r="H685" s="8">
        <v>136420.0</v>
      </c>
      <c r="I685" s="8">
        <v>128549.0</v>
      </c>
      <c r="J685" s="8">
        <v>7871.0</v>
      </c>
      <c r="K685" s="9">
        <v>6.0</v>
      </c>
      <c r="L685" s="6"/>
    </row>
    <row r="686" spans="8:8" ht="21.0" customHeight="1">
      <c r="A686" s="10"/>
      <c r="B686" s="3" t="s">
        <v>17</v>
      </c>
      <c r="C686" s="4" t="s">
        <v>18</v>
      </c>
      <c r="D686" s="4" t="s">
        <v>19</v>
      </c>
      <c r="E686" s="4" t="s">
        <v>11</v>
      </c>
      <c r="F686" s="3" t="s">
        <v>20</v>
      </c>
    </row>
    <row r="687" spans="8:8" ht="21.0" customHeight="1">
      <c r="A687" s="10"/>
      <c r="B687" s="11" t="s">
        <v>22</v>
      </c>
      <c r="C687" s="9">
        <v>2.0</v>
      </c>
      <c r="D687" s="8">
        <v>9200.0</v>
      </c>
      <c r="E687" s="8">
        <v>17275.0</v>
      </c>
      <c r="F687" s="13"/>
    </row>
    <row r="688" spans="8:8" ht="21.0" customHeight="1">
      <c r="A688" s="10"/>
      <c r="B688" s="11" t="s">
        <v>21</v>
      </c>
      <c r="C688" s="9">
        <v>1.0</v>
      </c>
      <c r="D688" s="8">
        <v>9000.0</v>
      </c>
      <c r="E688" s="8">
        <v>8122.0</v>
      </c>
      <c r="F688" s="13"/>
    </row>
    <row r="689" spans="8:8" ht="21.0" customHeight="1">
      <c r="A689" s="10"/>
      <c r="B689" s="11" t="s">
        <v>44</v>
      </c>
      <c r="C689" s="9">
        <v>1.0</v>
      </c>
      <c r="D689" s="8">
        <v>9200.0</v>
      </c>
      <c r="E689" s="8">
        <v>8990.0</v>
      </c>
      <c r="F689" s="13"/>
    </row>
    <row r="690" spans="8:8" ht="21.0" customHeight="1">
      <c r="A690" s="10"/>
      <c r="B690" s="11" t="s">
        <v>37</v>
      </c>
      <c r="C690" s="9">
        <v>1.0</v>
      </c>
      <c r="D690" s="8">
        <v>9200.0</v>
      </c>
      <c r="E690" s="8">
        <v>8525.0</v>
      </c>
      <c r="F690" s="13"/>
    </row>
    <row r="691" spans="8:8" ht="21.0" customHeight="1">
      <c r="A691" s="10"/>
      <c r="B691" s="11" t="s">
        <v>65</v>
      </c>
      <c r="C691" s="9">
        <v>1.0</v>
      </c>
      <c r="D691" s="8">
        <v>11910.0</v>
      </c>
      <c r="E691" s="8">
        <v>11315.0</v>
      </c>
      <c r="F691" s="13"/>
    </row>
    <row r="692" spans="8:8" ht="21.0" customHeight="1">
      <c r="A692" s="10"/>
      <c r="B692" s="11" t="s">
        <v>45</v>
      </c>
      <c r="C692" s="9">
        <v>1.0</v>
      </c>
      <c r="D692" s="8">
        <v>13950.0</v>
      </c>
      <c r="E692" s="8">
        <v>12747.0</v>
      </c>
      <c r="F692" s="13"/>
    </row>
    <row r="693" spans="8:8" ht="21.0" customHeight="1">
      <c r="A693" s="10"/>
      <c r="B693" s="11" t="s">
        <v>93</v>
      </c>
      <c r="C693" s="9">
        <v>1.0</v>
      </c>
      <c r="D693" s="8">
        <v>11600.0</v>
      </c>
      <c r="E693" s="8">
        <v>11130.0</v>
      </c>
      <c r="F693" s="13"/>
    </row>
    <row r="694" spans="8:8" ht="21.0" customHeight="1">
      <c r="A694" s="10"/>
      <c r="B694" s="11" t="s">
        <v>43</v>
      </c>
      <c r="C694" s="9">
        <v>1.0</v>
      </c>
      <c r="D694" s="8">
        <v>18300.0</v>
      </c>
      <c r="E694" s="8">
        <v>17150.0</v>
      </c>
      <c r="F694" s="13"/>
    </row>
    <row r="695" spans="8:8" ht="21.0" customHeight="1">
      <c r="A695" s="10"/>
      <c r="B695" s="11" t="s">
        <v>87</v>
      </c>
      <c r="C695" s="9">
        <v>1.0</v>
      </c>
      <c r="D695" s="8">
        <v>21400.0</v>
      </c>
      <c r="E695" s="8">
        <v>20440.0</v>
      </c>
      <c r="F695" s="13"/>
    </row>
    <row r="696" spans="8:8" ht="21.0" customHeight="1">
      <c r="A696" s="10"/>
      <c r="B696" s="11" t="s">
        <v>70</v>
      </c>
      <c r="C696" s="9">
        <v>1.0</v>
      </c>
      <c r="D696" s="8">
        <v>13460.0</v>
      </c>
      <c r="E696" s="8">
        <v>12855.0</v>
      </c>
      <c r="F696" s="13"/>
    </row>
    <row r="697" spans="8:8" ht="21.0" customHeight="1">
      <c r="A697" s="10"/>
      <c r="B697" s="14"/>
      <c r="C697" s="15"/>
      <c r="D697" s="15"/>
      <c r="E697" s="15"/>
      <c r="F697" s="14"/>
    </row>
    <row r="698" spans="8:8" ht="21.0" customHeight="1">
      <c r="A698" s="16">
        <v>46214.0</v>
      </c>
      <c r="B698" s="6" t="s">
        <v>102</v>
      </c>
      <c r="C698" s="7" t="s">
        <v>209</v>
      </c>
      <c r="D698" s="6"/>
      <c r="E698" s="8">
        <v>9500.0</v>
      </c>
      <c r="F698" s="8">
        <v>9500.0</v>
      </c>
      <c r="G698" s="9">
        <v>0.0</v>
      </c>
      <c r="H698" s="8">
        <v>9500.0</v>
      </c>
      <c r="I698" s="8">
        <v>8525.0</v>
      </c>
      <c r="J698" s="9">
        <v>975.0</v>
      </c>
      <c r="K698" s="9">
        <v>10.0</v>
      </c>
      <c r="L698" s="6"/>
    </row>
    <row r="699" spans="8:8" ht="21.0" customHeight="1">
      <c r="A699" s="10"/>
      <c r="B699" s="3" t="s">
        <v>17</v>
      </c>
      <c r="C699" s="4" t="s">
        <v>18</v>
      </c>
      <c r="D699" s="4" t="s">
        <v>19</v>
      </c>
      <c r="E699" s="4" t="s">
        <v>11</v>
      </c>
      <c r="F699" s="3" t="s">
        <v>20</v>
      </c>
    </row>
    <row r="700" spans="8:8" ht="21.0" customHeight="1">
      <c r="A700" s="10"/>
      <c r="B700" s="11" t="s">
        <v>37</v>
      </c>
      <c r="C700" s="9">
        <v>1.0</v>
      </c>
      <c r="D700" s="8">
        <v>9500.0</v>
      </c>
      <c r="E700" s="8">
        <v>8525.0</v>
      </c>
      <c r="F700" s="13"/>
    </row>
    <row r="701" spans="8:8" ht="21.0" customHeight="1">
      <c r="A701" s="10"/>
      <c r="B701" s="14"/>
      <c r="C701" s="15"/>
      <c r="D701" s="15"/>
      <c r="E701" s="15"/>
      <c r="F701" s="14"/>
    </row>
    <row r="702" spans="8:8" ht="21.0" customHeight="1">
      <c r="A702" s="22">
        <v>46216.0</v>
      </c>
      <c r="B702" s="6" t="s">
        <v>210</v>
      </c>
      <c r="C702" s="7" t="s">
        <v>211</v>
      </c>
      <c r="D702" s="6"/>
      <c r="E702" s="8">
        <v>6138000.0</v>
      </c>
      <c r="F702" s="8">
        <v>4141600.0</v>
      </c>
      <c r="G702" s="8">
        <v>1996400.0</v>
      </c>
      <c r="H702" s="8">
        <v>6138000.0</v>
      </c>
      <c r="I702" s="8">
        <v>6448000.0</v>
      </c>
      <c r="J702" s="8">
        <v>-310000.0</v>
      </c>
      <c r="K702" s="9">
        <v>-5.0</v>
      </c>
      <c r="L702" s="6"/>
    </row>
    <row r="703" spans="8:8" ht="21.0" customHeight="1">
      <c r="A703" s="10"/>
      <c r="B703" s="3" t="s">
        <v>17</v>
      </c>
      <c r="C703" s="4" t="s">
        <v>18</v>
      </c>
      <c r="D703" s="4" t="s">
        <v>19</v>
      </c>
      <c r="E703" s="4" t="s">
        <v>11</v>
      </c>
      <c r="F703" s="3" t="s">
        <v>20</v>
      </c>
    </row>
    <row r="704" spans="8:8" ht="21.0" customHeight="1">
      <c r="A704" s="10"/>
      <c r="B704" s="11" t="s">
        <v>24</v>
      </c>
      <c r="C704" s="8">
        <v>1240.0</v>
      </c>
      <c r="D704" s="8">
        <v>4950.0</v>
      </c>
      <c r="E704" s="8">
        <v>6448000.0</v>
      </c>
      <c r="F704" s="13"/>
    </row>
    <row r="705" spans="8:8" ht="21.0" customHeight="1">
      <c r="A705" s="10"/>
      <c r="B705" s="14"/>
      <c r="C705" s="15"/>
      <c r="D705" s="15"/>
      <c r="E705" s="15"/>
      <c r="F705" s="14"/>
    </row>
    <row r="706" spans="8:8" ht="21.0" customHeight="1">
      <c r="A706" s="16">
        <v>46216.0</v>
      </c>
      <c r="B706" s="6" t="s">
        <v>212</v>
      </c>
      <c r="C706" s="7" t="s">
        <v>213</v>
      </c>
      <c r="D706" s="6"/>
      <c r="E706" s="8">
        <v>46000.0</v>
      </c>
      <c r="F706" s="8">
        <v>46000.0</v>
      </c>
      <c r="G706" s="9">
        <v>0.0</v>
      </c>
      <c r="H706" s="8">
        <v>46000.0</v>
      </c>
      <c r="I706" s="8">
        <v>43284.0</v>
      </c>
      <c r="J706" s="8">
        <v>2716.0</v>
      </c>
      <c r="K706" s="9">
        <v>6.0</v>
      </c>
      <c r="L706" s="6"/>
    </row>
    <row r="707" spans="8:8" ht="21.0" customHeight="1">
      <c r="A707" s="10"/>
      <c r="B707" s="3" t="s">
        <v>17</v>
      </c>
      <c r="C707" s="4" t="s">
        <v>18</v>
      </c>
      <c r="D707" s="4" t="s">
        <v>19</v>
      </c>
      <c r="E707" s="4" t="s">
        <v>11</v>
      </c>
      <c r="F707" s="3" t="s">
        <v>20</v>
      </c>
    </row>
    <row r="708" spans="8:8" ht="21.0" customHeight="1">
      <c r="A708" s="10"/>
      <c r="B708" s="11" t="s">
        <v>22</v>
      </c>
      <c r="C708" s="9">
        <v>5.0</v>
      </c>
      <c r="D708" s="8">
        <v>9200.0</v>
      </c>
      <c r="E708" s="8">
        <v>43284.0</v>
      </c>
      <c r="F708" s="13"/>
    </row>
    <row r="709" spans="8:8" ht="21.0" customHeight="1">
      <c r="A709" s="10"/>
      <c r="B709" s="14"/>
      <c r="C709" s="15"/>
      <c r="D709" s="15"/>
      <c r="E709" s="15"/>
      <c r="F709" s="14"/>
    </row>
    <row r="710" spans="8:8" ht="21.0" customHeight="1">
      <c r="A710" s="16">
        <v>46216.0</v>
      </c>
      <c r="B710" s="6" t="s">
        <v>29</v>
      </c>
      <c r="C710" s="7" t="s">
        <v>214</v>
      </c>
      <c r="D710" s="6"/>
      <c r="E710" s="8">
        <v>707845.0</v>
      </c>
      <c r="F710" s="8">
        <v>707845.0</v>
      </c>
      <c r="G710" s="9">
        <v>0.0</v>
      </c>
      <c r="H710" s="8">
        <v>707845.0</v>
      </c>
      <c r="I710" s="8">
        <v>661238.0</v>
      </c>
      <c r="J710" s="8">
        <v>46607.0</v>
      </c>
      <c r="K710" s="9">
        <v>7.0</v>
      </c>
      <c r="L710" s="6"/>
    </row>
    <row r="711" spans="8:8" ht="21.0" customHeight="1">
      <c r="A711" s="10"/>
      <c r="B711" s="3" t="s">
        <v>17</v>
      </c>
      <c r="C711" s="4" t="s">
        <v>18</v>
      </c>
      <c r="D711" s="4" t="s">
        <v>19</v>
      </c>
      <c r="E711" s="4" t="s">
        <v>11</v>
      </c>
      <c r="F711" s="3" t="s">
        <v>20</v>
      </c>
    </row>
    <row r="712" spans="8:8" ht="21.0" customHeight="1">
      <c r="A712" s="10"/>
      <c r="B712" s="11" t="s">
        <v>22</v>
      </c>
      <c r="C712" s="9">
        <v>17.0</v>
      </c>
      <c r="D712" s="8">
        <v>8800.0</v>
      </c>
      <c r="E712" s="8">
        <v>147165.0</v>
      </c>
      <c r="F712" s="13"/>
    </row>
    <row r="713" spans="8:8" ht="21.0" customHeight="1">
      <c r="A713" s="10"/>
      <c r="B713" s="11" t="s">
        <v>45</v>
      </c>
      <c r="C713" s="9">
        <v>7.0</v>
      </c>
      <c r="D713" s="8">
        <v>13335.0</v>
      </c>
      <c r="E713" s="8">
        <v>89227.0</v>
      </c>
      <c r="F713" s="13"/>
    </row>
    <row r="714" spans="8:8" ht="21.0" customHeight="1">
      <c r="A714" s="10"/>
      <c r="B714" s="11" t="s">
        <v>65</v>
      </c>
      <c r="C714" s="9">
        <v>3.0</v>
      </c>
      <c r="D714" s="8">
        <v>11910.0</v>
      </c>
      <c r="E714" s="8">
        <v>33945.0</v>
      </c>
      <c r="F714" s="13"/>
    </row>
    <row r="715" spans="8:8" ht="21.0" customHeight="1">
      <c r="A715" s="10"/>
      <c r="B715" s="11" t="s">
        <v>113</v>
      </c>
      <c r="C715" s="9">
        <v>2.0</v>
      </c>
      <c r="D715" s="8">
        <v>14575.0</v>
      </c>
      <c r="E715" s="8">
        <v>28950.0</v>
      </c>
      <c r="F715" s="13"/>
    </row>
    <row r="716" spans="8:8" ht="21.0" customHeight="1">
      <c r="A716" s="10"/>
      <c r="B716" s="11" t="s">
        <v>37</v>
      </c>
      <c r="C716" s="9">
        <v>3.0</v>
      </c>
      <c r="D716" s="8">
        <v>8880.0</v>
      </c>
      <c r="E716" s="8">
        <v>25575.0</v>
      </c>
      <c r="F716" s="13"/>
    </row>
    <row r="717" spans="8:8" ht="21.0" customHeight="1">
      <c r="A717" s="10"/>
      <c r="B717" s="11" t="s">
        <v>36</v>
      </c>
      <c r="C717" s="9">
        <v>2.0</v>
      </c>
      <c r="D717" s="8">
        <v>15525.0</v>
      </c>
      <c r="E717" s="8">
        <v>29800.0</v>
      </c>
      <c r="F717" s="13"/>
    </row>
    <row r="718" spans="8:8" ht="21.0" customHeight="1">
      <c r="A718" s="10"/>
      <c r="B718" s="11" t="s">
        <v>87</v>
      </c>
      <c r="C718" s="9">
        <v>1.0</v>
      </c>
      <c r="D718" s="8">
        <v>21400.0</v>
      </c>
      <c r="E718" s="8">
        <v>20440.0</v>
      </c>
      <c r="F718" s="13"/>
    </row>
    <row r="719" spans="8:8" ht="21.0" customHeight="1">
      <c r="A719" s="10"/>
      <c r="B719" s="11" t="s">
        <v>150</v>
      </c>
      <c r="C719" s="9">
        <v>1.0</v>
      </c>
      <c r="D719" s="8">
        <v>10315.0</v>
      </c>
      <c r="E719" s="8">
        <v>9925.0</v>
      </c>
      <c r="F719" s="13"/>
    </row>
    <row r="720" spans="8:8" ht="21.0" customHeight="1">
      <c r="A720" s="10"/>
      <c r="B720" s="11" t="s">
        <v>93</v>
      </c>
      <c r="C720" s="9">
        <v>1.0</v>
      </c>
      <c r="D720" s="8">
        <v>11415.0</v>
      </c>
      <c r="E720" s="8">
        <v>11130.0</v>
      </c>
      <c r="F720" s="13"/>
    </row>
    <row r="721" spans="8:8" ht="21.0" customHeight="1">
      <c r="A721" s="10"/>
      <c r="B721" s="11" t="s">
        <v>44</v>
      </c>
      <c r="C721" s="9">
        <v>21.0</v>
      </c>
      <c r="D721" s="8">
        <v>9200.0</v>
      </c>
      <c r="E721" s="8">
        <v>188790.0</v>
      </c>
      <c r="F721" s="13"/>
    </row>
    <row r="722" spans="8:8" ht="21.0" customHeight="1">
      <c r="A722" s="10"/>
      <c r="B722" s="11" t="s">
        <v>38</v>
      </c>
      <c r="C722" s="9">
        <v>50.0</v>
      </c>
      <c r="D722" s="8">
        <v>1800.0</v>
      </c>
      <c r="E722" s="8">
        <v>75162.0</v>
      </c>
      <c r="F722" s="13"/>
    </row>
    <row r="723" spans="8:8" ht="21.0" customHeight="1">
      <c r="A723" s="10"/>
      <c r="B723" s="11" t="s">
        <v>148</v>
      </c>
      <c r="C723" s="9">
        <v>8.0</v>
      </c>
      <c r="D723" s="8">
        <v>2000.0</v>
      </c>
      <c r="E723" s="8">
        <v>1129.0</v>
      </c>
      <c r="F723" s="13"/>
    </row>
    <row r="724" spans="8:8" ht="21.0" customHeight="1">
      <c r="A724" s="10"/>
      <c r="B724" s="14"/>
      <c r="C724" s="15"/>
      <c r="D724" s="15"/>
      <c r="E724" s="15"/>
      <c r="F724" s="14"/>
    </row>
    <row r="725" spans="8:8" ht="21.0" customHeight="1">
      <c r="A725" s="16">
        <v>46216.0</v>
      </c>
      <c r="B725" s="6" t="s">
        <v>29</v>
      </c>
      <c r="C725" s="7" t="s">
        <v>215</v>
      </c>
      <c r="D725" s="6"/>
      <c r="E725" s="8">
        <v>11145.0</v>
      </c>
      <c r="F725" s="8">
        <v>11145.0</v>
      </c>
      <c r="G725" s="9">
        <v>0.0</v>
      </c>
      <c r="H725" s="8">
        <v>11145.0</v>
      </c>
      <c r="I725" s="8">
        <v>10473.0</v>
      </c>
      <c r="J725" s="9">
        <v>672.0</v>
      </c>
      <c r="K725" s="9">
        <v>6.0</v>
      </c>
      <c r="L725" s="6"/>
    </row>
    <row r="726" spans="8:8" ht="21.0" customHeight="1">
      <c r="A726" s="10"/>
      <c r="B726" s="3" t="s">
        <v>17</v>
      </c>
      <c r="C726" s="4" t="s">
        <v>18</v>
      </c>
      <c r="D726" s="4" t="s">
        <v>19</v>
      </c>
      <c r="E726" s="4" t="s">
        <v>11</v>
      </c>
      <c r="F726" s="3" t="s">
        <v>20</v>
      </c>
    </row>
    <row r="727" spans="8:8" ht="21.0" customHeight="1">
      <c r="A727" s="10"/>
      <c r="B727" s="11" t="s">
        <v>80</v>
      </c>
      <c r="C727" s="9">
        <v>1.0</v>
      </c>
      <c r="D727" s="8">
        <v>9345.0</v>
      </c>
      <c r="E727" s="8">
        <v>8970.0</v>
      </c>
      <c r="F727" s="13"/>
    </row>
    <row r="728" spans="8:8" ht="21.0" customHeight="1">
      <c r="A728" s="10"/>
      <c r="B728" s="11" t="s">
        <v>38</v>
      </c>
      <c r="C728" s="9">
        <v>1.0</v>
      </c>
      <c r="D728" s="8">
        <v>1800.0</v>
      </c>
      <c r="E728" s="8">
        <v>1503.0</v>
      </c>
      <c r="F728" s="13"/>
    </row>
    <row r="729" spans="8:8" ht="21.0" customHeight="1">
      <c r="A729" s="10"/>
      <c r="B729" s="14"/>
      <c r="C729" s="15"/>
      <c r="D729" s="15"/>
      <c r="E729" s="15"/>
      <c r="F729" s="14"/>
    </row>
    <row r="730" spans="8:8" ht="21.0" customHeight="1">
      <c r="A730" s="16">
        <v>46216.0</v>
      </c>
      <c r="B730" s="6" t="s">
        <v>25</v>
      </c>
      <c r="C730" s="7" t="s">
        <v>216</v>
      </c>
      <c r="D730" s="6"/>
      <c r="E730" s="8">
        <v>815750.0</v>
      </c>
      <c r="F730" s="8">
        <v>597893.0</v>
      </c>
      <c r="G730" s="8">
        <v>217857.0</v>
      </c>
      <c r="H730" s="8">
        <v>815750.0</v>
      </c>
      <c r="I730" s="8">
        <v>847507.0</v>
      </c>
      <c r="J730" s="8">
        <v>-31757.0</v>
      </c>
      <c r="K730" s="9">
        <v>-4.0</v>
      </c>
      <c r="L730" s="6"/>
    </row>
    <row r="731" spans="8:8" ht="21.0" customHeight="1">
      <c r="A731" s="10"/>
      <c r="B731" s="3" t="s">
        <v>17</v>
      </c>
      <c r="C731" s="4" t="s">
        <v>18</v>
      </c>
      <c r="D731" s="4" t="s">
        <v>19</v>
      </c>
      <c r="E731" s="4" t="s">
        <v>11</v>
      </c>
      <c r="F731" s="3" t="s">
        <v>20</v>
      </c>
    </row>
    <row r="732" spans="8:8" ht="21.0" customHeight="1">
      <c r="A732" s="10"/>
      <c r="B732" s="11" t="s">
        <v>24</v>
      </c>
      <c r="C732" s="9">
        <v>150.0</v>
      </c>
      <c r="D732" s="8">
        <v>5000.0</v>
      </c>
      <c r="E732" s="8">
        <v>780000.0</v>
      </c>
      <c r="F732" s="13"/>
    </row>
    <row r="733" spans="8:8" ht="21.0" customHeight="1">
      <c r="A733" s="10"/>
      <c r="B733" s="11" t="s">
        <v>28</v>
      </c>
      <c r="C733" s="9">
        <v>5.0</v>
      </c>
      <c r="D733" s="8">
        <v>13150.0</v>
      </c>
      <c r="E733" s="8">
        <v>67507.0</v>
      </c>
      <c r="F733" s="13"/>
    </row>
    <row r="734" spans="8:8" ht="21.0" customHeight="1">
      <c r="A734" s="10"/>
      <c r="B734" s="14"/>
      <c r="C734" s="15"/>
      <c r="D734" s="15"/>
      <c r="E734" s="15"/>
      <c r="F734" s="14"/>
    </row>
    <row r="735" spans="8:8" ht="21.0" customHeight="1">
      <c r="A735" s="16">
        <v>46216.0</v>
      </c>
      <c r="B735" s="6" t="s">
        <v>85</v>
      </c>
      <c r="C735" s="7" t="s">
        <v>217</v>
      </c>
      <c r="D735" s="6"/>
      <c r="E735" s="8">
        <v>502840.0</v>
      </c>
      <c r="F735" s="8">
        <v>298825.0</v>
      </c>
      <c r="G735" s="8">
        <v>204015.0</v>
      </c>
      <c r="H735" s="8">
        <v>502840.0</v>
      </c>
      <c r="I735" s="8">
        <v>384870.0</v>
      </c>
      <c r="J735" s="8">
        <v>117970.0</v>
      </c>
      <c r="K735" s="9">
        <v>23.0</v>
      </c>
      <c r="L735" s="6"/>
    </row>
    <row r="736" spans="8:8" ht="21.0" customHeight="1">
      <c r="A736" s="10"/>
      <c r="B736" s="3" t="s">
        <v>17</v>
      </c>
      <c r="C736" s="4" t="s">
        <v>18</v>
      </c>
      <c r="D736" s="4" t="s">
        <v>19</v>
      </c>
      <c r="E736" s="4" t="s">
        <v>11</v>
      </c>
      <c r="F736" s="3" t="s">
        <v>20</v>
      </c>
    </row>
    <row r="737" spans="8:8" ht="21.0" customHeight="1">
      <c r="A737" s="10"/>
      <c r="B737" s="11" t="s">
        <v>45</v>
      </c>
      <c r="C737" s="9">
        <v>10.0</v>
      </c>
      <c r="D737" s="8">
        <v>13950.0</v>
      </c>
      <c r="E737" s="8">
        <v>127468.0</v>
      </c>
      <c r="F737" s="13"/>
    </row>
    <row r="738" spans="8:8" ht="21.0" customHeight="1">
      <c r="A738" s="10"/>
      <c r="B738" s="11" t="s">
        <v>101</v>
      </c>
      <c r="C738" s="9">
        <v>3.0</v>
      </c>
      <c r="D738" s="8">
        <v>14455.0</v>
      </c>
      <c r="E738" s="8">
        <v>38760.0</v>
      </c>
      <c r="F738" s="13"/>
    </row>
    <row r="739" spans="8:8" ht="21.0" customHeight="1">
      <c r="A739" s="10"/>
      <c r="B739" s="11" t="s">
        <v>150</v>
      </c>
      <c r="C739" s="9">
        <v>5.0</v>
      </c>
      <c r="D739" s="8">
        <v>10315.0</v>
      </c>
      <c r="E739" s="8">
        <v>49625.0</v>
      </c>
      <c r="F739" s="13"/>
    </row>
    <row r="740" spans="8:8" ht="21.0" customHeight="1">
      <c r="A740" s="10"/>
      <c r="B740" s="11" t="s">
        <v>190</v>
      </c>
      <c r="C740" s="9">
        <v>6.0</v>
      </c>
      <c r="D740" s="8">
        <v>39000.0</v>
      </c>
      <c r="E740" s="8">
        <v>155580.0</v>
      </c>
      <c r="F740" s="13"/>
    </row>
    <row r="741" spans="8:8" ht="21.0" customHeight="1">
      <c r="A741" s="10"/>
      <c r="B741" s="11" t="s">
        <v>148</v>
      </c>
      <c r="C741" s="9">
        <v>10.0</v>
      </c>
      <c r="D741" s="8">
        <v>2000.0</v>
      </c>
      <c r="E741" s="8">
        <v>1411.0</v>
      </c>
      <c r="F741" s="13"/>
    </row>
    <row r="742" spans="8:8" ht="21.0" customHeight="1">
      <c r="A742" s="10"/>
      <c r="B742" s="11" t="s">
        <v>38</v>
      </c>
      <c r="C742" s="9">
        <v>8.0</v>
      </c>
      <c r="D742" s="8">
        <v>1800.0</v>
      </c>
      <c r="E742" s="8">
        <v>12026.0</v>
      </c>
      <c r="F742" s="13"/>
    </row>
    <row r="743" spans="8:8" ht="21.0" customHeight="1">
      <c r="A743" s="10"/>
      <c r="B743" s="14"/>
      <c r="C743" s="15"/>
      <c r="D743" s="15"/>
      <c r="E743" s="15"/>
      <c r="F743" s="14"/>
    </row>
    <row r="744" spans="8:8" ht="21.0" customHeight="1">
      <c r="A744" s="16">
        <v>46216.0</v>
      </c>
      <c r="B744" s="6" t="s">
        <v>127</v>
      </c>
      <c r="C744" s="7" t="s">
        <v>218</v>
      </c>
      <c r="D744" s="6"/>
      <c r="E744" s="8">
        <v>1488000.0</v>
      </c>
      <c r="F744" s="8">
        <v>1488000.0</v>
      </c>
      <c r="G744" s="9">
        <v>0.0</v>
      </c>
      <c r="H744" s="8">
        <v>1488000.0</v>
      </c>
      <c r="I744" s="8">
        <v>1475520.0</v>
      </c>
      <c r="J744" s="8">
        <v>12480.0</v>
      </c>
      <c r="K744" s="9">
        <v>1.0</v>
      </c>
      <c r="L744" s="6"/>
    </row>
    <row r="745" spans="8:8" ht="21.0" customHeight="1">
      <c r="A745" s="10"/>
      <c r="B745" s="3" t="s">
        <v>17</v>
      </c>
      <c r="C745" s="4" t="s">
        <v>18</v>
      </c>
      <c r="D745" s="4" t="s">
        <v>19</v>
      </c>
      <c r="E745" s="4" t="s">
        <v>11</v>
      </c>
      <c r="F745" s="3" t="s">
        <v>20</v>
      </c>
    </row>
    <row r="746" spans="8:8" ht="21.0" customHeight="1">
      <c r="A746" s="10"/>
      <c r="B746" s="11" t="s">
        <v>27</v>
      </c>
      <c r="C746" s="9">
        <v>192.0</v>
      </c>
      <c r="D746" s="8">
        <v>7750.0</v>
      </c>
      <c r="E746" s="8">
        <v>1475520.0</v>
      </c>
      <c r="F746" s="13"/>
    </row>
    <row r="747" spans="8:8" ht="21.0" customHeight="1">
      <c r="A747" s="10"/>
      <c r="B747" s="14"/>
      <c r="C747" s="15"/>
      <c r="D747" s="15"/>
      <c r="E747" s="15"/>
      <c r="F747" s="14"/>
    </row>
    <row r="748" spans="8:8" ht="21.0" customHeight="1">
      <c r="A748" s="23">
        <v>46217.0</v>
      </c>
      <c r="B748" s="6" t="s">
        <v>219</v>
      </c>
      <c r="C748" s="7" t="s">
        <v>220</v>
      </c>
      <c r="D748" s="6"/>
      <c r="E748" s="8">
        <v>9200.0</v>
      </c>
      <c r="F748" s="9">
        <v>0.0</v>
      </c>
      <c r="G748" s="8">
        <v>9200.0</v>
      </c>
      <c r="H748" s="8">
        <v>9200.0</v>
      </c>
      <c r="I748" s="8">
        <v>8657.0</v>
      </c>
      <c r="J748" s="9">
        <v>543.0</v>
      </c>
      <c r="K748" s="9">
        <v>6.0</v>
      </c>
      <c r="L748" s="6" t="s">
        <v>221</v>
      </c>
    </row>
    <row r="749" spans="8:8" ht="21.0" customHeight="1">
      <c r="A749" s="10"/>
      <c r="B749" s="3" t="s">
        <v>17</v>
      </c>
      <c r="C749" s="4" t="s">
        <v>18</v>
      </c>
      <c r="D749" s="4" t="s">
        <v>19</v>
      </c>
      <c r="E749" s="4" t="s">
        <v>11</v>
      </c>
      <c r="F749" s="3" t="s">
        <v>20</v>
      </c>
    </row>
    <row r="750" spans="8:8" ht="21.0" customHeight="1">
      <c r="A750" s="10"/>
      <c r="B750" s="11" t="s">
        <v>22</v>
      </c>
      <c r="C750" s="9">
        <v>1.0</v>
      </c>
      <c r="D750" s="8">
        <v>9200.0</v>
      </c>
      <c r="E750" s="8">
        <v>8657.0</v>
      </c>
      <c r="F750" s="13"/>
    </row>
    <row r="751" spans="8:8" ht="21.0" customHeight="1">
      <c r="A751" s="10"/>
      <c r="B751" s="14"/>
      <c r="C751" s="15"/>
      <c r="D751" s="15"/>
      <c r="E751" s="15"/>
      <c r="F751" s="14"/>
    </row>
    <row r="752" spans="8:8" ht="21.0" customHeight="1">
      <c r="A752" s="16">
        <v>46217.0</v>
      </c>
      <c r="B752" s="6" t="s">
        <v>50</v>
      </c>
      <c r="C752" s="7" t="s">
        <v>222</v>
      </c>
      <c r="D752" s="6"/>
      <c r="E752" s="8">
        <v>1265000.0</v>
      </c>
      <c r="F752" s="8">
        <v>1265000.0</v>
      </c>
      <c r="G752" s="9">
        <v>0.0</v>
      </c>
      <c r="H752" s="8">
        <v>1265000.0</v>
      </c>
      <c r="I752" s="8">
        <v>1315600.0</v>
      </c>
      <c r="J752" s="8">
        <v>-50600.0</v>
      </c>
      <c r="K752" s="9">
        <v>-4.0</v>
      </c>
      <c r="L752" s="6"/>
    </row>
    <row r="753" spans="8:8" ht="21.0" customHeight="1">
      <c r="A753" s="10"/>
      <c r="B753" s="3" t="s">
        <v>17</v>
      </c>
      <c r="C753" s="4" t="s">
        <v>18</v>
      </c>
      <c r="D753" s="4" t="s">
        <v>19</v>
      </c>
      <c r="E753" s="4" t="s">
        <v>11</v>
      </c>
      <c r="F753" s="3" t="s">
        <v>20</v>
      </c>
    </row>
    <row r="754" spans="8:8" ht="21.0" customHeight="1">
      <c r="A754" s="10"/>
      <c r="B754" s="11" t="s">
        <v>24</v>
      </c>
      <c r="C754" s="9">
        <v>253.0</v>
      </c>
      <c r="D754" s="8">
        <v>5000.0</v>
      </c>
      <c r="E754" s="8">
        <v>1315600.0</v>
      </c>
      <c r="F754" s="13"/>
    </row>
    <row r="755" spans="8:8" ht="21.0" customHeight="1">
      <c r="A755" s="10"/>
      <c r="B755" s="14"/>
      <c r="C755" s="15"/>
      <c r="D755" s="15"/>
      <c r="E755" s="15"/>
      <c r="F755" s="14"/>
    </row>
    <row r="756" spans="8:8" ht="21.0" customHeight="1">
      <c r="A756" s="16">
        <v>46217.0</v>
      </c>
      <c r="B756" s="6" t="s">
        <v>29</v>
      </c>
      <c r="C756" s="7" t="s">
        <v>223</v>
      </c>
      <c r="D756" s="6"/>
      <c r="E756" s="8">
        <v>407415.0</v>
      </c>
      <c r="F756" s="8">
        <v>407415.0</v>
      </c>
      <c r="G756" s="9">
        <v>0.0</v>
      </c>
      <c r="H756" s="8">
        <v>407415.0</v>
      </c>
      <c r="I756" s="8">
        <v>402447.0</v>
      </c>
      <c r="J756" s="8">
        <v>4968.0</v>
      </c>
      <c r="K756" s="9">
        <v>1.0</v>
      </c>
      <c r="L756" s="6"/>
    </row>
    <row r="757" spans="8:8" ht="21.0" customHeight="1">
      <c r="A757" s="10"/>
      <c r="B757" s="3" t="s">
        <v>17</v>
      </c>
      <c r="C757" s="4" t="s">
        <v>18</v>
      </c>
      <c r="D757" s="4" t="s">
        <v>19</v>
      </c>
      <c r="E757" s="4" t="s">
        <v>11</v>
      </c>
      <c r="F757" s="3" t="s">
        <v>20</v>
      </c>
    </row>
    <row r="758" spans="8:8" ht="21.0" customHeight="1">
      <c r="A758" s="10"/>
      <c r="B758" s="11" t="s">
        <v>31</v>
      </c>
      <c r="C758" s="9">
        <v>15.0</v>
      </c>
      <c r="D758" s="8">
        <v>17100.0</v>
      </c>
      <c r="E758" s="8">
        <v>256500.0</v>
      </c>
      <c r="F758" s="13"/>
    </row>
    <row r="759" spans="8:8" ht="21.0" customHeight="1">
      <c r="A759" s="10"/>
      <c r="B759" s="11" t="s">
        <v>224</v>
      </c>
      <c r="C759" s="9">
        <v>2.0</v>
      </c>
      <c r="D759" s="8">
        <v>14430.0</v>
      </c>
      <c r="E759" s="8">
        <v>27821.0</v>
      </c>
      <c r="F759" s="13"/>
    </row>
    <row r="760" spans="8:8" ht="21.0" customHeight="1">
      <c r="A760" s="10"/>
      <c r="B760" s="11" t="s">
        <v>62</v>
      </c>
      <c r="C760" s="9">
        <v>1.0</v>
      </c>
      <c r="D760" s="8">
        <v>20655.0</v>
      </c>
      <c r="E760" s="8">
        <v>19305.0</v>
      </c>
      <c r="F760" s="13"/>
    </row>
    <row r="761" spans="8:8" ht="21.0" customHeight="1">
      <c r="A761" s="10"/>
      <c r="B761" s="11" t="s">
        <v>28</v>
      </c>
      <c r="C761" s="9">
        <v>2.0</v>
      </c>
      <c r="D761" s="8">
        <v>13200.0</v>
      </c>
      <c r="E761" s="8">
        <v>27003.0</v>
      </c>
      <c r="F761" s="13"/>
    </row>
    <row r="762" spans="8:8" ht="21.0" customHeight="1">
      <c r="A762" s="10"/>
      <c r="B762" s="11" t="s">
        <v>44</v>
      </c>
      <c r="C762" s="9">
        <v>2.0</v>
      </c>
      <c r="D762" s="8">
        <v>9200.0</v>
      </c>
      <c r="E762" s="8">
        <v>17980.0</v>
      </c>
      <c r="F762" s="13"/>
    </row>
    <row r="763" spans="8:8" ht="21.0" customHeight="1">
      <c r="A763" s="10"/>
      <c r="B763" s="11" t="s">
        <v>22</v>
      </c>
      <c r="C763" s="9">
        <v>5.0</v>
      </c>
      <c r="D763" s="8">
        <v>8800.0</v>
      </c>
      <c r="E763" s="8">
        <v>43284.0</v>
      </c>
      <c r="F763" s="13"/>
    </row>
    <row r="764" spans="8:8" ht="21.0" customHeight="1">
      <c r="A764" s="10"/>
      <c r="B764" s="11" t="s">
        <v>38</v>
      </c>
      <c r="C764" s="9">
        <v>7.0</v>
      </c>
      <c r="D764" s="8">
        <v>1800.0</v>
      </c>
      <c r="E764" s="8">
        <v>10554.0</v>
      </c>
      <c r="F764" s="13"/>
    </row>
    <row r="765" spans="8:8" ht="21.0" customHeight="1">
      <c r="A765" s="10"/>
      <c r="B765" s="14"/>
      <c r="C765" s="15"/>
      <c r="D765" s="15"/>
      <c r="E765" s="15"/>
      <c r="F765" s="14"/>
    </row>
    <row r="766" spans="8:8" ht="21.0" customHeight="1">
      <c r="A766" s="16">
        <v>46217.0</v>
      </c>
      <c r="B766" s="6" t="s">
        <v>29</v>
      </c>
      <c r="C766" s="7" t="s">
        <v>225</v>
      </c>
      <c r="D766" s="6"/>
      <c r="E766" s="8">
        <v>394075.0</v>
      </c>
      <c r="F766" s="8">
        <v>394075.0</v>
      </c>
      <c r="G766" s="9">
        <v>0.0</v>
      </c>
      <c r="H766" s="8">
        <v>394075.0</v>
      </c>
      <c r="I766" s="8">
        <v>373874.0</v>
      </c>
      <c r="J766" s="8">
        <v>20201.0</v>
      </c>
      <c r="K766" s="9">
        <v>5.0</v>
      </c>
      <c r="L766" s="6"/>
    </row>
    <row r="767" spans="8:8" ht="21.0" customHeight="1">
      <c r="A767" s="10"/>
      <c r="B767" s="3" t="s">
        <v>17</v>
      </c>
      <c r="C767" s="4" t="s">
        <v>18</v>
      </c>
      <c r="D767" s="4" t="s">
        <v>19</v>
      </c>
      <c r="E767" s="4" t="s">
        <v>11</v>
      </c>
      <c r="F767" s="3" t="s">
        <v>20</v>
      </c>
    </row>
    <row r="768" spans="8:8" ht="21.0" customHeight="1">
      <c r="A768" s="10"/>
      <c r="B768" s="11" t="s">
        <v>44</v>
      </c>
      <c r="C768" s="9">
        <v>9.0</v>
      </c>
      <c r="D768" s="8">
        <v>9200.0</v>
      </c>
      <c r="E768" s="8">
        <v>80910.0</v>
      </c>
      <c r="F768" s="13"/>
    </row>
    <row r="769" spans="8:8" ht="21.0" customHeight="1">
      <c r="A769" s="10"/>
      <c r="B769" s="11" t="s">
        <v>45</v>
      </c>
      <c r="C769" s="9">
        <v>5.0</v>
      </c>
      <c r="D769" s="8">
        <v>13335.0</v>
      </c>
      <c r="E769" s="8">
        <v>63734.0</v>
      </c>
      <c r="F769" s="13"/>
    </row>
    <row r="770" spans="8:8" ht="21.0" customHeight="1">
      <c r="A770" s="10"/>
      <c r="B770" s="11" t="s">
        <v>37</v>
      </c>
      <c r="C770" s="9">
        <v>2.0</v>
      </c>
      <c r="D770" s="8">
        <v>8880.0</v>
      </c>
      <c r="E770" s="8">
        <v>17050.0</v>
      </c>
      <c r="F770" s="13"/>
    </row>
    <row r="771" spans="8:8" ht="21.0" customHeight="1">
      <c r="A771" s="10"/>
      <c r="B771" s="11" t="s">
        <v>22</v>
      </c>
      <c r="C771" s="9">
        <v>10.0</v>
      </c>
      <c r="D771" s="8">
        <v>8800.0</v>
      </c>
      <c r="E771" s="8">
        <v>86567.0</v>
      </c>
      <c r="F771" s="13"/>
    </row>
    <row r="772" spans="8:8" ht="21.0" customHeight="1">
      <c r="A772" s="10"/>
      <c r="B772" s="11" t="s">
        <v>24</v>
      </c>
      <c r="C772" s="9">
        <v>15.0</v>
      </c>
      <c r="D772" s="8">
        <v>5000.0</v>
      </c>
      <c r="E772" s="8">
        <v>78000.0</v>
      </c>
      <c r="F772" s="13"/>
    </row>
    <row r="773" spans="8:8" ht="21.0" customHeight="1">
      <c r="A773" s="10"/>
      <c r="B773" s="11" t="s">
        <v>27</v>
      </c>
      <c r="C773" s="9">
        <v>2.0</v>
      </c>
      <c r="D773" s="8">
        <v>8020.0</v>
      </c>
      <c r="E773" s="8">
        <v>15370.0</v>
      </c>
      <c r="F773" s="13"/>
    </row>
    <row r="774" spans="8:8" ht="21.0" customHeight="1">
      <c r="A774" s="10"/>
      <c r="B774" s="11" t="s">
        <v>38</v>
      </c>
      <c r="C774" s="9">
        <v>21.0</v>
      </c>
      <c r="D774" s="8">
        <v>1800.0</v>
      </c>
      <c r="E774" s="8">
        <v>31663.0</v>
      </c>
      <c r="F774" s="13"/>
    </row>
    <row r="775" spans="8:8" ht="21.0" customHeight="1">
      <c r="A775" s="10"/>
      <c r="B775" s="11" t="s">
        <v>148</v>
      </c>
      <c r="C775" s="9">
        <v>5.0</v>
      </c>
      <c r="D775" s="8">
        <v>2000.0</v>
      </c>
      <c r="E775" s="9">
        <v>580.0</v>
      </c>
      <c r="F775" s="13"/>
    </row>
    <row r="776" spans="8:8" ht="21.0" customHeight="1">
      <c r="A776" s="10"/>
      <c r="B776" s="14"/>
      <c r="C776" s="15"/>
      <c r="D776" s="15"/>
      <c r="E776" s="15"/>
      <c r="F776" s="14"/>
    </row>
    <row r="777" spans="8:8" ht="21.0" customHeight="1">
      <c r="A777" s="16">
        <v>46217.0</v>
      </c>
      <c r="B777" s="6" t="s">
        <v>154</v>
      </c>
      <c r="C777" s="7" t="s">
        <v>226</v>
      </c>
      <c r="D777" s="6"/>
      <c r="E777" s="8">
        <v>100000.0</v>
      </c>
      <c r="F777" s="8">
        <v>71255.0</v>
      </c>
      <c r="G777" s="8">
        <v>28745.0</v>
      </c>
      <c r="H777" s="8">
        <v>100000.0</v>
      </c>
      <c r="I777" s="8">
        <v>104000.0</v>
      </c>
      <c r="J777" s="8">
        <v>-4000.0</v>
      </c>
      <c r="K777" s="9">
        <v>-4.0</v>
      </c>
      <c r="L777" s="6"/>
    </row>
    <row r="778" spans="8:8" ht="21.0" customHeight="1">
      <c r="A778" s="10"/>
      <c r="B778" s="3" t="s">
        <v>17</v>
      </c>
      <c r="C778" s="4" t="s">
        <v>18</v>
      </c>
      <c r="D778" s="4" t="s">
        <v>19</v>
      </c>
      <c r="E778" s="4" t="s">
        <v>11</v>
      </c>
      <c r="F778" s="3" t="s">
        <v>20</v>
      </c>
    </row>
    <row r="779" spans="8:8" ht="21.0" customHeight="1">
      <c r="A779" s="10"/>
      <c r="B779" s="11" t="s">
        <v>24</v>
      </c>
      <c r="C779" s="9">
        <v>20.0</v>
      </c>
      <c r="D779" s="8">
        <v>5000.0</v>
      </c>
      <c r="E779" s="8">
        <v>104000.0</v>
      </c>
      <c r="F779" s="13"/>
    </row>
    <row r="780" spans="8:8" ht="21.0" customHeight="1">
      <c r="A780" s="10"/>
      <c r="B780" s="14"/>
      <c r="C780" s="15"/>
      <c r="D780" s="15"/>
      <c r="E780" s="15"/>
      <c r="F780" s="14"/>
    </row>
    <row r="781" spans="8:8" ht="21.0" customHeight="1">
      <c r="A781" s="16">
        <v>46217.0</v>
      </c>
      <c r="B781" s="6" t="s">
        <v>104</v>
      </c>
      <c r="C781" s="7" t="s">
        <v>227</v>
      </c>
      <c r="D781" s="6"/>
      <c r="E781" s="8">
        <v>106000.0</v>
      </c>
      <c r="F781" s="9">
        <v>0.0</v>
      </c>
      <c r="G781" s="8">
        <v>106000.0</v>
      </c>
      <c r="H781" s="8">
        <v>106000.0</v>
      </c>
      <c r="I781" s="8">
        <v>104000.0</v>
      </c>
      <c r="J781" s="8">
        <v>2000.0</v>
      </c>
      <c r="K781" s="9">
        <v>2.0</v>
      </c>
      <c r="L781" s="6"/>
    </row>
    <row r="782" spans="8:8" ht="21.0" customHeight="1">
      <c r="A782" s="10"/>
      <c r="B782" s="3" t="s">
        <v>17</v>
      </c>
      <c r="C782" s="4" t="s">
        <v>18</v>
      </c>
      <c r="D782" s="4" t="s">
        <v>19</v>
      </c>
      <c r="E782" s="4" t="s">
        <v>11</v>
      </c>
      <c r="F782" s="3" t="s">
        <v>20</v>
      </c>
    </row>
    <row r="783" spans="8:8" ht="21.0" customHeight="1">
      <c r="A783" s="10"/>
      <c r="B783" s="11" t="s">
        <v>24</v>
      </c>
      <c r="C783" s="9">
        <v>20.0</v>
      </c>
      <c r="D783" s="8">
        <v>5300.0</v>
      </c>
      <c r="E783" s="8">
        <v>104000.0</v>
      </c>
      <c r="F783" s="13"/>
    </row>
    <row r="784" spans="8:8" ht="21.0" customHeight="1">
      <c r="A784" s="10"/>
      <c r="B784" s="14"/>
      <c r="C784" s="15"/>
      <c r="D784" s="15"/>
      <c r="E784" s="15"/>
      <c r="F784" s="14"/>
    </row>
    <row r="785" spans="8:8" ht="21.0" customHeight="1">
      <c r="A785" s="16">
        <v>46217.0</v>
      </c>
      <c r="B785" s="6" t="s">
        <v>25</v>
      </c>
      <c r="C785" s="7" t="s">
        <v>228</v>
      </c>
      <c r="D785" s="6"/>
      <c r="E785" s="8">
        <v>835385.0</v>
      </c>
      <c r="F785" s="8">
        <v>835385.0</v>
      </c>
      <c r="G785" s="9">
        <v>0.0</v>
      </c>
      <c r="H785" s="8">
        <v>835385.0</v>
      </c>
      <c r="I785" s="8">
        <v>835426.0</v>
      </c>
      <c r="J785" s="9">
        <v>-41.0</v>
      </c>
      <c r="K785" s="9">
        <v>0.0</v>
      </c>
      <c r="L785" s="6"/>
    </row>
    <row r="786" spans="8:8" ht="21.0" customHeight="1">
      <c r="A786" s="10"/>
      <c r="B786" s="3" t="s">
        <v>17</v>
      </c>
      <c r="C786" s="4" t="s">
        <v>18</v>
      </c>
      <c r="D786" s="4" t="s">
        <v>19</v>
      </c>
      <c r="E786" s="4" t="s">
        <v>11</v>
      </c>
      <c r="F786" s="3" t="s">
        <v>20</v>
      </c>
    </row>
    <row r="787" spans="8:8" ht="21.0" customHeight="1">
      <c r="A787" s="10"/>
      <c r="B787" s="11" t="s">
        <v>32</v>
      </c>
      <c r="C787" s="9">
        <v>5.0</v>
      </c>
      <c r="D787" s="8">
        <v>16145.0</v>
      </c>
      <c r="E787" s="8">
        <v>76236.0</v>
      </c>
      <c r="F787" s="13"/>
    </row>
    <row r="788" spans="8:8" ht="21.0" customHeight="1">
      <c r="A788" s="10"/>
      <c r="B788" s="11" t="s">
        <v>35</v>
      </c>
      <c r="C788" s="9">
        <v>3.0</v>
      </c>
      <c r="D788" s="8">
        <v>21170.0</v>
      </c>
      <c r="E788" s="8">
        <v>61215.0</v>
      </c>
      <c r="F788" s="13"/>
    </row>
    <row r="789" spans="8:8" ht="21.0" customHeight="1">
      <c r="A789" s="10"/>
      <c r="B789" s="11" t="s">
        <v>229</v>
      </c>
      <c r="C789" s="9">
        <v>5.0</v>
      </c>
      <c r="D789" s="8">
        <v>15490.0</v>
      </c>
      <c r="E789" s="8">
        <v>70000.0</v>
      </c>
      <c r="F789" s="13"/>
    </row>
    <row r="790" spans="8:8" ht="21.0" customHeight="1">
      <c r="A790" s="10"/>
      <c r="B790" s="11" t="s">
        <v>34</v>
      </c>
      <c r="C790" s="9">
        <v>5.0</v>
      </c>
      <c r="D790" s="8">
        <v>22740.0</v>
      </c>
      <c r="E790" s="8">
        <v>107975.0</v>
      </c>
      <c r="F790" s="13"/>
    </row>
    <row r="791" spans="8:8" ht="21.0" customHeight="1">
      <c r="A791" s="10"/>
      <c r="B791" s="11" t="s">
        <v>24</v>
      </c>
      <c r="C791" s="9">
        <v>100.0</v>
      </c>
      <c r="D791" s="8">
        <v>5000.0</v>
      </c>
      <c r="E791" s="8">
        <v>520000.0</v>
      </c>
      <c r="F791" s="13"/>
    </row>
    <row r="792" spans="8:8" ht="21.0" customHeight="1">
      <c r="A792" s="10"/>
      <c r="B792" s="14"/>
      <c r="C792" s="15"/>
      <c r="D792" s="15"/>
      <c r="E792" s="15"/>
      <c r="F792" s="14"/>
    </row>
    <row r="793" spans="8:8" ht="21.0" customHeight="1">
      <c r="A793" s="16">
        <v>46217.0</v>
      </c>
      <c r="B793" s="6" t="s">
        <v>95</v>
      </c>
      <c r="C793" s="7" t="s">
        <v>230</v>
      </c>
      <c r="D793" s="6"/>
      <c r="E793" s="8">
        <v>250000.0</v>
      </c>
      <c r="F793" s="8">
        <v>100000.0</v>
      </c>
      <c r="G793" s="8">
        <v>150000.0</v>
      </c>
      <c r="H793" s="8">
        <v>250000.0</v>
      </c>
      <c r="I793" s="8">
        <v>260000.0</v>
      </c>
      <c r="J793" s="8">
        <v>-10000.0</v>
      </c>
      <c r="K793" s="9">
        <v>-4.0</v>
      </c>
      <c r="L793" s="6"/>
    </row>
    <row r="794" spans="8:8" ht="21.0" customHeight="1">
      <c r="A794" s="10"/>
      <c r="B794" s="3" t="s">
        <v>17</v>
      </c>
      <c r="C794" s="4" t="s">
        <v>18</v>
      </c>
      <c r="D794" s="4" t="s">
        <v>19</v>
      </c>
      <c r="E794" s="4" t="s">
        <v>11</v>
      </c>
      <c r="F794" s="3" t="s">
        <v>20</v>
      </c>
    </row>
    <row r="795" spans="8:8" ht="21.0" customHeight="1">
      <c r="A795" s="10"/>
      <c r="B795" s="11" t="s">
        <v>24</v>
      </c>
      <c r="C795" s="9">
        <v>50.0</v>
      </c>
      <c r="D795" s="8">
        <v>5000.0</v>
      </c>
      <c r="E795" s="8">
        <v>260000.0</v>
      </c>
      <c r="F795" s="13"/>
    </row>
    <row r="796" spans="8:8" ht="21.0" customHeight="1">
      <c r="A796" s="10"/>
      <c r="B796" s="14"/>
      <c r="C796" s="15"/>
      <c r="D796" s="15"/>
      <c r="E796" s="15"/>
      <c r="F796" s="14"/>
    </row>
    <row r="797" spans="8:8" ht="21.0" customHeight="1">
      <c r="A797" s="16">
        <v>46217.0</v>
      </c>
      <c r="B797" s="6" t="s">
        <v>231</v>
      </c>
      <c r="C797" s="7" t="s">
        <v>232</v>
      </c>
      <c r="D797" s="6"/>
      <c r="E797" s="8">
        <v>4538140.0</v>
      </c>
      <c r="F797" s="8">
        <v>4538140.0</v>
      </c>
      <c r="G797" s="9">
        <v>0.0</v>
      </c>
      <c r="H797" s="8">
        <v>4538140.0</v>
      </c>
      <c r="I797" s="8">
        <v>4253330.0</v>
      </c>
      <c r="J797" s="8">
        <v>284810.0</v>
      </c>
      <c r="K797" s="9">
        <v>6.0</v>
      </c>
      <c r="L797" s="6" t="s">
        <v>233</v>
      </c>
    </row>
    <row r="798" spans="8:8" ht="21.0" customHeight="1">
      <c r="A798" s="10"/>
      <c r="B798" s="3" t="s">
        <v>17</v>
      </c>
      <c r="C798" s="4" t="s">
        <v>18</v>
      </c>
      <c r="D798" s="4" t="s">
        <v>19</v>
      </c>
      <c r="E798" s="4" t="s">
        <v>11</v>
      </c>
      <c r="F798" s="3" t="s">
        <v>20</v>
      </c>
    </row>
    <row r="799" spans="8:8" ht="21.0" customHeight="1">
      <c r="A799" s="10"/>
      <c r="B799" s="11" t="s">
        <v>22</v>
      </c>
      <c r="C799" s="9">
        <v>140.0</v>
      </c>
      <c r="D799" s="8">
        <v>8990.0</v>
      </c>
      <c r="E799" s="8">
        <v>1211944.0</v>
      </c>
      <c r="F799" s="13"/>
    </row>
    <row r="800" spans="8:8" ht="21.0" customHeight="1">
      <c r="A800" s="10"/>
      <c r="B800" s="11" t="s">
        <v>44</v>
      </c>
      <c r="C800" s="9">
        <v>70.0</v>
      </c>
      <c r="D800" s="8">
        <v>8990.0</v>
      </c>
      <c r="E800" s="8">
        <v>629300.0</v>
      </c>
      <c r="F800" s="13"/>
    </row>
    <row r="801" spans="8:8" ht="21.0" customHeight="1">
      <c r="A801" s="10"/>
      <c r="B801" s="11" t="s">
        <v>45</v>
      </c>
      <c r="C801" s="9">
        <v>70.0</v>
      </c>
      <c r="D801" s="8">
        <v>13332.0</v>
      </c>
      <c r="E801" s="8">
        <v>892274.0</v>
      </c>
      <c r="F801" s="13"/>
    </row>
    <row r="802" spans="8:8" ht="21.0" customHeight="1">
      <c r="A802" s="10"/>
      <c r="B802" s="11" t="s">
        <v>37</v>
      </c>
      <c r="C802" s="9">
        <v>70.0</v>
      </c>
      <c r="D802" s="8">
        <v>8900.0</v>
      </c>
      <c r="E802" s="8">
        <v>596750.0</v>
      </c>
      <c r="F802" s="13"/>
    </row>
    <row r="803" spans="8:8" ht="21.0" customHeight="1">
      <c r="A803" s="10"/>
      <c r="B803" s="11" t="s">
        <v>181</v>
      </c>
      <c r="C803" s="9">
        <v>60.0</v>
      </c>
      <c r="D803" s="8">
        <v>16900.0</v>
      </c>
      <c r="E803" s="8">
        <v>981000.0</v>
      </c>
      <c r="F803" s="13"/>
    </row>
    <row r="804" spans="8:8" ht="21.0" customHeight="1">
      <c r="A804" s="10"/>
      <c r="B804" s="11" t="s">
        <v>49</v>
      </c>
      <c r="C804" s="9">
        <v>16.0</v>
      </c>
      <c r="D804" s="8">
        <v>5000.0</v>
      </c>
      <c r="E804" s="8">
        <v>-57938.0</v>
      </c>
      <c r="F804" s="13"/>
    </row>
    <row r="805" spans="8:8" ht="21.0" customHeight="1">
      <c r="A805" s="10"/>
      <c r="B805" s="14"/>
      <c r="C805" s="15"/>
      <c r="D805" s="15"/>
      <c r="E805" s="15"/>
      <c r="F805" s="14"/>
    </row>
    <row r="806" spans="8:8" ht="21.0" customHeight="1">
      <c r="A806" s="16">
        <v>46217.0</v>
      </c>
      <c r="B806" s="6" t="s">
        <v>15</v>
      </c>
      <c r="C806" s="7" t="s">
        <v>234</v>
      </c>
      <c r="D806" s="6"/>
      <c r="E806" s="8">
        <v>314600.0</v>
      </c>
      <c r="F806" s="8">
        <v>314600.0</v>
      </c>
      <c r="G806" s="9">
        <v>0.0</v>
      </c>
      <c r="H806" s="8">
        <v>314600.0</v>
      </c>
      <c r="I806" s="8">
        <v>299413.0</v>
      </c>
      <c r="J806" s="8">
        <v>15187.0</v>
      </c>
      <c r="K806" s="9">
        <v>5.0</v>
      </c>
      <c r="L806" s="6"/>
    </row>
    <row r="807" spans="8:8" ht="21.0" customHeight="1">
      <c r="A807" s="10"/>
      <c r="B807" s="3" t="s">
        <v>17</v>
      </c>
      <c r="C807" s="4" t="s">
        <v>18</v>
      </c>
      <c r="D807" s="4" t="s">
        <v>19</v>
      </c>
      <c r="E807" s="4" t="s">
        <v>11</v>
      </c>
      <c r="F807" s="3" t="s">
        <v>20</v>
      </c>
    </row>
    <row r="808" spans="8:8" ht="21.0" customHeight="1">
      <c r="A808" s="10"/>
      <c r="B808" s="11" t="s">
        <v>21</v>
      </c>
      <c r="C808" s="9">
        <v>3.0</v>
      </c>
      <c r="D808" s="8">
        <v>9000.0</v>
      </c>
      <c r="E808" s="8">
        <v>24366.0</v>
      </c>
      <c r="F808" s="13"/>
    </row>
    <row r="809" spans="8:8" ht="21.0" customHeight="1">
      <c r="A809" s="10"/>
      <c r="B809" s="11" t="s">
        <v>235</v>
      </c>
      <c r="C809" s="9">
        <v>8.0</v>
      </c>
      <c r="D809" s="8">
        <v>9700.0</v>
      </c>
      <c r="E809" s="8">
        <v>74240.0</v>
      </c>
      <c r="F809" s="13"/>
    </row>
    <row r="810" spans="8:8" ht="21.0" customHeight="1">
      <c r="A810" s="10"/>
      <c r="B810" s="11" t="s">
        <v>37</v>
      </c>
      <c r="C810" s="9">
        <v>2.0</v>
      </c>
      <c r="D810" s="8">
        <v>9200.0</v>
      </c>
      <c r="E810" s="8">
        <v>17050.0</v>
      </c>
      <c r="F810" s="13"/>
    </row>
    <row r="811" spans="8:8" ht="21.0" customHeight="1">
      <c r="A811" s="10"/>
      <c r="B811" s="11" t="s">
        <v>22</v>
      </c>
      <c r="C811" s="9">
        <v>3.0</v>
      </c>
      <c r="D811" s="8">
        <v>9200.0</v>
      </c>
      <c r="E811" s="8">
        <v>25970.0</v>
      </c>
      <c r="F811" s="13"/>
    </row>
    <row r="812" spans="8:8" ht="21.0" customHeight="1">
      <c r="A812" s="10"/>
      <c r="B812" s="11" t="s">
        <v>45</v>
      </c>
      <c r="C812" s="9">
        <v>4.0</v>
      </c>
      <c r="D812" s="8">
        <v>13350.0</v>
      </c>
      <c r="E812" s="8">
        <v>50987.0</v>
      </c>
      <c r="F812" s="13"/>
    </row>
    <row r="813" spans="8:8" ht="21.0" customHeight="1">
      <c r="A813" s="10"/>
      <c r="B813" s="11" t="s">
        <v>36</v>
      </c>
      <c r="C813" s="9">
        <v>3.0</v>
      </c>
      <c r="D813" s="8">
        <v>15500.0</v>
      </c>
      <c r="E813" s="8">
        <v>44700.0</v>
      </c>
      <c r="F813" s="13"/>
    </row>
    <row r="814" spans="8:8" ht="21.0" customHeight="1">
      <c r="A814" s="10"/>
      <c r="B814" s="11" t="s">
        <v>43</v>
      </c>
      <c r="C814" s="9">
        <v>1.0</v>
      </c>
      <c r="D814" s="8">
        <v>18100.0</v>
      </c>
      <c r="E814" s="8">
        <v>17150.0</v>
      </c>
      <c r="F814" s="13"/>
    </row>
    <row r="815" spans="8:8" ht="21.0" customHeight="1">
      <c r="A815" s="10"/>
      <c r="B815" s="11" t="s">
        <v>44</v>
      </c>
      <c r="C815" s="9">
        <v>5.0</v>
      </c>
      <c r="D815" s="8">
        <v>9200.0</v>
      </c>
      <c r="E815" s="8">
        <v>44950.0</v>
      </c>
      <c r="F815" s="13"/>
    </row>
    <row r="816" spans="8:8" ht="21.0" customHeight="1">
      <c r="A816" s="10"/>
      <c r="B816" s="14"/>
      <c r="C816" s="15"/>
      <c r="D816" s="15"/>
      <c r="E816" s="15"/>
      <c r="F816" s="14"/>
    </row>
    <row r="817" spans="8:8" ht="21.0" customHeight="1">
      <c r="A817" s="16">
        <v>46217.0</v>
      </c>
      <c r="B817" s="6" t="s">
        <v>29</v>
      </c>
      <c r="C817" s="7" t="s">
        <v>236</v>
      </c>
      <c r="D817" s="6"/>
      <c r="E817" s="8">
        <v>439950.0</v>
      </c>
      <c r="F817" s="8">
        <v>439950.0</v>
      </c>
      <c r="G817" s="9">
        <v>0.0</v>
      </c>
      <c r="H817" s="8">
        <v>439950.0</v>
      </c>
      <c r="I817" s="8">
        <v>419212.0</v>
      </c>
      <c r="J817" s="8">
        <v>20738.0</v>
      </c>
      <c r="K817" s="9">
        <v>5.0</v>
      </c>
      <c r="L817" s="6"/>
    </row>
    <row r="818" spans="8:8" ht="21.0" customHeight="1">
      <c r="A818" s="10"/>
      <c r="B818" s="3" t="s">
        <v>17</v>
      </c>
      <c r="C818" s="4" t="s">
        <v>18</v>
      </c>
      <c r="D818" s="4" t="s">
        <v>19</v>
      </c>
      <c r="E818" s="4" t="s">
        <v>11</v>
      </c>
      <c r="F818" s="3" t="s">
        <v>20</v>
      </c>
    </row>
    <row r="819" spans="8:8" ht="21.0" customHeight="1">
      <c r="A819" s="10"/>
      <c r="B819" s="11" t="s">
        <v>22</v>
      </c>
      <c r="C819" s="9">
        <v>30.0</v>
      </c>
      <c r="D819" s="8">
        <v>8800.0</v>
      </c>
      <c r="E819" s="8">
        <v>259702.0</v>
      </c>
      <c r="F819" s="13"/>
    </row>
    <row r="820" spans="8:8" ht="21.0" customHeight="1">
      <c r="A820" s="10"/>
      <c r="B820" s="11" t="s">
        <v>37</v>
      </c>
      <c r="C820" s="9">
        <v>5.0</v>
      </c>
      <c r="D820" s="8">
        <v>8880.0</v>
      </c>
      <c r="E820" s="8">
        <v>42625.0</v>
      </c>
      <c r="F820" s="13"/>
    </row>
    <row r="821" spans="8:8" ht="21.0" customHeight="1">
      <c r="A821" s="10"/>
      <c r="B821" s="11" t="s">
        <v>65</v>
      </c>
      <c r="C821" s="9">
        <v>5.0</v>
      </c>
      <c r="D821" s="8">
        <v>11910.0</v>
      </c>
      <c r="E821" s="8">
        <v>56575.0</v>
      </c>
      <c r="F821" s="13"/>
    </row>
    <row r="822" spans="8:8" ht="21.0" customHeight="1">
      <c r="A822" s="10"/>
      <c r="B822" s="11" t="s">
        <v>38</v>
      </c>
      <c r="C822" s="9">
        <v>40.0</v>
      </c>
      <c r="D822" s="8">
        <v>1800.0</v>
      </c>
      <c r="E822" s="8">
        <v>60310.0</v>
      </c>
      <c r="F822" s="13"/>
    </row>
    <row r="823" spans="8:8" ht="21.0" customHeight="1">
      <c r="A823" s="10"/>
      <c r="B823" s="14"/>
      <c r="C823" s="15"/>
      <c r="D823" s="15"/>
      <c r="E823" s="15"/>
      <c r="F823" s="14"/>
    </row>
    <row r="824" spans="8:8" ht="21.0" customHeight="1">
      <c r="A824" s="16">
        <v>46217.0</v>
      </c>
      <c r="B824" s="6" t="s">
        <v>237</v>
      </c>
      <c r="C824" s="7" t="s">
        <v>238</v>
      </c>
      <c r="D824" s="6"/>
      <c r="E824" s="8">
        <v>110040.0</v>
      </c>
      <c r="F824" s="8">
        <v>110040.0</v>
      </c>
      <c r="G824" s="9">
        <v>0.0</v>
      </c>
      <c r="H824" s="8">
        <v>110040.0</v>
      </c>
      <c r="I824" s="8">
        <v>100282.0</v>
      </c>
      <c r="J824" s="8">
        <v>9758.0</v>
      </c>
      <c r="K824" s="9">
        <v>9.0</v>
      </c>
      <c r="L824" s="6"/>
    </row>
    <row r="825" spans="8:8" ht="21.0" customHeight="1">
      <c r="A825" s="10"/>
      <c r="B825" s="3" t="s">
        <v>17</v>
      </c>
      <c r="C825" s="4" t="s">
        <v>18</v>
      </c>
      <c r="D825" s="4" t="s">
        <v>19</v>
      </c>
      <c r="E825" s="4" t="s">
        <v>11</v>
      </c>
      <c r="F825" s="3" t="s">
        <v>20</v>
      </c>
    </row>
    <row r="826" spans="8:8" ht="21.0" customHeight="1">
      <c r="A826" s="10"/>
      <c r="B826" s="11" t="s">
        <v>34</v>
      </c>
      <c r="C826" s="9">
        <v>1.0</v>
      </c>
      <c r="D826" s="8">
        <v>22740.0</v>
      </c>
      <c r="E826" s="8">
        <v>21595.0</v>
      </c>
      <c r="F826" s="13"/>
    </row>
    <row r="827" spans="8:8" ht="21.0" customHeight="1">
      <c r="A827" s="10"/>
      <c r="B827" s="11" t="s">
        <v>113</v>
      </c>
      <c r="C827" s="9">
        <v>2.0</v>
      </c>
      <c r="D827" s="8">
        <v>15115.0</v>
      </c>
      <c r="E827" s="8">
        <v>28950.0</v>
      </c>
      <c r="F827" s="13"/>
    </row>
    <row r="828" spans="8:8" ht="21.0" customHeight="1">
      <c r="A828" s="10"/>
      <c r="B828" s="11" t="s">
        <v>44</v>
      </c>
      <c r="C828" s="9">
        <v>2.0</v>
      </c>
      <c r="D828" s="8">
        <v>9200.0</v>
      </c>
      <c r="E828" s="8">
        <v>17980.0</v>
      </c>
      <c r="F828" s="13"/>
    </row>
    <row r="829" spans="8:8" ht="21.0" customHeight="1">
      <c r="A829" s="10"/>
      <c r="B829" s="11" t="s">
        <v>45</v>
      </c>
      <c r="C829" s="9">
        <v>2.0</v>
      </c>
      <c r="D829" s="8">
        <v>13335.0</v>
      </c>
      <c r="E829" s="8">
        <v>25494.0</v>
      </c>
      <c r="F829" s="13"/>
    </row>
    <row r="830" spans="8:8" ht="21.0" customHeight="1">
      <c r="A830" s="10"/>
      <c r="B830" s="11" t="s">
        <v>148</v>
      </c>
      <c r="C830" s="9">
        <v>2.0</v>
      </c>
      <c r="D830" s="8">
        <v>2000.0</v>
      </c>
      <c r="E830" s="9">
        <v>232.0</v>
      </c>
      <c r="F830" s="13"/>
    </row>
    <row r="831" spans="8:8" ht="21.0" customHeight="1">
      <c r="A831" s="10"/>
      <c r="B831" s="11" t="s">
        <v>38</v>
      </c>
      <c r="C831" s="9">
        <v>4.0</v>
      </c>
      <c r="D831" s="8">
        <v>2000.0</v>
      </c>
      <c r="E831" s="8">
        <v>6031.0</v>
      </c>
      <c r="F831" s="13"/>
    </row>
    <row r="832" spans="8:8" ht="21.0" customHeight="1">
      <c r="A832" s="10"/>
      <c r="B832" s="14"/>
      <c r="C832" s="15"/>
      <c r="D832" s="15"/>
      <c r="E832" s="15"/>
      <c r="F832" s="14"/>
    </row>
    <row r="833" spans="8:8" ht="21.0" customHeight="1">
      <c r="A833" s="16">
        <v>46217.0</v>
      </c>
      <c r="B833" s="6" t="s">
        <v>157</v>
      </c>
      <c r="C833" s="7" t="s">
        <v>239</v>
      </c>
      <c r="D833" s="6"/>
      <c r="E833" s="8">
        <v>447500.0</v>
      </c>
      <c r="F833" s="8">
        <v>447500.0</v>
      </c>
      <c r="G833" s="9">
        <v>0.0</v>
      </c>
      <c r="H833" s="8">
        <v>447500.0</v>
      </c>
      <c r="I833" s="8">
        <v>453125.0</v>
      </c>
      <c r="J833" s="8">
        <v>-5625.0</v>
      </c>
      <c r="K833" s="9">
        <v>-1.0</v>
      </c>
      <c r="L833" s="6"/>
    </row>
    <row r="834" spans="8:8" ht="21.0" customHeight="1">
      <c r="A834" s="10"/>
      <c r="B834" s="3" t="s">
        <v>17</v>
      </c>
      <c r="C834" s="4" t="s">
        <v>18</v>
      </c>
      <c r="D834" s="4" t="s">
        <v>19</v>
      </c>
      <c r="E834" s="4" t="s">
        <v>11</v>
      </c>
      <c r="F834" s="3" t="s">
        <v>20</v>
      </c>
    </row>
    <row r="835" spans="8:8" ht="21.0" customHeight="1">
      <c r="A835" s="10"/>
      <c r="B835" s="11" t="s">
        <v>24</v>
      </c>
      <c r="C835" s="9">
        <v>60.0</v>
      </c>
      <c r="D835" s="8">
        <v>5000.0</v>
      </c>
      <c r="E835" s="8">
        <v>312000.0</v>
      </c>
      <c r="F835" s="13"/>
    </row>
    <row r="836" spans="8:8" ht="21.0" customHeight="1">
      <c r="A836" s="10"/>
      <c r="B836" s="11" t="s">
        <v>27</v>
      </c>
      <c r="C836" s="9">
        <v>10.0</v>
      </c>
      <c r="D836" s="8">
        <v>8020.0</v>
      </c>
      <c r="E836" s="8">
        <v>76850.0</v>
      </c>
      <c r="F836" s="13"/>
    </row>
    <row r="837" spans="8:8" ht="21.0" customHeight="1">
      <c r="A837" s="10"/>
      <c r="B837" s="11" t="s">
        <v>70</v>
      </c>
      <c r="C837" s="9">
        <v>5.0</v>
      </c>
      <c r="D837" s="8">
        <v>13460.0</v>
      </c>
      <c r="E837" s="8">
        <v>64275.0</v>
      </c>
      <c r="F837" s="13"/>
    </row>
    <row r="838" spans="8:8" ht="21.0" customHeight="1">
      <c r="A838" s="10"/>
      <c r="B838" s="14"/>
      <c r="C838" s="15"/>
      <c r="D838" s="15"/>
      <c r="E838" s="15"/>
      <c r="F838" s="14"/>
    </row>
    <row r="839" spans="8:8" ht="21.0" customHeight="1">
      <c r="A839" s="17">
        <v>46218.0</v>
      </c>
      <c r="B839" s="6" t="s">
        <v>75</v>
      </c>
      <c r="C839" s="7" t="s">
        <v>240</v>
      </c>
      <c r="D839" s="6"/>
      <c r="E839" s="8">
        <v>3865320.0</v>
      </c>
      <c r="F839" s="9">
        <v>0.0</v>
      </c>
      <c r="G839" s="8">
        <v>3865320.0</v>
      </c>
      <c r="H839" s="8">
        <v>3865320.0</v>
      </c>
      <c r="I839" s="8">
        <v>3589564.0</v>
      </c>
      <c r="J839" s="8">
        <v>275756.0</v>
      </c>
      <c r="K839" s="9">
        <v>7.0</v>
      </c>
      <c r="L839" s="6" t="s">
        <v>241</v>
      </c>
    </row>
    <row r="840" spans="8:8" ht="21.0" customHeight="1">
      <c r="A840" s="10"/>
      <c r="B840" s="3" t="s">
        <v>17</v>
      </c>
      <c r="C840" s="4" t="s">
        <v>18</v>
      </c>
      <c r="D840" s="4" t="s">
        <v>19</v>
      </c>
      <c r="E840" s="4" t="s">
        <v>11</v>
      </c>
      <c r="F840" s="3" t="s">
        <v>20</v>
      </c>
    </row>
    <row r="841" spans="8:8" ht="21.0" customHeight="1">
      <c r="A841" s="10"/>
      <c r="B841" s="11" t="s">
        <v>87</v>
      </c>
      <c r="C841" s="9">
        <v>5.0</v>
      </c>
      <c r="D841" s="8">
        <v>21485.0</v>
      </c>
      <c r="E841" s="8">
        <v>102200.0</v>
      </c>
      <c r="F841" s="13"/>
    </row>
    <row r="842" spans="8:8" ht="21.0" customHeight="1">
      <c r="A842" s="10"/>
      <c r="B842" s="11" t="s">
        <v>77</v>
      </c>
      <c r="C842" s="9">
        <v>20.0</v>
      </c>
      <c r="D842" s="8">
        <v>17840.0</v>
      </c>
      <c r="E842" s="8">
        <v>345300.0</v>
      </c>
      <c r="F842" s="13"/>
    </row>
    <row r="843" spans="8:8" ht="21.0" customHeight="1">
      <c r="A843" s="10"/>
      <c r="B843" s="11" t="s">
        <v>45</v>
      </c>
      <c r="C843" s="9">
        <v>15.0</v>
      </c>
      <c r="D843" s="8">
        <v>13332.0</v>
      </c>
      <c r="E843" s="8">
        <v>191202.0</v>
      </c>
      <c r="F843" s="13"/>
    </row>
    <row r="844" spans="8:8" ht="21.0" customHeight="1">
      <c r="A844" s="10"/>
      <c r="B844" s="11" t="s">
        <v>93</v>
      </c>
      <c r="C844" s="9">
        <v>5.0</v>
      </c>
      <c r="D844" s="8">
        <v>11600.0</v>
      </c>
      <c r="E844" s="8">
        <v>55650.0</v>
      </c>
      <c r="F844" s="13"/>
    </row>
    <row r="845" spans="8:8" ht="21.0" customHeight="1">
      <c r="A845" s="10"/>
      <c r="B845" s="11" t="s">
        <v>24</v>
      </c>
      <c r="C845" s="9">
        <v>30.0</v>
      </c>
      <c r="D845" s="8">
        <v>6195.0</v>
      </c>
      <c r="E845" s="8">
        <v>156000.0</v>
      </c>
      <c r="F845" s="13"/>
    </row>
    <row r="846" spans="8:8" ht="21.0" customHeight="1">
      <c r="A846" s="10"/>
      <c r="B846" s="11" t="s">
        <v>27</v>
      </c>
      <c r="C846" s="9">
        <v>20.0</v>
      </c>
      <c r="D846" s="8">
        <v>8020.0</v>
      </c>
      <c r="E846" s="8">
        <v>153700.0</v>
      </c>
      <c r="F846" s="13"/>
    </row>
    <row r="847" spans="8:8" ht="21.0" customHeight="1">
      <c r="A847" s="10"/>
      <c r="B847" s="11" t="s">
        <v>71</v>
      </c>
      <c r="C847" s="9">
        <v>10.0</v>
      </c>
      <c r="D847" s="8">
        <v>15945.0</v>
      </c>
      <c r="E847" s="8">
        <v>153750.0</v>
      </c>
      <c r="F847" s="13"/>
    </row>
    <row r="848" spans="8:8" ht="21.0" customHeight="1">
      <c r="A848" s="10"/>
      <c r="B848" s="11" t="s">
        <v>35</v>
      </c>
      <c r="C848" s="9">
        <v>10.0</v>
      </c>
      <c r="D848" s="8">
        <v>21170.0</v>
      </c>
      <c r="E848" s="8">
        <v>204050.0</v>
      </c>
      <c r="F848" s="13"/>
    </row>
    <row r="849" spans="8:8" ht="21.0" customHeight="1">
      <c r="A849" s="10"/>
      <c r="B849" s="11" t="s">
        <v>32</v>
      </c>
      <c r="C849" s="9">
        <v>10.0</v>
      </c>
      <c r="D849" s="8">
        <v>16145.0</v>
      </c>
      <c r="E849" s="8">
        <v>152472.0</v>
      </c>
      <c r="F849" s="13"/>
    </row>
    <row r="850" spans="8:8" ht="21.0" customHeight="1">
      <c r="A850" s="10"/>
      <c r="B850" s="11" t="s">
        <v>141</v>
      </c>
      <c r="C850" s="9">
        <v>10.0</v>
      </c>
      <c r="D850" s="8">
        <v>14145.0</v>
      </c>
      <c r="E850" s="8">
        <v>135200.0</v>
      </c>
      <c r="F850" s="13"/>
    </row>
    <row r="851" spans="8:8" ht="21.0" customHeight="1">
      <c r="A851" s="10"/>
      <c r="B851" s="11" t="s">
        <v>34</v>
      </c>
      <c r="C851" s="9">
        <v>5.0</v>
      </c>
      <c r="D851" s="8">
        <v>22740.0</v>
      </c>
      <c r="E851" s="8">
        <v>107975.0</v>
      </c>
      <c r="F851" s="13"/>
    </row>
    <row r="852" spans="8:8" ht="21.0" customHeight="1">
      <c r="A852" s="10"/>
      <c r="B852" s="11" t="s">
        <v>70</v>
      </c>
      <c r="C852" s="9">
        <v>50.0</v>
      </c>
      <c r="D852" s="8">
        <v>13460.0</v>
      </c>
      <c r="E852" s="8">
        <v>642750.0</v>
      </c>
      <c r="F852" s="13"/>
    </row>
    <row r="853" spans="8:8" ht="21.0" customHeight="1">
      <c r="A853" s="10"/>
      <c r="B853" s="11" t="s">
        <v>224</v>
      </c>
      <c r="C853" s="9">
        <v>11.0</v>
      </c>
      <c r="D853" s="8">
        <v>14430.0</v>
      </c>
      <c r="E853" s="8">
        <v>153018.0</v>
      </c>
      <c r="F853" s="13"/>
    </row>
    <row r="854" spans="8:8" ht="21.0" customHeight="1">
      <c r="A854" s="10"/>
      <c r="B854" s="11" t="s">
        <v>28</v>
      </c>
      <c r="C854" s="9">
        <v>31.0</v>
      </c>
      <c r="D854" s="8">
        <v>14400.0</v>
      </c>
      <c r="E854" s="8">
        <v>418543.0</v>
      </c>
      <c r="F854" s="13"/>
    </row>
    <row r="855" spans="8:8" ht="21.0" customHeight="1">
      <c r="A855" s="10"/>
      <c r="B855" s="11" t="s">
        <v>178</v>
      </c>
      <c r="C855" s="9">
        <v>10.0</v>
      </c>
      <c r="D855" s="8">
        <v>23770.0</v>
      </c>
      <c r="E855" s="8">
        <v>227750.0</v>
      </c>
      <c r="F855" s="13"/>
    </row>
    <row r="856" spans="8:8" ht="21.0" customHeight="1">
      <c r="A856" s="10"/>
      <c r="B856" s="11" t="s">
        <v>31</v>
      </c>
      <c r="C856" s="9">
        <v>10.0</v>
      </c>
      <c r="D856" s="8">
        <v>17845.0</v>
      </c>
      <c r="E856" s="8">
        <v>171000.0</v>
      </c>
      <c r="F856" s="13"/>
    </row>
    <row r="857" spans="8:8" ht="21.0" customHeight="1">
      <c r="A857" s="10"/>
      <c r="B857" s="11" t="s">
        <v>190</v>
      </c>
      <c r="C857" s="9">
        <v>2.0</v>
      </c>
      <c r="D857" s="8">
        <v>28445.0</v>
      </c>
      <c r="E857" s="8">
        <v>51860.0</v>
      </c>
      <c r="F857" s="13"/>
    </row>
    <row r="858" spans="8:8" ht="21.0" customHeight="1">
      <c r="A858" s="10"/>
      <c r="B858" s="11" t="s">
        <v>56</v>
      </c>
      <c r="C858" s="9">
        <v>2.0</v>
      </c>
      <c r="D858" s="8">
        <v>24185.0</v>
      </c>
      <c r="E858" s="8">
        <v>44500.0</v>
      </c>
      <c r="F858" s="13"/>
    </row>
    <row r="859" spans="8:8" ht="21.0" customHeight="1">
      <c r="A859" s="10"/>
      <c r="B859" s="11" t="s">
        <v>113</v>
      </c>
      <c r="C859" s="9">
        <v>5.0</v>
      </c>
      <c r="D859" s="8">
        <v>15115.0</v>
      </c>
      <c r="E859" s="8">
        <v>72375.0</v>
      </c>
      <c r="F859" s="13"/>
    </row>
    <row r="860" spans="8:8" ht="21.0" customHeight="1">
      <c r="A860" s="10"/>
      <c r="B860" s="11" t="s">
        <v>148</v>
      </c>
      <c r="C860" s="9">
        <v>40.0</v>
      </c>
      <c r="D860" s="8">
        <v>2000.0</v>
      </c>
      <c r="E860" s="8">
        <v>4848.0</v>
      </c>
      <c r="F860" s="13"/>
    </row>
    <row r="861" spans="8:8" ht="21.0" customHeight="1">
      <c r="A861" s="10"/>
      <c r="B861" s="11" t="s">
        <v>38</v>
      </c>
      <c r="C861" s="9">
        <v>30.0</v>
      </c>
      <c r="D861" s="8">
        <v>1800.0</v>
      </c>
      <c r="E861" s="8">
        <v>45421.0</v>
      </c>
      <c r="F861" s="13"/>
    </row>
    <row r="862" spans="8:8" ht="21.0" customHeight="1">
      <c r="A862" s="10"/>
      <c r="B862" s="14"/>
      <c r="C862" s="15"/>
      <c r="D862" s="15"/>
      <c r="E862" s="15"/>
      <c r="F862" s="14"/>
    </row>
    <row r="863" spans="8:8" ht="21.0" customHeight="1">
      <c r="A863" s="16">
        <v>46218.0</v>
      </c>
      <c r="B863" s="6" t="s">
        <v>104</v>
      </c>
      <c r="C863" s="7" t="s">
        <v>242</v>
      </c>
      <c r="D863" s="6"/>
      <c r="E863" s="8">
        <v>20655.0</v>
      </c>
      <c r="F863" s="9">
        <v>0.0</v>
      </c>
      <c r="G863" s="8">
        <v>20655.0</v>
      </c>
      <c r="H863" s="8">
        <v>20655.0</v>
      </c>
      <c r="I863" s="8">
        <v>19305.0</v>
      </c>
      <c r="J863" s="8">
        <v>1350.0</v>
      </c>
      <c r="K863" s="9">
        <v>7.0</v>
      </c>
      <c r="L863" s="6"/>
    </row>
    <row r="864" spans="8:8" ht="21.0" customHeight="1">
      <c r="A864" s="10"/>
      <c r="B864" s="3" t="s">
        <v>17</v>
      </c>
      <c r="C864" s="4" t="s">
        <v>18</v>
      </c>
      <c r="D864" s="4" t="s">
        <v>19</v>
      </c>
      <c r="E864" s="4" t="s">
        <v>11</v>
      </c>
      <c r="F864" s="3" t="s">
        <v>20</v>
      </c>
    </row>
    <row r="865" spans="8:8" ht="21.0" customHeight="1">
      <c r="A865" s="10"/>
      <c r="B865" s="11" t="s">
        <v>62</v>
      </c>
      <c r="C865" s="9">
        <v>1.0</v>
      </c>
      <c r="D865" s="8">
        <v>20655.0</v>
      </c>
      <c r="E865" s="8">
        <v>19305.0</v>
      </c>
      <c r="F865" s="13"/>
    </row>
    <row r="866" spans="8:8" ht="21.0" customHeight="1">
      <c r="A866" s="10"/>
      <c r="B866" s="14"/>
      <c r="C866" s="15"/>
      <c r="D866" s="15"/>
      <c r="E866" s="15"/>
      <c r="F866" s="14"/>
    </row>
    <row r="867" spans="8:8" ht="21.0" customHeight="1">
      <c r="A867" s="16">
        <v>46218.0</v>
      </c>
      <c r="B867" s="6" t="s">
        <v>95</v>
      </c>
      <c r="C867" s="7" t="s">
        <v>243</v>
      </c>
      <c r="D867" s="6"/>
      <c r="E867" s="8">
        <v>87120.0</v>
      </c>
      <c r="F867" s="9">
        <v>0.0</v>
      </c>
      <c r="G867" s="8">
        <v>87120.0</v>
      </c>
      <c r="H867" s="8">
        <v>87120.0</v>
      </c>
      <c r="I867" s="8">
        <v>83092.0</v>
      </c>
      <c r="J867" s="8">
        <v>4028.0</v>
      </c>
      <c r="K867" s="9">
        <v>5.0</v>
      </c>
      <c r="L867" s="6"/>
    </row>
    <row r="868" spans="8:8" ht="21.0" customHeight="1">
      <c r="A868" s="10"/>
      <c r="B868" s="3" t="s">
        <v>17</v>
      </c>
      <c r="C868" s="4" t="s">
        <v>18</v>
      </c>
      <c r="D868" s="4" t="s">
        <v>19</v>
      </c>
      <c r="E868" s="4" t="s">
        <v>11</v>
      </c>
      <c r="F868" s="3" t="s">
        <v>20</v>
      </c>
    </row>
    <row r="869" spans="8:8" ht="21.0" customHeight="1">
      <c r="A869" s="10"/>
      <c r="B869" s="11" t="s">
        <v>69</v>
      </c>
      <c r="C869" s="9">
        <v>1.0</v>
      </c>
      <c r="D869" s="8">
        <v>14450.0</v>
      </c>
      <c r="E869" s="8">
        <v>13780.0</v>
      </c>
      <c r="F869" s="13"/>
    </row>
    <row r="870" spans="8:8" ht="21.0" customHeight="1">
      <c r="A870" s="10"/>
      <c r="B870" s="11" t="s">
        <v>22</v>
      </c>
      <c r="C870" s="9">
        <v>2.0</v>
      </c>
      <c r="D870" s="8">
        <v>9200.0</v>
      </c>
      <c r="E870" s="8">
        <v>17313.0</v>
      </c>
      <c r="F870" s="13"/>
    </row>
    <row r="871" spans="8:8" ht="21.0" customHeight="1">
      <c r="A871" s="10"/>
      <c r="B871" s="11" t="s">
        <v>44</v>
      </c>
      <c r="C871" s="9">
        <v>2.0</v>
      </c>
      <c r="D871" s="8">
        <v>9200.0</v>
      </c>
      <c r="E871" s="8">
        <v>17980.0</v>
      </c>
      <c r="F871" s="13"/>
    </row>
    <row r="872" spans="8:8" ht="21.0" customHeight="1">
      <c r="A872" s="10"/>
      <c r="B872" s="11" t="s">
        <v>37</v>
      </c>
      <c r="C872" s="9">
        <v>1.0</v>
      </c>
      <c r="D872" s="8">
        <v>9200.0</v>
      </c>
      <c r="E872" s="8">
        <v>8525.0</v>
      </c>
      <c r="F872" s="13"/>
    </row>
    <row r="873" spans="8:8" ht="21.0" customHeight="1">
      <c r="A873" s="10"/>
      <c r="B873" s="11" t="s">
        <v>45</v>
      </c>
      <c r="C873" s="9">
        <v>2.0</v>
      </c>
      <c r="D873" s="8">
        <v>13335.0</v>
      </c>
      <c r="E873" s="8">
        <v>25494.0</v>
      </c>
      <c r="F873" s="13"/>
    </row>
    <row r="874" spans="8:8" ht="21.0" customHeight="1">
      <c r="A874" s="10"/>
      <c r="B874" s="14"/>
      <c r="C874" s="15"/>
      <c r="D874" s="15"/>
      <c r="E874" s="15"/>
      <c r="F874" s="14"/>
    </row>
    <row r="875" spans="8:8" ht="21.0" customHeight="1">
      <c r="A875" s="16">
        <v>46218.0</v>
      </c>
      <c r="B875" s="6" t="s">
        <v>25</v>
      </c>
      <c r="C875" s="7" t="s">
        <v>244</v>
      </c>
      <c r="D875" s="6"/>
      <c r="E875" s="8">
        <v>613000.0</v>
      </c>
      <c r="F875" s="8">
        <v>613000.0</v>
      </c>
      <c r="G875" s="9">
        <v>0.0</v>
      </c>
      <c r="H875" s="8">
        <v>613000.0</v>
      </c>
      <c r="I875" s="8">
        <v>634028.0</v>
      </c>
      <c r="J875" s="8">
        <v>-21028.0</v>
      </c>
      <c r="K875" s="9">
        <v>-3.0</v>
      </c>
      <c r="L875" s="6"/>
    </row>
    <row r="876" spans="8:8" ht="21.0" customHeight="1">
      <c r="A876" s="10"/>
      <c r="B876" s="3" t="s">
        <v>17</v>
      </c>
      <c r="C876" s="4" t="s">
        <v>18</v>
      </c>
      <c r="D876" s="4" t="s">
        <v>19</v>
      </c>
      <c r="E876" s="4" t="s">
        <v>11</v>
      </c>
      <c r="F876" s="3" t="s">
        <v>20</v>
      </c>
    </row>
    <row r="877" spans="8:8" ht="21.0" customHeight="1">
      <c r="A877" s="10"/>
      <c r="B877" s="11" t="s">
        <v>24</v>
      </c>
      <c r="C877" s="9">
        <v>70.0</v>
      </c>
      <c r="D877" s="8">
        <v>5000.0</v>
      </c>
      <c r="E877" s="8">
        <v>364000.0</v>
      </c>
      <c r="F877" s="13"/>
    </row>
    <row r="878" spans="8:8" ht="21.0" customHeight="1">
      <c r="A878" s="10"/>
      <c r="B878" s="11" t="s">
        <v>28</v>
      </c>
      <c r="C878" s="9">
        <v>20.0</v>
      </c>
      <c r="D878" s="8">
        <v>13150.0</v>
      </c>
      <c r="E878" s="8">
        <v>270028.0</v>
      </c>
      <c r="F878" s="13"/>
    </row>
    <row r="879" spans="8:8" ht="21.0" customHeight="1">
      <c r="A879" s="10"/>
      <c r="B879" s="14"/>
      <c r="C879" s="15"/>
      <c r="D879" s="15"/>
      <c r="E879" s="15"/>
      <c r="F879" s="14"/>
    </row>
    <row r="880" spans="8:8" ht="21.0" customHeight="1">
      <c r="A880" s="16">
        <v>46218.0</v>
      </c>
      <c r="B880" s="6" t="s">
        <v>15</v>
      </c>
      <c r="C880" s="7" t="s">
        <v>245</v>
      </c>
      <c r="D880" s="6"/>
      <c r="E880" s="8">
        <v>40750.0</v>
      </c>
      <c r="F880" s="9">
        <v>0.0</v>
      </c>
      <c r="G880" s="8">
        <v>40750.0</v>
      </c>
      <c r="H880" s="8">
        <v>40750.0</v>
      </c>
      <c r="I880" s="8">
        <v>38516.0</v>
      </c>
      <c r="J880" s="8">
        <v>2234.0</v>
      </c>
      <c r="K880" s="9">
        <v>5.0</v>
      </c>
      <c r="L880" s="6"/>
    </row>
    <row r="881" spans="8:8" ht="21.0" customHeight="1">
      <c r="A881" s="10"/>
      <c r="B881" s="3" t="s">
        <v>17</v>
      </c>
      <c r="C881" s="4" t="s">
        <v>18</v>
      </c>
      <c r="D881" s="4" t="s">
        <v>19</v>
      </c>
      <c r="E881" s="4" t="s">
        <v>11</v>
      </c>
      <c r="F881" s="3" t="s">
        <v>20</v>
      </c>
    </row>
    <row r="882" spans="8:8" ht="21.0" customHeight="1">
      <c r="A882" s="10"/>
      <c r="B882" s="11" t="s">
        <v>45</v>
      </c>
      <c r="C882" s="9">
        <v>1.0</v>
      </c>
      <c r="D882" s="8">
        <v>13350.0</v>
      </c>
      <c r="E882" s="8">
        <v>12747.0</v>
      </c>
      <c r="F882" s="13"/>
    </row>
    <row r="883" spans="8:8" ht="21.0" customHeight="1">
      <c r="A883" s="10"/>
      <c r="B883" s="11" t="s">
        <v>22</v>
      </c>
      <c r="C883" s="9">
        <v>1.0</v>
      </c>
      <c r="D883" s="8">
        <v>9200.0</v>
      </c>
      <c r="E883" s="8">
        <v>8657.0</v>
      </c>
      <c r="F883" s="13"/>
    </row>
    <row r="884" spans="8:8" ht="21.0" customHeight="1">
      <c r="A884" s="10"/>
      <c r="B884" s="11" t="s">
        <v>44</v>
      </c>
      <c r="C884" s="9">
        <v>1.0</v>
      </c>
      <c r="D884" s="8">
        <v>9200.0</v>
      </c>
      <c r="E884" s="8">
        <v>8990.0</v>
      </c>
      <c r="F884" s="13"/>
    </row>
    <row r="885" spans="8:8" ht="21.0" customHeight="1">
      <c r="A885" s="10"/>
      <c r="B885" s="11" t="s">
        <v>21</v>
      </c>
      <c r="C885" s="9">
        <v>1.0</v>
      </c>
      <c r="D885" s="8">
        <v>9000.0</v>
      </c>
      <c r="E885" s="8">
        <v>8122.0</v>
      </c>
      <c r="F885" s="13"/>
    </row>
    <row r="886" spans="8:8" ht="21.0" customHeight="1">
      <c r="A886" s="24"/>
      <c r="B886" s="14"/>
      <c r="C886" s="15"/>
      <c r="D886" s="15"/>
      <c r="E886" s="15"/>
      <c r="F886" s="14"/>
    </row>
    <row r="887" spans="8:8" ht="21.0" customHeight="1">
      <c r="A887" s="25" t="s">
        <v>246</v>
      </c>
      <c r="B887" s="26"/>
      <c r="C887" s="26"/>
      <c r="D887" s="27"/>
      <c r="E887" s="4" t="s">
        <v>247</v>
      </c>
      <c r="F887" s="4" t="s">
        <v>248</v>
      </c>
      <c r="G887" s="4" t="s">
        <v>249</v>
      </c>
      <c r="H887" s="4" t="s">
        <v>247</v>
      </c>
      <c r="I887" s="4" t="s">
        <v>250</v>
      </c>
      <c r="J887" s="4" t="s">
        <v>251</v>
      </c>
      <c r="K887" s="4">
        <v>2.0</v>
      </c>
      <c r="L887" s="3"/>
    </row>
  </sheetData>
  <hyperlinks>
    <hyperlink ref="C5" r:id="rId1"/>
    <hyperlink ref="C10" r:id="rId2"/>
    <hyperlink ref="C14" r:id="rId3"/>
    <hyperlink ref="C20" r:id="rId4"/>
    <hyperlink ref="C33" r:id="rId5"/>
    <hyperlink ref="C37" r:id="rId6"/>
    <hyperlink ref="C41" r:id="rId7"/>
    <hyperlink ref="C48" r:id="rId8"/>
    <hyperlink ref="C52" r:id="rId9"/>
    <hyperlink ref="C58" r:id="rId10"/>
    <hyperlink ref="C65" r:id="rId11"/>
    <hyperlink ref="C70" r:id="rId12"/>
    <hyperlink ref="C74" r:id="rId13"/>
    <hyperlink ref="C78" r:id="rId14"/>
    <hyperlink ref="C83" r:id="rId15"/>
    <hyperlink ref="C87" r:id="rId16"/>
    <hyperlink ref="C91" r:id="rId17"/>
    <hyperlink ref="C96" r:id="rId18"/>
    <hyperlink ref="C103" r:id="rId19"/>
    <hyperlink ref="C111" r:id="rId20"/>
    <hyperlink ref="C123" r:id="rId21"/>
    <hyperlink ref="C128" r:id="rId22"/>
    <hyperlink ref="C132" r:id="rId23"/>
    <hyperlink ref="C136" r:id="rId24"/>
    <hyperlink ref="C140" r:id="rId25"/>
    <hyperlink ref="C145" r:id="rId26"/>
    <hyperlink ref="C153" r:id="rId27"/>
    <hyperlink ref="C157" r:id="rId28"/>
    <hyperlink ref="C161" r:id="rId29"/>
    <hyperlink ref="C168" r:id="rId30"/>
    <hyperlink ref="C172" r:id="rId31"/>
    <hyperlink ref="C176" r:id="rId32"/>
    <hyperlink ref="C180" r:id="rId33"/>
    <hyperlink ref="C185" r:id="rId34"/>
    <hyperlink ref="C192" r:id="rId35"/>
    <hyperlink ref="C197" r:id="rId36"/>
    <hyperlink ref="C201" r:id="rId37"/>
    <hyperlink ref="C208" r:id="rId38"/>
    <hyperlink ref="C212" r:id="rId39"/>
    <hyperlink ref="C217" r:id="rId40"/>
    <hyperlink ref="C222" r:id="rId41"/>
    <hyperlink ref="C227" r:id="rId42"/>
    <hyperlink ref="C231" r:id="rId43"/>
    <hyperlink ref="C240" r:id="rId44"/>
    <hyperlink ref="C248" r:id="rId45"/>
    <hyperlink ref="C252" r:id="rId46"/>
    <hyperlink ref="C256" r:id="rId47"/>
    <hyperlink ref="C264" r:id="rId48"/>
    <hyperlink ref="C269" r:id="rId49"/>
    <hyperlink ref="C274" r:id="rId50"/>
    <hyperlink ref="C282" r:id="rId51"/>
    <hyperlink ref="C288" r:id="rId52"/>
    <hyperlink ref="C292" r:id="rId53"/>
    <hyperlink ref="C298" r:id="rId54"/>
    <hyperlink ref="C302" r:id="rId55"/>
    <hyperlink ref="C306" r:id="rId56"/>
    <hyperlink ref="C310" r:id="rId57"/>
    <hyperlink ref="C317" r:id="rId58"/>
    <hyperlink ref="C323" r:id="rId59"/>
    <hyperlink ref="C328" r:id="rId60"/>
    <hyperlink ref="C341" r:id="rId61"/>
    <hyperlink ref="C346" r:id="rId62"/>
    <hyperlink ref="C353" r:id="rId63"/>
    <hyperlink ref="C366" r:id="rId64"/>
    <hyperlink ref="C370" r:id="rId65"/>
    <hyperlink ref="C374" r:id="rId66"/>
    <hyperlink ref="C378" r:id="rId67"/>
    <hyperlink ref="C387" r:id="rId68"/>
    <hyperlink ref="C395" r:id="rId69"/>
    <hyperlink ref="C400" r:id="rId70"/>
    <hyperlink ref="C405" r:id="rId71"/>
    <hyperlink ref="C415" r:id="rId72"/>
    <hyperlink ref="C419" r:id="rId73"/>
    <hyperlink ref="C424" r:id="rId74"/>
    <hyperlink ref="C430" r:id="rId75"/>
    <hyperlink ref="C435" r:id="rId76"/>
    <hyperlink ref="C444" r:id="rId77"/>
    <hyperlink ref="C449" r:id="rId78"/>
    <hyperlink ref="C458" r:id="rId79"/>
    <hyperlink ref="C464" r:id="rId80"/>
    <hyperlink ref="C468" r:id="rId81"/>
    <hyperlink ref="C472" r:id="rId82"/>
    <hyperlink ref="C481" r:id="rId83"/>
    <hyperlink ref="C485" r:id="rId84"/>
    <hyperlink ref="C489" r:id="rId85"/>
    <hyperlink ref="C494" r:id="rId86"/>
    <hyperlink ref="C498" r:id="rId87"/>
    <hyperlink ref="C513" r:id="rId88"/>
    <hyperlink ref="C521" r:id="rId89"/>
    <hyperlink ref="C528" r:id="rId90"/>
    <hyperlink ref="C535" r:id="rId91"/>
    <hyperlink ref="C540" r:id="rId92"/>
    <hyperlink ref="C547" r:id="rId93"/>
    <hyperlink ref="C563" r:id="rId94"/>
    <hyperlink ref="C568" r:id="rId95"/>
    <hyperlink ref="C579" r:id="rId96"/>
    <hyperlink ref="C585" r:id="rId97"/>
    <hyperlink ref="C589" r:id="rId98"/>
    <hyperlink ref="C593" r:id="rId99"/>
    <hyperlink ref="C599" r:id="rId100"/>
    <hyperlink ref="C606" r:id="rId101"/>
    <hyperlink ref="C611" r:id="rId102"/>
    <hyperlink ref="C616" r:id="rId103"/>
    <hyperlink ref="C620" r:id="rId104"/>
    <hyperlink ref="C626" r:id="rId105"/>
    <hyperlink ref="C630" r:id="rId106"/>
    <hyperlink ref="C634" r:id="rId107"/>
    <hyperlink ref="C639" r:id="rId108"/>
    <hyperlink ref="C643" r:id="rId109"/>
    <hyperlink ref="C651" r:id="rId110"/>
    <hyperlink ref="C665" r:id="rId111"/>
    <hyperlink ref="C670" r:id="rId112"/>
    <hyperlink ref="C675" r:id="rId113"/>
    <hyperlink ref="C685" r:id="rId114"/>
    <hyperlink ref="C698" r:id="rId115"/>
    <hyperlink ref="C702" r:id="rId116"/>
    <hyperlink ref="C706" r:id="rId117"/>
    <hyperlink ref="C710" r:id="rId118"/>
    <hyperlink ref="C725" r:id="rId119"/>
    <hyperlink ref="C730" r:id="rId120"/>
    <hyperlink ref="C735" r:id="rId121"/>
    <hyperlink ref="C744" r:id="rId122"/>
    <hyperlink ref="C748" r:id="rId123"/>
    <hyperlink ref="C752" r:id="rId124"/>
    <hyperlink ref="C756" r:id="rId125"/>
    <hyperlink ref="C766" r:id="rId126"/>
    <hyperlink ref="C777" r:id="rId127"/>
    <hyperlink ref="C781" r:id="rId128"/>
    <hyperlink ref="C785" r:id="rId129"/>
    <hyperlink ref="C793" r:id="rId130"/>
    <hyperlink ref="C797" r:id="rId131"/>
    <hyperlink ref="C806" r:id="rId132"/>
    <hyperlink ref="C817" r:id="rId133"/>
    <hyperlink ref="C824" r:id="rId134"/>
    <hyperlink ref="C833" r:id="rId135"/>
    <hyperlink ref="C839" r:id="rId136"/>
    <hyperlink ref="C863" r:id="rId137"/>
    <hyperlink ref="C867" r:id="rId138"/>
    <hyperlink ref="C875" r:id="rId139"/>
    <hyperlink ref="C880" r:id="rId140"/>
  </hyperlinks>
  <pageMargins left="0.75" right="0.75" top="1.0" bottom="1.0" header="0.511811023622047" footer="0.511811023622047"/>
</worksheet>
</file>

<file path=xl/worksheets/sheet2.xml><?xml version="1.0" encoding="utf-8"?>
<worksheet xmlns:r="http://schemas.openxmlformats.org/officeDocument/2006/relationships" xmlns="http://schemas.openxmlformats.org/spreadsheetml/2006/main">
  <dimension ref="A1:N967"/>
  <sheetViews>
    <sheetView workbookViewId="0" topLeftCell="A814" showGridLines="0">
      <selection activeCell="C821" sqref="C821"/>
    </sheetView>
  </sheetViews>
  <sheetFormatPr defaultRowHeight="21.0" defaultColWidth="9"/>
  <cols>
    <col min="1" max="1" customWidth="1" width="16.179688" style="1"/>
    <col min="2" max="2" customWidth="1" width="36.54297" style="1"/>
    <col min="3" max="3" customWidth="1" width="13.542969" style="1"/>
    <col min="4" max="4" customWidth="1" width="19.179688" style="1"/>
    <col min="5" max="5" customWidth="1" width="12.7265625" style="1"/>
    <col min="6" max="6" customWidth="1" width="21.726562" style="1"/>
    <col min="7" max="7" customWidth="1" width="19.816406" style="1"/>
    <col min="8" max="8" customWidth="1" width="24.816406" style="1"/>
    <col min="9" max="9" customWidth="1" width="17.269531" style="1"/>
    <col min="10" max="10" customWidth="1" width="15.816406" style="1"/>
    <col min="11" max="11" customWidth="1" width="15.1796875" style="1"/>
    <col min="12" max="12" customWidth="1" width="10.542969" style="1"/>
    <col min="13" max="13" customWidth="1" width="36.54297" style="1"/>
    <col min="14" max="16384" customWidth="0" width="9.1796875" style="1"/>
  </cols>
  <sheetData>
    <row r="1" spans="8:8" ht="21.0" customHeight="1">
      <c r="A1" s="2" t="s">
        <v>0</v>
      </c>
    </row>
    <row r="2" spans="8:8" ht="21.0" customHeight="1">
      <c r="A2" s="2" t="s">
        <v>1</v>
      </c>
    </row>
    <row r="3" spans="8:8" ht="21.75" customHeight="1">
      <c r="A3" s="1" t="s">
        <v>252</v>
      </c>
    </row>
    <row r="4" spans="8:8" ht="21.75" customHeight="1">
      <c r="A4" s="3" t="s">
        <v>3</v>
      </c>
      <c r="B4" s="3" t="s">
        <v>4</v>
      </c>
      <c r="C4" s="3" t="s">
        <v>5</v>
      </c>
      <c r="D4" s="3" t="s">
        <v>6</v>
      </c>
      <c r="E4" s="4" t="s">
        <v>18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3" t="s">
        <v>14</v>
      </c>
    </row>
    <row r="5" spans="8:8" ht="21.75" customHeight="1">
      <c r="A5" s="16">
        <v>46219.0</v>
      </c>
      <c r="B5" s="6" t="s">
        <v>253</v>
      </c>
      <c r="C5" s="7" t="s">
        <v>254</v>
      </c>
      <c r="D5" s="6"/>
      <c r="E5" s="9">
        <v>10.0</v>
      </c>
      <c r="F5" s="8">
        <v>178125.0</v>
      </c>
      <c r="G5" s="8">
        <v>178125.0</v>
      </c>
      <c r="H5" s="9">
        <v>0.0</v>
      </c>
      <c r="I5" s="8">
        <v>178125.0</v>
      </c>
      <c r="J5" s="8">
        <v>168575.0</v>
      </c>
      <c r="K5" s="8">
        <v>9550.0</v>
      </c>
      <c r="L5" s="9">
        <v>5.0</v>
      </c>
      <c r="M5" s="6"/>
    </row>
    <row r="6" spans="8:8" ht="21.0" customHeight="1">
      <c r="A6" s="10"/>
      <c r="B6" s="3" t="s">
        <v>17</v>
      </c>
      <c r="C6" s="4" t="s">
        <v>18</v>
      </c>
      <c r="D6" s="4" t="s">
        <v>19</v>
      </c>
      <c r="E6" s="4" t="s">
        <v>11</v>
      </c>
      <c r="F6" s="3" t="s">
        <v>20</v>
      </c>
    </row>
    <row r="7" spans="8:8" ht="21.0" customHeight="1">
      <c r="A7" s="10"/>
      <c r="B7" s="11" t="s">
        <v>34</v>
      </c>
      <c r="C7" s="9" t="s">
        <v>255</v>
      </c>
      <c r="D7" s="8">
        <v>22740.0</v>
      </c>
      <c r="E7" s="8">
        <v>107975.0</v>
      </c>
      <c r="F7" s="13"/>
    </row>
    <row r="8" spans="8:8" ht="21.0" customHeight="1">
      <c r="A8" s="10"/>
      <c r="B8" s="11" t="s">
        <v>61</v>
      </c>
      <c r="C8" s="9" t="s">
        <v>255</v>
      </c>
      <c r="D8" s="8">
        <v>12885.0</v>
      </c>
      <c r="E8" s="8">
        <v>60600.0</v>
      </c>
      <c r="F8" s="13"/>
    </row>
    <row r="9" spans="8:8" ht="21.0" customHeight="1">
      <c r="A9" s="10"/>
      <c r="B9" s="14"/>
      <c r="C9" s="15"/>
      <c r="D9" s="15"/>
      <c r="E9" s="15"/>
      <c r="F9" s="14"/>
    </row>
    <row r="10" spans="8:8" ht="21.75" customHeight="1">
      <c r="A10" s="16">
        <v>46219.0</v>
      </c>
      <c r="B10" s="6" t="s">
        <v>15</v>
      </c>
      <c r="C10" s="7" t="s">
        <v>256</v>
      </c>
      <c r="D10" s="6"/>
      <c r="E10" s="9">
        <v>1.0</v>
      </c>
      <c r="F10" s="8">
        <v>5300.0</v>
      </c>
      <c r="G10" s="8">
        <v>5300.0</v>
      </c>
      <c r="H10" s="9">
        <v>0.0</v>
      </c>
      <c r="I10" s="8">
        <v>5300.0</v>
      </c>
      <c r="J10" s="8">
        <v>5200.0</v>
      </c>
      <c r="K10" s="9">
        <v>100.0</v>
      </c>
      <c r="L10" s="9">
        <v>2.0</v>
      </c>
      <c r="M10" s="6"/>
    </row>
    <row r="11" spans="8:8" ht="21.0" customHeight="1">
      <c r="A11" s="10"/>
      <c r="B11" s="3" t="s">
        <v>17</v>
      </c>
      <c r="C11" s="4" t="s">
        <v>18</v>
      </c>
      <c r="D11" s="4" t="s">
        <v>19</v>
      </c>
      <c r="E11" s="4" t="s">
        <v>11</v>
      </c>
      <c r="F11" s="3" t="s">
        <v>20</v>
      </c>
    </row>
    <row r="12" spans="8:8" ht="21.0" customHeight="1">
      <c r="A12" s="10"/>
      <c r="B12" s="11" t="s">
        <v>24</v>
      </c>
      <c r="C12" s="9" t="s">
        <v>257</v>
      </c>
      <c r="D12" s="8">
        <v>5300.0</v>
      </c>
      <c r="E12" s="8">
        <v>5200.0</v>
      </c>
      <c r="F12" s="13"/>
    </row>
    <row r="13" spans="8:8" ht="21.0" customHeight="1">
      <c r="A13" s="10"/>
      <c r="B13" s="14"/>
      <c r="C13" s="15"/>
      <c r="D13" s="15"/>
      <c r="E13" s="15"/>
      <c r="F13" s="14"/>
    </row>
    <row r="14" spans="8:8" ht="21.75" customHeight="1">
      <c r="A14" s="16">
        <v>46219.0</v>
      </c>
      <c r="B14" s="6" t="s">
        <v>50</v>
      </c>
      <c r="C14" s="7" t="s">
        <v>258</v>
      </c>
      <c r="D14" s="6"/>
      <c r="E14" s="9">
        <v>190.0</v>
      </c>
      <c r="F14" s="8">
        <v>1877025.0</v>
      </c>
      <c r="G14" s="8">
        <v>1000000.0</v>
      </c>
      <c r="H14" s="8">
        <v>877025.0</v>
      </c>
      <c r="I14" s="8">
        <v>1877025.0</v>
      </c>
      <c r="J14" s="8">
        <v>1892820.0</v>
      </c>
      <c r="K14" s="8">
        <v>-15795.0</v>
      </c>
      <c r="L14" s="9">
        <v>-1.0</v>
      </c>
      <c r="M14" s="6"/>
    </row>
    <row r="15" spans="8:8" ht="21.0" customHeight="1">
      <c r="A15" s="10"/>
      <c r="B15" s="3" t="s">
        <v>17</v>
      </c>
      <c r="C15" s="4" t="s">
        <v>18</v>
      </c>
      <c r="D15" s="4" t="s">
        <v>19</v>
      </c>
      <c r="E15" s="4" t="s">
        <v>11</v>
      </c>
      <c r="F15" s="3" t="s">
        <v>20</v>
      </c>
    </row>
    <row r="16" spans="8:8" ht="21.0" customHeight="1">
      <c r="A16" s="10"/>
      <c r="B16" s="11" t="s">
        <v>24</v>
      </c>
      <c r="C16" s="9" t="s">
        <v>259</v>
      </c>
      <c r="D16" s="8">
        <v>5000.0</v>
      </c>
      <c r="E16" s="8">
        <v>520000.0</v>
      </c>
      <c r="F16" s="13"/>
    </row>
    <row r="17" spans="8:8" ht="21.0" customHeight="1">
      <c r="A17" s="10"/>
      <c r="B17" s="11" t="s">
        <v>32</v>
      </c>
      <c r="C17" s="9" t="s">
        <v>260</v>
      </c>
      <c r="D17" s="8">
        <v>15655.0</v>
      </c>
      <c r="E17" s="8">
        <v>457417.0</v>
      </c>
      <c r="F17" s="13"/>
    </row>
    <row r="18" spans="8:8" ht="21.0" customHeight="1">
      <c r="A18" s="10"/>
      <c r="B18" s="11" t="s">
        <v>31</v>
      </c>
      <c r="C18" s="9" t="s">
        <v>261</v>
      </c>
      <c r="D18" s="8">
        <v>17200.0</v>
      </c>
      <c r="E18" s="8">
        <v>256500.0</v>
      </c>
      <c r="F18" s="13"/>
    </row>
    <row r="19" spans="8:8" ht="21.0" customHeight="1">
      <c r="A19" s="10"/>
      <c r="B19" s="11" t="s">
        <v>33</v>
      </c>
      <c r="C19" s="9" t="s">
        <v>262</v>
      </c>
      <c r="D19" s="8">
        <v>15655.0</v>
      </c>
      <c r="E19" s="8">
        <v>388875.0</v>
      </c>
      <c r="F19" s="13"/>
    </row>
    <row r="20" spans="8:8" ht="21.0" customHeight="1">
      <c r="A20" s="10"/>
      <c r="B20" s="11" t="s">
        <v>28</v>
      </c>
      <c r="C20" s="9" t="s">
        <v>263</v>
      </c>
      <c r="D20" s="8">
        <v>12900.0</v>
      </c>
      <c r="E20" s="8">
        <v>270028.0</v>
      </c>
      <c r="F20" s="13"/>
    </row>
    <row r="21" spans="8:8" ht="21.0" customHeight="1">
      <c r="A21" s="10"/>
      <c r="B21" s="14"/>
      <c r="C21" s="15"/>
      <c r="D21" s="15"/>
      <c r="E21" s="15"/>
      <c r="F21" s="14"/>
    </row>
    <row r="22" spans="8:8" ht="21.0" customHeight="1">
      <c r="A22" s="16">
        <v>46219.0</v>
      </c>
      <c r="B22" s="6" t="s">
        <v>15</v>
      </c>
      <c r="C22" s="7" t="s">
        <v>264</v>
      </c>
      <c r="D22" s="6"/>
      <c r="E22" s="9">
        <v>3.0</v>
      </c>
      <c r="F22" s="8">
        <v>24060.0</v>
      </c>
      <c r="G22" s="8">
        <v>24060.0</v>
      </c>
      <c r="H22" s="9">
        <v>0.0</v>
      </c>
      <c r="I22" s="8">
        <v>24060.0</v>
      </c>
      <c r="J22" s="8">
        <v>23255.0</v>
      </c>
      <c r="K22" s="9">
        <v>805.0</v>
      </c>
      <c r="L22" s="9">
        <v>3.0</v>
      </c>
      <c r="M22" s="6"/>
    </row>
    <row r="23" spans="8:8" ht="21.0" customHeight="1">
      <c r="A23" s="10"/>
      <c r="B23" s="3" t="s">
        <v>17</v>
      </c>
      <c r="C23" s="4" t="s">
        <v>18</v>
      </c>
      <c r="D23" s="4" t="s">
        <v>19</v>
      </c>
      <c r="E23" s="4" t="s">
        <v>11</v>
      </c>
      <c r="F23" s="3" t="s">
        <v>20</v>
      </c>
    </row>
    <row r="24" spans="8:8" ht="21.0" customHeight="1">
      <c r="A24" s="10"/>
      <c r="B24" s="11" t="s">
        <v>24</v>
      </c>
      <c r="C24" s="9" t="s">
        <v>265</v>
      </c>
      <c r="D24" s="8">
        <v>5300.0</v>
      </c>
      <c r="E24" s="8">
        <v>10400.0</v>
      </c>
      <c r="F24" s="13"/>
    </row>
    <row r="25" spans="8:8" ht="21.0" customHeight="1">
      <c r="A25" s="10"/>
      <c r="B25" s="11" t="s">
        <v>70</v>
      </c>
      <c r="C25" s="9" t="s">
        <v>266</v>
      </c>
      <c r="D25" s="8">
        <v>13460.0</v>
      </c>
      <c r="E25" s="8">
        <v>12855.0</v>
      </c>
      <c r="F25" s="13"/>
    </row>
    <row r="26" spans="8:8" ht="21.0" customHeight="1">
      <c r="A26" s="10"/>
      <c r="B26" s="14"/>
      <c r="C26" s="15"/>
      <c r="D26" s="15"/>
      <c r="E26" s="15"/>
      <c r="F26" s="14"/>
    </row>
    <row r="27" spans="8:8" ht="21.0" customHeight="1">
      <c r="A27" s="16">
        <v>46219.0</v>
      </c>
      <c r="B27" s="6" t="s">
        <v>15</v>
      </c>
      <c r="C27" s="7" t="s">
        <v>267</v>
      </c>
      <c r="D27" s="6"/>
      <c r="E27" s="9">
        <v>1.0</v>
      </c>
      <c r="F27" s="8">
        <v>5300.0</v>
      </c>
      <c r="G27" s="9">
        <v>0.0</v>
      </c>
      <c r="H27" s="8">
        <v>5300.0</v>
      </c>
      <c r="I27" s="8">
        <v>5300.0</v>
      </c>
      <c r="J27" s="8">
        <v>5200.0</v>
      </c>
      <c r="K27" s="9">
        <v>100.0</v>
      </c>
      <c r="L27" s="9">
        <v>2.0</v>
      </c>
      <c r="M27" s="6"/>
    </row>
    <row r="28" spans="8:8" ht="21.0" customHeight="1">
      <c r="A28" s="10"/>
      <c r="B28" s="3" t="s">
        <v>17</v>
      </c>
      <c r="C28" s="4" t="s">
        <v>18</v>
      </c>
      <c r="D28" s="4" t="s">
        <v>19</v>
      </c>
      <c r="E28" s="4" t="s">
        <v>11</v>
      </c>
      <c r="F28" s="3" t="s">
        <v>20</v>
      </c>
    </row>
    <row r="29" spans="8:8" ht="21.0" customHeight="1">
      <c r="A29" s="10"/>
      <c r="B29" s="11" t="s">
        <v>24</v>
      </c>
      <c r="C29" s="9" t="s">
        <v>257</v>
      </c>
      <c r="D29" s="8">
        <v>5300.0</v>
      </c>
      <c r="E29" s="8">
        <v>5200.0</v>
      </c>
      <c r="F29" s="13"/>
    </row>
    <row r="30" spans="8:8" ht="21.0" customHeight="1">
      <c r="A30" s="10"/>
      <c r="B30" s="14"/>
      <c r="C30" s="15"/>
      <c r="D30" s="15"/>
      <c r="E30" s="15"/>
      <c r="F30" s="14"/>
    </row>
    <row r="31" spans="8:8" ht="21.0" customHeight="1">
      <c r="A31" s="16">
        <v>46219.0</v>
      </c>
      <c r="B31" s="6" t="s">
        <v>25</v>
      </c>
      <c r="C31" s="7" t="s">
        <v>268</v>
      </c>
      <c r="D31" s="6"/>
      <c r="E31" s="9">
        <v>110.0</v>
      </c>
      <c r="F31" s="8">
        <v>575000.0</v>
      </c>
      <c r="G31" s="8">
        <v>575000.0</v>
      </c>
      <c r="H31" s="9">
        <v>0.0</v>
      </c>
      <c r="I31" s="8">
        <v>575000.0</v>
      </c>
      <c r="J31" s="8">
        <v>549837.0</v>
      </c>
      <c r="K31" s="8">
        <v>25163.0</v>
      </c>
      <c r="L31" s="9">
        <v>4.0</v>
      </c>
      <c r="M31" s="6"/>
    </row>
    <row r="32" spans="8:8" ht="21.0" customHeight="1">
      <c r="A32" s="10"/>
      <c r="B32" s="3" t="s">
        <v>17</v>
      </c>
      <c r="C32" s="4" t="s">
        <v>18</v>
      </c>
      <c r="D32" s="4" t="s">
        <v>19</v>
      </c>
      <c r="E32" s="4" t="s">
        <v>11</v>
      </c>
      <c r="F32" s="3" t="s">
        <v>20</v>
      </c>
    </row>
    <row r="33" spans="8:8" ht="21.0" customHeight="1">
      <c r="A33" s="10"/>
      <c r="B33" s="11" t="s">
        <v>22</v>
      </c>
      <c r="C33" s="9" t="s">
        <v>269</v>
      </c>
      <c r="D33" s="8">
        <v>9200.0</v>
      </c>
      <c r="E33" s="8">
        <v>216419.0</v>
      </c>
      <c r="F33" s="13"/>
    </row>
    <row r="34" spans="8:8" ht="21.0" customHeight="1">
      <c r="A34" s="10"/>
      <c r="B34" s="11" t="s">
        <v>21</v>
      </c>
      <c r="C34" s="9" t="s">
        <v>269</v>
      </c>
      <c r="D34" s="8">
        <v>8200.0</v>
      </c>
      <c r="E34" s="8">
        <v>203047.0</v>
      </c>
      <c r="F34" s="13"/>
    </row>
    <row r="35" spans="8:8" ht="21.0" customHeight="1">
      <c r="A35" s="10"/>
      <c r="B35" s="11" t="s">
        <v>44</v>
      </c>
      <c r="C35" s="9" t="s">
        <v>270</v>
      </c>
      <c r="D35" s="8">
        <v>9200.0</v>
      </c>
      <c r="E35" s="8">
        <v>44950.0</v>
      </c>
      <c r="F35" s="13"/>
    </row>
    <row r="36" spans="8:8" ht="21.0" customHeight="1">
      <c r="A36" s="10"/>
      <c r="B36" s="11" t="s">
        <v>38</v>
      </c>
      <c r="C36" s="9" t="s">
        <v>271</v>
      </c>
      <c r="D36" s="8">
        <v>1800.0</v>
      </c>
      <c r="E36" s="8">
        <v>45421.0</v>
      </c>
      <c r="F36" s="13"/>
    </row>
    <row r="37" spans="8:8" ht="21.0" customHeight="1">
      <c r="A37" s="10"/>
      <c r="B37" s="11" t="s">
        <v>48</v>
      </c>
      <c r="C37" s="9" t="s">
        <v>272</v>
      </c>
      <c r="D37" s="8">
        <v>1600.0</v>
      </c>
      <c r="E37" s="8">
        <v>40000.0</v>
      </c>
      <c r="F37" s="13"/>
    </row>
    <row r="38" spans="8:8" ht="21.0" customHeight="1">
      <c r="A38" s="10"/>
      <c r="B38" s="14"/>
      <c r="C38" s="15"/>
      <c r="D38" s="15"/>
      <c r="E38" s="15"/>
      <c r="F38" s="14"/>
    </row>
    <row r="39" spans="8:8" ht="21.0" customHeight="1">
      <c r="A39" s="16">
        <v>46219.0</v>
      </c>
      <c r="B39" s="6" t="s">
        <v>122</v>
      </c>
      <c r="C39" s="7" t="s">
        <v>273</v>
      </c>
      <c r="D39" s="6"/>
      <c r="E39" s="9">
        <v>3.0</v>
      </c>
      <c r="F39" s="8">
        <v>27400.0</v>
      </c>
      <c r="G39" s="8">
        <v>27400.0</v>
      </c>
      <c r="H39" s="9">
        <v>0.0</v>
      </c>
      <c r="I39" s="8">
        <v>27400.0</v>
      </c>
      <c r="J39" s="8">
        <v>25435.0</v>
      </c>
      <c r="K39" s="8">
        <v>1965.0</v>
      </c>
      <c r="L39" s="9">
        <v>7.0</v>
      </c>
      <c r="M39" s="6"/>
    </row>
    <row r="40" spans="8:8" ht="21.0" customHeight="1">
      <c r="A40" s="10"/>
      <c r="B40" s="3" t="s">
        <v>17</v>
      </c>
      <c r="C40" s="4" t="s">
        <v>18</v>
      </c>
      <c r="D40" s="4" t="s">
        <v>19</v>
      </c>
      <c r="E40" s="4" t="s">
        <v>11</v>
      </c>
      <c r="F40" s="3" t="s">
        <v>20</v>
      </c>
    </row>
    <row r="41" spans="8:8" ht="21.0" customHeight="1">
      <c r="A41" s="10"/>
      <c r="B41" s="11" t="s">
        <v>22</v>
      </c>
      <c r="C41" s="9" t="s">
        <v>274</v>
      </c>
      <c r="D41" s="8">
        <v>9200.0</v>
      </c>
      <c r="E41" s="8">
        <v>17313.0</v>
      </c>
      <c r="F41" s="13"/>
    </row>
    <row r="42" spans="8:8" ht="21.0" customHeight="1">
      <c r="A42" s="10"/>
      <c r="B42" s="11" t="s">
        <v>21</v>
      </c>
      <c r="C42" s="9" t="s">
        <v>275</v>
      </c>
      <c r="D42" s="8">
        <v>9000.0</v>
      </c>
      <c r="E42" s="8">
        <v>8122.0</v>
      </c>
      <c r="F42" s="13"/>
    </row>
    <row r="43" spans="8:8" ht="21.0" customHeight="1">
      <c r="A43" s="10"/>
      <c r="B43" s="14"/>
      <c r="C43" s="15"/>
      <c r="D43" s="15"/>
      <c r="E43" s="15"/>
      <c r="F43" s="14"/>
    </row>
    <row r="44" spans="8:8" ht="21.0" customHeight="1">
      <c r="A44" s="16">
        <v>46219.0</v>
      </c>
      <c r="B44" s="6" t="s">
        <v>15</v>
      </c>
      <c r="C44" s="7" t="s">
        <v>276</v>
      </c>
      <c r="D44" s="6"/>
      <c r="E44" s="9">
        <v>2.0</v>
      </c>
      <c r="F44" s="8">
        <v>24950.0</v>
      </c>
      <c r="G44" s="9">
        <v>0.0</v>
      </c>
      <c r="H44" s="8">
        <v>24950.0</v>
      </c>
      <c r="I44" s="8">
        <v>24950.0</v>
      </c>
      <c r="J44" s="8">
        <v>23877.0</v>
      </c>
      <c r="K44" s="8">
        <v>1073.0</v>
      </c>
      <c r="L44" s="9">
        <v>4.0</v>
      </c>
      <c r="M44" s="6"/>
    </row>
    <row r="45" spans="8:8" ht="21.0" customHeight="1">
      <c r="A45" s="10"/>
      <c r="B45" s="3" t="s">
        <v>17</v>
      </c>
      <c r="C45" s="4" t="s">
        <v>18</v>
      </c>
      <c r="D45" s="4" t="s">
        <v>19</v>
      </c>
      <c r="E45" s="4" t="s">
        <v>11</v>
      </c>
      <c r="F45" s="3" t="s">
        <v>20</v>
      </c>
    </row>
    <row r="46" spans="8:8" ht="21.0" customHeight="1">
      <c r="A46" s="10"/>
      <c r="B46" s="11" t="s">
        <v>45</v>
      </c>
      <c r="C46" s="9" t="s">
        <v>275</v>
      </c>
      <c r="D46" s="8">
        <v>13350.0</v>
      </c>
      <c r="E46" s="8">
        <v>12747.0</v>
      </c>
      <c r="F46" s="13"/>
    </row>
    <row r="47" spans="8:8" ht="21.0" customHeight="1">
      <c r="A47" s="10"/>
      <c r="B47" s="11" t="s">
        <v>93</v>
      </c>
      <c r="C47" s="9" t="s">
        <v>275</v>
      </c>
      <c r="D47" s="8">
        <v>11600.0</v>
      </c>
      <c r="E47" s="8">
        <v>11130.0</v>
      </c>
      <c r="F47" s="13"/>
    </row>
    <row r="48" spans="8:8" ht="21.0" customHeight="1">
      <c r="A48" s="10"/>
      <c r="B48" s="14"/>
      <c r="C48" s="15"/>
      <c r="D48" s="15"/>
      <c r="E48" s="15"/>
      <c r="F48" s="14"/>
    </row>
    <row r="49" spans="8:8" ht="21.0" customHeight="1">
      <c r="A49" s="16">
        <v>46219.0</v>
      </c>
      <c r="B49" s="6" t="s">
        <v>15</v>
      </c>
      <c r="C49" s="7" t="s">
        <v>277</v>
      </c>
      <c r="D49" s="6"/>
      <c r="E49" s="9">
        <v>1.0</v>
      </c>
      <c r="F49" s="8">
        <v>9200.0</v>
      </c>
      <c r="G49" s="9">
        <v>0.0</v>
      </c>
      <c r="H49" s="8">
        <v>9200.0</v>
      </c>
      <c r="I49" s="8">
        <v>9200.0</v>
      </c>
      <c r="J49" s="8">
        <v>8657.0</v>
      </c>
      <c r="K49" s="9">
        <v>543.0</v>
      </c>
      <c r="L49" s="9">
        <v>6.0</v>
      </c>
      <c r="M49" s="6"/>
    </row>
    <row r="50" spans="8:8" ht="21.0" customHeight="1">
      <c r="A50" s="10"/>
      <c r="B50" s="3" t="s">
        <v>17</v>
      </c>
      <c r="C50" s="4" t="s">
        <v>18</v>
      </c>
      <c r="D50" s="4" t="s">
        <v>19</v>
      </c>
      <c r="E50" s="4" t="s">
        <v>11</v>
      </c>
      <c r="F50" s="3" t="s">
        <v>20</v>
      </c>
    </row>
    <row r="51" spans="8:8" ht="21.0" customHeight="1">
      <c r="A51" s="10"/>
      <c r="B51" s="11" t="s">
        <v>22</v>
      </c>
      <c r="C51" s="9" t="s">
        <v>275</v>
      </c>
      <c r="D51" s="8">
        <v>9200.0</v>
      </c>
      <c r="E51" s="8">
        <v>8657.0</v>
      </c>
      <c r="F51" s="13"/>
    </row>
    <row r="52" spans="8:8" ht="21.0" customHeight="1">
      <c r="A52" s="10"/>
      <c r="B52" s="14"/>
      <c r="C52" s="15"/>
      <c r="D52" s="15"/>
      <c r="E52" s="15"/>
      <c r="F52" s="14"/>
    </row>
    <row r="53" spans="8:8" ht="21.0" customHeight="1">
      <c r="A53" s="16">
        <v>46219.0</v>
      </c>
      <c r="B53" s="6" t="s">
        <v>102</v>
      </c>
      <c r="C53" s="7" t="s">
        <v>278</v>
      </c>
      <c r="D53" s="6"/>
      <c r="E53" s="9">
        <v>1.0</v>
      </c>
      <c r="F53" s="8">
        <v>9500.0</v>
      </c>
      <c r="G53" s="8">
        <v>9500.0</v>
      </c>
      <c r="H53" s="9">
        <v>0.0</v>
      </c>
      <c r="I53" s="8">
        <v>9500.0</v>
      </c>
      <c r="J53" s="8">
        <v>8990.0</v>
      </c>
      <c r="K53" s="9">
        <v>510.0</v>
      </c>
      <c r="L53" s="9">
        <v>5.0</v>
      </c>
      <c r="M53" s="6"/>
    </row>
    <row r="54" spans="8:8" ht="21.0" customHeight="1">
      <c r="A54" s="10"/>
      <c r="B54" s="3" t="s">
        <v>17</v>
      </c>
      <c r="C54" s="4" t="s">
        <v>18</v>
      </c>
      <c r="D54" s="4" t="s">
        <v>19</v>
      </c>
      <c r="E54" s="4" t="s">
        <v>11</v>
      </c>
      <c r="F54" s="3" t="s">
        <v>20</v>
      </c>
    </row>
    <row r="55" spans="8:8" ht="21.0" customHeight="1">
      <c r="A55" s="10"/>
      <c r="B55" s="11" t="s">
        <v>44</v>
      </c>
      <c r="C55" s="9" t="s">
        <v>275</v>
      </c>
      <c r="D55" s="8">
        <v>9500.0</v>
      </c>
      <c r="E55" s="8">
        <v>8990.0</v>
      </c>
      <c r="F55" s="13"/>
    </row>
    <row r="56" spans="8:8" ht="21.0" customHeight="1">
      <c r="A56" s="10"/>
      <c r="B56" s="14"/>
      <c r="C56" s="15"/>
      <c r="D56" s="15"/>
      <c r="E56" s="15"/>
      <c r="F56" s="14"/>
    </row>
    <row r="57" spans="8:8" ht="21.0" customHeight="1">
      <c r="A57" s="28">
        <v>46220.0</v>
      </c>
      <c r="B57" s="6" t="s">
        <v>50</v>
      </c>
      <c r="C57" s="7" t="s">
        <v>279</v>
      </c>
      <c r="D57" s="6"/>
      <c r="E57" s="9">
        <v>60.0</v>
      </c>
      <c r="F57" s="8">
        <v>780000.0</v>
      </c>
      <c r="G57" s="8">
        <v>780000.0</v>
      </c>
      <c r="H57" s="9">
        <v>0.0</v>
      </c>
      <c r="I57" s="8">
        <v>780000.0</v>
      </c>
      <c r="J57" s="8">
        <v>790692.0</v>
      </c>
      <c r="K57" s="8">
        <v>-10692.0</v>
      </c>
      <c r="L57" s="9">
        <v>-1.0</v>
      </c>
      <c r="M57" s="6"/>
    </row>
    <row r="58" spans="8:8" ht="21.0" customHeight="1">
      <c r="A58" s="10"/>
      <c r="B58" s="3" t="s">
        <v>17</v>
      </c>
      <c r="C58" s="4" t="s">
        <v>18</v>
      </c>
      <c r="D58" s="4" t="s">
        <v>19</v>
      </c>
      <c r="E58" s="4" t="s">
        <v>11</v>
      </c>
      <c r="F58" s="3" t="s">
        <v>20</v>
      </c>
    </row>
    <row r="59" spans="8:8" ht="21.0" customHeight="1">
      <c r="A59" s="10"/>
      <c r="B59" s="11" t="s">
        <v>28</v>
      </c>
      <c r="C59" s="9" t="s">
        <v>260</v>
      </c>
      <c r="D59" s="8">
        <v>12900.0</v>
      </c>
      <c r="E59" s="8">
        <v>405042.0</v>
      </c>
      <c r="F59" s="13"/>
    </row>
    <row r="60" spans="8:8" ht="21.0" customHeight="1">
      <c r="A60" s="10"/>
      <c r="B60" s="11" t="s">
        <v>70</v>
      </c>
      <c r="C60" s="9" t="s">
        <v>260</v>
      </c>
      <c r="D60" s="8">
        <v>13100.0</v>
      </c>
      <c r="E60" s="8">
        <v>385650.0</v>
      </c>
      <c r="F60" s="13"/>
    </row>
    <row r="61" spans="8:8" ht="21.0" customHeight="1">
      <c r="A61" s="10"/>
      <c r="B61" s="14"/>
      <c r="C61" s="15"/>
      <c r="D61" s="15"/>
      <c r="E61" s="15"/>
      <c r="F61" s="14"/>
    </row>
    <row r="62" spans="8:8" ht="21.0" customHeight="1">
      <c r="A62" s="16">
        <v>46220.0</v>
      </c>
      <c r="B62" s="6" t="s">
        <v>50</v>
      </c>
      <c r="C62" s="7" t="s">
        <v>280</v>
      </c>
      <c r="D62" s="6"/>
      <c r="E62" s="9">
        <v>25.0</v>
      </c>
      <c r="F62" s="8">
        <v>322500.0</v>
      </c>
      <c r="G62" s="8">
        <v>322500.0</v>
      </c>
      <c r="H62" s="9">
        <v>0.0</v>
      </c>
      <c r="I62" s="8">
        <v>322500.0</v>
      </c>
      <c r="J62" s="8">
        <v>337535.0</v>
      </c>
      <c r="K62" s="8">
        <v>-15035.0</v>
      </c>
      <c r="L62" s="9">
        <v>-5.0</v>
      </c>
      <c r="M62" s="6"/>
    </row>
    <row r="63" spans="8:8" ht="21.0" customHeight="1">
      <c r="A63" s="10"/>
      <c r="B63" s="3" t="s">
        <v>17</v>
      </c>
      <c r="C63" s="4" t="s">
        <v>18</v>
      </c>
      <c r="D63" s="4" t="s">
        <v>19</v>
      </c>
      <c r="E63" s="4" t="s">
        <v>11</v>
      </c>
      <c r="F63" s="3" t="s">
        <v>20</v>
      </c>
    </row>
    <row r="64" spans="8:8" ht="21.0" customHeight="1">
      <c r="A64" s="10"/>
      <c r="B64" s="11" t="s">
        <v>28</v>
      </c>
      <c r="C64" s="9" t="s">
        <v>262</v>
      </c>
      <c r="D64" s="8">
        <v>12900.0</v>
      </c>
      <c r="E64" s="8">
        <v>337535.0</v>
      </c>
      <c r="F64" s="13"/>
    </row>
    <row r="65" spans="8:8" ht="21.0" customHeight="1">
      <c r="A65" s="10"/>
      <c r="B65" s="14"/>
      <c r="C65" s="15"/>
      <c r="D65" s="15"/>
      <c r="E65" s="15"/>
      <c r="F65" s="14"/>
    </row>
    <row r="66" spans="8:8" ht="21.0" customHeight="1">
      <c r="A66" s="16">
        <v>46220.0</v>
      </c>
      <c r="B66" s="6" t="s">
        <v>104</v>
      </c>
      <c r="C66" s="7" t="s">
        <v>281</v>
      </c>
      <c r="D66" s="6"/>
      <c r="E66" s="9">
        <v>1.0</v>
      </c>
      <c r="F66" s="8">
        <v>13460.0</v>
      </c>
      <c r="G66" s="9">
        <v>0.0</v>
      </c>
      <c r="H66" s="8">
        <v>13460.0</v>
      </c>
      <c r="I66" s="8">
        <v>13460.0</v>
      </c>
      <c r="J66" s="8">
        <v>12855.0</v>
      </c>
      <c r="K66" s="9">
        <v>605.0</v>
      </c>
      <c r="L66" s="9">
        <v>4.0</v>
      </c>
      <c r="M66" s="6"/>
    </row>
    <row r="67" spans="8:8" ht="21.0" customHeight="1">
      <c r="A67" s="10"/>
      <c r="B67" s="3" t="s">
        <v>17</v>
      </c>
      <c r="C67" s="4" t="s">
        <v>18</v>
      </c>
      <c r="D67" s="4" t="s">
        <v>19</v>
      </c>
      <c r="E67" s="4" t="s">
        <v>11</v>
      </c>
      <c r="F67" s="3" t="s">
        <v>20</v>
      </c>
    </row>
    <row r="68" spans="8:8" ht="21.0" customHeight="1">
      <c r="A68" s="10"/>
      <c r="B68" s="11" t="s">
        <v>70</v>
      </c>
      <c r="C68" s="9" t="s">
        <v>266</v>
      </c>
      <c r="D68" s="8">
        <v>13460.0</v>
      </c>
      <c r="E68" s="8">
        <v>12855.0</v>
      </c>
      <c r="F68" s="13"/>
    </row>
    <row r="69" spans="8:8" ht="21.0" customHeight="1">
      <c r="A69" s="10"/>
      <c r="B69" s="14"/>
      <c r="C69" s="15"/>
      <c r="D69" s="15"/>
      <c r="E69" s="15"/>
      <c r="F69" s="14"/>
    </row>
    <row r="70" spans="8:8" ht="21.0" customHeight="1">
      <c r="A70" s="16">
        <v>46220.0</v>
      </c>
      <c r="B70" s="6" t="s">
        <v>29</v>
      </c>
      <c r="C70" s="7" t="s">
        <v>282</v>
      </c>
      <c r="D70" s="6"/>
      <c r="E70" s="9">
        <v>157.0</v>
      </c>
      <c r="F70" s="8">
        <v>866210.0</v>
      </c>
      <c r="G70" s="8">
        <v>866210.0</v>
      </c>
      <c r="H70" s="9">
        <v>0.0</v>
      </c>
      <c r="I70" s="8">
        <v>866210.0</v>
      </c>
      <c r="J70" s="8">
        <v>836885.0</v>
      </c>
      <c r="K70" s="8">
        <v>29325.0</v>
      </c>
      <c r="L70" s="9">
        <v>3.0</v>
      </c>
      <c r="M70" s="6"/>
    </row>
    <row r="71" spans="8:8" ht="21.0" customHeight="1">
      <c r="A71" s="10"/>
      <c r="B71" s="3" t="s">
        <v>17</v>
      </c>
      <c r="C71" s="4" t="s">
        <v>18</v>
      </c>
      <c r="D71" s="4" t="s">
        <v>19</v>
      </c>
      <c r="E71" s="4" t="s">
        <v>11</v>
      </c>
      <c r="F71" s="3" t="s">
        <v>20</v>
      </c>
    </row>
    <row r="72" spans="8:8" ht="21.0" customHeight="1">
      <c r="A72" s="10"/>
      <c r="B72" s="11" t="s">
        <v>22</v>
      </c>
      <c r="C72" s="9" t="s">
        <v>283</v>
      </c>
      <c r="D72" s="8">
        <v>8800.0</v>
      </c>
      <c r="E72" s="8">
        <v>190448.0</v>
      </c>
      <c r="F72" s="13"/>
    </row>
    <row r="73" spans="8:8" ht="21.0" customHeight="1">
      <c r="A73" s="10"/>
      <c r="B73" s="11" t="s">
        <v>45</v>
      </c>
      <c r="C73" s="9" t="s">
        <v>284</v>
      </c>
      <c r="D73" s="8">
        <v>13335.0</v>
      </c>
      <c r="E73" s="8">
        <v>76481.0</v>
      </c>
      <c r="F73" s="13"/>
    </row>
    <row r="74" spans="8:8" ht="21.0" customHeight="1">
      <c r="A74" s="10"/>
      <c r="B74" s="11" t="s">
        <v>37</v>
      </c>
      <c r="C74" s="9" t="s">
        <v>285</v>
      </c>
      <c r="D74" s="8">
        <v>8880.0</v>
      </c>
      <c r="E74" s="8">
        <v>76725.0</v>
      </c>
      <c r="F74" s="13"/>
    </row>
    <row r="75" spans="8:8" ht="21.0" customHeight="1">
      <c r="A75" s="10"/>
      <c r="B75" s="11" t="s">
        <v>44</v>
      </c>
      <c r="C75" s="9" t="s">
        <v>286</v>
      </c>
      <c r="D75" s="8">
        <v>9200.0</v>
      </c>
      <c r="E75" s="8">
        <v>125860.0</v>
      </c>
      <c r="F75" s="13"/>
    </row>
    <row r="76" spans="8:8" ht="21.0" customHeight="1">
      <c r="A76" s="10"/>
      <c r="B76" s="11" t="s">
        <v>24</v>
      </c>
      <c r="C76" s="9" t="s">
        <v>287</v>
      </c>
      <c r="D76" s="8">
        <v>5000.0</v>
      </c>
      <c r="E76" s="8">
        <v>260000.0</v>
      </c>
      <c r="F76" s="13"/>
    </row>
    <row r="77" spans="8:8" ht="21.0" customHeight="1">
      <c r="A77" s="10"/>
      <c r="B77" s="11" t="s">
        <v>70</v>
      </c>
      <c r="C77" s="9" t="s">
        <v>266</v>
      </c>
      <c r="D77" s="8">
        <v>13460.0</v>
      </c>
      <c r="E77" s="8">
        <v>12855.0</v>
      </c>
      <c r="F77" s="13"/>
    </row>
    <row r="78" spans="8:8" ht="21.0" customHeight="1">
      <c r="A78" s="10"/>
      <c r="B78" s="11" t="s">
        <v>65</v>
      </c>
      <c r="C78" s="9" t="s">
        <v>274</v>
      </c>
      <c r="D78" s="8">
        <v>11910.0</v>
      </c>
      <c r="E78" s="8">
        <v>22630.0</v>
      </c>
      <c r="F78" s="13"/>
    </row>
    <row r="79" spans="8:8" ht="21.0" customHeight="1">
      <c r="A79" s="10"/>
      <c r="B79" s="11" t="s">
        <v>38</v>
      </c>
      <c r="C79" s="9" t="s">
        <v>288</v>
      </c>
      <c r="D79" s="8">
        <v>1800.0</v>
      </c>
      <c r="E79" s="8">
        <v>71159.0</v>
      </c>
      <c r="F79" s="13"/>
    </row>
    <row r="80" spans="8:8" ht="21.0" customHeight="1">
      <c r="A80" s="10"/>
      <c r="B80" s="11" t="s">
        <v>148</v>
      </c>
      <c r="C80" s="9" t="s">
        <v>289</v>
      </c>
      <c r="D80" s="8">
        <v>2000.0</v>
      </c>
      <c r="E80" s="9">
        <v>727.0</v>
      </c>
      <c r="F80" s="13"/>
    </row>
    <row r="81" spans="8:8" ht="21.0" customHeight="1">
      <c r="A81" s="10"/>
      <c r="B81" s="14"/>
      <c r="C81" s="15"/>
      <c r="D81" s="15"/>
      <c r="E81" s="15"/>
      <c r="F81" s="14"/>
    </row>
    <row r="82" spans="8:8" ht="21.0" customHeight="1">
      <c r="A82" s="16">
        <v>46220.0</v>
      </c>
      <c r="B82" s="6" t="s">
        <v>15</v>
      </c>
      <c r="C82" s="7" t="s">
        <v>290</v>
      </c>
      <c r="D82" s="6"/>
      <c r="E82" s="9">
        <v>4.0</v>
      </c>
      <c r="F82" s="8">
        <v>48720.0</v>
      </c>
      <c r="G82" s="8">
        <v>48720.0</v>
      </c>
      <c r="H82" s="9">
        <v>0.0</v>
      </c>
      <c r="I82" s="8">
        <v>48720.0</v>
      </c>
      <c r="J82" s="8">
        <v>44894.0</v>
      </c>
      <c r="K82" s="8">
        <v>3826.0</v>
      </c>
      <c r="L82" s="9">
        <v>8.0</v>
      </c>
      <c r="M82" s="6"/>
    </row>
    <row r="83" spans="8:8" ht="21.0" customHeight="1">
      <c r="A83" s="10"/>
      <c r="B83" s="3" t="s">
        <v>17</v>
      </c>
      <c r="C83" s="4" t="s">
        <v>18</v>
      </c>
      <c r="D83" s="4" t="s">
        <v>19</v>
      </c>
      <c r="E83" s="4" t="s">
        <v>11</v>
      </c>
      <c r="F83" s="3" t="s">
        <v>20</v>
      </c>
    </row>
    <row r="84" spans="8:8" ht="21.0" customHeight="1">
      <c r="A84" s="10"/>
      <c r="B84" s="11" t="s">
        <v>291</v>
      </c>
      <c r="C84" s="9" t="s">
        <v>275</v>
      </c>
      <c r="D84" s="8">
        <v>11320.0</v>
      </c>
      <c r="E84" s="8">
        <v>10410.0</v>
      </c>
      <c r="F84" s="13"/>
    </row>
    <row r="85" spans="8:8" ht="21.0" customHeight="1">
      <c r="A85" s="10"/>
      <c r="B85" s="11" t="s">
        <v>45</v>
      </c>
      <c r="C85" s="9" t="s">
        <v>274</v>
      </c>
      <c r="D85" s="8">
        <v>13950.0</v>
      </c>
      <c r="E85" s="8">
        <v>25494.0</v>
      </c>
      <c r="F85" s="13"/>
    </row>
    <row r="86" spans="8:8" ht="21.0" customHeight="1">
      <c r="A86" s="10"/>
      <c r="B86" s="11" t="s">
        <v>44</v>
      </c>
      <c r="C86" s="9" t="s">
        <v>275</v>
      </c>
      <c r="D86" s="8">
        <v>9500.0</v>
      </c>
      <c r="E86" s="8">
        <v>8990.0</v>
      </c>
      <c r="F86" s="13"/>
    </row>
    <row r="87" spans="8:8" ht="21.0" customHeight="1">
      <c r="A87" s="10"/>
      <c r="B87" s="14"/>
      <c r="C87" s="15"/>
      <c r="D87" s="15"/>
      <c r="E87" s="15"/>
      <c r="F87" s="14"/>
    </row>
    <row r="88" spans="8:8" ht="21.0" customHeight="1">
      <c r="A88" s="16">
        <v>46220.0</v>
      </c>
      <c r="B88" s="6" t="s">
        <v>122</v>
      </c>
      <c r="C88" s="7" t="s">
        <v>292</v>
      </c>
      <c r="D88" s="6"/>
      <c r="E88" s="9">
        <v>13.0</v>
      </c>
      <c r="F88" s="8">
        <v>134460.0</v>
      </c>
      <c r="G88" s="8">
        <v>134460.0</v>
      </c>
      <c r="H88" s="9">
        <v>0.0</v>
      </c>
      <c r="I88" s="8">
        <v>134460.0</v>
      </c>
      <c r="J88" s="8">
        <v>125041.0</v>
      </c>
      <c r="K88" s="8">
        <v>9419.0</v>
      </c>
      <c r="L88" s="9">
        <v>7.0</v>
      </c>
      <c r="M88" s="6"/>
    </row>
    <row r="89" spans="8:8" ht="21.0" customHeight="1">
      <c r="A89" s="10"/>
      <c r="B89" s="3" t="s">
        <v>17</v>
      </c>
      <c r="C89" s="4" t="s">
        <v>18</v>
      </c>
      <c r="D89" s="4" t="s">
        <v>19</v>
      </c>
      <c r="E89" s="4" t="s">
        <v>11</v>
      </c>
      <c r="F89" s="3" t="s">
        <v>20</v>
      </c>
    </row>
    <row r="90" spans="8:8" ht="21.0" customHeight="1">
      <c r="A90" s="10"/>
      <c r="B90" s="11" t="s">
        <v>22</v>
      </c>
      <c r="C90" s="9" t="s">
        <v>275</v>
      </c>
      <c r="D90" s="8">
        <v>9200.0</v>
      </c>
      <c r="E90" s="8">
        <v>8657.0</v>
      </c>
      <c r="F90" s="13"/>
    </row>
    <row r="91" spans="8:8" ht="21.0" customHeight="1">
      <c r="A91" s="10"/>
      <c r="B91" s="11" t="s">
        <v>44</v>
      </c>
      <c r="C91" s="9" t="s">
        <v>275</v>
      </c>
      <c r="D91" s="8">
        <v>9200.0</v>
      </c>
      <c r="E91" s="8">
        <v>8990.0</v>
      </c>
      <c r="F91" s="13"/>
    </row>
    <row r="92" spans="8:8" ht="21.0" customHeight="1">
      <c r="A92" s="10"/>
      <c r="B92" s="11" t="s">
        <v>37</v>
      </c>
      <c r="C92" s="9" t="s">
        <v>275</v>
      </c>
      <c r="D92" s="8">
        <v>9200.0</v>
      </c>
      <c r="E92" s="8">
        <v>8525.0</v>
      </c>
      <c r="F92" s="13"/>
    </row>
    <row r="93" spans="8:8" ht="21.0" customHeight="1">
      <c r="A93" s="10"/>
      <c r="B93" s="11" t="s">
        <v>21</v>
      </c>
      <c r="C93" s="9" t="s">
        <v>275</v>
      </c>
      <c r="D93" s="8">
        <v>9000.0</v>
      </c>
      <c r="E93" s="8">
        <v>8122.0</v>
      </c>
      <c r="F93" s="13"/>
    </row>
    <row r="94" spans="8:8" ht="21.0" customHeight="1">
      <c r="A94" s="10"/>
      <c r="B94" s="11" t="s">
        <v>43</v>
      </c>
      <c r="C94" s="9" t="s">
        <v>275</v>
      </c>
      <c r="D94" s="8">
        <v>18300.0</v>
      </c>
      <c r="E94" s="8">
        <v>17150.0</v>
      </c>
      <c r="F94" s="13"/>
    </row>
    <row r="95" spans="8:8" ht="21.0" customHeight="1">
      <c r="A95" s="10"/>
      <c r="B95" s="11" t="s">
        <v>45</v>
      </c>
      <c r="C95" s="9" t="s">
        <v>275</v>
      </c>
      <c r="D95" s="8">
        <v>13950.0</v>
      </c>
      <c r="E95" s="8">
        <v>12747.0</v>
      </c>
      <c r="F95" s="13"/>
    </row>
    <row r="96" spans="8:8" ht="21.0" customHeight="1">
      <c r="A96" s="10"/>
      <c r="B96" s="11" t="s">
        <v>65</v>
      </c>
      <c r="C96" s="9" t="s">
        <v>275</v>
      </c>
      <c r="D96" s="8">
        <v>11910.0</v>
      </c>
      <c r="E96" s="8">
        <v>11315.0</v>
      </c>
      <c r="F96" s="13"/>
    </row>
    <row r="97" spans="8:8" ht="21.0" customHeight="1">
      <c r="A97" s="10"/>
      <c r="B97" s="11" t="s">
        <v>87</v>
      </c>
      <c r="C97" s="9" t="s">
        <v>275</v>
      </c>
      <c r="D97" s="8">
        <v>21400.0</v>
      </c>
      <c r="E97" s="8">
        <v>20440.0</v>
      </c>
      <c r="F97" s="13"/>
    </row>
    <row r="98" spans="8:8" ht="21.0" customHeight="1">
      <c r="A98" s="10"/>
      <c r="B98" s="11" t="s">
        <v>93</v>
      </c>
      <c r="C98" s="9" t="s">
        <v>274</v>
      </c>
      <c r="D98" s="8">
        <v>11600.0</v>
      </c>
      <c r="E98" s="8">
        <v>22260.0</v>
      </c>
      <c r="F98" s="13"/>
    </row>
    <row r="99" spans="8:8" ht="21.0" customHeight="1">
      <c r="A99" s="10"/>
      <c r="B99" s="11" t="s">
        <v>24</v>
      </c>
      <c r="C99" s="9" t="s">
        <v>257</v>
      </c>
      <c r="D99" s="8">
        <v>5300.0</v>
      </c>
      <c r="E99" s="8">
        <v>5200.0</v>
      </c>
      <c r="F99" s="13"/>
    </row>
    <row r="100" spans="8:8" ht="21.0" customHeight="1">
      <c r="A100" s="10"/>
      <c r="B100" s="11" t="s">
        <v>38</v>
      </c>
      <c r="C100" s="9" t="s">
        <v>293</v>
      </c>
      <c r="D100" s="8">
        <v>1800.0</v>
      </c>
      <c r="E100" s="8">
        <v>1514.0</v>
      </c>
      <c r="F100" s="13"/>
    </row>
    <row r="101" spans="8:8" ht="21.0" customHeight="1">
      <c r="A101" s="10"/>
      <c r="B101" s="11" t="s">
        <v>148</v>
      </c>
      <c r="C101" s="9" t="s">
        <v>293</v>
      </c>
      <c r="D101" s="8">
        <v>2000.0</v>
      </c>
      <c r="E101" s="9">
        <v>121.0</v>
      </c>
      <c r="F101" s="13"/>
    </row>
    <row r="102" spans="8:8" ht="21.0" customHeight="1">
      <c r="A102" s="10"/>
      <c r="B102" s="14"/>
      <c r="C102" s="15"/>
      <c r="D102" s="15"/>
      <c r="E102" s="15"/>
      <c r="F102" s="14"/>
    </row>
    <row r="103" spans="8:8" ht="21.0" customHeight="1">
      <c r="A103" s="16">
        <v>46220.0</v>
      </c>
      <c r="B103" s="6" t="s">
        <v>294</v>
      </c>
      <c r="C103" s="7" t="s">
        <v>295</v>
      </c>
      <c r="D103" s="6"/>
      <c r="E103" s="9">
        <v>384.0</v>
      </c>
      <c r="F103" s="8">
        <v>2976000.0</v>
      </c>
      <c r="G103" s="8">
        <v>2968250.0</v>
      </c>
      <c r="H103" s="8">
        <v>7750.0</v>
      </c>
      <c r="I103" s="8">
        <v>2976000.0</v>
      </c>
      <c r="J103" s="8">
        <v>2951040.0</v>
      </c>
      <c r="K103" s="8">
        <v>24960.0</v>
      </c>
      <c r="L103" s="9">
        <v>1.0</v>
      </c>
      <c r="M103" s="6"/>
    </row>
    <row r="104" spans="8:8" ht="21.0" customHeight="1">
      <c r="A104" s="10"/>
      <c r="B104" s="3" t="s">
        <v>17</v>
      </c>
      <c r="C104" s="4" t="s">
        <v>18</v>
      </c>
      <c r="D104" s="4" t="s">
        <v>19</v>
      </c>
      <c r="E104" s="4" t="s">
        <v>11</v>
      </c>
      <c r="F104" s="3" t="s">
        <v>20</v>
      </c>
    </row>
    <row r="105" spans="8:8" ht="21.0" customHeight="1">
      <c r="A105" s="10"/>
      <c r="B105" s="11" t="s">
        <v>27</v>
      </c>
      <c r="C105" s="9" t="s">
        <v>296</v>
      </c>
      <c r="D105" s="8">
        <v>7750.0</v>
      </c>
      <c r="E105" s="8">
        <v>2951040.0</v>
      </c>
      <c r="F105" s="13"/>
    </row>
    <row r="106" spans="8:8" ht="21.0" customHeight="1">
      <c r="A106" s="10"/>
      <c r="B106" s="14"/>
      <c r="C106" s="15"/>
      <c r="D106" s="15"/>
      <c r="E106" s="15"/>
      <c r="F106" s="14"/>
    </row>
    <row r="107" spans="8:8" ht="21.0" customHeight="1">
      <c r="A107" s="16">
        <v>46220.0</v>
      </c>
      <c r="B107" s="6" t="s">
        <v>163</v>
      </c>
      <c r="C107" s="7" t="s">
        <v>297</v>
      </c>
      <c r="D107" s="6"/>
      <c r="E107" s="9">
        <v>1.0</v>
      </c>
      <c r="F107" s="8">
        <v>13200.0</v>
      </c>
      <c r="G107" s="8">
        <v>13200.0</v>
      </c>
      <c r="H107" s="9">
        <v>0.0</v>
      </c>
      <c r="I107" s="8">
        <v>13200.0</v>
      </c>
      <c r="J107" s="8">
        <v>13501.0</v>
      </c>
      <c r="K107" s="9">
        <v>-301.0</v>
      </c>
      <c r="L107" s="9">
        <v>-2.0</v>
      </c>
      <c r="M107" s="6"/>
    </row>
    <row r="108" spans="8:8" ht="21.0" customHeight="1">
      <c r="A108" s="10"/>
      <c r="B108" s="3" t="s">
        <v>17</v>
      </c>
      <c r="C108" s="4" t="s">
        <v>18</v>
      </c>
      <c r="D108" s="4" t="s">
        <v>19</v>
      </c>
      <c r="E108" s="4" t="s">
        <v>11</v>
      </c>
      <c r="F108" s="3" t="s">
        <v>20</v>
      </c>
    </row>
    <row r="109" spans="8:8" ht="21.0" customHeight="1">
      <c r="A109" s="10"/>
      <c r="B109" s="11" t="s">
        <v>28</v>
      </c>
      <c r="C109" s="9" t="s">
        <v>266</v>
      </c>
      <c r="D109" s="8">
        <v>13200.0</v>
      </c>
      <c r="E109" s="8">
        <v>13501.0</v>
      </c>
      <c r="F109" s="13"/>
    </row>
    <row r="110" spans="8:8" ht="21.0" customHeight="1">
      <c r="A110" s="10"/>
      <c r="B110" s="14"/>
      <c r="C110" s="15"/>
      <c r="D110" s="15"/>
      <c r="E110" s="15"/>
      <c r="F110" s="14"/>
    </row>
    <row r="111" spans="8:8" ht="21.0" customHeight="1">
      <c r="A111" s="16">
        <v>46220.0</v>
      </c>
      <c r="B111" s="6" t="s">
        <v>25</v>
      </c>
      <c r="C111" s="7" t="s">
        <v>298</v>
      </c>
      <c r="D111" s="6"/>
      <c r="E111" s="9">
        <v>200.0</v>
      </c>
      <c r="F111" s="8">
        <v>1000000.0</v>
      </c>
      <c r="G111" s="8">
        <v>1000000.0</v>
      </c>
      <c r="H111" s="9">
        <v>0.0</v>
      </c>
      <c r="I111" s="8">
        <v>1000000.0</v>
      </c>
      <c r="J111" s="8">
        <v>1040000.0</v>
      </c>
      <c r="K111" s="8">
        <v>-40000.0</v>
      </c>
      <c r="L111" s="9">
        <v>-4.0</v>
      </c>
      <c r="M111" s="6"/>
    </row>
    <row r="112" spans="8:8" ht="21.0" customHeight="1">
      <c r="A112" s="10"/>
      <c r="B112" s="3" t="s">
        <v>17</v>
      </c>
      <c r="C112" s="4" t="s">
        <v>18</v>
      </c>
      <c r="D112" s="4" t="s">
        <v>19</v>
      </c>
      <c r="E112" s="4" t="s">
        <v>11</v>
      </c>
      <c r="F112" s="3" t="s">
        <v>20</v>
      </c>
    </row>
    <row r="113" spans="8:8" ht="21.0" customHeight="1">
      <c r="A113" s="10"/>
      <c r="B113" s="11" t="s">
        <v>24</v>
      </c>
      <c r="C113" s="9" t="s">
        <v>299</v>
      </c>
      <c r="D113" s="8">
        <v>5000.0</v>
      </c>
      <c r="E113" s="8">
        <v>1040000.0</v>
      </c>
      <c r="F113" s="13"/>
    </row>
    <row r="114" spans="8:8" ht="21.0" customHeight="1">
      <c r="A114" s="10"/>
      <c r="B114" s="14"/>
      <c r="C114" s="15"/>
      <c r="D114" s="15"/>
      <c r="E114" s="15"/>
      <c r="F114" s="14"/>
    </row>
    <row r="115" spans="8:8" ht="21.0" customHeight="1">
      <c r="A115" s="16">
        <v>46220.0</v>
      </c>
      <c r="B115" s="6" t="s">
        <v>163</v>
      </c>
      <c r="C115" s="7" t="s">
        <v>300</v>
      </c>
      <c r="D115" s="6"/>
      <c r="E115" s="9">
        <v>12.0</v>
      </c>
      <c r="F115" s="8">
        <v>84625.0</v>
      </c>
      <c r="G115" s="8">
        <v>73825.0</v>
      </c>
      <c r="H115" s="8">
        <v>10800.0</v>
      </c>
      <c r="I115" s="8">
        <v>84625.0</v>
      </c>
      <c r="J115" s="8">
        <v>79894.0</v>
      </c>
      <c r="K115" s="8">
        <v>4731.0</v>
      </c>
      <c r="L115" s="9">
        <v>6.0</v>
      </c>
      <c r="M115" s="6"/>
    </row>
    <row r="116" spans="8:8" ht="21.0" customHeight="1">
      <c r="A116" s="10"/>
      <c r="B116" s="3" t="s">
        <v>17</v>
      </c>
      <c r="C116" s="4" t="s">
        <v>18</v>
      </c>
      <c r="D116" s="4" t="s">
        <v>19</v>
      </c>
      <c r="E116" s="4" t="s">
        <v>11</v>
      </c>
      <c r="F116" s="3" t="s">
        <v>20</v>
      </c>
    </row>
    <row r="117" spans="8:8" ht="21.0" customHeight="1">
      <c r="A117" s="10"/>
      <c r="B117" s="11" t="s">
        <v>93</v>
      </c>
      <c r="C117" s="9" t="s">
        <v>301</v>
      </c>
      <c r="D117" s="8">
        <v>11600.0</v>
      </c>
      <c r="E117" s="8">
        <v>44520.0</v>
      </c>
      <c r="F117" s="13"/>
    </row>
    <row r="118" spans="8:8" ht="21.0" customHeight="1">
      <c r="A118" s="10"/>
      <c r="B118" s="11" t="s">
        <v>100</v>
      </c>
      <c r="C118" s="9" t="s">
        <v>275</v>
      </c>
      <c r="D118" s="8">
        <v>11480.0</v>
      </c>
      <c r="E118" s="8">
        <v>10915.0</v>
      </c>
      <c r="F118" s="13"/>
    </row>
    <row r="119" spans="8:8" ht="21.0" customHeight="1">
      <c r="A119" s="10"/>
      <c r="B119" s="11" t="s">
        <v>71</v>
      </c>
      <c r="C119" s="9" t="s">
        <v>275</v>
      </c>
      <c r="D119" s="8">
        <v>15945.0</v>
      </c>
      <c r="E119" s="8">
        <v>15375.0</v>
      </c>
      <c r="F119" s="13"/>
    </row>
    <row r="120" spans="8:8" ht="21.0" customHeight="1">
      <c r="A120" s="10"/>
      <c r="B120" s="11" t="s">
        <v>38</v>
      </c>
      <c r="C120" s="9" t="s">
        <v>289</v>
      </c>
      <c r="D120" s="8">
        <v>1800.0</v>
      </c>
      <c r="E120" s="8">
        <v>9084.0</v>
      </c>
      <c r="F120" s="13"/>
    </row>
    <row r="121" spans="8:8" ht="21.0" customHeight="1">
      <c r="A121" s="10"/>
      <c r="B121" s="14"/>
      <c r="C121" s="15"/>
      <c r="D121" s="15"/>
      <c r="E121" s="15"/>
      <c r="F121" s="14"/>
    </row>
    <row r="122" spans="8:8" ht="21.0" customHeight="1">
      <c r="A122" s="16">
        <v>46220.0</v>
      </c>
      <c r="B122" s="6" t="s">
        <v>29</v>
      </c>
      <c r="C122" s="7" t="s">
        <v>302</v>
      </c>
      <c r="D122" s="6"/>
      <c r="E122" s="9">
        <v>4.0</v>
      </c>
      <c r="F122" s="8">
        <v>39680.0</v>
      </c>
      <c r="G122" s="8">
        <v>39680.0</v>
      </c>
      <c r="H122" s="9">
        <v>0.0</v>
      </c>
      <c r="I122" s="8">
        <v>39680.0</v>
      </c>
      <c r="J122" s="8">
        <v>34772.0</v>
      </c>
      <c r="K122" s="8">
        <v>4908.0</v>
      </c>
      <c r="L122" s="9">
        <v>12.0</v>
      </c>
      <c r="M122" s="6"/>
    </row>
    <row r="123" spans="8:8" ht="21.0" customHeight="1">
      <c r="A123" s="10"/>
      <c r="B123" s="3" t="s">
        <v>17</v>
      </c>
      <c r="C123" s="4" t="s">
        <v>18</v>
      </c>
      <c r="D123" s="4" t="s">
        <v>19</v>
      </c>
      <c r="E123" s="4" t="s">
        <v>11</v>
      </c>
      <c r="F123" s="3" t="s">
        <v>20</v>
      </c>
    </row>
    <row r="124" spans="8:8" ht="21.0" customHeight="1">
      <c r="A124" s="10"/>
      <c r="B124" s="11" t="s">
        <v>77</v>
      </c>
      <c r="C124" s="9" t="s">
        <v>274</v>
      </c>
      <c r="D124" s="8">
        <v>17840.0</v>
      </c>
      <c r="E124" s="8">
        <v>34530.0</v>
      </c>
      <c r="F124" s="13"/>
    </row>
    <row r="125" spans="8:8" ht="21.0" customHeight="1">
      <c r="A125" s="10"/>
      <c r="B125" s="11" t="s">
        <v>148</v>
      </c>
      <c r="C125" s="9" t="s">
        <v>303</v>
      </c>
      <c r="D125" s="8">
        <v>2000.0</v>
      </c>
      <c r="E125" s="9">
        <v>242.0</v>
      </c>
      <c r="F125" s="13"/>
    </row>
    <row r="126" spans="8:8" ht="21.0" customHeight="1">
      <c r="A126" s="10"/>
      <c r="B126" s="14"/>
      <c r="C126" s="15"/>
      <c r="D126" s="15"/>
      <c r="E126" s="15"/>
      <c r="F126" s="14"/>
    </row>
    <row r="127" spans="8:8" ht="21.0" customHeight="1">
      <c r="A127" s="16">
        <v>46221.0</v>
      </c>
      <c r="B127" s="6" t="s">
        <v>66</v>
      </c>
      <c r="C127" s="7" t="s">
        <v>304</v>
      </c>
      <c r="D127" s="6"/>
      <c r="E127" s="9">
        <v>800.0</v>
      </c>
      <c r="F127" s="8">
        <v>5551300.0</v>
      </c>
      <c r="G127" s="8">
        <v>5551300.0</v>
      </c>
      <c r="H127" s="9">
        <v>0.0</v>
      </c>
      <c r="I127" s="8">
        <v>5551300.0</v>
      </c>
      <c r="J127" s="8">
        <v>5216327.0</v>
      </c>
      <c r="K127" s="8">
        <v>334973.0</v>
      </c>
      <c r="L127" s="9">
        <v>6.0</v>
      </c>
      <c r="M127" s="6" t="s">
        <v>305</v>
      </c>
    </row>
    <row r="128" spans="8:8" ht="21.0" customHeight="1">
      <c r="A128" s="10"/>
      <c r="B128" s="3" t="s">
        <v>17</v>
      </c>
      <c r="C128" s="4" t="s">
        <v>18</v>
      </c>
      <c r="D128" s="4" t="s">
        <v>19</v>
      </c>
      <c r="E128" s="4" t="s">
        <v>11</v>
      </c>
      <c r="F128" s="3" t="s">
        <v>20</v>
      </c>
    </row>
    <row r="129" spans="8:8" ht="21.0" customHeight="1">
      <c r="A129" s="10"/>
      <c r="B129" s="11" t="s">
        <v>45</v>
      </c>
      <c r="C129" s="9" t="s">
        <v>306</v>
      </c>
      <c r="D129" s="8">
        <v>12730.0</v>
      </c>
      <c r="E129" s="8">
        <v>1784548.0</v>
      </c>
      <c r="F129" s="13"/>
    </row>
    <row r="130" spans="8:8" ht="21.0" customHeight="1">
      <c r="A130" s="10"/>
      <c r="B130" s="11" t="s">
        <v>44</v>
      </c>
      <c r="C130" s="9" t="s">
        <v>306</v>
      </c>
      <c r="D130" s="8">
        <v>8990.0</v>
      </c>
      <c r="E130" s="8">
        <v>1258600.0</v>
      </c>
      <c r="F130" s="13"/>
    </row>
    <row r="131" spans="8:8" ht="21.0" customHeight="1">
      <c r="A131" s="10"/>
      <c r="B131" s="11" t="s">
        <v>36</v>
      </c>
      <c r="C131" s="9" t="s">
        <v>307</v>
      </c>
      <c r="D131" s="8">
        <v>14900.0</v>
      </c>
      <c r="E131" s="8">
        <v>894000.0</v>
      </c>
      <c r="F131" s="13"/>
    </row>
    <row r="132" spans="8:8" ht="21.0" customHeight="1">
      <c r="A132" s="10"/>
      <c r="B132" s="11" t="s">
        <v>113</v>
      </c>
      <c r="C132" s="9" t="s">
        <v>307</v>
      </c>
      <c r="D132" s="8">
        <v>14475.0</v>
      </c>
      <c r="E132" s="8">
        <v>868500.0</v>
      </c>
      <c r="F132" s="13"/>
    </row>
    <row r="133" spans="8:8" ht="21.0" customHeight="1">
      <c r="A133" s="10"/>
      <c r="B133" s="11" t="s">
        <v>148</v>
      </c>
      <c r="C133" s="9" t="s">
        <v>308</v>
      </c>
      <c r="D133" s="8">
        <v>2000.0</v>
      </c>
      <c r="E133" s="8">
        <v>17034.0</v>
      </c>
      <c r="F133" s="13"/>
    </row>
    <row r="134" spans="8:8" ht="21.0" customHeight="1">
      <c r="A134" s="10"/>
      <c r="B134" s="11" t="s">
        <v>38</v>
      </c>
      <c r="C134" s="9" t="s">
        <v>309</v>
      </c>
      <c r="D134" s="8">
        <v>1800.0</v>
      </c>
      <c r="E134" s="8">
        <v>393645.0</v>
      </c>
      <c r="F134" s="13"/>
    </row>
    <row r="135" spans="8:8" ht="21.0" customHeight="1">
      <c r="A135" s="10"/>
      <c r="B135" s="14"/>
      <c r="C135" s="15"/>
      <c r="D135" s="15"/>
      <c r="E135" s="15"/>
      <c r="F135" s="14"/>
    </row>
    <row r="136" spans="8:8" ht="21.0" customHeight="1">
      <c r="A136" s="16">
        <v>46221.0</v>
      </c>
      <c r="B136" s="6" t="s">
        <v>25</v>
      </c>
      <c r="C136" s="7" t="s">
        <v>310</v>
      </c>
      <c r="D136" s="6"/>
      <c r="E136" s="9">
        <v>65.0</v>
      </c>
      <c r="F136" s="8">
        <v>931650.0</v>
      </c>
      <c r="G136" s="8">
        <v>931650.0</v>
      </c>
      <c r="H136" s="9">
        <v>0.0</v>
      </c>
      <c r="I136" s="8">
        <v>931650.0</v>
      </c>
      <c r="J136" s="8">
        <v>931035.0</v>
      </c>
      <c r="K136" s="9">
        <v>615.0</v>
      </c>
      <c r="L136" s="9">
        <v>0.0</v>
      </c>
      <c r="M136" s="6"/>
    </row>
    <row r="137" spans="8:8" ht="21.0" customHeight="1">
      <c r="A137" s="10"/>
      <c r="B137" s="3" t="s">
        <v>17</v>
      </c>
      <c r="C137" s="4" t="s">
        <v>18</v>
      </c>
      <c r="D137" s="4" t="s">
        <v>19</v>
      </c>
      <c r="E137" s="4" t="s">
        <v>11</v>
      </c>
      <c r="F137" s="3" t="s">
        <v>20</v>
      </c>
    </row>
    <row r="138" spans="8:8" ht="21.0" customHeight="1">
      <c r="A138" s="10"/>
      <c r="B138" s="11" t="s">
        <v>28</v>
      </c>
      <c r="C138" s="9" t="s">
        <v>311</v>
      </c>
      <c r="D138" s="8">
        <v>13150.0</v>
      </c>
      <c r="E138" s="8">
        <v>607563.0</v>
      </c>
      <c r="F138" s="13"/>
    </row>
    <row r="139" spans="8:8" ht="21.0" customHeight="1">
      <c r="A139" s="10"/>
      <c r="B139" s="11" t="s">
        <v>31</v>
      </c>
      <c r="C139" s="9" t="s">
        <v>312</v>
      </c>
      <c r="D139" s="8">
        <v>17845.0</v>
      </c>
      <c r="E139" s="8">
        <v>171000.0</v>
      </c>
      <c r="F139" s="13"/>
    </row>
    <row r="140" spans="8:8" ht="21.0" customHeight="1">
      <c r="A140" s="10"/>
      <c r="B140" s="11" t="s">
        <v>32</v>
      </c>
      <c r="C140" s="9" t="s">
        <v>312</v>
      </c>
      <c r="D140" s="8">
        <v>16145.0</v>
      </c>
      <c r="E140" s="8">
        <v>152472.0</v>
      </c>
      <c r="F140" s="13"/>
    </row>
    <row r="141" spans="8:8" ht="21.0" customHeight="1">
      <c r="A141" s="10"/>
      <c r="B141" s="14"/>
      <c r="C141" s="15"/>
      <c r="D141" s="15"/>
      <c r="E141" s="15"/>
      <c r="F141" s="14"/>
    </row>
    <row r="142" spans="8:8" ht="21.0" customHeight="1">
      <c r="A142" s="16">
        <v>46221.0</v>
      </c>
      <c r="B142" s="6" t="s">
        <v>25</v>
      </c>
      <c r="C142" s="7" t="s">
        <v>313</v>
      </c>
      <c r="D142" s="6"/>
      <c r="E142" s="9">
        <v>30.0</v>
      </c>
      <c r="F142" s="8">
        <v>361600.0</v>
      </c>
      <c r="G142" s="8">
        <v>361600.0</v>
      </c>
      <c r="H142" s="9">
        <v>0.0</v>
      </c>
      <c r="I142" s="8">
        <v>361600.0</v>
      </c>
      <c r="J142" s="8">
        <v>263839.0</v>
      </c>
      <c r="K142" s="8">
        <v>97761.0</v>
      </c>
      <c r="L142" s="9">
        <v>27.0</v>
      </c>
      <c r="M142" s="6"/>
    </row>
    <row r="143" spans="8:8" ht="21.0" customHeight="1">
      <c r="A143" s="10"/>
      <c r="B143" s="3" t="s">
        <v>17</v>
      </c>
      <c r="C143" s="4" t="s">
        <v>18</v>
      </c>
      <c r="D143" s="4" t="s">
        <v>19</v>
      </c>
      <c r="E143" s="4" t="s">
        <v>11</v>
      </c>
      <c r="F143" s="3" t="s">
        <v>20</v>
      </c>
    </row>
    <row r="144" spans="8:8" ht="21.0" customHeight="1">
      <c r="A144" s="10"/>
      <c r="B144" s="11" t="s">
        <v>70</v>
      </c>
      <c r="C144" s="9" t="s">
        <v>312</v>
      </c>
      <c r="D144" s="8">
        <v>13460.0</v>
      </c>
      <c r="E144" s="8">
        <v>128550.0</v>
      </c>
      <c r="F144" s="13"/>
    </row>
    <row r="145" spans="8:8" ht="21.0" customHeight="1">
      <c r="A145" s="10"/>
      <c r="B145" s="11" t="s">
        <v>43</v>
      </c>
      <c r="C145" s="9" t="s">
        <v>314</v>
      </c>
      <c r="D145" s="8">
        <v>17700.0</v>
      </c>
      <c r="E145" s="8">
        <v>171500.0</v>
      </c>
      <c r="F145" s="13"/>
    </row>
    <row r="146" spans="8:8" ht="21.0" customHeight="1">
      <c r="A146" s="10"/>
      <c r="B146" s="11" t="s">
        <v>49</v>
      </c>
      <c r="C146" s="9" t="s">
        <v>315</v>
      </c>
      <c r="D146" s="8">
        <v>5000.0</v>
      </c>
      <c r="E146" s="8">
        <v>-36211.0</v>
      </c>
      <c r="F146" s="13"/>
    </row>
    <row r="147" spans="8:8" ht="21.0" customHeight="1">
      <c r="A147" s="10"/>
      <c r="B147" s="14"/>
      <c r="C147" s="15"/>
      <c r="D147" s="15"/>
      <c r="E147" s="15"/>
      <c r="F147" s="14"/>
    </row>
    <row r="148" spans="8:8" ht="21.0" customHeight="1">
      <c r="A148" s="16">
        <v>46221.0</v>
      </c>
      <c r="B148" s="6" t="s">
        <v>104</v>
      </c>
      <c r="C148" s="7" t="s">
        <v>316</v>
      </c>
      <c r="D148" s="6"/>
      <c r="E148" s="9">
        <v>1.0</v>
      </c>
      <c r="F148" s="9">
        <v>750.0</v>
      </c>
      <c r="G148" s="9">
        <v>0.0</v>
      </c>
      <c r="H148" s="9">
        <v>750.0</v>
      </c>
      <c r="I148" s="9">
        <v>750.0</v>
      </c>
      <c r="J148" s="9">
        <v>577.0</v>
      </c>
      <c r="K148" s="9">
        <v>173.0</v>
      </c>
      <c r="L148" s="9">
        <v>23.0</v>
      </c>
      <c r="M148" s="6"/>
    </row>
    <row r="149" spans="8:8" ht="21.0" customHeight="1">
      <c r="A149" s="10"/>
      <c r="B149" s="3" t="s">
        <v>17</v>
      </c>
      <c r="C149" s="4" t="s">
        <v>18</v>
      </c>
      <c r="D149" s="4" t="s">
        <v>19</v>
      </c>
      <c r="E149" s="4" t="s">
        <v>11</v>
      </c>
      <c r="F149" s="3" t="s">
        <v>20</v>
      </c>
    </row>
    <row r="150" spans="8:8" ht="21.0" customHeight="1">
      <c r="A150" s="10"/>
      <c r="B150" s="11" t="s">
        <v>174</v>
      </c>
      <c r="C150" s="9" t="s">
        <v>293</v>
      </c>
      <c r="D150" s="9">
        <v>750.0</v>
      </c>
      <c r="E150" s="9">
        <v>577.0</v>
      </c>
      <c r="F150" s="13"/>
    </row>
    <row r="151" spans="8:8" ht="21.0" customHeight="1">
      <c r="A151" s="10"/>
      <c r="B151" s="14"/>
      <c r="C151" s="15"/>
      <c r="D151" s="15"/>
      <c r="E151" s="15"/>
      <c r="F151" s="14"/>
    </row>
    <row r="152" spans="8:8" ht="21.0" customHeight="1">
      <c r="A152" s="16">
        <v>46221.0</v>
      </c>
      <c r="B152" s="6" t="s">
        <v>50</v>
      </c>
      <c r="C152" s="7" t="s">
        <v>317</v>
      </c>
      <c r="D152" s="6"/>
      <c r="E152" s="9">
        <v>40.0</v>
      </c>
      <c r="F152" s="8">
        <v>212000.0</v>
      </c>
      <c r="G152" s="8">
        <v>212000.0</v>
      </c>
      <c r="H152" s="9">
        <v>0.0</v>
      </c>
      <c r="I152" s="8">
        <v>212000.0</v>
      </c>
      <c r="J152" s="8">
        <v>203415.0</v>
      </c>
      <c r="K152" s="8">
        <v>8585.0</v>
      </c>
      <c r="L152" s="9">
        <v>4.0</v>
      </c>
      <c r="M152" s="6"/>
    </row>
    <row r="153" spans="8:8" ht="21.0" customHeight="1">
      <c r="A153" s="10"/>
      <c r="B153" s="3" t="s">
        <v>17</v>
      </c>
      <c r="C153" s="4" t="s">
        <v>18</v>
      </c>
      <c r="D153" s="4" t="s">
        <v>19</v>
      </c>
      <c r="E153" s="4" t="s">
        <v>11</v>
      </c>
      <c r="F153" s="3" t="s">
        <v>20</v>
      </c>
    </row>
    <row r="154" spans="8:8" ht="21.0" customHeight="1">
      <c r="A154" s="10"/>
      <c r="B154" s="11" t="s">
        <v>22</v>
      </c>
      <c r="C154" s="9" t="s">
        <v>318</v>
      </c>
      <c r="D154" s="8">
        <v>8800.0</v>
      </c>
      <c r="E154" s="8">
        <v>173135.0</v>
      </c>
      <c r="F154" s="13"/>
    </row>
    <row r="155" spans="8:8" ht="21.0" customHeight="1">
      <c r="A155" s="10"/>
      <c r="B155" s="11" t="s">
        <v>38</v>
      </c>
      <c r="C155" s="9" t="s">
        <v>319</v>
      </c>
      <c r="D155" s="8">
        <v>1800.0</v>
      </c>
      <c r="E155" s="8">
        <v>30280.0</v>
      </c>
      <c r="F155" s="13"/>
    </row>
    <row r="156" spans="8:8" ht="21.0" customHeight="1">
      <c r="A156" s="10"/>
      <c r="B156" s="14"/>
      <c r="C156" s="15"/>
      <c r="D156" s="15"/>
      <c r="E156" s="15"/>
      <c r="F156" s="14"/>
    </row>
    <row r="157" spans="8:8" ht="21.0" customHeight="1">
      <c r="A157" s="16">
        <v>46221.0</v>
      </c>
      <c r="B157" s="6" t="s">
        <v>50</v>
      </c>
      <c r="C157" s="7" t="s">
        <v>320</v>
      </c>
      <c r="D157" s="6"/>
      <c r="E157" s="9">
        <v>60.0</v>
      </c>
      <c r="F157" s="8">
        <v>440700.0</v>
      </c>
      <c r="G157" s="8">
        <v>440700.0</v>
      </c>
      <c r="H157" s="9">
        <v>0.0</v>
      </c>
      <c r="I157" s="8">
        <v>440700.0</v>
      </c>
      <c r="J157" s="8">
        <v>383808.0</v>
      </c>
      <c r="K157" s="8">
        <v>56892.0</v>
      </c>
      <c r="L157" s="9">
        <v>13.0</v>
      </c>
      <c r="M157" s="6"/>
    </row>
    <row r="158" spans="8:8" ht="21.0" customHeight="1">
      <c r="A158" s="10"/>
      <c r="B158" s="3" t="s">
        <v>17</v>
      </c>
      <c r="C158" s="4" t="s">
        <v>18</v>
      </c>
      <c r="D158" s="4" t="s">
        <v>19</v>
      </c>
      <c r="E158" s="4" t="s">
        <v>11</v>
      </c>
      <c r="F158" s="3" t="s">
        <v>20</v>
      </c>
    </row>
    <row r="159" spans="8:8" ht="21.0" customHeight="1">
      <c r="A159" s="10"/>
      <c r="B159" s="11" t="s">
        <v>93</v>
      </c>
      <c r="C159" s="9" t="s">
        <v>314</v>
      </c>
      <c r="D159" s="8">
        <v>11600.0</v>
      </c>
      <c r="E159" s="8">
        <v>111300.0</v>
      </c>
      <c r="F159" s="13"/>
    </row>
    <row r="160" spans="8:8" ht="21.0" customHeight="1">
      <c r="A160" s="10"/>
      <c r="B160" s="11" t="s">
        <v>45</v>
      </c>
      <c r="C160" s="9" t="s">
        <v>318</v>
      </c>
      <c r="D160" s="8">
        <v>13335.0</v>
      </c>
      <c r="E160" s="8">
        <v>254935.0</v>
      </c>
      <c r="F160" s="13"/>
    </row>
    <row r="161" spans="8:8" ht="21.0" customHeight="1">
      <c r="A161" s="10"/>
      <c r="B161" s="11" t="s">
        <v>148</v>
      </c>
      <c r="C161" s="9" t="s">
        <v>319</v>
      </c>
      <c r="D161" s="8">
        <v>2000.0</v>
      </c>
      <c r="E161" s="8">
        <v>2433.0</v>
      </c>
      <c r="F161" s="13"/>
    </row>
    <row r="162" spans="8:8" ht="21.0" customHeight="1">
      <c r="A162" s="10"/>
      <c r="B162" s="11" t="s">
        <v>38</v>
      </c>
      <c r="C162" s="9" t="s">
        <v>315</v>
      </c>
      <c r="D162" s="8">
        <v>1800.0</v>
      </c>
      <c r="E162" s="8">
        <v>15140.0</v>
      </c>
      <c r="F162" s="13"/>
    </row>
    <row r="163" spans="8:8" ht="21.0" customHeight="1">
      <c r="A163" s="10"/>
      <c r="B163" s="14"/>
      <c r="C163" s="15"/>
      <c r="D163" s="15"/>
      <c r="E163" s="15"/>
      <c r="F163" s="14"/>
    </row>
    <row r="164" spans="8:8" ht="21.0" customHeight="1">
      <c r="A164" s="16">
        <v>46221.0</v>
      </c>
      <c r="B164" s="6" t="s">
        <v>29</v>
      </c>
      <c r="C164" s="7" t="s">
        <v>321</v>
      </c>
      <c r="D164" s="6"/>
      <c r="E164" s="9">
        <v>2.0</v>
      </c>
      <c r="F164" s="8">
        <v>17760.0</v>
      </c>
      <c r="G164" s="8">
        <v>17760.0</v>
      </c>
      <c r="H164" s="9">
        <v>0.0</v>
      </c>
      <c r="I164" s="8">
        <v>17760.0</v>
      </c>
      <c r="J164" s="8">
        <v>17050.0</v>
      </c>
      <c r="K164" s="9">
        <v>710.0</v>
      </c>
      <c r="L164" s="9">
        <v>4.0</v>
      </c>
      <c r="M164" s="6"/>
    </row>
    <row r="165" spans="8:8" ht="21.0" customHeight="1">
      <c r="A165" s="10"/>
      <c r="B165" s="3" t="s">
        <v>17</v>
      </c>
      <c r="C165" s="4" t="s">
        <v>18</v>
      </c>
      <c r="D165" s="4" t="s">
        <v>19</v>
      </c>
      <c r="E165" s="4" t="s">
        <v>11</v>
      </c>
      <c r="F165" s="3" t="s">
        <v>20</v>
      </c>
    </row>
    <row r="166" spans="8:8" ht="21.0" customHeight="1">
      <c r="A166" s="10"/>
      <c r="B166" s="11" t="s">
        <v>37</v>
      </c>
      <c r="C166" s="9" t="s">
        <v>274</v>
      </c>
      <c r="D166" s="8">
        <v>8880.0</v>
      </c>
      <c r="E166" s="8">
        <v>17050.0</v>
      </c>
      <c r="F166" s="13"/>
    </row>
    <row r="167" spans="8:8" ht="21.0" customHeight="1">
      <c r="A167" s="10"/>
      <c r="B167" s="14"/>
      <c r="C167" s="15"/>
      <c r="D167" s="15"/>
      <c r="E167" s="15"/>
      <c r="F167" s="14"/>
    </row>
    <row r="168" spans="8:8" ht="21.0" customHeight="1">
      <c r="A168" s="16">
        <v>46221.0</v>
      </c>
      <c r="B168" s="6" t="s">
        <v>29</v>
      </c>
      <c r="C168" s="7" t="s">
        <v>322</v>
      </c>
      <c r="D168" s="6"/>
      <c r="E168" s="9">
        <v>76.0</v>
      </c>
      <c r="F168" s="8">
        <v>458900.0</v>
      </c>
      <c r="G168" s="8">
        <v>458900.0</v>
      </c>
      <c r="H168" s="9">
        <v>0.0</v>
      </c>
      <c r="I168" s="8">
        <v>458900.0</v>
      </c>
      <c r="J168" s="8">
        <v>440712.0</v>
      </c>
      <c r="K168" s="8">
        <v>18188.0</v>
      </c>
      <c r="L168" s="9">
        <v>4.0</v>
      </c>
      <c r="M168" s="6"/>
    </row>
    <row r="169" spans="8:8" ht="21.0" customHeight="1">
      <c r="A169" s="10"/>
      <c r="B169" s="3" t="s">
        <v>17</v>
      </c>
      <c r="C169" s="4" t="s">
        <v>18</v>
      </c>
      <c r="D169" s="4" t="s">
        <v>19</v>
      </c>
      <c r="E169" s="4" t="s">
        <v>11</v>
      </c>
      <c r="F169" s="3" t="s">
        <v>20</v>
      </c>
    </row>
    <row r="170" spans="8:8" ht="21.0" customHeight="1">
      <c r="A170" s="10"/>
      <c r="B170" s="11" t="s">
        <v>44</v>
      </c>
      <c r="C170" s="9" t="s">
        <v>270</v>
      </c>
      <c r="D170" s="8">
        <v>9200.0</v>
      </c>
      <c r="E170" s="8">
        <v>44950.0</v>
      </c>
      <c r="F170" s="13"/>
    </row>
    <row r="171" spans="8:8" ht="21.0" customHeight="1">
      <c r="A171" s="10"/>
      <c r="B171" s="11" t="s">
        <v>22</v>
      </c>
      <c r="C171" s="9" t="s">
        <v>314</v>
      </c>
      <c r="D171" s="8">
        <v>8800.0</v>
      </c>
      <c r="E171" s="8">
        <v>86567.0</v>
      </c>
      <c r="F171" s="13"/>
    </row>
    <row r="172" spans="8:8" ht="21.0" customHeight="1">
      <c r="A172" s="10"/>
      <c r="B172" s="11" t="s">
        <v>45</v>
      </c>
      <c r="C172" s="9" t="s">
        <v>323</v>
      </c>
      <c r="D172" s="8">
        <v>13335.0</v>
      </c>
      <c r="E172" s="8">
        <v>38240.0</v>
      </c>
      <c r="F172" s="13"/>
    </row>
    <row r="173" spans="8:8" ht="21.0" customHeight="1">
      <c r="A173" s="10"/>
      <c r="B173" s="11" t="s">
        <v>113</v>
      </c>
      <c r="C173" s="9" t="s">
        <v>275</v>
      </c>
      <c r="D173" s="8">
        <v>14575.0</v>
      </c>
      <c r="E173" s="8">
        <v>14475.0</v>
      </c>
      <c r="F173" s="13"/>
    </row>
    <row r="174" spans="8:8" ht="21.0" customHeight="1">
      <c r="A174" s="10"/>
      <c r="B174" s="11" t="s">
        <v>37</v>
      </c>
      <c r="C174" s="9" t="s">
        <v>274</v>
      </c>
      <c r="D174" s="8">
        <v>8880.0</v>
      </c>
      <c r="E174" s="8">
        <v>17050.0</v>
      </c>
      <c r="F174" s="13"/>
    </row>
    <row r="175" spans="8:8" ht="21.0" customHeight="1">
      <c r="A175" s="10"/>
      <c r="B175" s="11" t="s">
        <v>80</v>
      </c>
      <c r="C175" s="9" t="s">
        <v>275</v>
      </c>
      <c r="D175" s="8">
        <v>9345.0</v>
      </c>
      <c r="E175" s="8">
        <v>8970.0</v>
      </c>
      <c r="F175" s="13"/>
    </row>
    <row r="176" spans="8:8" ht="21.0" customHeight="1">
      <c r="A176" s="10"/>
      <c r="B176" s="11" t="s">
        <v>87</v>
      </c>
      <c r="C176" s="9" t="s">
        <v>275</v>
      </c>
      <c r="D176" s="8">
        <v>21400.0</v>
      </c>
      <c r="E176" s="8">
        <v>20440.0</v>
      </c>
      <c r="F176" s="13"/>
    </row>
    <row r="177" spans="8:8" ht="21.0" customHeight="1">
      <c r="A177" s="10"/>
      <c r="B177" s="11" t="s">
        <v>36</v>
      </c>
      <c r="C177" s="9" t="s">
        <v>274</v>
      </c>
      <c r="D177" s="8">
        <v>15525.0</v>
      </c>
      <c r="E177" s="8">
        <v>29800.0</v>
      </c>
      <c r="F177" s="13"/>
    </row>
    <row r="178" spans="8:8" ht="21.0" customHeight="1">
      <c r="A178" s="10"/>
      <c r="B178" s="11" t="s">
        <v>65</v>
      </c>
      <c r="C178" s="9" t="s">
        <v>274</v>
      </c>
      <c r="D178" s="8">
        <v>11910.0</v>
      </c>
      <c r="E178" s="8">
        <v>22630.0</v>
      </c>
      <c r="F178" s="13"/>
    </row>
    <row r="179" spans="8:8" ht="21.0" customHeight="1">
      <c r="A179" s="10"/>
      <c r="B179" s="11" t="s">
        <v>71</v>
      </c>
      <c r="C179" s="9" t="s">
        <v>275</v>
      </c>
      <c r="D179" s="8">
        <v>15945.0</v>
      </c>
      <c r="E179" s="8">
        <v>15375.0</v>
      </c>
      <c r="F179" s="13"/>
    </row>
    <row r="180" spans="8:8" ht="21.0" customHeight="1">
      <c r="A180" s="10"/>
      <c r="B180" s="11" t="s">
        <v>24</v>
      </c>
      <c r="C180" s="9" t="s">
        <v>324</v>
      </c>
      <c r="D180" s="8">
        <v>5000.0</v>
      </c>
      <c r="E180" s="8">
        <v>104000.0</v>
      </c>
      <c r="F180" s="13"/>
    </row>
    <row r="181" spans="8:8" ht="21.0" customHeight="1">
      <c r="A181" s="10"/>
      <c r="B181" s="11" t="s">
        <v>38</v>
      </c>
      <c r="C181" s="9" t="s">
        <v>272</v>
      </c>
      <c r="D181" s="8">
        <v>1800.0</v>
      </c>
      <c r="E181" s="8">
        <v>37850.0</v>
      </c>
      <c r="F181" s="13"/>
    </row>
    <row r="182" spans="8:8" ht="21.0" customHeight="1">
      <c r="A182" s="10"/>
      <c r="B182" s="11" t="s">
        <v>148</v>
      </c>
      <c r="C182" s="9" t="s">
        <v>325</v>
      </c>
      <c r="D182" s="8">
        <v>2000.0</v>
      </c>
      <c r="E182" s="9">
        <v>365.0</v>
      </c>
      <c r="F182" s="13"/>
    </row>
    <row r="183" spans="8:8" ht="21.0" customHeight="1">
      <c r="A183" s="10"/>
      <c r="B183" s="14"/>
      <c r="C183" s="15"/>
      <c r="D183" s="15"/>
      <c r="E183" s="15"/>
      <c r="F183" s="14"/>
    </row>
    <row r="184" spans="8:8" ht="21.0" customHeight="1">
      <c r="A184" s="16">
        <v>46221.0</v>
      </c>
      <c r="B184" s="6" t="s">
        <v>326</v>
      </c>
      <c r="C184" s="7" t="s">
        <v>327</v>
      </c>
      <c r="D184" s="6"/>
      <c r="E184" s="9">
        <v>820.0</v>
      </c>
      <c r="F184" s="8">
        <v>5201650.0</v>
      </c>
      <c r="G184" s="8">
        <v>5104960.0</v>
      </c>
      <c r="H184" s="8">
        <v>96690.0</v>
      </c>
      <c r="I184" s="8">
        <v>5201650.0</v>
      </c>
      <c r="J184" s="8">
        <v>4840911.0</v>
      </c>
      <c r="K184" s="8">
        <v>360739.0</v>
      </c>
      <c r="L184" s="9">
        <v>7.0</v>
      </c>
      <c r="M184" s="6" t="s">
        <v>328</v>
      </c>
    </row>
    <row r="185" spans="8:8" ht="21.0" customHeight="1">
      <c r="A185" s="10"/>
      <c r="B185" s="3" t="s">
        <v>17</v>
      </c>
      <c r="C185" s="4" t="s">
        <v>18</v>
      </c>
      <c r="D185" s="4" t="s">
        <v>19</v>
      </c>
      <c r="E185" s="4" t="s">
        <v>11</v>
      </c>
      <c r="F185" s="3" t="s">
        <v>20</v>
      </c>
    </row>
    <row r="186" spans="8:8" ht="21.0" customHeight="1">
      <c r="A186" s="10"/>
      <c r="B186" s="11" t="s">
        <v>22</v>
      </c>
      <c r="C186" s="9" t="s">
        <v>306</v>
      </c>
      <c r="D186" s="8">
        <v>8500.0</v>
      </c>
      <c r="E186" s="8">
        <v>1211944.0</v>
      </c>
      <c r="F186" s="13"/>
    </row>
    <row r="187" spans="8:8" ht="21.0" customHeight="1">
      <c r="A187" s="10"/>
      <c r="B187" s="11" t="s">
        <v>45</v>
      </c>
      <c r="C187" s="9" t="s">
        <v>306</v>
      </c>
      <c r="D187" s="8">
        <v>12830.0</v>
      </c>
      <c r="E187" s="8">
        <v>1784548.0</v>
      </c>
      <c r="F187" s="13"/>
    </row>
    <row r="188" spans="8:8" ht="21.0" customHeight="1">
      <c r="A188" s="10"/>
      <c r="B188" s="11" t="s">
        <v>37</v>
      </c>
      <c r="C188" s="9" t="s">
        <v>329</v>
      </c>
      <c r="D188" s="8">
        <v>8880.0</v>
      </c>
      <c r="E188" s="8">
        <v>596750.0</v>
      </c>
      <c r="F188" s="13"/>
    </row>
    <row r="189" spans="8:8" ht="21.0" customHeight="1">
      <c r="A189" s="10"/>
      <c r="B189" s="11" t="s">
        <v>113</v>
      </c>
      <c r="C189" s="9" t="s">
        <v>330</v>
      </c>
      <c r="D189" s="8">
        <v>14575.0</v>
      </c>
      <c r="E189" s="8">
        <v>434250.0</v>
      </c>
      <c r="F189" s="13"/>
    </row>
    <row r="190" spans="8:8" ht="21.0" customHeight="1">
      <c r="A190" s="10"/>
      <c r="B190" s="11" t="s">
        <v>101</v>
      </c>
      <c r="C190" s="9" t="s">
        <v>330</v>
      </c>
      <c r="D190" s="8">
        <v>13020.0</v>
      </c>
      <c r="E190" s="8">
        <v>387600.0</v>
      </c>
      <c r="F190" s="13"/>
    </row>
    <row r="191" spans="8:8" ht="21.0" customHeight="1">
      <c r="A191" s="10"/>
      <c r="B191" s="11" t="s">
        <v>148</v>
      </c>
      <c r="C191" s="9" t="s">
        <v>308</v>
      </c>
      <c r="D191" s="8">
        <v>2000.0</v>
      </c>
      <c r="E191" s="8">
        <v>17034.0</v>
      </c>
      <c r="F191" s="13"/>
    </row>
    <row r="192" spans="8:8" ht="21.0" customHeight="1">
      <c r="A192" s="10"/>
      <c r="B192" s="11" t="s">
        <v>38</v>
      </c>
      <c r="C192" s="9" t="s">
        <v>331</v>
      </c>
      <c r="D192" s="8">
        <v>1800.0</v>
      </c>
      <c r="E192" s="8">
        <v>408785.0</v>
      </c>
      <c r="F192" s="13"/>
    </row>
    <row r="193" spans="8:8" ht="21.0" customHeight="1">
      <c r="A193" s="10"/>
      <c r="B193" s="14"/>
      <c r="C193" s="15"/>
      <c r="D193" s="15"/>
      <c r="E193" s="15"/>
      <c r="F193" s="14"/>
    </row>
    <row r="194" spans="8:8" ht="21.0" customHeight="1">
      <c r="A194" s="16">
        <v>46221.0</v>
      </c>
      <c r="B194" s="6" t="s">
        <v>50</v>
      </c>
      <c r="C194" s="7" t="s">
        <v>332</v>
      </c>
      <c r="D194" s="6"/>
      <c r="E194" s="9">
        <v>10.0</v>
      </c>
      <c r="F194" s="8">
        <v>50000.0</v>
      </c>
      <c r="G194" s="8">
        <v>50000.0</v>
      </c>
      <c r="H194" s="9">
        <v>0.0</v>
      </c>
      <c r="I194" s="8">
        <v>50000.0</v>
      </c>
      <c r="J194" s="8">
        <v>52000.0</v>
      </c>
      <c r="K194" s="8">
        <v>-2000.0</v>
      </c>
      <c r="L194" s="9">
        <v>-4.0</v>
      </c>
      <c r="M194" s="6"/>
    </row>
    <row r="195" spans="8:8" ht="21.0" customHeight="1">
      <c r="A195" s="10"/>
      <c r="B195" s="3" t="s">
        <v>17</v>
      </c>
      <c r="C195" s="4" t="s">
        <v>18</v>
      </c>
      <c r="D195" s="4" t="s">
        <v>19</v>
      </c>
      <c r="E195" s="4" t="s">
        <v>11</v>
      </c>
      <c r="F195" s="3" t="s">
        <v>20</v>
      </c>
    </row>
    <row r="196" spans="8:8" ht="21.0" customHeight="1">
      <c r="A196" s="10"/>
      <c r="B196" s="11" t="s">
        <v>24</v>
      </c>
      <c r="C196" s="9" t="s">
        <v>333</v>
      </c>
      <c r="D196" s="8">
        <v>5000.0</v>
      </c>
      <c r="E196" s="8">
        <v>52000.0</v>
      </c>
      <c r="F196" s="13"/>
    </row>
    <row r="197" spans="8:8" ht="21.0" customHeight="1">
      <c r="A197" s="10"/>
      <c r="B197" s="14"/>
      <c r="C197" s="15"/>
      <c r="D197" s="15"/>
      <c r="E197" s="15"/>
      <c r="F197" s="14"/>
    </row>
    <row r="198" spans="8:8" ht="21.0" customHeight="1">
      <c r="A198" s="16">
        <v>46221.0</v>
      </c>
      <c r="B198" s="6" t="s">
        <v>334</v>
      </c>
      <c r="C198" s="7" t="s">
        <v>335</v>
      </c>
      <c r="D198" s="6"/>
      <c r="E198" s="9">
        <v>60.0</v>
      </c>
      <c r="F198" s="8">
        <v>564900.0</v>
      </c>
      <c r="G198" s="8">
        <v>564900.0</v>
      </c>
      <c r="H198" s="9">
        <v>0.0</v>
      </c>
      <c r="I198" s="8">
        <v>564900.0</v>
      </c>
      <c r="J198" s="8">
        <v>375618.0</v>
      </c>
      <c r="K198" s="8">
        <v>189282.0</v>
      </c>
      <c r="L198" s="9">
        <v>34.0</v>
      </c>
      <c r="M198" s="6"/>
    </row>
    <row r="199" spans="8:8" ht="21.0" customHeight="1">
      <c r="A199" s="10"/>
      <c r="B199" s="3" t="s">
        <v>17</v>
      </c>
      <c r="C199" s="4" t="s">
        <v>18</v>
      </c>
      <c r="D199" s="4" t="s">
        <v>19</v>
      </c>
      <c r="E199" s="4" t="s">
        <v>11</v>
      </c>
      <c r="F199" s="3" t="s">
        <v>20</v>
      </c>
    </row>
    <row r="200" spans="8:8" ht="21.0" customHeight="1">
      <c r="A200" s="10"/>
      <c r="B200" s="11" t="s">
        <v>43</v>
      </c>
      <c r="C200" s="9" t="s">
        <v>318</v>
      </c>
      <c r="D200" s="8">
        <v>17800.0</v>
      </c>
      <c r="E200" s="8">
        <v>343000.0</v>
      </c>
      <c r="F200" s="13"/>
    </row>
    <row r="201" spans="8:8" ht="21.0" customHeight="1">
      <c r="A201" s="10"/>
      <c r="B201" s="11" t="s">
        <v>44</v>
      </c>
      <c r="C201" s="9" t="s">
        <v>314</v>
      </c>
      <c r="D201" s="8">
        <v>9090.0</v>
      </c>
      <c r="E201" s="8">
        <v>89900.0</v>
      </c>
      <c r="F201" s="13"/>
    </row>
    <row r="202" spans="8:8" ht="21.0" customHeight="1">
      <c r="A202" s="10"/>
      <c r="B202" s="11" t="s">
        <v>49</v>
      </c>
      <c r="C202" s="9" t="s">
        <v>319</v>
      </c>
      <c r="D202" s="8">
        <v>5000.0</v>
      </c>
      <c r="E202" s="8">
        <v>-72422.0</v>
      </c>
      <c r="F202" s="13"/>
    </row>
    <row r="203" spans="8:8" ht="21.0" customHeight="1">
      <c r="A203" s="10"/>
      <c r="B203" s="11" t="s">
        <v>38</v>
      </c>
      <c r="C203" s="9" t="s">
        <v>315</v>
      </c>
      <c r="D203" s="8">
        <v>1800.0</v>
      </c>
      <c r="E203" s="8">
        <v>15140.0</v>
      </c>
      <c r="F203" s="13"/>
    </row>
    <row r="204" spans="8:8" ht="21.0" customHeight="1">
      <c r="A204" s="10"/>
      <c r="B204" s="14"/>
      <c r="C204" s="15"/>
      <c r="D204" s="15"/>
      <c r="E204" s="15"/>
      <c r="F204" s="14"/>
    </row>
    <row r="205" spans="8:8" ht="21.0" customHeight="1">
      <c r="A205" s="16">
        <v>46221.0</v>
      </c>
      <c r="B205" s="6" t="s">
        <v>336</v>
      </c>
      <c r="C205" s="7" t="s">
        <v>337</v>
      </c>
      <c r="D205" s="6"/>
      <c r="E205" s="9">
        <v>3.0</v>
      </c>
      <c r="F205" s="8">
        <v>40835.0</v>
      </c>
      <c r="G205" s="8">
        <v>40835.0</v>
      </c>
      <c r="H205" s="9">
        <v>0.0</v>
      </c>
      <c r="I205" s="8">
        <v>40835.0</v>
      </c>
      <c r="J205" s="8">
        <v>38554.0</v>
      </c>
      <c r="K205" s="8">
        <v>2281.0</v>
      </c>
      <c r="L205" s="9">
        <v>6.0</v>
      </c>
      <c r="M205" s="6"/>
    </row>
    <row r="206" spans="8:8" ht="21.0" customHeight="1">
      <c r="A206" s="10"/>
      <c r="B206" s="3" t="s">
        <v>17</v>
      </c>
      <c r="C206" s="4" t="s">
        <v>18</v>
      </c>
      <c r="D206" s="4" t="s">
        <v>19</v>
      </c>
      <c r="E206" s="4" t="s">
        <v>11</v>
      </c>
      <c r="F206" s="3" t="s">
        <v>20</v>
      </c>
    </row>
    <row r="207" spans="8:8" ht="21.0" customHeight="1">
      <c r="A207" s="10"/>
      <c r="B207" s="11" t="s">
        <v>43</v>
      </c>
      <c r="C207" s="9" t="s">
        <v>275</v>
      </c>
      <c r="D207" s="8">
        <v>18300.0</v>
      </c>
      <c r="E207" s="8">
        <v>17150.0</v>
      </c>
      <c r="F207" s="13"/>
    </row>
    <row r="208" spans="8:8" ht="21.0" customHeight="1">
      <c r="A208" s="10"/>
      <c r="B208" s="11" t="s">
        <v>45</v>
      </c>
      <c r="C208" s="9" t="s">
        <v>275</v>
      </c>
      <c r="D208" s="8">
        <v>13335.0</v>
      </c>
      <c r="E208" s="8">
        <v>12747.0</v>
      </c>
      <c r="F208" s="13"/>
    </row>
    <row r="209" spans="8:8" ht="21.0" customHeight="1">
      <c r="A209" s="10"/>
      <c r="B209" s="11" t="s">
        <v>22</v>
      </c>
      <c r="C209" s="9" t="s">
        <v>275</v>
      </c>
      <c r="D209" s="8">
        <v>9200.0</v>
      </c>
      <c r="E209" s="8">
        <v>8657.0</v>
      </c>
      <c r="F209" s="13"/>
    </row>
    <row r="210" spans="8:8" ht="21.0" customHeight="1">
      <c r="A210" s="10"/>
      <c r="B210" s="14"/>
      <c r="C210" s="15"/>
      <c r="D210" s="15"/>
      <c r="E210" s="15"/>
      <c r="F210" s="14"/>
    </row>
    <row r="211" spans="8:8" ht="21.0" customHeight="1">
      <c r="A211" s="16">
        <v>46221.0</v>
      </c>
      <c r="B211" s="6" t="s">
        <v>102</v>
      </c>
      <c r="C211" s="7" t="s">
        <v>338</v>
      </c>
      <c r="D211" s="6"/>
      <c r="E211" s="9">
        <v>1.0</v>
      </c>
      <c r="F211" s="8">
        <v>9500.0</v>
      </c>
      <c r="G211" s="8">
        <v>9500.0</v>
      </c>
      <c r="H211" s="9">
        <v>0.0</v>
      </c>
      <c r="I211" s="8">
        <v>9500.0</v>
      </c>
      <c r="J211" s="8">
        <v>8525.0</v>
      </c>
      <c r="K211" s="9">
        <v>975.0</v>
      </c>
      <c r="L211" s="9">
        <v>10.0</v>
      </c>
      <c r="M211" s="6"/>
    </row>
    <row r="212" spans="8:8" ht="21.0" customHeight="1">
      <c r="A212" s="10"/>
      <c r="B212" s="3" t="s">
        <v>17</v>
      </c>
      <c r="C212" s="4" t="s">
        <v>18</v>
      </c>
      <c r="D212" s="4" t="s">
        <v>19</v>
      </c>
      <c r="E212" s="4" t="s">
        <v>11</v>
      </c>
      <c r="F212" s="3" t="s">
        <v>20</v>
      </c>
    </row>
    <row r="213" spans="8:8" ht="21.0" customHeight="1">
      <c r="A213" s="10"/>
      <c r="B213" s="11" t="s">
        <v>37</v>
      </c>
      <c r="C213" s="9" t="s">
        <v>275</v>
      </c>
      <c r="D213" s="8">
        <v>9500.0</v>
      </c>
      <c r="E213" s="8">
        <v>8525.0</v>
      </c>
      <c r="F213" s="13"/>
    </row>
    <row r="214" spans="8:8" ht="21.0" customHeight="1">
      <c r="A214" s="10"/>
      <c r="B214" s="14"/>
      <c r="C214" s="15"/>
      <c r="D214" s="15"/>
      <c r="E214" s="15"/>
      <c r="F214" s="14"/>
    </row>
    <row r="215" spans="8:8" ht="21.0" customHeight="1">
      <c r="A215" s="16">
        <v>46221.0</v>
      </c>
      <c r="B215" s="6" t="s">
        <v>334</v>
      </c>
      <c r="C215" s="7" t="s">
        <v>339</v>
      </c>
      <c r="D215" s="6"/>
      <c r="E215" s="9">
        <v>140.0</v>
      </c>
      <c r="F215" s="8">
        <v>679000.0</v>
      </c>
      <c r="G215" s="8">
        <v>679000.0</v>
      </c>
      <c r="H215" s="9">
        <v>0.0</v>
      </c>
      <c r="I215" s="8">
        <v>679000.0</v>
      </c>
      <c r="J215" s="8">
        <v>680531.0</v>
      </c>
      <c r="K215" s="8">
        <v>-1531.0</v>
      </c>
      <c r="L215" s="9">
        <v>0.0</v>
      </c>
      <c r="M215" s="6"/>
    </row>
    <row r="216" spans="8:8" ht="21.0" customHeight="1">
      <c r="A216" s="10"/>
      <c r="B216" s="3" t="s">
        <v>17</v>
      </c>
      <c r="C216" s="4" t="s">
        <v>18</v>
      </c>
      <c r="D216" s="4" t="s">
        <v>19</v>
      </c>
      <c r="E216" s="4" t="s">
        <v>11</v>
      </c>
      <c r="F216" s="3" t="s">
        <v>20</v>
      </c>
    </row>
    <row r="217" spans="8:8" ht="21.0" customHeight="1">
      <c r="A217" s="10"/>
      <c r="B217" s="11" t="s">
        <v>21</v>
      </c>
      <c r="C217" s="9" t="s">
        <v>329</v>
      </c>
      <c r="D217" s="8">
        <v>8100.0</v>
      </c>
      <c r="E217" s="8">
        <v>568531.0</v>
      </c>
      <c r="F217" s="13"/>
    </row>
    <row r="218" spans="8:8" ht="21.0" customHeight="1">
      <c r="A218" s="10"/>
      <c r="B218" s="11" t="s">
        <v>48</v>
      </c>
      <c r="C218" s="9" t="s">
        <v>340</v>
      </c>
      <c r="D218" s="8">
        <v>1600.0</v>
      </c>
      <c r="E218" s="8">
        <v>112000.0</v>
      </c>
      <c r="F218" s="13"/>
    </row>
    <row r="219" spans="8:8" ht="21.0" customHeight="1">
      <c r="A219" s="10"/>
      <c r="B219" s="14"/>
      <c r="C219" s="15"/>
      <c r="D219" s="15"/>
      <c r="E219" s="15"/>
      <c r="F219" s="14"/>
    </row>
    <row r="220" spans="8:8" ht="21.0" customHeight="1">
      <c r="A220" s="16">
        <v>46221.0</v>
      </c>
      <c r="B220" s="6" t="s">
        <v>341</v>
      </c>
      <c r="C220" s="7" t="s">
        <v>342</v>
      </c>
      <c r="D220" s="6"/>
      <c r="E220" s="9">
        <v>8.0</v>
      </c>
      <c r="F220" s="8">
        <v>74680.0</v>
      </c>
      <c r="G220" s="9">
        <v>0.0</v>
      </c>
      <c r="H220" s="8">
        <v>74680.0</v>
      </c>
      <c r="I220" s="8">
        <v>74680.0</v>
      </c>
      <c r="J220" s="8">
        <v>69254.0</v>
      </c>
      <c r="K220" s="8">
        <v>5426.0</v>
      </c>
      <c r="L220" s="9">
        <v>7.0</v>
      </c>
      <c r="M220" s="6"/>
    </row>
    <row r="221" spans="8:8" ht="21.0" customHeight="1">
      <c r="A221" s="10"/>
      <c r="B221" s="3" t="s">
        <v>17</v>
      </c>
      <c r="C221" s="4" t="s">
        <v>18</v>
      </c>
      <c r="D221" s="4" t="s">
        <v>19</v>
      </c>
      <c r="E221" s="4" t="s">
        <v>11</v>
      </c>
      <c r="F221" s="3" t="s">
        <v>20</v>
      </c>
    </row>
    <row r="222" spans="8:8" ht="21.0" customHeight="1">
      <c r="A222" s="10"/>
      <c r="B222" s="11" t="s">
        <v>22</v>
      </c>
      <c r="C222" s="9" t="s">
        <v>343</v>
      </c>
      <c r="D222" s="8">
        <v>9335.0</v>
      </c>
      <c r="E222" s="8">
        <v>69254.0</v>
      </c>
      <c r="F222" s="13"/>
    </row>
    <row r="223" spans="8:8" ht="21.0" customHeight="1">
      <c r="A223" s="10"/>
      <c r="B223" s="14"/>
      <c r="C223" s="15"/>
      <c r="D223" s="15"/>
      <c r="E223" s="15"/>
      <c r="F223" s="14"/>
    </row>
    <row r="224" spans="8:8" ht="21.0" customHeight="1">
      <c r="A224" s="17">
        <v>46223.0</v>
      </c>
      <c r="B224" s="6" t="s">
        <v>212</v>
      </c>
      <c r="C224" s="7" t="s">
        <v>344</v>
      </c>
      <c r="D224" s="6"/>
      <c r="E224" s="9">
        <v>6.0</v>
      </c>
      <c r="F224" s="8">
        <v>54600.0</v>
      </c>
      <c r="G224" s="8">
        <v>54600.0</v>
      </c>
      <c r="H224" s="9">
        <v>0.0</v>
      </c>
      <c r="I224" s="8">
        <v>54600.0</v>
      </c>
      <c r="J224" s="8">
        <v>50336.0</v>
      </c>
      <c r="K224" s="8">
        <v>4264.0</v>
      </c>
      <c r="L224" s="9">
        <v>8.0</v>
      </c>
      <c r="M224" s="6"/>
    </row>
    <row r="225" spans="8:8" ht="21.0" customHeight="1">
      <c r="A225" s="10"/>
      <c r="B225" s="3" t="s">
        <v>17</v>
      </c>
      <c r="C225" s="4" t="s">
        <v>18</v>
      </c>
      <c r="D225" s="4" t="s">
        <v>19</v>
      </c>
      <c r="E225" s="4" t="s">
        <v>11</v>
      </c>
      <c r="F225" s="3" t="s">
        <v>20</v>
      </c>
    </row>
    <row r="226" spans="8:8" ht="21.0" customHeight="1">
      <c r="A226" s="10"/>
      <c r="B226" s="11" t="s">
        <v>22</v>
      </c>
      <c r="C226" s="9" t="s">
        <v>323</v>
      </c>
      <c r="D226" s="8">
        <v>9200.0</v>
      </c>
      <c r="E226" s="8">
        <v>25970.0</v>
      </c>
      <c r="F226" s="13"/>
    </row>
    <row r="227" spans="8:8" ht="21.0" customHeight="1">
      <c r="A227" s="10"/>
      <c r="B227" s="11" t="s">
        <v>21</v>
      </c>
      <c r="C227" s="9" t="s">
        <v>323</v>
      </c>
      <c r="D227" s="8">
        <v>9000.0</v>
      </c>
      <c r="E227" s="8">
        <v>24366.0</v>
      </c>
      <c r="F227" s="13"/>
    </row>
    <row r="228" spans="8:8" ht="21.0" customHeight="1">
      <c r="A228" s="10"/>
      <c r="B228" s="14"/>
      <c r="C228" s="15"/>
      <c r="D228" s="15"/>
      <c r="E228" s="15"/>
      <c r="F228" s="14"/>
    </row>
    <row r="229" spans="8:8" ht="21.0" customHeight="1">
      <c r="A229" s="16">
        <v>46223.0</v>
      </c>
      <c r="B229" s="6" t="s">
        <v>50</v>
      </c>
      <c r="C229" s="7" t="s">
        <v>345</v>
      </c>
      <c r="D229" s="6"/>
      <c r="E229" s="9">
        <v>248.0</v>
      </c>
      <c r="F229" s="8">
        <v>1240000.0</v>
      </c>
      <c r="G229" s="8">
        <v>1240000.0</v>
      </c>
      <c r="H229" s="9">
        <v>0.0</v>
      </c>
      <c r="I229" s="8">
        <v>1240000.0</v>
      </c>
      <c r="J229" s="8">
        <v>1289600.0</v>
      </c>
      <c r="K229" s="8">
        <v>-49600.0</v>
      </c>
      <c r="L229" s="9">
        <v>-4.0</v>
      </c>
      <c r="M229" s="6"/>
    </row>
    <row r="230" spans="8:8" ht="21.0" customHeight="1">
      <c r="A230" s="10"/>
      <c r="B230" s="3" t="s">
        <v>17</v>
      </c>
      <c r="C230" s="4" t="s">
        <v>18</v>
      </c>
      <c r="D230" s="4" t="s">
        <v>19</v>
      </c>
      <c r="E230" s="4" t="s">
        <v>11</v>
      </c>
      <c r="F230" s="3" t="s">
        <v>20</v>
      </c>
    </row>
    <row r="231" spans="8:8" ht="21.0" customHeight="1">
      <c r="A231" s="10"/>
      <c r="B231" s="11" t="s">
        <v>24</v>
      </c>
      <c r="C231" s="9" t="s">
        <v>346</v>
      </c>
      <c r="D231" s="8">
        <v>5000.0</v>
      </c>
      <c r="E231" s="8">
        <v>1289600.0</v>
      </c>
      <c r="F231" s="13"/>
    </row>
    <row r="232" spans="8:8" ht="21.0" customHeight="1">
      <c r="A232" s="10"/>
      <c r="B232" s="14"/>
      <c r="C232" s="15"/>
      <c r="D232" s="15"/>
      <c r="E232" s="15"/>
      <c r="F232" s="14"/>
    </row>
    <row r="233" spans="8:8" ht="21.0" customHeight="1">
      <c r="A233" s="16">
        <v>46223.0</v>
      </c>
      <c r="B233" s="6" t="s">
        <v>152</v>
      </c>
      <c r="C233" s="7" t="s">
        <v>347</v>
      </c>
      <c r="D233" s="6"/>
      <c r="E233" s="9">
        <v>420.0</v>
      </c>
      <c r="F233" s="8">
        <v>3611300.0</v>
      </c>
      <c r="G233" s="9">
        <v>0.0</v>
      </c>
      <c r="H233" s="8">
        <v>3611300.0</v>
      </c>
      <c r="I233" s="8">
        <v>3611300.0</v>
      </c>
      <c r="J233" s="8">
        <v>3659161.0</v>
      </c>
      <c r="K233" s="8">
        <v>-47861.0</v>
      </c>
      <c r="L233" s="9">
        <v>-1.0</v>
      </c>
      <c r="M233" s="6"/>
    </row>
    <row r="234" spans="8:8" ht="21.0" customHeight="1">
      <c r="A234" s="10"/>
      <c r="B234" s="3" t="s">
        <v>17</v>
      </c>
      <c r="C234" s="4" t="s">
        <v>18</v>
      </c>
      <c r="D234" s="4" t="s">
        <v>19</v>
      </c>
      <c r="E234" s="4" t="s">
        <v>11</v>
      </c>
      <c r="F234" s="3" t="s">
        <v>20</v>
      </c>
    </row>
    <row r="235" spans="8:8" ht="21.0" customHeight="1">
      <c r="A235" s="10"/>
      <c r="B235" s="11" t="s">
        <v>22</v>
      </c>
      <c r="C235" s="9" t="s">
        <v>348</v>
      </c>
      <c r="D235" s="8">
        <v>8500.0</v>
      </c>
      <c r="E235" s="8">
        <v>3029861.0</v>
      </c>
      <c r="F235" s="13"/>
    </row>
    <row r="236" spans="8:8" ht="21.0" customHeight="1">
      <c r="A236" s="10"/>
      <c r="B236" s="11" t="s">
        <v>44</v>
      </c>
      <c r="C236" s="9" t="s">
        <v>329</v>
      </c>
      <c r="D236" s="8">
        <v>9090.0</v>
      </c>
      <c r="E236" s="8">
        <v>629300.0</v>
      </c>
      <c r="F236" s="13"/>
    </row>
    <row r="237" spans="8:8" ht="21.0" customHeight="1">
      <c r="A237" s="10"/>
      <c r="B237" s="14"/>
      <c r="C237" s="15"/>
      <c r="D237" s="15"/>
      <c r="E237" s="15"/>
      <c r="F237" s="14"/>
    </row>
    <row r="238" spans="8:8" ht="21.0" customHeight="1">
      <c r="A238" s="16">
        <v>46223.0</v>
      </c>
      <c r="B238" s="6" t="s">
        <v>25</v>
      </c>
      <c r="C238" s="7" t="s">
        <v>349</v>
      </c>
      <c r="D238" s="6"/>
      <c r="E238" s="9">
        <v>90.0</v>
      </c>
      <c r="F238" s="8">
        <v>459000.0</v>
      </c>
      <c r="G238" s="8">
        <v>459000.0</v>
      </c>
      <c r="H238" s="9">
        <v>0.0</v>
      </c>
      <c r="I238" s="8">
        <v>459000.0</v>
      </c>
      <c r="J238" s="8">
        <v>444217.0</v>
      </c>
      <c r="K238" s="8">
        <v>14783.0</v>
      </c>
      <c r="L238" s="9">
        <v>3.0</v>
      </c>
      <c r="M238" s="6"/>
    </row>
    <row r="239" spans="8:8" ht="21.0" customHeight="1">
      <c r="A239" s="10"/>
      <c r="B239" s="3" t="s">
        <v>17</v>
      </c>
      <c r="C239" s="4" t="s">
        <v>18</v>
      </c>
      <c r="D239" s="4" t="s">
        <v>19</v>
      </c>
      <c r="E239" s="4" t="s">
        <v>11</v>
      </c>
      <c r="F239" s="3" t="s">
        <v>20</v>
      </c>
    </row>
    <row r="240" spans="8:8" ht="21.0" customHeight="1">
      <c r="A240" s="10"/>
      <c r="B240" s="11" t="s">
        <v>21</v>
      </c>
      <c r="C240" s="9" t="s">
        <v>330</v>
      </c>
      <c r="D240" s="8">
        <v>8200.0</v>
      </c>
      <c r="E240" s="8">
        <v>243656.0</v>
      </c>
      <c r="F240" s="13"/>
    </row>
    <row r="241" spans="8:8" ht="21.0" customHeight="1">
      <c r="A241" s="10"/>
      <c r="B241" s="11" t="s">
        <v>22</v>
      </c>
      <c r="C241" s="9" t="s">
        <v>350</v>
      </c>
      <c r="D241" s="8">
        <v>9200.0</v>
      </c>
      <c r="E241" s="8">
        <v>129851.0</v>
      </c>
      <c r="F241" s="13"/>
    </row>
    <row r="242" spans="8:8" ht="21.0" customHeight="1">
      <c r="A242" s="10"/>
      <c r="B242" s="11" t="s">
        <v>48</v>
      </c>
      <c r="C242" s="9" t="s">
        <v>271</v>
      </c>
      <c r="D242" s="8">
        <v>1600.0</v>
      </c>
      <c r="E242" s="8">
        <v>48000.0</v>
      </c>
      <c r="F242" s="13"/>
    </row>
    <row r="243" spans="8:8" ht="21.0" customHeight="1">
      <c r="A243" s="10"/>
      <c r="B243" s="11" t="s">
        <v>38</v>
      </c>
      <c r="C243" s="9" t="s">
        <v>351</v>
      </c>
      <c r="D243" s="8">
        <v>1800.0</v>
      </c>
      <c r="E243" s="8">
        <v>22710.0</v>
      </c>
      <c r="F243" s="13"/>
    </row>
    <row r="244" spans="8:8" ht="21.0" customHeight="1">
      <c r="A244" s="10"/>
      <c r="B244" s="14"/>
      <c r="C244" s="15"/>
      <c r="D244" s="15"/>
      <c r="E244" s="15"/>
      <c r="F244" s="14"/>
    </row>
    <row r="245" spans="8:8" ht="21.0" customHeight="1">
      <c r="A245" s="16">
        <v>46223.0</v>
      </c>
      <c r="B245" s="6" t="s">
        <v>154</v>
      </c>
      <c r="C245" s="7" t="s">
        <v>352</v>
      </c>
      <c r="D245" s="6"/>
      <c r="E245" s="9">
        <v>20.0</v>
      </c>
      <c r="F245" s="8">
        <v>154540.0</v>
      </c>
      <c r="G245" s="8">
        <v>150000.0</v>
      </c>
      <c r="H245" s="8">
        <v>4540.0</v>
      </c>
      <c r="I245" s="8">
        <v>154540.0</v>
      </c>
      <c r="J245" s="8">
        <v>136150.0</v>
      </c>
      <c r="K245" s="8">
        <v>18390.0</v>
      </c>
      <c r="L245" s="9">
        <v>12.0</v>
      </c>
      <c r="M245" s="6" t="s">
        <v>353</v>
      </c>
    </row>
    <row r="246" spans="8:8" ht="21.0" customHeight="1">
      <c r="A246" s="10"/>
      <c r="B246" s="3" t="s">
        <v>17</v>
      </c>
      <c r="C246" s="4" t="s">
        <v>18</v>
      </c>
      <c r="D246" s="4" t="s">
        <v>19</v>
      </c>
      <c r="E246" s="4" t="s">
        <v>11</v>
      </c>
      <c r="F246" s="3" t="s">
        <v>20</v>
      </c>
    </row>
    <row r="247" spans="8:8" ht="21.0" customHeight="1">
      <c r="A247" s="10"/>
      <c r="B247" s="11" t="s">
        <v>45</v>
      </c>
      <c r="C247" s="9" t="s">
        <v>301</v>
      </c>
      <c r="D247" s="8">
        <v>13335.0</v>
      </c>
      <c r="E247" s="8">
        <v>50987.0</v>
      </c>
      <c r="F247" s="13"/>
    </row>
    <row r="248" spans="8:8" ht="21.0" customHeight="1">
      <c r="A248" s="10"/>
      <c r="B248" s="11" t="s">
        <v>150</v>
      </c>
      <c r="C248" s="9" t="s">
        <v>274</v>
      </c>
      <c r="D248" s="8">
        <v>10315.0</v>
      </c>
      <c r="E248" s="8">
        <v>19850.0</v>
      </c>
      <c r="F248" s="13"/>
    </row>
    <row r="249" spans="8:8" ht="21.0" customHeight="1">
      <c r="A249" s="10"/>
      <c r="B249" s="11" t="s">
        <v>87</v>
      </c>
      <c r="C249" s="9" t="s">
        <v>274</v>
      </c>
      <c r="D249" s="8">
        <v>21485.0</v>
      </c>
      <c r="E249" s="8">
        <v>40880.0</v>
      </c>
      <c r="F249" s="13"/>
    </row>
    <row r="250" spans="8:8" ht="21.0" customHeight="1">
      <c r="A250" s="10"/>
      <c r="B250" s="11" t="s">
        <v>22</v>
      </c>
      <c r="C250" s="9" t="s">
        <v>275</v>
      </c>
      <c r="D250" s="8">
        <v>9200.0</v>
      </c>
      <c r="E250" s="8">
        <v>8657.0</v>
      </c>
      <c r="F250" s="13"/>
    </row>
    <row r="251" spans="8:8" ht="21.0" customHeight="1">
      <c r="A251" s="10"/>
      <c r="B251" s="11" t="s">
        <v>44</v>
      </c>
      <c r="C251" s="9" t="s">
        <v>275</v>
      </c>
      <c r="D251" s="8">
        <v>9200.0</v>
      </c>
      <c r="E251" s="8">
        <v>8990.0</v>
      </c>
      <c r="F251" s="13"/>
    </row>
    <row r="252" spans="8:8" ht="21.0" customHeight="1">
      <c r="A252" s="10"/>
      <c r="B252" s="11" t="s">
        <v>38</v>
      </c>
      <c r="C252" s="9" t="s">
        <v>354</v>
      </c>
      <c r="D252" s="8">
        <v>1800.0</v>
      </c>
      <c r="E252" s="8">
        <v>6056.0</v>
      </c>
      <c r="F252" s="13"/>
    </row>
    <row r="253" spans="8:8" ht="21.0" customHeight="1">
      <c r="A253" s="10"/>
      <c r="B253" s="11" t="s">
        <v>148</v>
      </c>
      <c r="C253" s="9" t="s">
        <v>289</v>
      </c>
      <c r="D253" s="8">
        <v>2000.0</v>
      </c>
      <c r="E253" s="9">
        <v>730.0</v>
      </c>
      <c r="F253" s="13"/>
    </row>
    <row r="254" spans="8:8" ht="21.0" customHeight="1">
      <c r="A254" s="10"/>
      <c r="B254" s="14"/>
      <c r="C254" s="15"/>
      <c r="D254" s="15"/>
      <c r="E254" s="15"/>
      <c r="F254" s="14"/>
    </row>
    <row r="255" spans="8:8" ht="21.0" customHeight="1">
      <c r="A255" s="16">
        <v>46223.0</v>
      </c>
      <c r="B255" s="6" t="s">
        <v>29</v>
      </c>
      <c r="C255" s="7" t="s">
        <v>355</v>
      </c>
      <c r="D255" s="6"/>
      <c r="E255" s="9">
        <v>5.0</v>
      </c>
      <c r="F255" s="8">
        <v>89140.0</v>
      </c>
      <c r="G255" s="8">
        <v>89140.0</v>
      </c>
      <c r="H255" s="9">
        <v>0.0</v>
      </c>
      <c r="I255" s="8">
        <v>89140.0</v>
      </c>
      <c r="J255" s="8">
        <v>88142.0</v>
      </c>
      <c r="K255" s="9">
        <v>998.0</v>
      </c>
      <c r="L255" s="9">
        <v>1.0</v>
      </c>
      <c r="M255" s="6"/>
    </row>
    <row r="256" spans="8:8" ht="21.0" customHeight="1">
      <c r="A256" s="10"/>
      <c r="B256" s="3" t="s">
        <v>17</v>
      </c>
      <c r="C256" s="4" t="s">
        <v>18</v>
      </c>
      <c r="D256" s="4" t="s">
        <v>19</v>
      </c>
      <c r="E256" s="4" t="s">
        <v>11</v>
      </c>
      <c r="F256" s="3" t="s">
        <v>20</v>
      </c>
    </row>
    <row r="257" spans="8:8" ht="21.0" customHeight="1">
      <c r="A257" s="10"/>
      <c r="B257" s="11" t="s">
        <v>31</v>
      </c>
      <c r="C257" s="9" t="s">
        <v>356</v>
      </c>
      <c r="D257" s="8">
        <v>17100.0</v>
      </c>
      <c r="E257" s="8">
        <v>51300.0</v>
      </c>
      <c r="F257" s="13"/>
    </row>
    <row r="258" spans="8:8" ht="21.0" customHeight="1">
      <c r="A258" s="10"/>
      <c r="B258" s="11" t="s">
        <v>34</v>
      </c>
      <c r="C258" s="9" t="s">
        <v>266</v>
      </c>
      <c r="D258" s="8">
        <v>21695.0</v>
      </c>
      <c r="E258" s="8">
        <v>21595.0</v>
      </c>
      <c r="F258" s="13"/>
    </row>
    <row r="259" spans="8:8" ht="21.0" customHeight="1">
      <c r="A259" s="10"/>
      <c r="B259" s="11" t="s">
        <v>32</v>
      </c>
      <c r="C259" s="9" t="s">
        <v>266</v>
      </c>
      <c r="D259" s="8">
        <v>16145.0</v>
      </c>
      <c r="E259" s="8">
        <v>15247.0</v>
      </c>
      <c r="F259" s="13"/>
    </row>
    <row r="260" spans="8:8" ht="21.0" customHeight="1">
      <c r="A260" s="10"/>
      <c r="B260" s="14"/>
      <c r="C260" s="15"/>
      <c r="D260" s="15"/>
      <c r="E260" s="15"/>
      <c r="F260" s="14"/>
    </row>
    <row r="261" spans="8:8" ht="21.0" customHeight="1">
      <c r="A261" s="16">
        <v>46223.0</v>
      </c>
      <c r="B261" s="6" t="s">
        <v>29</v>
      </c>
      <c r="C261" s="7" t="s">
        <v>357</v>
      </c>
      <c r="D261" s="6"/>
      <c r="E261" s="9">
        <v>132.0</v>
      </c>
      <c r="F261" s="8">
        <v>888995.0</v>
      </c>
      <c r="G261" s="8">
        <v>888995.0</v>
      </c>
      <c r="H261" s="9">
        <v>0.0</v>
      </c>
      <c r="I261" s="8">
        <v>888995.0</v>
      </c>
      <c r="J261" s="8">
        <v>899546.0</v>
      </c>
      <c r="K261" s="8">
        <v>-10551.0</v>
      </c>
      <c r="L261" s="9">
        <v>-1.0</v>
      </c>
      <c r="M261" s="6"/>
    </row>
    <row r="262" spans="8:8" ht="21.0" customHeight="1">
      <c r="A262" s="10"/>
      <c r="B262" s="3" t="s">
        <v>17</v>
      </c>
      <c r="C262" s="4" t="s">
        <v>18</v>
      </c>
      <c r="D262" s="4" t="s">
        <v>19</v>
      </c>
      <c r="E262" s="4" t="s">
        <v>11</v>
      </c>
      <c r="F262" s="3" t="s">
        <v>20</v>
      </c>
    </row>
    <row r="263" spans="8:8" ht="21.0" customHeight="1">
      <c r="A263" s="10"/>
      <c r="B263" s="11" t="s">
        <v>44</v>
      </c>
      <c r="C263" s="9" t="s">
        <v>358</v>
      </c>
      <c r="D263" s="8">
        <v>9200.0</v>
      </c>
      <c r="E263" s="8">
        <v>98890.0</v>
      </c>
      <c r="F263" s="13"/>
    </row>
    <row r="264" spans="8:8" ht="21.0" customHeight="1">
      <c r="A264" s="10"/>
      <c r="B264" s="11" t="s">
        <v>22</v>
      </c>
      <c r="C264" s="9" t="s">
        <v>274</v>
      </c>
      <c r="D264" s="8">
        <v>8800.0</v>
      </c>
      <c r="E264" s="8">
        <v>17313.0</v>
      </c>
      <c r="F264" s="13"/>
    </row>
    <row r="265" spans="8:8" ht="21.0" customHeight="1">
      <c r="A265" s="10"/>
      <c r="B265" s="11" t="s">
        <v>65</v>
      </c>
      <c r="C265" s="9" t="s">
        <v>274</v>
      </c>
      <c r="D265" s="8">
        <v>11910.0</v>
      </c>
      <c r="E265" s="8">
        <v>22630.0</v>
      </c>
      <c r="F265" s="13"/>
    </row>
    <row r="266" spans="8:8" ht="21.0" customHeight="1">
      <c r="A266" s="10"/>
      <c r="B266" s="11" t="s">
        <v>113</v>
      </c>
      <c r="C266" s="9" t="s">
        <v>275</v>
      </c>
      <c r="D266" s="8">
        <v>14575.0</v>
      </c>
      <c r="E266" s="8">
        <v>14475.0</v>
      </c>
      <c r="F266" s="13"/>
    </row>
    <row r="267" spans="8:8" ht="21.0" customHeight="1">
      <c r="A267" s="10"/>
      <c r="B267" s="11" t="s">
        <v>24</v>
      </c>
      <c r="C267" s="9" t="s">
        <v>359</v>
      </c>
      <c r="D267" s="8">
        <v>5000.0</v>
      </c>
      <c r="E267" s="8">
        <v>416000.0</v>
      </c>
      <c r="F267" s="13"/>
    </row>
    <row r="268" spans="8:8" ht="21.0" customHeight="1">
      <c r="A268" s="10"/>
      <c r="B268" s="11" t="s">
        <v>28</v>
      </c>
      <c r="C268" s="9" t="s">
        <v>312</v>
      </c>
      <c r="D268" s="8">
        <v>13200.0</v>
      </c>
      <c r="E268" s="8">
        <v>135014.0</v>
      </c>
      <c r="F268" s="13"/>
    </row>
    <row r="269" spans="8:8" ht="21.0" customHeight="1">
      <c r="A269" s="10"/>
      <c r="B269" s="11" t="s">
        <v>31</v>
      </c>
      <c r="C269" s="9" t="s">
        <v>312</v>
      </c>
      <c r="D269" s="8">
        <v>17100.0</v>
      </c>
      <c r="E269" s="8">
        <v>171000.0</v>
      </c>
      <c r="F269" s="13"/>
    </row>
    <row r="270" spans="8:8" ht="21.0" customHeight="1">
      <c r="A270" s="10"/>
      <c r="B270" s="11" t="s">
        <v>38</v>
      </c>
      <c r="C270" s="9" t="s">
        <v>360</v>
      </c>
      <c r="D270" s="8">
        <v>1800.0</v>
      </c>
      <c r="E270" s="8">
        <v>24224.0</v>
      </c>
      <c r="F270" s="13"/>
    </row>
    <row r="271" spans="8:8" ht="21.0" customHeight="1">
      <c r="A271" s="10"/>
      <c r="B271" s="14"/>
      <c r="C271" s="15"/>
      <c r="D271" s="15"/>
      <c r="E271" s="15"/>
      <c r="F271" s="14"/>
    </row>
    <row r="272" spans="8:8" ht="21.0" customHeight="1">
      <c r="A272" s="16">
        <v>46223.0</v>
      </c>
      <c r="B272" s="6" t="s">
        <v>152</v>
      </c>
      <c r="C272" s="7" t="s">
        <v>361</v>
      </c>
      <c r="D272" s="6"/>
      <c r="E272" s="9">
        <v>420.0</v>
      </c>
      <c r="F272" s="8">
        <v>756000.0</v>
      </c>
      <c r="G272" s="8">
        <v>619200.0</v>
      </c>
      <c r="H272" s="8">
        <v>136800.0</v>
      </c>
      <c r="I272" s="8">
        <v>756000.0</v>
      </c>
      <c r="J272" s="8">
        <v>635888.0</v>
      </c>
      <c r="K272" s="8">
        <v>120112.0</v>
      </c>
      <c r="L272" s="9">
        <v>16.0</v>
      </c>
      <c r="M272" s="6"/>
    </row>
    <row r="273" spans="8:8" ht="21.0" customHeight="1">
      <c r="A273" s="10"/>
      <c r="B273" s="3" t="s">
        <v>17</v>
      </c>
      <c r="C273" s="4" t="s">
        <v>18</v>
      </c>
      <c r="D273" s="4" t="s">
        <v>19</v>
      </c>
      <c r="E273" s="4" t="s">
        <v>11</v>
      </c>
      <c r="F273" s="3" t="s">
        <v>20</v>
      </c>
    </row>
    <row r="274" spans="8:8" ht="21.0" customHeight="1">
      <c r="A274" s="10"/>
      <c r="B274" s="11" t="s">
        <v>38</v>
      </c>
      <c r="C274" s="9" t="s">
        <v>362</v>
      </c>
      <c r="D274" s="8">
        <v>1800.0</v>
      </c>
      <c r="E274" s="8">
        <v>635888.0</v>
      </c>
      <c r="F274" s="13"/>
    </row>
    <row r="275" spans="8:8" ht="21.0" customHeight="1">
      <c r="A275" s="10"/>
      <c r="B275" s="14"/>
      <c r="C275" s="15"/>
      <c r="D275" s="15"/>
      <c r="E275" s="15"/>
      <c r="F275" s="14"/>
    </row>
    <row r="276" spans="8:8" ht="21.0" customHeight="1">
      <c r="A276" s="16">
        <v>46223.0</v>
      </c>
      <c r="B276" s="6" t="s">
        <v>78</v>
      </c>
      <c r="C276" s="7" t="s">
        <v>363</v>
      </c>
      <c r="D276" s="6"/>
      <c r="E276" s="9">
        <v>1.0</v>
      </c>
      <c r="F276" s="8">
        <v>12885.0</v>
      </c>
      <c r="G276" s="9">
        <v>0.0</v>
      </c>
      <c r="H276" s="8">
        <v>12885.0</v>
      </c>
      <c r="I276" s="8">
        <v>12885.0</v>
      </c>
      <c r="J276" s="8">
        <v>12120.0</v>
      </c>
      <c r="K276" s="9">
        <v>765.0</v>
      </c>
      <c r="L276" s="9">
        <v>6.0</v>
      </c>
      <c r="M276" s="6"/>
    </row>
    <row r="277" spans="8:8" ht="21.0" customHeight="1">
      <c r="A277" s="10"/>
      <c r="B277" s="3" t="s">
        <v>17</v>
      </c>
      <c r="C277" s="4" t="s">
        <v>18</v>
      </c>
      <c r="D277" s="4" t="s">
        <v>19</v>
      </c>
      <c r="E277" s="4" t="s">
        <v>11</v>
      </c>
      <c r="F277" s="3" t="s">
        <v>20</v>
      </c>
    </row>
    <row r="278" spans="8:8" ht="21.0" customHeight="1">
      <c r="A278" s="10"/>
      <c r="B278" s="11" t="s">
        <v>61</v>
      </c>
      <c r="C278" s="9" t="s">
        <v>266</v>
      </c>
      <c r="D278" s="8">
        <v>12885.0</v>
      </c>
      <c r="E278" s="8">
        <v>12120.0</v>
      </c>
      <c r="F278" s="13"/>
    </row>
    <row r="279" spans="8:8" ht="21.0" customHeight="1">
      <c r="A279" s="10"/>
      <c r="B279" s="14"/>
      <c r="C279" s="15"/>
      <c r="D279" s="15"/>
      <c r="E279" s="15"/>
      <c r="F279" s="14"/>
    </row>
    <row r="280" spans="8:8" ht="21.0" customHeight="1">
      <c r="A280" s="16">
        <v>46223.0</v>
      </c>
      <c r="B280" s="6" t="s">
        <v>15</v>
      </c>
      <c r="C280" s="7" t="s">
        <v>364</v>
      </c>
      <c r="D280" s="6"/>
      <c r="E280" s="9">
        <v>2.0</v>
      </c>
      <c r="F280" s="8">
        <v>10600.0</v>
      </c>
      <c r="G280" s="8">
        <v>10600.0</v>
      </c>
      <c r="H280" s="9">
        <v>0.0</v>
      </c>
      <c r="I280" s="8">
        <v>10600.0</v>
      </c>
      <c r="J280" s="8">
        <v>10400.0</v>
      </c>
      <c r="K280" s="9">
        <v>200.0</v>
      </c>
      <c r="L280" s="9">
        <v>2.0</v>
      </c>
      <c r="M280" s="6"/>
    </row>
    <row r="281" spans="8:8" ht="21.0" customHeight="1">
      <c r="A281" s="10"/>
      <c r="B281" s="3" t="s">
        <v>17</v>
      </c>
      <c r="C281" s="4" t="s">
        <v>18</v>
      </c>
      <c r="D281" s="4" t="s">
        <v>19</v>
      </c>
      <c r="E281" s="4" t="s">
        <v>11</v>
      </c>
      <c r="F281" s="3" t="s">
        <v>20</v>
      </c>
    </row>
    <row r="282" spans="8:8" ht="21.0" customHeight="1">
      <c r="A282" s="10"/>
      <c r="B282" s="11" t="s">
        <v>24</v>
      </c>
      <c r="C282" s="9" t="s">
        <v>265</v>
      </c>
      <c r="D282" s="8">
        <v>5300.0</v>
      </c>
      <c r="E282" s="8">
        <v>10400.0</v>
      </c>
      <c r="F282" s="13"/>
    </row>
    <row r="283" spans="8:8" ht="21.0" customHeight="1">
      <c r="A283" s="10"/>
      <c r="B283" s="14"/>
      <c r="C283" s="15"/>
      <c r="D283" s="15"/>
      <c r="E283" s="15"/>
      <c r="F283" s="14"/>
    </row>
    <row r="284" spans="8:8" ht="21.0" customHeight="1">
      <c r="A284" s="16">
        <v>46223.0</v>
      </c>
      <c r="B284" s="6" t="s">
        <v>139</v>
      </c>
      <c r="C284" s="7" t="s">
        <v>365</v>
      </c>
      <c r="D284" s="6"/>
      <c r="E284" s="9">
        <v>674.0</v>
      </c>
      <c r="F284" s="8">
        <v>4121490.0</v>
      </c>
      <c r="G284" s="8">
        <v>4110925.0</v>
      </c>
      <c r="H284" s="8">
        <v>10565.0</v>
      </c>
      <c r="I284" s="8">
        <v>4121490.0</v>
      </c>
      <c r="J284" s="8">
        <v>3907090.0</v>
      </c>
      <c r="K284" s="8">
        <v>214400.0</v>
      </c>
      <c r="L284" s="9">
        <v>5.0</v>
      </c>
      <c r="M284" s="6"/>
    </row>
    <row r="285" spans="8:8" ht="21.0" customHeight="1">
      <c r="A285" s="10"/>
      <c r="B285" s="3" t="s">
        <v>17</v>
      </c>
      <c r="C285" s="4" t="s">
        <v>18</v>
      </c>
      <c r="D285" s="4" t="s">
        <v>19</v>
      </c>
      <c r="E285" s="4" t="s">
        <v>11</v>
      </c>
      <c r="F285" s="3" t="s">
        <v>20</v>
      </c>
    </row>
    <row r="286" spans="8:8" ht="21.0" customHeight="1">
      <c r="A286" s="10"/>
      <c r="B286" s="11" t="s">
        <v>45</v>
      </c>
      <c r="C286" s="9" t="s">
        <v>366</v>
      </c>
      <c r="D286" s="8">
        <v>12930.0</v>
      </c>
      <c r="E286" s="8">
        <v>650085.0</v>
      </c>
      <c r="F286" s="13"/>
    </row>
    <row r="287" spans="8:8" ht="21.0" customHeight="1">
      <c r="A287" s="10"/>
      <c r="B287" s="11" t="s">
        <v>22</v>
      </c>
      <c r="C287" s="9" t="s">
        <v>367</v>
      </c>
      <c r="D287" s="8">
        <v>8600.0</v>
      </c>
      <c r="E287" s="8">
        <v>1428363.0</v>
      </c>
      <c r="F287" s="13"/>
    </row>
    <row r="288" spans="8:8" ht="21.0" customHeight="1">
      <c r="A288" s="10"/>
      <c r="B288" s="11" t="s">
        <v>101</v>
      </c>
      <c r="C288" s="9" t="s">
        <v>318</v>
      </c>
      <c r="D288" s="8">
        <v>13020.0</v>
      </c>
      <c r="E288" s="8">
        <v>258400.0</v>
      </c>
      <c r="F288" s="13"/>
    </row>
    <row r="289" spans="8:8" ht="21.0" customHeight="1">
      <c r="A289" s="10"/>
      <c r="B289" s="11" t="s">
        <v>93</v>
      </c>
      <c r="C289" s="9" t="s">
        <v>350</v>
      </c>
      <c r="D289" s="8">
        <v>11330.0</v>
      </c>
      <c r="E289" s="8">
        <v>166950.0</v>
      </c>
      <c r="F289" s="13"/>
    </row>
    <row r="290" spans="8:8" ht="21.0" customHeight="1">
      <c r="A290" s="10"/>
      <c r="B290" s="11" t="s">
        <v>65</v>
      </c>
      <c r="C290" s="9" t="s">
        <v>358</v>
      </c>
      <c r="D290" s="8">
        <v>11415.0</v>
      </c>
      <c r="E290" s="8">
        <v>124465.0</v>
      </c>
      <c r="F290" s="13"/>
    </row>
    <row r="291" spans="8:8" ht="21.0" customHeight="1">
      <c r="A291" s="10"/>
      <c r="B291" s="11" t="s">
        <v>113</v>
      </c>
      <c r="C291" s="9" t="s">
        <v>270</v>
      </c>
      <c r="D291" s="8">
        <v>14675.0</v>
      </c>
      <c r="E291" s="8">
        <v>72375.0</v>
      </c>
      <c r="F291" s="13"/>
    </row>
    <row r="292" spans="8:8" ht="21.0" customHeight="1">
      <c r="A292" s="10"/>
      <c r="B292" s="11" t="s">
        <v>87</v>
      </c>
      <c r="C292" s="9" t="s">
        <v>358</v>
      </c>
      <c r="D292" s="8">
        <v>20540.0</v>
      </c>
      <c r="E292" s="8">
        <v>224840.0</v>
      </c>
      <c r="F292" s="13"/>
    </row>
    <row r="293" spans="8:8" ht="21.0" customHeight="1">
      <c r="A293" s="10"/>
      <c r="B293" s="11" t="s">
        <v>150</v>
      </c>
      <c r="C293" s="9" t="s">
        <v>314</v>
      </c>
      <c r="D293" s="8">
        <v>10125.0</v>
      </c>
      <c r="E293" s="8">
        <v>99250.0</v>
      </c>
      <c r="F293" s="13"/>
    </row>
    <row r="294" spans="8:8" ht="21.0" customHeight="1">
      <c r="A294" s="10"/>
      <c r="B294" s="11" t="s">
        <v>21</v>
      </c>
      <c r="C294" s="9" t="s">
        <v>343</v>
      </c>
      <c r="D294" s="8">
        <v>8300.0</v>
      </c>
      <c r="E294" s="8">
        <v>64975.0</v>
      </c>
      <c r="F294" s="13"/>
    </row>
    <row r="295" spans="8:8" ht="21.0" customHeight="1">
      <c r="A295" s="10"/>
      <c r="B295" s="11" t="s">
        <v>24</v>
      </c>
      <c r="C295" s="9" t="s">
        <v>368</v>
      </c>
      <c r="D295" s="8">
        <v>5000.0</v>
      </c>
      <c r="E295" s="8">
        <v>26000.0</v>
      </c>
      <c r="F295" s="13"/>
    </row>
    <row r="296" spans="8:8" ht="21.0" customHeight="1">
      <c r="A296" s="10"/>
      <c r="B296" s="11" t="s">
        <v>27</v>
      </c>
      <c r="C296" s="9" t="s">
        <v>369</v>
      </c>
      <c r="D296" s="8">
        <v>8020.0</v>
      </c>
      <c r="E296" s="8">
        <v>115275.0</v>
      </c>
      <c r="F296" s="13"/>
    </row>
    <row r="297" spans="8:8" ht="21.0" customHeight="1">
      <c r="A297" s="10"/>
      <c r="B297" s="11" t="s">
        <v>37</v>
      </c>
      <c r="C297" s="9" t="s">
        <v>330</v>
      </c>
      <c r="D297" s="8">
        <v>8800.0</v>
      </c>
      <c r="E297" s="8">
        <v>255750.0</v>
      </c>
      <c r="F297" s="13"/>
    </row>
    <row r="298" spans="8:8" ht="21.0" customHeight="1">
      <c r="A298" s="10"/>
      <c r="B298" s="11" t="s">
        <v>100</v>
      </c>
      <c r="C298" s="9" t="s">
        <v>275</v>
      </c>
      <c r="D298" s="8">
        <v>11480.0</v>
      </c>
      <c r="E298" s="8">
        <v>10915.0</v>
      </c>
      <c r="F298" s="13"/>
    </row>
    <row r="299" spans="8:8" ht="21.0" customHeight="1">
      <c r="A299" s="10"/>
      <c r="B299" s="11" t="s">
        <v>148</v>
      </c>
      <c r="C299" s="9" t="s">
        <v>370</v>
      </c>
      <c r="D299" s="8">
        <v>2000.0</v>
      </c>
      <c r="E299" s="8">
        <v>7544.0</v>
      </c>
      <c r="F299" s="13"/>
    </row>
    <row r="300" spans="8:8" ht="21.0" customHeight="1">
      <c r="A300" s="10"/>
      <c r="B300" s="11" t="s">
        <v>38</v>
      </c>
      <c r="C300" s="9" t="s">
        <v>371</v>
      </c>
      <c r="D300" s="8">
        <v>1800.0</v>
      </c>
      <c r="E300" s="8">
        <v>389103.0</v>
      </c>
      <c r="F300" s="13"/>
    </row>
    <row r="301" spans="8:8" ht="21.0" customHeight="1">
      <c r="A301" s="10"/>
      <c r="B301" s="11" t="s">
        <v>48</v>
      </c>
      <c r="C301" s="9" t="s">
        <v>372</v>
      </c>
      <c r="D301" s="8">
        <v>1600.0</v>
      </c>
      <c r="E301" s="8">
        <v>12800.0</v>
      </c>
      <c r="F301" s="13"/>
    </row>
    <row r="302" spans="8:8" ht="21.0" customHeight="1">
      <c r="A302" s="10"/>
      <c r="B302" s="14"/>
      <c r="C302" s="15"/>
      <c r="D302" s="15"/>
      <c r="E302" s="15"/>
      <c r="F302" s="14"/>
    </row>
    <row r="303" spans="8:8" ht="21.0" customHeight="1">
      <c r="A303" s="16">
        <v>46224.0</v>
      </c>
      <c r="B303" s="6" t="s">
        <v>50</v>
      </c>
      <c r="C303" s="7" t="s">
        <v>373</v>
      </c>
      <c r="D303" s="6"/>
      <c r="E303" s="9">
        <v>120.0</v>
      </c>
      <c r="F303" s="8">
        <v>600000.0</v>
      </c>
      <c r="G303" s="8">
        <v>600000.0</v>
      </c>
      <c r="H303" s="9">
        <v>0.0</v>
      </c>
      <c r="I303" s="8">
        <v>600000.0</v>
      </c>
      <c r="J303" s="8">
        <v>624000.0</v>
      </c>
      <c r="K303" s="8">
        <v>-24000.0</v>
      </c>
      <c r="L303" s="9">
        <v>-4.0</v>
      </c>
      <c r="M303" s="6"/>
    </row>
    <row r="304" spans="8:8" ht="21.0" customHeight="1">
      <c r="A304" s="10"/>
      <c r="B304" s="3" t="s">
        <v>17</v>
      </c>
      <c r="C304" s="4" t="s">
        <v>18</v>
      </c>
      <c r="D304" s="4" t="s">
        <v>19</v>
      </c>
      <c r="E304" s="4" t="s">
        <v>11</v>
      </c>
      <c r="F304" s="3" t="s">
        <v>20</v>
      </c>
    </row>
    <row r="305" spans="8:8" ht="21.0" customHeight="1">
      <c r="A305" s="10"/>
      <c r="B305" s="11" t="s">
        <v>24</v>
      </c>
      <c r="C305" s="9" t="s">
        <v>374</v>
      </c>
      <c r="D305" s="8">
        <v>5000.0</v>
      </c>
      <c r="E305" s="8">
        <v>624000.0</v>
      </c>
      <c r="F305" s="13"/>
    </row>
    <row r="306" spans="8:8" ht="21.0" customHeight="1">
      <c r="A306" s="10"/>
      <c r="B306" s="14"/>
      <c r="C306" s="15"/>
      <c r="D306" s="15"/>
      <c r="E306" s="15"/>
      <c r="F306" s="14"/>
    </row>
    <row r="307" spans="8:8" ht="21.0" customHeight="1">
      <c r="A307" s="16">
        <v>46224.0</v>
      </c>
      <c r="B307" s="6" t="s">
        <v>50</v>
      </c>
      <c r="C307" s="7" t="s">
        <v>375</v>
      </c>
      <c r="D307" s="6"/>
      <c r="E307" s="9">
        <v>46.0</v>
      </c>
      <c r="F307" s="8">
        <v>326615.0</v>
      </c>
      <c r="G307" s="8">
        <v>326615.0</v>
      </c>
      <c r="H307" s="9">
        <v>0.0</v>
      </c>
      <c r="I307" s="8">
        <v>326615.0</v>
      </c>
      <c r="J307" s="8">
        <v>300088.0</v>
      </c>
      <c r="K307" s="8">
        <v>26527.0</v>
      </c>
      <c r="L307" s="9">
        <v>8.0</v>
      </c>
      <c r="M307" s="6"/>
    </row>
    <row r="308" spans="8:8" ht="21.0" customHeight="1">
      <c r="A308" s="10"/>
      <c r="B308" s="3" t="s">
        <v>17</v>
      </c>
      <c r="C308" s="4" t="s">
        <v>18</v>
      </c>
      <c r="D308" s="4" t="s">
        <v>19</v>
      </c>
      <c r="E308" s="4" t="s">
        <v>11</v>
      </c>
      <c r="F308" s="3" t="s">
        <v>20</v>
      </c>
    </row>
    <row r="309" spans="8:8" ht="21.0" customHeight="1">
      <c r="A309" s="10"/>
      <c r="B309" s="11" t="s">
        <v>44</v>
      </c>
      <c r="C309" s="9" t="s">
        <v>314</v>
      </c>
      <c r="D309" s="8">
        <v>9200.0</v>
      </c>
      <c r="E309" s="8">
        <v>89900.0</v>
      </c>
      <c r="F309" s="13"/>
    </row>
    <row r="310" spans="8:8" ht="21.0" customHeight="1">
      <c r="A310" s="10"/>
      <c r="B310" s="11" t="s">
        <v>87</v>
      </c>
      <c r="C310" s="9" t="s">
        <v>270</v>
      </c>
      <c r="D310" s="8">
        <v>21400.0</v>
      </c>
      <c r="E310" s="8">
        <v>102200.0</v>
      </c>
      <c r="F310" s="13"/>
    </row>
    <row r="311" spans="8:8" ht="21.0" customHeight="1">
      <c r="A311" s="10"/>
      <c r="B311" s="11" t="s">
        <v>37</v>
      </c>
      <c r="C311" s="9" t="s">
        <v>270</v>
      </c>
      <c r="D311" s="8">
        <v>9200.0</v>
      </c>
      <c r="E311" s="8">
        <v>42625.0</v>
      </c>
      <c r="F311" s="13"/>
    </row>
    <row r="312" spans="8:8" ht="21.0" customHeight="1">
      <c r="A312" s="10"/>
      <c r="B312" s="11" t="s">
        <v>69</v>
      </c>
      <c r="C312" s="9" t="s">
        <v>274</v>
      </c>
      <c r="D312" s="8">
        <v>14450.0</v>
      </c>
      <c r="E312" s="8">
        <v>27560.0</v>
      </c>
      <c r="F312" s="13"/>
    </row>
    <row r="313" spans="8:8" ht="21.0" customHeight="1">
      <c r="A313" s="10"/>
      <c r="B313" s="11" t="s">
        <v>150</v>
      </c>
      <c r="C313" s="9" t="s">
        <v>275</v>
      </c>
      <c r="D313" s="8">
        <v>10315.0</v>
      </c>
      <c r="E313" s="8">
        <v>9925.0</v>
      </c>
      <c r="F313" s="13"/>
    </row>
    <row r="314" spans="8:8" ht="21.0" customHeight="1">
      <c r="A314" s="10"/>
      <c r="B314" s="11" t="s">
        <v>38</v>
      </c>
      <c r="C314" s="9" t="s">
        <v>376</v>
      </c>
      <c r="D314" s="8">
        <v>1800.0</v>
      </c>
      <c r="E314" s="8">
        <v>27260.0</v>
      </c>
      <c r="F314" s="13"/>
    </row>
    <row r="315" spans="8:8" ht="21.0" customHeight="1">
      <c r="A315" s="10"/>
      <c r="B315" s="11" t="s">
        <v>148</v>
      </c>
      <c r="C315" s="9" t="s">
        <v>377</v>
      </c>
      <c r="D315" s="8">
        <v>2000.0</v>
      </c>
      <c r="E315" s="9">
        <v>618.0</v>
      </c>
      <c r="F315" s="13"/>
    </row>
    <row r="316" spans="8:8" ht="21.0" customHeight="1">
      <c r="A316" s="10"/>
      <c r="B316" s="14"/>
      <c r="C316" s="15"/>
      <c r="D316" s="15"/>
      <c r="E316" s="15"/>
      <c r="F316" s="14"/>
    </row>
    <row r="317" spans="8:8" ht="21.0" customHeight="1">
      <c r="A317" s="16">
        <v>46224.0</v>
      </c>
      <c r="B317" s="6" t="s">
        <v>29</v>
      </c>
      <c r="C317" s="7" t="s">
        <v>378</v>
      </c>
      <c r="D317" s="6"/>
      <c r="E317" s="9">
        <v>57.0</v>
      </c>
      <c r="F317" s="8">
        <v>411125.0</v>
      </c>
      <c r="G317" s="8">
        <v>411125.0</v>
      </c>
      <c r="H317" s="9">
        <v>0.0</v>
      </c>
      <c r="I317" s="8">
        <v>411125.0</v>
      </c>
      <c r="J317" s="8">
        <v>390100.0</v>
      </c>
      <c r="K317" s="8">
        <v>21025.0</v>
      </c>
      <c r="L317" s="9">
        <v>5.0</v>
      </c>
      <c r="M317" s="6"/>
    </row>
    <row r="318" spans="8:8" ht="21.0" customHeight="1">
      <c r="A318" s="10"/>
      <c r="B318" s="3" t="s">
        <v>17</v>
      </c>
      <c r="C318" s="4" t="s">
        <v>18</v>
      </c>
      <c r="D318" s="4" t="s">
        <v>19</v>
      </c>
      <c r="E318" s="4" t="s">
        <v>11</v>
      </c>
      <c r="F318" s="3" t="s">
        <v>20</v>
      </c>
    </row>
    <row r="319" spans="8:8" ht="21.0" customHeight="1">
      <c r="A319" s="10"/>
      <c r="B319" s="11" t="s">
        <v>22</v>
      </c>
      <c r="C319" s="9" t="s">
        <v>379</v>
      </c>
      <c r="D319" s="8">
        <v>8800.0</v>
      </c>
      <c r="E319" s="8">
        <v>155821.0</v>
      </c>
      <c r="F319" s="13"/>
    </row>
    <row r="320" spans="8:8" ht="21.0" customHeight="1">
      <c r="A320" s="10"/>
      <c r="B320" s="11" t="s">
        <v>45</v>
      </c>
      <c r="C320" s="9" t="s">
        <v>301</v>
      </c>
      <c r="D320" s="8">
        <v>13335.0</v>
      </c>
      <c r="E320" s="8">
        <v>50987.0</v>
      </c>
      <c r="F320" s="13"/>
    </row>
    <row r="321" spans="8:8" ht="21.0" customHeight="1">
      <c r="A321" s="10"/>
      <c r="B321" s="11" t="s">
        <v>28</v>
      </c>
      <c r="C321" s="9" t="s">
        <v>356</v>
      </c>
      <c r="D321" s="8">
        <v>13200.0</v>
      </c>
      <c r="E321" s="8">
        <v>40504.0</v>
      </c>
      <c r="F321" s="13"/>
    </row>
    <row r="322" spans="8:8" ht="21.0" customHeight="1">
      <c r="A322" s="10"/>
      <c r="B322" s="11" t="s">
        <v>70</v>
      </c>
      <c r="C322" s="9" t="s">
        <v>380</v>
      </c>
      <c r="D322" s="8">
        <v>13460.0</v>
      </c>
      <c r="E322" s="8">
        <v>25710.0</v>
      </c>
      <c r="F322" s="13"/>
    </row>
    <row r="323" spans="8:8" ht="21.0" customHeight="1">
      <c r="A323" s="10"/>
      <c r="B323" s="11" t="s">
        <v>61</v>
      </c>
      <c r="C323" s="9" t="s">
        <v>266</v>
      </c>
      <c r="D323" s="8">
        <v>12885.0</v>
      </c>
      <c r="E323" s="8">
        <v>12120.0</v>
      </c>
      <c r="F323" s="13"/>
    </row>
    <row r="324" spans="8:8" ht="21.0" customHeight="1">
      <c r="A324" s="10"/>
      <c r="B324" s="11" t="s">
        <v>32</v>
      </c>
      <c r="C324" s="9" t="s">
        <v>380</v>
      </c>
      <c r="D324" s="8">
        <v>16145.0</v>
      </c>
      <c r="E324" s="8">
        <v>30494.0</v>
      </c>
      <c r="F324" s="13"/>
    </row>
    <row r="325" spans="8:8" ht="21.0" customHeight="1">
      <c r="A325" s="10"/>
      <c r="B325" s="11" t="s">
        <v>33</v>
      </c>
      <c r="C325" s="9" t="s">
        <v>380</v>
      </c>
      <c r="D325" s="8">
        <v>16145.0</v>
      </c>
      <c r="E325" s="8">
        <v>31110.0</v>
      </c>
      <c r="F325" s="13"/>
    </row>
    <row r="326" spans="8:8" ht="21.0" customHeight="1">
      <c r="A326" s="10"/>
      <c r="B326" s="11" t="s">
        <v>24</v>
      </c>
      <c r="C326" s="9" t="s">
        <v>381</v>
      </c>
      <c r="D326" s="8">
        <v>5000.0</v>
      </c>
      <c r="E326" s="8">
        <v>15600.0</v>
      </c>
      <c r="F326" s="13"/>
    </row>
    <row r="327" spans="8:8" ht="21.0" customHeight="1">
      <c r="A327" s="10"/>
      <c r="B327" s="11" t="s">
        <v>38</v>
      </c>
      <c r="C327" s="9" t="s">
        <v>376</v>
      </c>
      <c r="D327" s="8">
        <v>1800.0</v>
      </c>
      <c r="E327" s="8">
        <v>27260.0</v>
      </c>
      <c r="F327" s="13"/>
    </row>
    <row r="328" spans="8:8" ht="21.0" customHeight="1">
      <c r="A328" s="10"/>
      <c r="B328" s="11" t="s">
        <v>148</v>
      </c>
      <c r="C328" s="9" t="s">
        <v>354</v>
      </c>
      <c r="D328" s="8">
        <v>2000.0</v>
      </c>
      <c r="E328" s="9">
        <v>494.0</v>
      </c>
      <c r="F328" s="13"/>
    </row>
    <row r="329" spans="8:8" ht="21.0" customHeight="1">
      <c r="A329" s="10"/>
      <c r="B329" s="14"/>
      <c r="C329" s="15"/>
      <c r="D329" s="15"/>
      <c r="E329" s="15"/>
      <c r="F329" s="14"/>
    </row>
    <row r="330" spans="8:8" ht="21.0" customHeight="1">
      <c r="A330" s="16">
        <v>46224.0</v>
      </c>
      <c r="B330" s="6" t="s">
        <v>25</v>
      </c>
      <c r="C330" s="7" t="s">
        <v>382</v>
      </c>
      <c r="D330" s="6"/>
      <c r="E330" s="9">
        <v>240.0</v>
      </c>
      <c r="F330" s="8">
        <v>1200000.0</v>
      </c>
      <c r="G330" s="8">
        <v>1200000.0</v>
      </c>
      <c r="H330" s="9">
        <v>0.0</v>
      </c>
      <c r="I330" s="8">
        <v>1200000.0</v>
      </c>
      <c r="J330" s="8">
        <v>1248000.0</v>
      </c>
      <c r="K330" s="8">
        <v>-48000.0</v>
      </c>
      <c r="L330" s="9">
        <v>-4.0</v>
      </c>
      <c r="M330" s="6"/>
    </row>
    <row r="331" spans="8:8" ht="21.0" customHeight="1">
      <c r="A331" s="10"/>
      <c r="B331" s="3" t="s">
        <v>17</v>
      </c>
      <c r="C331" s="4" t="s">
        <v>18</v>
      </c>
      <c r="D331" s="4" t="s">
        <v>19</v>
      </c>
      <c r="E331" s="4" t="s">
        <v>11</v>
      </c>
      <c r="F331" s="3" t="s">
        <v>20</v>
      </c>
    </row>
    <row r="332" spans="8:8" ht="21.0" customHeight="1">
      <c r="A332" s="10"/>
      <c r="B332" s="11" t="s">
        <v>24</v>
      </c>
      <c r="C332" s="9" t="s">
        <v>383</v>
      </c>
      <c r="D332" s="8">
        <v>5000.0</v>
      </c>
      <c r="E332" s="8">
        <v>1248000.0</v>
      </c>
      <c r="F332" s="13"/>
    </row>
    <row r="333" spans="8:8" ht="21.0" customHeight="1">
      <c r="A333" s="10"/>
      <c r="B333" s="14"/>
      <c r="C333" s="15"/>
      <c r="D333" s="15"/>
      <c r="E333" s="15"/>
      <c r="F333" s="14"/>
    </row>
    <row r="334" spans="8:8" ht="21.0" customHeight="1">
      <c r="A334" s="16">
        <v>46224.0</v>
      </c>
      <c r="B334" s="6" t="s">
        <v>85</v>
      </c>
      <c r="C334" s="7" t="s">
        <v>384</v>
      </c>
      <c r="D334" s="6"/>
      <c r="E334" s="9">
        <v>19.0</v>
      </c>
      <c r="F334" s="8">
        <v>196980.0</v>
      </c>
      <c r="G334" s="8">
        <v>196980.0</v>
      </c>
      <c r="H334" s="9">
        <v>0.0</v>
      </c>
      <c r="I334" s="8">
        <v>196980.0</v>
      </c>
      <c r="J334" s="8">
        <v>169864.0</v>
      </c>
      <c r="K334" s="8">
        <v>27116.0</v>
      </c>
      <c r="L334" s="9">
        <v>14.0</v>
      </c>
      <c r="M334" s="6"/>
    </row>
    <row r="335" spans="8:8" ht="21.0" customHeight="1">
      <c r="A335" s="10"/>
      <c r="B335" s="3" t="s">
        <v>17</v>
      </c>
      <c r="C335" s="4" t="s">
        <v>18</v>
      </c>
      <c r="D335" s="4" t="s">
        <v>19</v>
      </c>
      <c r="E335" s="4" t="s">
        <v>11</v>
      </c>
      <c r="F335" s="3" t="s">
        <v>20</v>
      </c>
    </row>
    <row r="336" spans="8:8" ht="21.0" customHeight="1">
      <c r="A336" s="10"/>
      <c r="B336" s="11" t="s">
        <v>34</v>
      </c>
      <c r="C336" s="9" t="s">
        <v>266</v>
      </c>
      <c r="D336" s="8">
        <v>22740.0</v>
      </c>
      <c r="E336" s="8">
        <v>21595.0</v>
      </c>
      <c r="F336" s="13"/>
    </row>
    <row r="337" spans="8:8" ht="21.0" customHeight="1">
      <c r="A337" s="10"/>
      <c r="B337" s="11" t="s">
        <v>87</v>
      </c>
      <c r="C337" s="9" t="s">
        <v>323</v>
      </c>
      <c r="D337" s="8">
        <v>22565.0</v>
      </c>
      <c r="E337" s="8">
        <v>61320.0</v>
      </c>
      <c r="F337" s="13"/>
    </row>
    <row r="338" spans="8:8" ht="21.0" customHeight="1">
      <c r="A338" s="10"/>
      <c r="B338" s="11" t="s">
        <v>113</v>
      </c>
      <c r="C338" s="9" t="s">
        <v>323</v>
      </c>
      <c r="D338" s="8">
        <v>15765.0</v>
      </c>
      <c r="E338" s="8">
        <v>43425.0</v>
      </c>
      <c r="F338" s="13"/>
    </row>
    <row r="339" spans="8:8" ht="21.0" customHeight="1">
      <c r="A339" s="10"/>
      <c r="B339" s="11" t="s">
        <v>45</v>
      </c>
      <c r="C339" s="9" t="s">
        <v>323</v>
      </c>
      <c r="D339" s="8">
        <v>13950.0</v>
      </c>
      <c r="E339" s="8">
        <v>38240.0</v>
      </c>
      <c r="F339" s="13"/>
    </row>
    <row r="340" spans="8:8" ht="21.0" customHeight="1">
      <c r="A340" s="10"/>
      <c r="B340" s="11" t="s">
        <v>148</v>
      </c>
      <c r="C340" s="9" t="s">
        <v>289</v>
      </c>
      <c r="D340" s="8">
        <v>2000.0</v>
      </c>
      <c r="E340" s="9">
        <v>741.0</v>
      </c>
      <c r="F340" s="13"/>
    </row>
    <row r="341" spans="8:8" ht="21.0" customHeight="1">
      <c r="A341" s="10"/>
      <c r="B341" s="11" t="s">
        <v>38</v>
      </c>
      <c r="C341" s="9" t="s">
        <v>325</v>
      </c>
      <c r="D341" s="8">
        <v>1800.0</v>
      </c>
      <c r="E341" s="8">
        <v>4543.0</v>
      </c>
      <c r="F341" s="13"/>
    </row>
    <row r="342" spans="8:8" ht="21.0" customHeight="1">
      <c r="A342" s="10"/>
      <c r="B342" s="14"/>
      <c r="C342" s="15"/>
      <c r="D342" s="15"/>
      <c r="E342" s="15"/>
      <c r="F342" s="14"/>
    </row>
    <row r="343" spans="8:8" ht="21.0" customHeight="1">
      <c r="A343" s="16">
        <v>46224.0</v>
      </c>
      <c r="B343" s="6" t="s">
        <v>122</v>
      </c>
      <c r="C343" s="7" t="s">
        <v>385</v>
      </c>
      <c r="D343" s="6"/>
      <c r="E343" s="9">
        <v>5.0</v>
      </c>
      <c r="F343" s="8">
        <v>46650.0</v>
      </c>
      <c r="G343" s="8">
        <v>46650.0</v>
      </c>
      <c r="H343" s="9">
        <v>0.0</v>
      </c>
      <c r="I343" s="8">
        <v>46650.0</v>
      </c>
      <c r="J343" s="8">
        <v>43716.0</v>
      </c>
      <c r="K343" s="8">
        <v>2934.0</v>
      </c>
      <c r="L343" s="9">
        <v>6.0</v>
      </c>
      <c r="M343" s="6"/>
    </row>
    <row r="344" spans="8:8" ht="21.0" customHeight="1">
      <c r="A344" s="10"/>
      <c r="B344" s="3" t="s">
        <v>17</v>
      </c>
      <c r="C344" s="4" t="s">
        <v>18</v>
      </c>
      <c r="D344" s="4" t="s">
        <v>19</v>
      </c>
      <c r="E344" s="4" t="s">
        <v>11</v>
      </c>
      <c r="F344" s="3" t="s">
        <v>20</v>
      </c>
    </row>
    <row r="345" spans="8:8" ht="21.0" customHeight="1">
      <c r="A345" s="10"/>
      <c r="B345" s="11" t="s">
        <v>21</v>
      </c>
      <c r="C345" s="9" t="s">
        <v>275</v>
      </c>
      <c r="D345" s="8">
        <v>9000.0</v>
      </c>
      <c r="E345" s="8">
        <v>8122.0</v>
      </c>
      <c r="F345" s="13"/>
    </row>
    <row r="346" spans="8:8" ht="21.0" customHeight="1">
      <c r="A346" s="10"/>
      <c r="B346" s="11" t="s">
        <v>45</v>
      </c>
      <c r="C346" s="9" t="s">
        <v>275</v>
      </c>
      <c r="D346" s="8">
        <v>13950.0</v>
      </c>
      <c r="E346" s="8">
        <v>12747.0</v>
      </c>
      <c r="F346" s="13"/>
    </row>
    <row r="347" spans="8:8" ht="21.0" customHeight="1">
      <c r="A347" s="10"/>
      <c r="B347" s="11" t="s">
        <v>44</v>
      </c>
      <c r="C347" s="9" t="s">
        <v>275</v>
      </c>
      <c r="D347" s="8">
        <v>9200.0</v>
      </c>
      <c r="E347" s="8">
        <v>8990.0</v>
      </c>
      <c r="F347" s="13"/>
    </row>
    <row r="348" spans="8:8" ht="21.0" customHeight="1">
      <c r="A348" s="10"/>
      <c r="B348" s="11" t="s">
        <v>22</v>
      </c>
      <c r="C348" s="9" t="s">
        <v>275</v>
      </c>
      <c r="D348" s="8">
        <v>9200.0</v>
      </c>
      <c r="E348" s="8">
        <v>8657.0</v>
      </c>
      <c r="F348" s="13"/>
    </row>
    <row r="349" spans="8:8" ht="21.0" customHeight="1">
      <c r="A349" s="10"/>
      <c r="B349" s="11" t="s">
        <v>24</v>
      </c>
      <c r="C349" s="9" t="s">
        <v>257</v>
      </c>
      <c r="D349" s="8">
        <v>5300.0</v>
      </c>
      <c r="E349" s="8">
        <v>5200.0</v>
      </c>
      <c r="F349" s="13"/>
    </row>
    <row r="350" spans="8:8" ht="21.0" customHeight="1">
      <c r="A350" s="10"/>
      <c r="B350" s="14"/>
      <c r="C350" s="15"/>
      <c r="D350" s="15"/>
      <c r="E350" s="15"/>
      <c r="F350" s="14"/>
    </row>
    <row r="351" spans="8:8" ht="21.0" customHeight="1">
      <c r="A351" s="16">
        <v>46224.0</v>
      </c>
      <c r="B351" s="6" t="s">
        <v>336</v>
      </c>
      <c r="C351" s="7" t="s">
        <v>386</v>
      </c>
      <c r="D351" s="6"/>
      <c r="E351" s="9">
        <v>5.0</v>
      </c>
      <c r="F351" s="8">
        <v>48735.0</v>
      </c>
      <c r="G351" s="8">
        <v>48735.0</v>
      </c>
      <c r="H351" s="9">
        <v>0.0</v>
      </c>
      <c r="I351" s="8">
        <v>48735.0</v>
      </c>
      <c r="J351" s="8">
        <v>46304.0</v>
      </c>
      <c r="K351" s="8">
        <v>2431.0</v>
      </c>
      <c r="L351" s="9">
        <v>5.0</v>
      </c>
      <c r="M351" s="6"/>
    </row>
    <row r="352" spans="8:8" ht="21.0" customHeight="1">
      <c r="A352" s="10"/>
      <c r="B352" s="3" t="s">
        <v>17</v>
      </c>
      <c r="C352" s="4" t="s">
        <v>18</v>
      </c>
      <c r="D352" s="4" t="s">
        <v>19</v>
      </c>
      <c r="E352" s="4" t="s">
        <v>11</v>
      </c>
      <c r="F352" s="3" t="s">
        <v>20</v>
      </c>
    </row>
    <row r="353" spans="8:8" ht="21.0" customHeight="1">
      <c r="A353" s="10"/>
      <c r="B353" s="11" t="s">
        <v>21</v>
      </c>
      <c r="C353" s="9" t="s">
        <v>274</v>
      </c>
      <c r="D353" s="8">
        <v>8500.0</v>
      </c>
      <c r="E353" s="8">
        <v>16244.0</v>
      </c>
      <c r="F353" s="13"/>
    </row>
    <row r="354" spans="8:8" ht="21.0" customHeight="1">
      <c r="A354" s="10"/>
      <c r="B354" s="11" t="s">
        <v>45</v>
      </c>
      <c r="C354" s="9" t="s">
        <v>275</v>
      </c>
      <c r="D354" s="8">
        <v>13335.0</v>
      </c>
      <c r="E354" s="8">
        <v>12747.0</v>
      </c>
      <c r="F354" s="13"/>
    </row>
    <row r="355" spans="8:8" ht="21.0" customHeight="1">
      <c r="A355" s="10"/>
      <c r="B355" s="11" t="s">
        <v>22</v>
      </c>
      <c r="C355" s="9" t="s">
        <v>274</v>
      </c>
      <c r="D355" s="8">
        <v>9200.0</v>
      </c>
      <c r="E355" s="8">
        <v>17313.0</v>
      </c>
      <c r="F355" s="13"/>
    </row>
    <row r="356" spans="8:8" ht="21.0" customHeight="1">
      <c r="A356" s="10"/>
      <c r="B356" s="14"/>
      <c r="C356" s="15"/>
      <c r="D356" s="15"/>
      <c r="E356" s="15"/>
      <c r="F356" s="14"/>
    </row>
    <row r="357" spans="8:8" ht="21.0" customHeight="1">
      <c r="A357" s="16">
        <v>46224.0</v>
      </c>
      <c r="B357" s="6" t="s">
        <v>154</v>
      </c>
      <c r="C357" s="7" t="s">
        <v>387</v>
      </c>
      <c r="D357" s="6"/>
      <c r="E357" s="9">
        <v>1.0</v>
      </c>
      <c r="F357" s="8">
        <v>5000.0</v>
      </c>
      <c r="G357" s="9">
        <v>0.0</v>
      </c>
      <c r="H357" s="8">
        <v>5000.0</v>
      </c>
      <c r="I357" s="8">
        <v>5000.0</v>
      </c>
      <c r="J357" s="8">
        <v>5200.0</v>
      </c>
      <c r="K357" s="9">
        <v>-200.0</v>
      </c>
      <c r="L357" s="9">
        <v>-4.0</v>
      </c>
      <c r="M357" s="6"/>
    </row>
    <row r="358" spans="8:8" ht="21.0" customHeight="1">
      <c r="A358" s="10"/>
      <c r="B358" s="3" t="s">
        <v>17</v>
      </c>
      <c r="C358" s="4" t="s">
        <v>18</v>
      </c>
      <c r="D358" s="4" t="s">
        <v>19</v>
      </c>
      <c r="E358" s="4" t="s">
        <v>11</v>
      </c>
      <c r="F358" s="3" t="s">
        <v>20</v>
      </c>
    </row>
    <row r="359" spans="8:8" ht="21.0" customHeight="1">
      <c r="A359" s="10"/>
      <c r="B359" s="11" t="s">
        <v>24</v>
      </c>
      <c r="C359" s="9" t="s">
        <v>257</v>
      </c>
      <c r="D359" s="8">
        <v>5000.0</v>
      </c>
      <c r="E359" s="8">
        <v>5200.0</v>
      </c>
      <c r="F359" s="13"/>
    </row>
    <row r="360" spans="8:8" ht="21.0" customHeight="1">
      <c r="A360" s="10"/>
      <c r="B360" s="14"/>
      <c r="C360" s="15"/>
      <c r="D360" s="15"/>
      <c r="E360" s="15"/>
      <c r="F360" s="14"/>
    </row>
    <row r="361" spans="8:8" ht="21.0" customHeight="1">
      <c r="A361" s="16">
        <v>46224.0</v>
      </c>
      <c r="B361" s="6" t="s">
        <v>95</v>
      </c>
      <c r="C361" s="7" t="s">
        <v>388</v>
      </c>
      <c r="D361" s="6"/>
      <c r="E361" s="9">
        <v>20.0</v>
      </c>
      <c r="F361" s="8">
        <v>115100.0</v>
      </c>
      <c r="G361" s="9">
        <v>0.0</v>
      </c>
      <c r="H361" s="8">
        <v>115100.0</v>
      </c>
      <c r="I361" s="8">
        <v>115100.0</v>
      </c>
      <c r="J361" s="8">
        <v>116425.0</v>
      </c>
      <c r="K361" s="8">
        <v>-1325.0</v>
      </c>
      <c r="L361" s="9">
        <v>-1.0</v>
      </c>
      <c r="M361" s="6"/>
    </row>
    <row r="362" spans="8:8" ht="21.0" customHeight="1">
      <c r="A362" s="10"/>
      <c r="B362" s="3" t="s">
        <v>17</v>
      </c>
      <c r="C362" s="4" t="s">
        <v>18</v>
      </c>
      <c r="D362" s="4" t="s">
        <v>19</v>
      </c>
      <c r="E362" s="4" t="s">
        <v>11</v>
      </c>
      <c r="F362" s="3" t="s">
        <v>20</v>
      </c>
    </row>
    <row r="363" spans="8:8" ht="21.0" customHeight="1">
      <c r="A363" s="10"/>
      <c r="B363" s="11" t="s">
        <v>24</v>
      </c>
      <c r="C363" s="9" t="s">
        <v>369</v>
      </c>
      <c r="D363" s="8">
        <v>5000.0</v>
      </c>
      <c r="E363" s="8">
        <v>78000.0</v>
      </c>
      <c r="F363" s="13"/>
    </row>
    <row r="364" spans="8:8" ht="21.0" customHeight="1">
      <c r="A364" s="10"/>
      <c r="B364" s="11" t="s">
        <v>27</v>
      </c>
      <c r="C364" s="9" t="s">
        <v>368</v>
      </c>
      <c r="D364" s="8">
        <v>8020.0</v>
      </c>
      <c r="E364" s="8">
        <v>38425.0</v>
      </c>
      <c r="F364" s="13"/>
    </row>
    <row r="365" spans="8:8" ht="21.0" customHeight="1">
      <c r="A365" s="10"/>
      <c r="B365" s="14"/>
      <c r="C365" s="15"/>
      <c r="D365" s="15"/>
      <c r="E365" s="15"/>
      <c r="F365" s="14"/>
    </row>
    <row r="366" spans="8:8" ht="21.0" customHeight="1">
      <c r="A366" s="16">
        <v>46224.0</v>
      </c>
      <c r="B366" s="6" t="s">
        <v>154</v>
      </c>
      <c r="C366" s="7" t="s">
        <v>389</v>
      </c>
      <c r="D366" s="6"/>
      <c r="E366" s="9">
        <v>4.0</v>
      </c>
      <c r="F366" s="8">
        <v>32550.0</v>
      </c>
      <c r="G366" s="9">
        <v>0.0</v>
      </c>
      <c r="H366" s="8">
        <v>32550.0</v>
      </c>
      <c r="I366" s="8">
        <v>32550.0</v>
      </c>
      <c r="J366" s="8">
        <v>31979.0</v>
      </c>
      <c r="K366" s="9">
        <v>571.0</v>
      </c>
      <c r="L366" s="9">
        <v>2.0</v>
      </c>
      <c r="M366" s="6"/>
    </row>
    <row r="367" spans="8:8" ht="21.0" customHeight="1">
      <c r="A367" s="10"/>
      <c r="B367" s="3" t="s">
        <v>17</v>
      </c>
      <c r="C367" s="4" t="s">
        <v>18</v>
      </c>
      <c r="D367" s="4" t="s">
        <v>19</v>
      </c>
      <c r="E367" s="4" t="s">
        <v>11</v>
      </c>
      <c r="F367" s="3" t="s">
        <v>20</v>
      </c>
    </row>
    <row r="368" spans="8:8" ht="21.0" customHeight="1">
      <c r="A368" s="10"/>
      <c r="B368" s="11" t="s">
        <v>113</v>
      </c>
      <c r="C368" s="9" t="s">
        <v>274</v>
      </c>
      <c r="D368" s="8">
        <v>14475.0</v>
      </c>
      <c r="E368" s="8">
        <v>28950.0</v>
      </c>
      <c r="F368" s="13"/>
    </row>
    <row r="369" spans="8:8" ht="21.0" customHeight="1">
      <c r="A369" s="10"/>
      <c r="B369" s="11" t="s">
        <v>38</v>
      </c>
      <c r="C369" s="9" t="s">
        <v>303</v>
      </c>
      <c r="D369" s="8">
        <v>1800.0</v>
      </c>
      <c r="E369" s="8">
        <v>3029.0</v>
      </c>
      <c r="F369" s="13"/>
    </row>
    <row r="370" spans="8:8" ht="21.0" customHeight="1">
      <c r="A370" s="10"/>
      <c r="B370" s="14"/>
      <c r="C370" s="15"/>
      <c r="D370" s="15"/>
      <c r="E370" s="15"/>
      <c r="F370" s="14"/>
    </row>
    <row r="371" spans="8:8" ht="21.0" customHeight="1">
      <c r="A371" s="17">
        <v>46225.0</v>
      </c>
      <c r="B371" s="6" t="s">
        <v>50</v>
      </c>
      <c r="C371" s="7" t="s">
        <v>390</v>
      </c>
      <c r="D371" s="6"/>
      <c r="E371" s="9">
        <v>105.0</v>
      </c>
      <c r="F371" s="8">
        <v>1654475.0</v>
      </c>
      <c r="G371" s="8">
        <v>1428710.0</v>
      </c>
      <c r="H371" s="8">
        <v>225765.0</v>
      </c>
      <c r="I371" s="8">
        <v>1654475.0</v>
      </c>
      <c r="J371" s="8">
        <v>1636458.0</v>
      </c>
      <c r="K371" s="8">
        <v>18017.0</v>
      </c>
      <c r="L371" s="9">
        <v>1.0</v>
      </c>
      <c r="M371" s="6"/>
    </row>
    <row r="372" spans="8:8" ht="21.0" customHeight="1">
      <c r="A372" s="10"/>
      <c r="B372" s="3" t="s">
        <v>17</v>
      </c>
      <c r="C372" s="4" t="s">
        <v>18</v>
      </c>
      <c r="D372" s="4" t="s">
        <v>19</v>
      </c>
      <c r="E372" s="4" t="s">
        <v>11</v>
      </c>
      <c r="F372" s="3" t="s">
        <v>20</v>
      </c>
    </row>
    <row r="373" spans="8:8" ht="21.0" customHeight="1">
      <c r="A373" s="10"/>
      <c r="B373" s="11" t="s">
        <v>33</v>
      </c>
      <c r="C373" s="9" t="s">
        <v>260</v>
      </c>
      <c r="D373" s="8">
        <v>15655.0</v>
      </c>
      <c r="E373" s="8">
        <v>466650.0</v>
      </c>
      <c r="F373" s="13"/>
    </row>
    <row r="374" spans="8:8" ht="21.0" customHeight="1">
      <c r="A374" s="10"/>
      <c r="B374" s="11" t="s">
        <v>32</v>
      </c>
      <c r="C374" s="9" t="s">
        <v>261</v>
      </c>
      <c r="D374" s="8">
        <v>15655.0</v>
      </c>
      <c r="E374" s="8">
        <v>228708.0</v>
      </c>
      <c r="F374" s="13"/>
    </row>
    <row r="375" spans="8:8" ht="21.0" customHeight="1">
      <c r="A375" s="10"/>
      <c r="B375" s="11" t="s">
        <v>70</v>
      </c>
      <c r="C375" s="9" t="s">
        <v>263</v>
      </c>
      <c r="D375" s="8">
        <v>13100.0</v>
      </c>
      <c r="E375" s="8">
        <v>257100.0</v>
      </c>
      <c r="F375" s="13"/>
    </row>
    <row r="376" spans="8:8" ht="21.0" customHeight="1">
      <c r="A376" s="10"/>
      <c r="B376" s="11" t="s">
        <v>31</v>
      </c>
      <c r="C376" s="9" t="s">
        <v>391</v>
      </c>
      <c r="D376" s="8">
        <v>17200.0</v>
      </c>
      <c r="E376" s="8">
        <v>684000.0</v>
      </c>
      <c r="F376" s="13"/>
    </row>
    <row r="377" spans="8:8" ht="21.0" customHeight="1">
      <c r="A377" s="10"/>
      <c r="B377" s="14"/>
      <c r="C377" s="15"/>
      <c r="D377" s="15"/>
      <c r="E377" s="15"/>
      <c r="F377" s="14"/>
    </row>
    <row r="378" spans="8:8" ht="21.0" customHeight="1">
      <c r="A378" s="16">
        <v>46225.0</v>
      </c>
      <c r="B378" s="6" t="s">
        <v>75</v>
      </c>
      <c r="C378" s="7" t="s">
        <v>392</v>
      </c>
      <c r="D378" s="6"/>
      <c r="E378" s="9">
        <v>40.0</v>
      </c>
      <c r="F378" s="8">
        <v>200000.0</v>
      </c>
      <c r="G378" s="9">
        <v>0.0</v>
      </c>
      <c r="H378" s="8">
        <v>200000.0</v>
      </c>
      <c r="I378" s="8">
        <v>200000.0</v>
      </c>
      <c r="J378" s="8">
        <v>208000.0</v>
      </c>
      <c r="K378" s="8">
        <v>-8000.0</v>
      </c>
      <c r="L378" s="9">
        <v>-4.0</v>
      </c>
      <c r="M378" s="6"/>
    </row>
    <row r="379" spans="8:8" ht="21.0" customHeight="1">
      <c r="A379" s="10"/>
      <c r="B379" s="3" t="s">
        <v>17</v>
      </c>
      <c r="C379" s="4" t="s">
        <v>18</v>
      </c>
      <c r="D379" s="4" t="s">
        <v>19</v>
      </c>
      <c r="E379" s="4" t="s">
        <v>11</v>
      </c>
      <c r="F379" s="3" t="s">
        <v>20</v>
      </c>
    </row>
    <row r="380" spans="8:8" ht="21.0" customHeight="1">
      <c r="A380" s="10"/>
      <c r="B380" s="11" t="s">
        <v>24</v>
      </c>
      <c r="C380" s="9" t="s">
        <v>393</v>
      </c>
      <c r="D380" s="8">
        <v>5000.0</v>
      </c>
      <c r="E380" s="8">
        <v>208000.0</v>
      </c>
      <c r="F380" s="13"/>
    </row>
    <row r="381" spans="8:8" ht="21.0" customHeight="1">
      <c r="A381" s="10"/>
      <c r="B381" s="14"/>
      <c r="C381" s="15"/>
      <c r="D381" s="15"/>
      <c r="E381" s="15"/>
      <c r="F381" s="14"/>
    </row>
    <row r="382" spans="8:8" ht="21.0" customHeight="1">
      <c r="A382" s="16">
        <v>46225.0</v>
      </c>
      <c r="B382" s="6" t="s">
        <v>394</v>
      </c>
      <c r="C382" s="7" t="s">
        <v>395</v>
      </c>
      <c r="D382" s="6"/>
      <c r="E382" s="9">
        <v>100.0</v>
      </c>
      <c r="F382" s="8">
        <v>500000.0</v>
      </c>
      <c r="G382" s="8">
        <v>250000.0</v>
      </c>
      <c r="H382" s="8">
        <v>250000.0</v>
      </c>
      <c r="I382" s="8">
        <v>500000.0</v>
      </c>
      <c r="J382" s="8">
        <v>520000.0</v>
      </c>
      <c r="K382" s="8">
        <v>-20000.0</v>
      </c>
      <c r="L382" s="9">
        <v>-4.0</v>
      </c>
      <c r="M382" s="6"/>
    </row>
    <row r="383" spans="8:8" ht="21.0" customHeight="1">
      <c r="A383" s="10"/>
      <c r="B383" s="3" t="s">
        <v>17</v>
      </c>
      <c r="C383" s="4" t="s">
        <v>18</v>
      </c>
      <c r="D383" s="4" t="s">
        <v>19</v>
      </c>
      <c r="E383" s="4" t="s">
        <v>11</v>
      </c>
      <c r="F383" s="3" t="s">
        <v>20</v>
      </c>
    </row>
    <row r="384" spans="8:8" ht="21.0" customHeight="1">
      <c r="A384" s="10"/>
      <c r="B384" s="11" t="s">
        <v>24</v>
      </c>
      <c r="C384" s="9" t="s">
        <v>259</v>
      </c>
      <c r="D384" s="8">
        <v>5000.0</v>
      </c>
      <c r="E384" s="8">
        <v>520000.0</v>
      </c>
      <c r="F384" s="13"/>
    </row>
    <row r="385" spans="8:8" ht="21.0" customHeight="1">
      <c r="A385" s="10"/>
      <c r="B385" s="14"/>
      <c r="C385" s="15"/>
      <c r="D385" s="15"/>
      <c r="E385" s="15"/>
      <c r="F385" s="14"/>
    </row>
    <row r="386" spans="8:8" ht="21.0" customHeight="1">
      <c r="A386" s="16">
        <v>46225.0</v>
      </c>
      <c r="B386" s="6" t="s">
        <v>15</v>
      </c>
      <c r="C386" s="7" t="s">
        <v>396</v>
      </c>
      <c r="D386" s="6"/>
      <c r="E386" s="9">
        <v>2.0</v>
      </c>
      <c r="F386" s="8">
        <v>19000.0</v>
      </c>
      <c r="G386" s="8">
        <v>19000.0</v>
      </c>
      <c r="H386" s="9">
        <v>0.0</v>
      </c>
      <c r="I386" s="8">
        <v>19000.0</v>
      </c>
      <c r="J386" s="8">
        <v>17313.0</v>
      </c>
      <c r="K386" s="8">
        <v>1687.0</v>
      </c>
      <c r="L386" s="9">
        <v>9.0</v>
      </c>
      <c r="M386" s="6"/>
    </row>
    <row r="387" spans="8:8" ht="21.0" customHeight="1">
      <c r="A387" s="10"/>
      <c r="B387" s="3" t="s">
        <v>17</v>
      </c>
      <c r="C387" s="4" t="s">
        <v>18</v>
      </c>
      <c r="D387" s="4" t="s">
        <v>19</v>
      </c>
      <c r="E387" s="4" t="s">
        <v>11</v>
      </c>
      <c r="F387" s="3" t="s">
        <v>20</v>
      </c>
    </row>
    <row r="388" spans="8:8" ht="21.0" customHeight="1">
      <c r="A388" s="10"/>
      <c r="B388" s="11" t="s">
        <v>22</v>
      </c>
      <c r="C388" s="9" t="s">
        <v>274</v>
      </c>
      <c r="D388" s="8">
        <v>9500.0</v>
      </c>
      <c r="E388" s="8">
        <v>17313.0</v>
      </c>
      <c r="F388" s="13"/>
    </row>
    <row r="389" spans="8:8" ht="21.0" customHeight="1">
      <c r="A389" s="10"/>
      <c r="B389" s="14"/>
      <c r="C389" s="15"/>
      <c r="D389" s="15"/>
      <c r="E389" s="15"/>
      <c r="F389" s="14"/>
    </row>
    <row r="390" spans="8:8" ht="21.0" customHeight="1">
      <c r="A390" s="16">
        <v>46225.0</v>
      </c>
      <c r="B390" s="6" t="s">
        <v>50</v>
      </c>
      <c r="C390" s="7" t="s">
        <v>397</v>
      </c>
      <c r="D390" s="6"/>
      <c r="E390" s="9">
        <v>248.0</v>
      </c>
      <c r="F390" s="8">
        <v>1240000.0</v>
      </c>
      <c r="G390" s="8">
        <v>1240000.0</v>
      </c>
      <c r="H390" s="9">
        <v>0.0</v>
      </c>
      <c r="I390" s="8">
        <v>1240000.0</v>
      </c>
      <c r="J390" s="8">
        <v>1289600.0</v>
      </c>
      <c r="K390" s="8">
        <v>-49600.0</v>
      </c>
      <c r="L390" s="9">
        <v>-4.0</v>
      </c>
      <c r="M390" s="6"/>
    </row>
    <row r="391" spans="8:8" ht="21.0" customHeight="1">
      <c r="A391" s="10"/>
      <c r="B391" s="3" t="s">
        <v>17</v>
      </c>
      <c r="C391" s="4" t="s">
        <v>18</v>
      </c>
      <c r="D391" s="4" t="s">
        <v>19</v>
      </c>
      <c r="E391" s="4" t="s">
        <v>11</v>
      </c>
      <c r="F391" s="3" t="s">
        <v>20</v>
      </c>
    </row>
    <row r="392" spans="8:8" ht="21.0" customHeight="1">
      <c r="A392" s="10"/>
      <c r="B392" s="11" t="s">
        <v>24</v>
      </c>
      <c r="C392" s="9" t="s">
        <v>346</v>
      </c>
      <c r="D392" s="8">
        <v>5000.0</v>
      </c>
      <c r="E392" s="8">
        <v>1289600.0</v>
      </c>
      <c r="F392" s="13"/>
    </row>
    <row r="393" spans="8:8" ht="21.0" customHeight="1">
      <c r="A393" s="10"/>
      <c r="B393" s="14"/>
      <c r="C393" s="15"/>
      <c r="D393" s="15"/>
      <c r="E393" s="15"/>
      <c r="F393" s="14"/>
    </row>
    <row r="394" spans="8:8" ht="21.0" customHeight="1">
      <c r="A394" s="16">
        <v>46225.0</v>
      </c>
      <c r="B394" s="6" t="s">
        <v>25</v>
      </c>
      <c r="C394" s="7" t="s">
        <v>398</v>
      </c>
      <c r="D394" s="6"/>
      <c r="E394" s="9">
        <v>2.0</v>
      </c>
      <c r="F394" s="8">
        <v>52680.0</v>
      </c>
      <c r="G394" s="8">
        <v>52680.0</v>
      </c>
      <c r="H394" s="9">
        <v>0.0</v>
      </c>
      <c r="I394" s="8">
        <v>52680.0</v>
      </c>
      <c r="J394" s="8">
        <v>48180.0</v>
      </c>
      <c r="K394" s="8">
        <v>4500.0</v>
      </c>
      <c r="L394" s="9">
        <v>9.0</v>
      </c>
      <c r="M394" s="6"/>
    </row>
    <row r="395" spans="8:8" ht="21.0" customHeight="1">
      <c r="A395" s="10"/>
      <c r="B395" s="3" t="s">
        <v>17</v>
      </c>
      <c r="C395" s="4" t="s">
        <v>18</v>
      </c>
      <c r="D395" s="4" t="s">
        <v>19</v>
      </c>
      <c r="E395" s="4" t="s">
        <v>11</v>
      </c>
      <c r="F395" s="3" t="s">
        <v>20</v>
      </c>
    </row>
    <row r="396" spans="8:8" ht="21.0" customHeight="1">
      <c r="A396" s="10"/>
      <c r="B396" s="11" t="s">
        <v>190</v>
      </c>
      <c r="C396" s="9" t="s">
        <v>399</v>
      </c>
      <c r="D396" s="8">
        <v>28445.0</v>
      </c>
      <c r="E396" s="8">
        <v>25930.0</v>
      </c>
      <c r="F396" s="13"/>
    </row>
    <row r="397" spans="8:8" ht="21.0" customHeight="1">
      <c r="A397" s="10"/>
      <c r="B397" s="11" t="s">
        <v>56</v>
      </c>
      <c r="C397" s="9" t="s">
        <v>399</v>
      </c>
      <c r="D397" s="8">
        <v>24235.0</v>
      </c>
      <c r="E397" s="8">
        <v>22250.0</v>
      </c>
      <c r="F397" s="13"/>
    </row>
    <row r="398" spans="8:8" ht="21.0" customHeight="1">
      <c r="A398" s="10"/>
      <c r="B398" s="14"/>
      <c r="C398" s="15"/>
      <c r="D398" s="15"/>
      <c r="E398" s="15"/>
      <c r="F398" s="14"/>
    </row>
    <row r="399" spans="8:8" ht="21.0" customHeight="1">
      <c r="A399" s="16">
        <v>46225.0</v>
      </c>
      <c r="B399" s="6" t="s">
        <v>25</v>
      </c>
      <c r="C399" s="7" t="s">
        <v>400</v>
      </c>
      <c r="D399" s="6"/>
      <c r="E399" s="9">
        <v>210.0</v>
      </c>
      <c r="F399" s="8">
        <v>1050000.0</v>
      </c>
      <c r="G399" s="8">
        <v>1050000.0</v>
      </c>
      <c r="H399" s="9">
        <v>0.0</v>
      </c>
      <c r="I399" s="8">
        <v>1050000.0</v>
      </c>
      <c r="J399" s="8">
        <v>1092000.0</v>
      </c>
      <c r="K399" s="8">
        <v>-42000.0</v>
      </c>
      <c r="L399" s="9">
        <v>-4.0</v>
      </c>
      <c r="M399" s="6"/>
    </row>
    <row r="400" spans="8:8" ht="21.0" customHeight="1">
      <c r="A400" s="10"/>
      <c r="B400" s="3" t="s">
        <v>17</v>
      </c>
      <c r="C400" s="4" t="s">
        <v>18</v>
      </c>
      <c r="D400" s="4" t="s">
        <v>19</v>
      </c>
      <c r="E400" s="4" t="s">
        <v>11</v>
      </c>
      <c r="F400" s="3" t="s">
        <v>20</v>
      </c>
    </row>
    <row r="401" spans="8:8" ht="21.0" customHeight="1">
      <c r="A401" s="10"/>
      <c r="B401" s="11" t="s">
        <v>24</v>
      </c>
      <c r="C401" s="9" t="s">
        <v>401</v>
      </c>
      <c r="D401" s="8">
        <v>5000.0</v>
      </c>
      <c r="E401" s="8">
        <v>1092000.0</v>
      </c>
      <c r="F401" s="13"/>
    </row>
    <row r="402" spans="8:8" ht="21.0" customHeight="1">
      <c r="A402" s="10"/>
      <c r="B402" s="14"/>
      <c r="C402" s="15"/>
      <c r="D402" s="15"/>
      <c r="E402" s="15"/>
      <c r="F402" s="14"/>
    </row>
    <row r="403" spans="8:8" ht="21.0" customHeight="1">
      <c r="A403" s="16">
        <v>46225.0</v>
      </c>
      <c r="B403" s="6" t="s">
        <v>15</v>
      </c>
      <c r="C403" s="7" t="s">
        <v>402</v>
      </c>
      <c r="D403" s="6"/>
      <c r="E403" s="9">
        <v>4.0</v>
      </c>
      <c r="F403" s="8">
        <v>41950.0</v>
      </c>
      <c r="G403" s="8">
        <v>41950.0</v>
      </c>
      <c r="H403" s="9">
        <v>0.0</v>
      </c>
      <c r="I403" s="8">
        <v>41950.0</v>
      </c>
      <c r="J403" s="8">
        <v>38516.0</v>
      </c>
      <c r="K403" s="8">
        <v>3434.0</v>
      </c>
      <c r="L403" s="9">
        <v>8.0</v>
      </c>
      <c r="M403" s="6"/>
    </row>
    <row r="404" spans="8:8" ht="21.0" customHeight="1">
      <c r="A404" s="10"/>
      <c r="B404" s="3" t="s">
        <v>17</v>
      </c>
      <c r="C404" s="4" t="s">
        <v>18</v>
      </c>
      <c r="D404" s="4" t="s">
        <v>19</v>
      </c>
      <c r="E404" s="4" t="s">
        <v>11</v>
      </c>
      <c r="F404" s="3" t="s">
        <v>20</v>
      </c>
    </row>
    <row r="405" spans="8:8" ht="21.0" customHeight="1">
      <c r="A405" s="10"/>
      <c r="B405" s="11" t="s">
        <v>21</v>
      </c>
      <c r="C405" s="9" t="s">
        <v>275</v>
      </c>
      <c r="D405" s="8">
        <v>9000.0</v>
      </c>
      <c r="E405" s="8">
        <v>8122.0</v>
      </c>
      <c r="F405" s="13"/>
    </row>
    <row r="406" spans="8:8" ht="21.0" customHeight="1">
      <c r="A406" s="10"/>
      <c r="B406" s="11" t="s">
        <v>22</v>
      </c>
      <c r="C406" s="9" t="s">
        <v>275</v>
      </c>
      <c r="D406" s="8">
        <v>9500.0</v>
      </c>
      <c r="E406" s="8">
        <v>8657.0</v>
      </c>
      <c r="F406" s="13"/>
    </row>
    <row r="407" spans="8:8" ht="21.0" customHeight="1">
      <c r="A407" s="10"/>
      <c r="B407" s="11" t="s">
        <v>44</v>
      </c>
      <c r="C407" s="9" t="s">
        <v>275</v>
      </c>
      <c r="D407" s="8">
        <v>9500.0</v>
      </c>
      <c r="E407" s="8">
        <v>8990.0</v>
      </c>
      <c r="F407" s="13"/>
    </row>
    <row r="408" spans="8:8" ht="21.0" customHeight="1">
      <c r="A408" s="10"/>
      <c r="B408" s="11" t="s">
        <v>45</v>
      </c>
      <c r="C408" s="9" t="s">
        <v>275</v>
      </c>
      <c r="D408" s="8">
        <v>13950.0</v>
      </c>
      <c r="E408" s="8">
        <v>12747.0</v>
      </c>
      <c r="F408" s="13"/>
    </row>
    <row r="409" spans="8:8" ht="21.0" customHeight="1">
      <c r="A409" s="10"/>
      <c r="B409" s="14"/>
      <c r="C409" s="15"/>
      <c r="D409" s="15"/>
      <c r="E409" s="15"/>
      <c r="F409" s="14"/>
    </row>
    <row r="410" spans="8:8" ht="21.0" customHeight="1">
      <c r="A410" s="16">
        <v>46225.0</v>
      </c>
      <c r="B410" s="6" t="s">
        <v>75</v>
      </c>
      <c r="C410" s="7" t="s">
        <v>403</v>
      </c>
      <c r="D410" s="6"/>
      <c r="E410" s="9">
        <v>60.0</v>
      </c>
      <c r="F410" s="8">
        <v>552000.0</v>
      </c>
      <c r="G410" s="9">
        <v>0.0</v>
      </c>
      <c r="H410" s="8">
        <v>552000.0</v>
      </c>
      <c r="I410" s="8">
        <v>552000.0</v>
      </c>
      <c r="J410" s="8">
        <v>519405.0</v>
      </c>
      <c r="K410" s="8">
        <v>32595.0</v>
      </c>
      <c r="L410" s="9">
        <v>6.0</v>
      </c>
      <c r="M410" s="6" t="s">
        <v>404</v>
      </c>
    </row>
    <row r="411" spans="8:8" ht="21.0" customHeight="1">
      <c r="A411" s="10"/>
      <c r="B411" s="3" t="s">
        <v>17</v>
      </c>
      <c r="C411" s="4" t="s">
        <v>18</v>
      </c>
      <c r="D411" s="4" t="s">
        <v>19</v>
      </c>
      <c r="E411" s="4" t="s">
        <v>11</v>
      </c>
      <c r="F411" s="3" t="s">
        <v>20</v>
      </c>
    </row>
    <row r="412" spans="8:8" ht="21.0" customHeight="1">
      <c r="A412" s="10"/>
      <c r="B412" s="11" t="s">
        <v>22</v>
      </c>
      <c r="C412" s="9" t="s">
        <v>307</v>
      </c>
      <c r="D412" s="8">
        <v>9200.0</v>
      </c>
      <c r="E412" s="8">
        <v>519405.0</v>
      </c>
      <c r="F412" s="13"/>
    </row>
    <row r="413" spans="8:8" ht="21.0" customHeight="1">
      <c r="A413" s="10"/>
      <c r="B413" s="14"/>
      <c r="C413" s="15"/>
      <c r="D413" s="15"/>
      <c r="E413" s="15"/>
      <c r="F413" s="14"/>
    </row>
    <row r="414" spans="8:8" ht="21.0" customHeight="1">
      <c r="A414" s="16">
        <v>46225.0</v>
      </c>
      <c r="B414" s="6" t="s">
        <v>122</v>
      </c>
      <c r="C414" s="7" t="s">
        <v>405</v>
      </c>
      <c r="D414" s="6"/>
      <c r="E414" s="9">
        <v>5.0</v>
      </c>
      <c r="F414" s="8">
        <v>54810.0</v>
      </c>
      <c r="G414" s="8">
        <v>54810.0</v>
      </c>
      <c r="H414" s="9">
        <v>0.0</v>
      </c>
      <c r="I414" s="8">
        <v>54810.0</v>
      </c>
      <c r="J414" s="8">
        <v>51371.0</v>
      </c>
      <c r="K414" s="8">
        <v>3439.0</v>
      </c>
      <c r="L414" s="9">
        <v>6.0</v>
      </c>
      <c r="M414" s="6"/>
    </row>
    <row r="415" spans="8:8" ht="21.0" customHeight="1">
      <c r="A415" s="10"/>
      <c r="B415" s="3" t="s">
        <v>17</v>
      </c>
      <c r="C415" s="4" t="s">
        <v>18</v>
      </c>
      <c r="D415" s="4" t="s">
        <v>19</v>
      </c>
      <c r="E415" s="4" t="s">
        <v>11</v>
      </c>
      <c r="F415" s="3" t="s">
        <v>20</v>
      </c>
    </row>
    <row r="416" spans="8:8" ht="21.0" customHeight="1">
      <c r="A416" s="10"/>
      <c r="B416" s="11" t="s">
        <v>70</v>
      </c>
      <c r="C416" s="9" t="s">
        <v>266</v>
      </c>
      <c r="D416" s="8">
        <v>13460.0</v>
      </c>
      <c r="E416" s="8">
        <v>12855.0</v>
      </c>
      <c r="F416" s="13"/>
    </row>
    <row r="417" spans="8:8" ht="21.0" customHeight="1">
      <c r="A417" s="10"/>
      <c r="B417" s="11" t="s">
        <v>45</v>
      </c>
      <c r="C417" s="9" t="s">
        <v>275</v>
      </c>
      <c r="D417" s="8">
        <v>13950.0</v>
      </c>
      <c r="E417" s="8">
        <v>12747.0</v>
      </c>
      <c r="F417" s="13"/>
    </row>
    <row r="418" spans="8:8" ht="21.0" customHeight="1">
      <c r="A418" s="10"/>
      <c r="B418" s="11" t="s">
        <v>44</v>
      </c>
      <c r="C418" s="9" t="s">
        <v>275</v>
      </c>
      <c r="D418" s="8">
        <v>9200.0</v>
      </c>
      <c r="E418" s="8">
        <v>8990.0</v>
      </c>
      <c r="F418" s="13"/>
    </row>
    <row r="419" spans="8:8" ht="21.0" customHeight="1">
      <c r="A419" s="10"/>
      <c r="B419" s="11" t="s">
        <v>22</v>
      </c>
      <c r="C419" s="9" t="s">
        <v>275</v>
      </c>
      <c r="D419" s="8">
        <v>9200.0</v>
      </c>
      <c r="E419" s="8">
        <v>8657.0</v>
      </c>
      <c r="F419" s="13"/>
    </row>
    <row r="420" spans="8:8" ht="21.0" customHeight="1">
      <c r="A420" s="10"/>
      <c r="B420" s="11" t="s">
        <v>21</v>
      </c>
      <c r="C420" s="9" t="s">
        <v>275</v>
      </c>
      <c r="D420" s="8">
        <v>9000.0</v>
      </c>
      <c r="E420" s="8">
        <v>8122.0</v>
      </c>
      <c r="F420" s="13"/>
    </row>
    <row r="421" spans="8:8" ht="21.0" customHeight="1">
      <c r="A421" s="10"/>
      <c r="B421" s="14"/>
      <c r="C421" s="15"/>
      <c r="D421" s="15"/>
      <c r="E421" s="15"/>
      <c r="F421" s="14"/>
    </row>
    <row r="422" spans="8:8" ht="21.0" customHeight="1">
      <c r="A422" s="16">
        <v>46225.0</v>
      </c>
      <c r="B422" s="6" t="s">
        <v>15</v>
      </c>
      <c r="C422" s="7" t="s">
        <v>406</v>
      </c>
      <c r="D422" s="6"/>
      <c r="E422" s="9">
        <v>2.0</v>
      </c>
      <c r="F422" s="8">
        <v>23100.0</v>
      </c>
      <c r="G422" s="8">
        <v>23100.0</v>
      </c>
      <c r="H422" s="9">
        <v>0.0</v>
      </c>
      <c r="I422" s="8">
        <v>23100.0</v>
      </c>
      <c r="J422" s="8">
        <v>20915.0</v>
      </c>
      <c r="K422" s="8">
        <v>2185.0</v>
      </c>
      <c r="L422" s="9">
        <v>9.0</v>
      </c>
      <c r="M422" s="6"/>
    </row>
    <row r="423" spans="8:8" ht="21.0" customHeight="1">
      <c r="A423" s="10"/>
      <c r="B423" s="3" t="s">
        <v>17</v>
      </c>
      <c r="C423" s="4" t="s">
        <v>18</v>
      </c>
      <c r="D423" s="4" t="s">
        <v>19</v>
      </c>
      <c r="E423" s="4" t="s">
        <v>11</v>
      </c>
      <c r="F423" s="3" t="s">
        <v>20</v>
      </c>
    </row>
    <row r="424" spans="8:8" ht="21.0" customHeight="1">
      <c r="A424" s="10"/>
      <c r="B424" s="11" t="s">
        <v>119</v>
      </c>
      <c r="C424" s="9" t="s">
        <v>275</v>
      </c>
      <c r="D424" s="8">
        <v>13900.0</v>
      </c>
      <c r="E424" s="8">
        <v>12390.0</v>
      </c>
      <c r="F424" s="13"/>
    </row>
    <row r="425" spans="8:8" ht="21.0" customHeight="1">
      <c r="A425" s="10"/>
      <c r="B425" s="11" t="s">
        <v>37</v>
      </c>
      <c r="C425" s="9" t="s">
        <v>275</v>
      </c>
      <c r="D425" s="8">
        <v>9200.0</v>
      </c>
      <c r="E425" s="8">
        <v>8525.0</v>
      </c>
      <c r="F425" s="13"/>
    </row>
    <row r="426" spans="8:8" ht="21.0" customHeight="1">
      <c r="A426" s="10"/>
      <c r="B426" s="14"/>
      <c r="C426" s="15"/>
      <c r="D426" s="15"/>
      <c r="E426" s="15"/>
      <c r="F426" s="14"/>
    </row>
    <row r="427" spans="8:8" ht="21.0" customHeight="1">
      <c r="A427" s="17">
        <v>46226.0</v>
      </c>
      <c r="B427" s="6" t="s">
        <v>50</v>
      </c>
      <c r="C427" s="7" t="s">
        <v>407</v>
      </c>
      <c r="D427" s="6"/>
      <c r="E427" s="9">
        <v>496.0</v>
      </c>
      <c r="F427" s="8">
        <v>2480000.0</v>
      </c>
      <c r="G427" s="8">
        <v>2480000.0</v>
      </c>
      <c r="H427" s="9">
        <v>0.0</v>
      </c>
      <c r="I427" s="8">
        <v>2480000.0</v>
      </c>
      <c r="J427" s="8">
        <v>2579200.0</v>
      </c>
      <c r="K427" s="8">
        <v>-99200.0</v>
      </c>
      <c r="L427" s="9">
        <v>-4.0</v>
      </c>
      <c r="M427" s="6"/>
    </row>
    <row r="428" spans="8:8" ht="21.0" customHeight="1">
      <c r="A428" s="10"/>
      <c r="B428" s="3" t="s">
        <v>17</v>
      </c>
      <c r="C428" s="4" t="s">
        <v>18</v>
      </c>
      <c r="D428" s="4" t="s">
        <v>19</v>
      </c>
      <c r="E428" s="4" t="s">
        <v>11</v>
      </c>
      <c r="F428" s="3" t="s">
        <v>20</v>
      </c>
    </row>
    <row r="429" spans="8:8" ht="21.0" customHeight="1">
      <c r="A429" s="10"/>
      <c r="B429" s="11" t="s">
        <v>24</v>
      </c>
      <c r="C429" s="9" t="s">
        <v>408</v>
      </c>
      <c r="D429" s="8">
        <v>5000.0</v>
      </c>
      <c r="E429" s="8">
        <v>2579200.0</v>
      </c>
      <c r="F429" s="13"/>
    </row>
    <row r="430" spans="8:8" ht="21.0" customHeight="1">
      <c r="A430" s="10"/>
      <c r="B430" s="14"/>
      <c r="C430" s="15"/>
      <c r="D430" s="15"/>
      <c r="E430" s="15"/>
      <c r="F430" s="14"/>
    </row>
    <row r="431" spans="8:8" ht="21.0" customHeight="1">
      <c r="A431" s="16">
        <v>46226.0</v>
      </c>
      <c r="B431" s="6" t="s">
        <v>50</v>
      </c>
      <c r="C431" s="7" t="s">
        <v>409</v>
      </c>
      <c r="D431" s="6"/>
      <c r="E431" s="9">
        <v>5.0</v>
      </c>
      <c r="F431" s="8">
        <v>67750.0</v>
      </c>
      <c r="G431" s="8">
        <v>67750.0</v>
      </c>
      <c r="H431" s="9">
        <v>0.0</v>
      </c>
      <c r="I431" s="8">
        <v>67750.0</v>
      </c>
      <c r="J431" s="8">
        <v>64600.0</v>
      </c>
      <c r="K431" s="8">
        <v>3150.0</v>
      </c>
      <c r="L431" s="9">
        <v>5.0</v>
      </c>
      <c r="M431" s="6"/>
    </row>
    <row r="432" spans="8:8" ht="21.0" customHeight="1">
      <c r="A432" s="10"/>
      <c r="B432" s="3" t="s">
        <v>17</v>
      </c>
      <c r="C432" s="4" t="s">
        <v>18</v>
      </c>
      <c r="D432" s="4" t="s">
        <v>19</v>
      </c>
      <c r="E432" s="4" t="s">
        <v>11</v>
      </c>
      <c r="F432" s="3" t="s">
        <v>20</v>
      </c>
    </row>
    <row r="433" spans="8:8" ht="21.0" customHeight="1">
      <c r="A433" s="10"/>
      <c r="B433" s="11" t="s">
        <v>101</v>
      </c>
      <c r="C433" s="9" t="s">
        <v>270</v>
      </c>
      <c r="D433" s="8">
        <v>13550.0</v>
      </c>
      <c r="E433" s="8">
        <v>64600.0</v>
      </c>
      <c r="F433" s="13"/>
    </row>
    <row r="434" spans="8:8" ht="21.0" customHeight="1">
      <c r="A434" s="10"/>
      <c r="B434" s="11" t="s">
        <v>38</v>
      </c>
      <c r="C434" s="9" t="s">
        <v>410</v>
      </c>
      <c r="D434" s="8">
        <v>1800.0</v>
      </c>
      <c r="E434" s="9">
        <v>0.0</v>
      </c>
      <c r="F434" s="13"/>
    </row>
    <row r="435" spans="8:8" ht="21.0" customHeight="1">
      <c r="A435" s="10"/>
      <c r="B435" s="14"/>
      <c r="C435" s="15"/>
      <c r="D435" s="15"/>
      <c r="E435" s="15"/>
      <c r="F435" s="14"/>
    </row>
    <row r="436" spans="8:8" ht="21.0" customHeight="1">
      <c r="A436" s="16">
        <v>46226.0</v>
      </c>
      <c r="B436" s="6" t="s">
        <v>25</v>
      </c>
      <c r="C436" s="7" t="s">
        <v>411</v>
      </c>
      <c r="D436" s="6"/>
      <c r="E436" s="9">
        <v>248.0</v>
      </c>
      <c r="F436" s="8">
        <v>1240000.0</v>
      </c>
      <c r="G436" s="8">
        <v>1240000.0</v>
      </c>
      <c r="H436" s="9">
        <v>0.0</v>
      </c>
      <c r="I436" s="8">
        <v>1240000.0</v>
      </c>
      <c r="J436" s="8">
        <v>1289600.0</v>
      </c>
      <c r="K436" s="8">
        <v>-49600.0</v>
      </c>
      <c r="L436" s="9">
        <v>-4.0</v>
      </c>
      <c r="M436" s="6"/>
    </row>
    <row r="437" spans="8:8" ht="21.0" customHeight="1">
      <c r="A437" s="10"/>
      <c r="B437" s="3" t="s">
        <v>17</v>
      </c>
      <c r="C437" s="4" t="s">
        <v>18</v>
      </c>
      <c r="D437" s="4" t="s">
        <v>19</v>
      </c>
      <c r="E437" s="4" t="s">
        <v>11</v>
      </c>
      <c r="F437" s="3" t="s">
        <v>20</v>
      </c>
    </row>
    <row r="438" spans="8:8" ht="21.0" customHeight="1">
      <c r="A438" s="10"/>
      <c r="B438" s="11" t="s">
        <v>24</v>
      </c>
      <c r="C438" s="9" t="s">
        <v>346</v>
      </c>
      <c r="D438" s="8">
        <v>5000.0</v>
      </c>
      <c r="E438" s="8">
        <v>1289600.0</v>
      </c>
      <c r="F438" s="13"/>
    </row>
    <row r="439" spans="8:8" ht="21.0" customHeight="1">
      <c r="A439" s="10"/>
      <c r="B439" s="14"/>
      <c r="C439" s="15"/>
      <c r="D439" s="15"/>
      <c r="E439" s="15"/>
      <c r="F439" s="14"/>
    </row>
    <row r="440" spans="8:8" ht="21.0" customHeight="1">
      <c r="A440" s="16">
        <v>46226.0</v>
      </c>
      <c r="B440" s="6" t="s">
        <v>341</v>
      </c>
      <c r="C440" s="7" t="s">
        <v>412</v>
      </c>
      <c r="D440" s="6"/>
      <c r="E440" s="9">
        <v>4.0</v>
      </c>
      <c r="F440" s="8">
        <v>37340.0</v>
      </c>
      <c r="G440" s="9">
        <v>0.0</v>
      </c>
      <c r="H440" s="8">
        <v>37340.0</v>
      </c>
      <c r="I440" s="8">
        <v>37340.0</v>
      </c>
      <c r="J440" s="8">
        <v>34627.0</v>
      </c>
      <c r="K440" s="8">
        <v>2713.0</v>
      </c>
      <c r="L440" s="9">
        <v>7.0</v>
      </c>
      <c r="M440" s="6" t="s">
        <v>413</v>
      </c>
    </row>
    <row r="441" spans="8:8" ht="21.0" customHeight="1">
      <c r="A441" s="10"/>
      <c r="B441" s="3" t="s">
        <v>17</v>
      </c>
      <c r="C441" s="4" t="s">
        <v>18</v>
      </c>
      <c r="D441" s="4" t="s">
        <v>19</v>
      </c>
      <c r="E441" s="4" t="s">
        <v>11</v>
      </c>
      <c r="F441" s="3" t="s">
        <v>20</v>
      </c>
    </row>
    <row r="442" spans="8:8" ht="21.0" customHeight="1">
      <c r="A442" s="10"/>
      <c r="B442" s="11" t="s">
        <v>22</v>
      </c>
      <c r="C442" s="9" t="s">
        <v>301</v>
      </c>
      <c r="D442" s="8">
        <v>9335.0</v>
      </c>
      <c r="E442" s="8">
        <v>34627.0</v>
      </c>
      <c r="F442" s="13"/>
    </row>
    <row r="443" spans="8:8" ht="21.0" customHeight="1">
      <c r="A443" s="10"/>
      <c r="B443" s="14"/>
      <c r="C443" s="15"/>
      <c r="D443" s="15"/>
      <c r="E443" s="15"/>
      <c r="F443" s="14"/>
    </row>
    <row r="444" spans="8:8" ht="21.0" customHeight="1">
      <c r="A444" s="16">
        <v>46226.0</v>
      </c>
      <c r="B444" s="6" t="s">
        <v>29</v>
      </c>
      <c r="C444" s="7" t="s">
        <v>414</v>
      </c>
      <c r="D444" s="6"/>
      <c r="E444" s="9">
        <v>61.0</v>
      </c>
      <c r="F444" s="8">
        <v>391605.0</v>
      </c>
      <c r="G444" s="8">
        <v>391605.0</v>
      </c>
      <c r="H444" s="9">
        <v>0.0</v>
      </c>
      <c r="I444" s="8">
        <v>391605.0</v>
      </c>
      <c r="J444" s="8">
        <v>363016.0</v>
      </c>
      <c r="K444" s="8">
        <v>28589.0</v>
      </c>
      <c r="L444" s="9">
        <v>7.0</v>
      </c>
      <c r="M444" s="6"/>
    </row>
    <row r="445" spans="8:8" ht="21.0" customHeight="1">
      <c r="A445" s="10"/>
      <c r="B445" s="3" t="s">
        <v>17</v>
      </c>
      <c r="C445" s="4" t="s">
        <v>18</v>
      </c>
      <c r="D445" s="4" t="s">
        <v>19</v>
      </c>
      <c r="E445" s="4" t="s">
        <v>11</v>
      </c>
      <c r="F445" s="3" t="s">
        <v>20</v>
      </c>
    </row>
    <row r="446" spans="8:8" ht="21.0" customHeight="1">
      <c r="A446" s="10"/>
      <c r="B446" s="11" t="s">
        <v>45</v>
      </c>
      <c r="C446" s="9" t="s">
        <v>270</v>
      </c>
      <c r="D446" s="8">
        <v>13335.0</v>
      </c>
      <c r="E446" s="8">
        <v>63734.0</v>
      </c>
      <c r="F446" s="13"/>
    </row>
    <row r="447" spans="8:8" ht="21.0" customHeight="1">
      <c r="A447" s="10"/>
      <c r="B447" s="11" t="s">
        <v>44</v>
      </c>
      <c r="C447" s="9" t="s">
        <v>314</v>
      </c>
      <c r="D447" s="8">
        <v>9200.0</v>
      </c>
      <c r="E447" s="8">
        <v>89900.0</v>
      </c>
      <c r="F447" s="13"/>
    </row>
    <row r="448" spans="8:8" ht="21.0" customHeight="1">
      <c r="A448" s="10"/>
      <c r="B448" s="11" t="s">
        <v>22</v>
      </c>
      <c r="C448" s="9" t="s">
        <v>314</v>
      </c>
      <c r="D448" s="8">
        <v>8800.0</v>
      </c>
      <c r="E448" s="8">
        <v>86567.0</v>
      </c>
      <c r="F448" s="13"/>
    </row>
    <row r="449" spans="8:8" ht="21.0" customHeight="1">
      <c r="A449" s="10"/>
      <c r="B449" s="11" t="s">
        <v>87</v>
      </c>
      <c r="C449" s="9" t="s">
        <v>275</v>
      </c>
      <c r="D449" s="8">
        <v>21400.0</v>
      </c>
      <c r="E449" s="8">
        <v>20440.0</v>
      </c>
      <c r="F449" s="13"/>
    </row>
    <row r="450" spans="8:8" ht="21.0" customHeight="1">
      <c r="A450" s="10"/>
      <c r="B450" s="11" t="s">
        <v>36</v>
      </c>
      <c r="C450" s="9" t="s">
        <v>274</v>
      </c>
      <c r="D450" s="8">
        <v>15525.0</v>
      </c>
      <c r="E450" s="8">
        <v>29800.0</v>
      </c>
      <c r="F450" s="13"/>
    </row>
    <row r="451" spans="8:8" ht="21.0" customHeight="1">
      <c r="A451" s="10"/>
      <c r="B451" s="11" t="s">
        <v>70</v>
      </c>
      <c r="C451" s="9" t="s">
        <v>266</v>
      </c>
      <c r="D451" s="8">
        <v>13460.0</v>
      </c>
      <c r="E451" s="8">
        <v>12855.0</v>
      </c>
      <c r="F451" s="13"/>
    </row>
    <row r="452" spans="8:8" ht="21.0" customHeight="1">
      <c r="A452" s="10"/>
      <c r="B452" s="11" t="s">
        <v>65</v>
      </c>
      <c r="C452" s="9" t="s">
        <v>274</v>
      </c>
      <c r="D452" s="8">
        <v>11910.0</v>
      </c>
      <c r="E452" s="8">
        <v>22630.0</v>
      </c>
      <c r="F452" s="13"/>
    </row>
    <row r="453" spans="8:8" ht="21.0" customHeight="1">
      <c r="A453" s="10"/>
      <c r="B453" s="11" t="s">
        <v>148</v>
      </c>
      <c r="C453" s="9" t="s">
        <v>289</v>
      </c>
      <c r="D453" s="8">
        <v>2000.0</v>
      </c>
      <c r="E453" s="9">
        <v>741.0</v>
      </c>
      <c r="F453" s="13"/>
    </row>
    <row r="454" spans="8:8" ht="21.0" customHeight="1">
      <c r="A454" s="10"/>
      <c r="B454" s="11" t="s">
        <v>38</v>
      </c>
      <c r="C454" s="9" t="s">
        <v>415</v>
      </c>
      <c r="D454" s="8">
        <v>1800.0</v>
      </c>
      <c r="E454" s="8">
        <v>36349.0</v>
      </c>
      <c r="F454" s="13"/>
    </row>
    <row r="455" spans="8:8" ht="21.0" customHeight="1">
      <c r="A455" s="10"/>
      <c r="B455" s="14"/>
      <c r="C455" s="15"/>
      <c r="D455" s="15"/>
      <c r="E455" s="15"/>
      <c r="F455" s="14"/>
    </row>
    <row r="456" spans="8:8" ht="21.0" customHeight="1">
      <c r="A456" s="16">
        <v>46226.0</v>
      </c>
      <c r="B456" s="6" t="s">
        <v>157</v>
      </c>
      <c r="C456" s="7" t="s">
        <v>416</v>
      </c>
      <c r="D456" s="6"/>
      <c r="E456" s="9">
        <v>78.0</v>
      </c>
      <c r="F456" s="8">
        <v>449590.0</v>
      </c>
      <c r="G456" s="8">
        <v>157885.0</v>
      </c>
      <c r="H456" s="8">
        <v>291705.0</v>
      </c>
      <c r="I456" s="8">
        <v>449590.0</v>
      </c>
      <c r="J456" s="8">
        <v>413960.0</v>
      </c>
      <c r="K456" s="8">
        <v>35630.0</v>
      </c>
      <c r="L456" s="9">
        <v>8.0</v>
      </c>
      <c r="M456" s="6"/>
    </row>
    <row r="457" spans="8:8" ht="21.0" customHeight="1">
      <c r="A457" s="10"/>
      <c r="B457" s="3" t="s">
        <v>17</v>
      </c>
      <c r="C457" s="4" t="s">
        <v>18</v>
      </c>
      <c r="D457" s="4" t="s">
        <v>19</v>
      </c>
      <c r="E457" s="4" t="s">
        <v>11</v>
      </c>
      <c r="F457" s="3" t="s">
        <v>20</v>
      </c>
    </row>
    <row r="458" spans="8:8" ht="21.0" customHeight="1">
      <c r="A458" s="10"/>
      <c r="B458" s="11" t="s">
        <v>22</v>
      </c>
      <c r="C458" s="9" t="s">
        <v>318</v>
      </c>
      <c r="D458" s="8">
        <v>9200.0</v>
      </c>
      <c r="E458" s="8">
        <v>173135.0</v>
      </c>
      <c r="F458" s="13"/>
    </row>
    <row r="459" spans="8:8" ht="21.0" customHeight="1">
      <c r="A459" s="10"/>
      <c r="B459" s="11" t="s">
        <v>44</v>
      </c>
      <c r="C459" s="9" t="s">
        <v>284</v>
      </c>
      <c r="D459" s="8">
        <v>9200.0</v>
      </c>
      <c r="E459" s="8">
        <v>53940.0</v>
      </c>
      <c r="F459" s="13"/>
    </row>
    <row r="460" spans="8:8" ht="21.0" customHeight="1">
      <c r="A460" s="10"/>
      <c r="B460" s="11" t="s">
        <v>37</v>
      </c>
      <c r="C460" s="9" t="s">
        <v>270</v>
      </c>
      <c r="D460" s="8">
        <v>8880.0</v>
      </c>
      <c r="E460" s="8">
        <v>42625.0</v>
      </c>
      <c r="F460" s="13"/>
    </row>
    <row r="461" spans="8:8" ht="21.0" customHeight="1">
      <c r="A461" s="10"/>
      <c r="B461" s="11" t="s">
        <v>100</v>
      </c>
      <c r="C461" s="9" t="s">
        <v>274</v>
      </c>
      <c r="D461" s="8">
        <v>11480.0</v>
      </c>
      <c r="E461" s="8">
        <v>21830.0</v>
      </c>
      <c r="F461" s="13"/>
    </row>
    <row r="462" spans="8:8" ht="21.0" customHeight="1">
      <c r="A462" s="10"/>
      <c r="B462" s="11" t="s">
        <v>80</v>
      </c>
      <c r="C462" s="9" t="s">
        <v>274</v>
      </c>
      <c r="D462" s="8">
        <v>9345.0</v>
      </c>
      <c r="E462" s="8">
        <v>17940.0</v>
      </c>
      <c r="F462" s="13"/>
    </row>
    <row r="463" spans="8:8" ht="21.0" customHeight="1">
      <c r="A463" s="10"/>
      <c r="B463" s="11" t="s">
        <v>45</v>
      </c>
      <c r="C463" s="9" t="s">
        <v>301</v>
      </c>
      <c r="D463" s="8">
        <v>13335.0</v>
      </c>
      <c r="E463" s="8">
        <v>50987.0</v>
      </c>
      <c r="F463" s="13"/>
    </row>
    <row r="464" spans="8:8" ht="21.0" customHeight="1">
      <c r="A464" s="10"/>
      <c r="B464" s="11" t="s">
        <v>38</v>
      </c>
      <c r="C464" s="9" t="s">
        <v>417</v>
      </c>
      <c r="D464" s="8">
        <v>1800.0</v>
      </c>
      <c r="E464" s="8">
        <v>53009.0</v>
      </c>
      <c r="F464" s="13"/>
    </row>
    <row r="465" spans="8:8" ht="21.0" customHeight="1">
      <c r="A465" s="10"/>
      <c r="B465" s="11" t="s">
        <v>148</v>
      </c>
      <c r="C465" s="9" t="s">
        <v>354</v>
      </c>
      <c r="D465" s="8">
        <v>2000.0</v>
      </c>
      <c r="E465" s="9">
        <v>494.0</v>
      </c>
      <c r="F465" s="13"/>
    </row>
    <row r="466" spans="8:8" ht="21.0" customHeight="1">
      <c r="A466" s="10"/>
      <c r="B466" s="14"/>
      <c r="C466" s="15"/>
      <c r="D466" s="15"/>
      <c r="E466" s="15"/>
      <c r="F466" s="14"/>
    </row>
    <row r="467" spans="8:8" ht="21.0" customHeight="1">
      <c r="A467" s="16">
        <v>46226.0</v>
      </c>
      <c r="B467" s="6" t="s">
        <v>29</v>
      </c>
      <c r="C467" s="7" t="s">
        <v>418</v>
      </c>
      <c r="D467" s="6"/>
      <c r="E467" s="9">
        <v>60.0</v>
      </c>
      <c r="F467" s="8">
        <v>300000.0</v>
      </c>
      <c r="G467" s="8">
        <v>300000.0</v>
      </c>
      <c r="H467" s="9">
        <v>0.0</v>
      </c>
      <c r="I467" s="8">
        <v>300000.0</v>
      </c>
      <c r="J467" s="8">
        <v>312000.0</v>
      </c>
      <c r="K467" s="8">
        <v>-12000.0</v>
      </c>
      <c r="L467" s="9">
        <v>-4.0</v>
      </c>
      <c r="M467" s="6"/>
    </row>
    <row r="468" spans="8:8" ht="21.0" customHeight="1">
      <c r="A468" s="10"/>
      <c r="B468" s="3" t="s">
        <v>17</v>
      </c>
      <c r="C468" s="4" t="s">
        <v>18</v>
      </c>
      <c r="D468" s="4" t="s">
        <v>19</v>
      </c>
      <c r="E468" s="4" t="s">
        <v>11</v>
      </c>
      <c r="F468" s="3" t="s">
        <v>20</v>
      </c>
    </row>
    <row r="469" spans="8:8" ht="21.0" customHeight="1">
      <c r="A469" s="10"/>
      <c r="B469" s="11" t="s">
        <v>24</v>
      </c>
      <c r="C469" s="9" t="s">
        <v>419</v>
      </c>
      <c r="D469" s="8">
        <v>5000.0</v>
      </c>
      <c r="E469" s="8">
        <v>312000.0</v>
      </c>
      <c r="F469" s="13"/>
    </row>
    <row r="470" spans="8:8" ht="21.0" customHeight="1">
      <c r="A470" s="10"/>
      <c r="B470" s="14"/>
      <c r="C470" s="15"/>
      <c r="D470" s="15"/>
      <c r="E470" s="15"/>
      <c r="F470" s="14"/>
    </row>
    <row r="471" spans="8:8" ht="21.0" customHeight="1">
      <c r="A471" s="16">
        <v>46226.0</v>
      </c>
      <c r="B471" s="6" t="s">
        <v>336</v>
      </c>
      <c r="C471" s="7" t="s">
        <v>420</v>
      </c>
      <c r="D471" s="6"/>
      <c r="E471" s="9">
        <v>3.0</v>
      </c>
      <c r="F471" s="8">
        <v>26900.0</v>
      </c>
      <c r="G471" s="8">
        <v>26900.0</v>
      </c>
      <c r="H471" s="9">
        <v>0.0</v>
      </c>
      <c r="I471" s="8">
        <v>26900.0</v>
      </c>
      <c r="J471" s="8">
        <v>25435.0</v>
      </c>
      <c r="K471" s="8">
        <v>1465.0</v>
      </c>
      <c r="L471" s="9">
        <v>5.0</v>
      </c>
      <c r="M471" s="6"/>
    </row>
    <row r="472" spans="8:8" ht="21.0" customHeight="1">
      <c r="A472" s="10"/>
      <c r="B472" s="3" t="s">
        <v>17</v>
      </c>
      <c r="C472" s="4" t="s">
        <v>18</v>
      </c>
      <c r="D472" s="4" t="s">
        <v>19</v>
      </c>
      <c r="E472" s="4" t="s">
        <v>11</v>
      </c>
      <c r="F472" s="3" t="s">
        <v>20</v>
      </c>
    </row>
    <row r="473" spans="8:8" ht="21.0" customHeight="1">
      <c r="A473" s="10"/>
      <c r="B473" s="11" t="s">
        <v>22</v>
      </c>
      <c r="C473" s="9" t="s">
        <v>274</v>
      </c>
      <c r="D473" s="8">
        <v>9200.0</v>
      </c>
      <c r="E473" s="8">
        <v>17313.0</v>
      </c>
      <c r="F473" s="13"/>
    </row>
    <row r="474" spans="8:8" ht="21.0" customHeight="1">
      <c r="A474" s="10"/>
      <c r="B474" s="11" t="s">
        <v>21</v>
      </c>
      <c r="C474" s="9" t="s">
        <v>275</v>
      </c>
      <c r="D474" s="8">
        <v>8500.0</v>
      </c>
      <c r="E474" s="8">
        <v>8122.0</v>
      </c>
      <c r="F474" s="13"/>
    </row>
    <row r="475" spans="8:8" ht="21.0" customHeight="1">
      <c r="A475" s="10"/>
      <c r="B475" s="14"/>
      <c r="C475" s="15"/>
      <c r="D475" s="15"/>
      <c r="E475" s="15"/>
      <c r="F475" s="14"/>
    </row>
    <row r="476" spans="8:8" ht="21.0" customHeight="1">
      <c r="A476" s="16">
        <v>46226.0</v>
      </c>
      <c r="B476" s="6" t="s">
        <v>25</v>
      </c>
      <c r="C476" s="7" t="s">
        <v>421</v>
      </c>
      <c r="D476" s="6"/>
      <c r="E476" s="9">
        <v>60.0</v>
      </c>
      <c r="F476" s="8">
        <v>316500.0</v>
      </c>
      <c r="G476" s="8">
        <v>316500.0</v>
      </c>
      <c r="H476" s="9">
        <v>0.0</v>
      </c>
      <c r="I476" s="8">
        <v>316500.0</v>
      </c>
      <c r="J476" s="8">
        <v>298397.0</v>
      </c>
      <c r="K476" s="8">
        <v>18103.0</v>
      </c>
      <c r="L476" s="9">
        <v>6.0</v>
      </c>
      <c r="M476" s="6"/>
    </row>
    <row r="477" spans="8:8" ht="21.0" customHeight="1">
      <c r="A477" s="10"/>
      <c r="B477" s="3" t="s">
        <v>17</v>
      </c>
      <c r="C477" s="4" t="s">
        <v>18</v>
      </c>
      <c r="D477" s="4" t="s">
        <v>19</v>
      </c>
      <c r="E477" s="4" t="s">
        <v>11</v>
      </c>
      <c r="F477" s="3" t="s">
        <v>20</v>
      </c>
    </row>
    <row r="478" spans="8:8" ht="21.0" customHeight="1">
      <c r="A478" s="10"/>
      <c r="B478" s="11" t="s">
        <v>22</v>
      </c>
      <c r="C478" s="9" t="s">
        <v>350</v>
      </c>
      <c r="D478" s="8">
        <v>9200.0</v>
      </c>
      <c r="E478" s="8">
        <v>129851.0</v>
      </c>
      <c r="F478" s="13"/>
    </row>
    <row r="479" spans="8:8" ht="21.0" customHeight="1">
      <c r="A479" s="10"/>
      <c r="B479" s="11" t="s">
        <v>21</v>
      </c>
      <c r="C479" s="9" t="s">
        <v>350</v>
      </c>
      <c r="D479" s="8">
        <v>8200.0</v>
      </c>
      <c r="E479" s="8">
        <v>121828.0</v>
      </c>
      <c r="F479" s="13"/>
    </row>
    <row r="480" spans="8:8" ht="21.0" customHeight="1">
      <c r="A480" s="10"/>
      <c r="B480" s="11" t="s">
        <v>48</v>
      </c>
      <c r="C480" s="9" t="s">
        <v>351</v>
      </c>
      <c r="D480" s="8">
        <v>1900.0</v>
      </c>
      <c r="E480" s="8">
        <v>24000.0</v>
      </c>
      <c r="F480" s="13"/>
    </row>
    <row r="481" spans="8:8" ht="21.0" customHeight="1">
      <c r="A481" s="10"/>
      <c r="B481" s="11" t="s">
        <v>38</v>
      </c>
      <c r="C481" s="9" t="s">
        <v>351</v>
      </c>
      <c r="D481" s="8">
        <v>1800.0</v>
      </c>
      <c r="E481" s="8">
        <v>22718.0</v>
      </c>
      <c r="F481" s="13"/>
    </row>
    <row r="482" spans="8:8" ht="21.0" customHeight="1">
      <c r="A482" s="10"/>
      <c r="B482" s="14"/>
      <c r="C482" s="15"/>
      <c r="D482" s="15"/>
      <c r="E482" s="15"/>
      <c r="F482" s="14"/>
    </row>
    <row r="483" spans="8:8" ht="21.0" customHeight="1">
      <c r="A483" s="17">
        <v>46227.0</v>
      </c>
      <c r="B483" s="6" t="s">
        <v>66</v>
      </c>
      <c r="C483" s="7" t="s">
        <v>422</v>
      </c>
      <c r="D483" s="6"/>
      <c r="E483" s="9">
        <v>840.0</v>
      </c>
      <c r="F483" s="8">
        <v>4463200.0</v>
      </c>
      <c r="G483" s="8">
        <v>3698700.0</v>
      </c>
      <c r="H483" s="8">
        <v>764500.0</v>
      </c>
      <c r="I483" s="8">
        <v>4463200.0</v>
      </c>
      <c r="J483" s="8">
        <v>4365251.0</v>
      </c>
      <c r="K483" s="8">
        <v>97949.0</v>
      </c>
      <c r="L483" s="9">
        <v>2.0</v>
      </c>
      <c r="M483" s="6" t="s">
        <v>423</v>
      </c>
    </row>
    <row r="484" spans="8:8" ht="21.0" customHeight="1">
      <c r="A484" s="10"/>
      <c r="B484" s="3" t="s">
        <v>17</v>
      </c>
      <c r="C484" s="4" t="s">
        <v>18</v>
      </c>
      <c r="D484" s="4" t="s">
        <v>19</v>
      </c>
      <c r="E484" s="4" t="s">
        <v>11</v>
      </c>
      <c r="F484" s="3" t="s">
        <v>20</v>
      </c>
    </row>
    <row r="485" spans="8:8" ht="21.0" customHeight="1">
      <c r="A485" s="10"/>
      <c r="B485" s="11" t="s">
        <v>22</v>
      </c>
      <c r="C485" s="9" t="s">
        <v>306</v>
      </c>
      <c r="D485" s="8">
        <v>8500.0</v>
      </c>
      <c r="E485" s="8">
        <v>1211944.0</v>
      </c>
      <c r="F485" s="13"/>
    </row>
    <row r="486" spans="8:8" ht="21.0" customHeight="1">
      <c r="A486" s="10"/>
      <c r="B486" s="11" t="s">
        <v>44</v>
      </c>
      <c r="C486" s="9" t="s">
        <v>424</v>
      </c>
      <c r="D486" s="8">
        <v>8990.0</v>
      </c>
      <c r="E486" s="8">
        <v>2517200.0</v>
      </c>
      <c r="F486" s="13"/>
    </row>
    <row r="487" spans="8:8" ht="21.0" customHeight="1">
      <c r="A487" s="10"/>
      <c r="B487" s="11" t="s">
        <v>38</v>
      </c>
      <c r="C487" s="9" t="s">
        <v>362</v>
      </c>
      <c r="D487" s="8">
        <v>1800.0</v>
      </c>
      <c r="E487" s="8">
        <v>636107.0</v>
      </c>
      <c r="F487" s="13"/>
    </row>
    <row r="488" spans="8:8" ht="21.0" customHeight="1">
      <c r="A488" s="10"/>
      <c r="B488" s="14"/>
      <c r="C488" s="15"/>
      <c r="D488" s="15"/>
      <c r="E488" s="15"/>
      <c r="F488" s="14"/>
    </row>
    <row r="489" spans="8:8" ht="21.0" customHeight="1">
      <c r="A489" s="16">
        <v>46227.0</v>
      </c>
      <c r="B489" s="6" t="s">
        <v>102</v>
      </c>
      <c r="C489" s="7" t="s">
        <v>425</v>
      </c>
      <c r="D489" s="6"/>
      <c r="E489" s="9">
        <v>1.0</v>
      </c>
      <c r="F489" s="8">
        <v>9500.0</v>
      </c>
      <c r="G489" s="8">
        <v>9500.0</v>
      </c>
      <c r="H489" s="9">
        <v>0.0</v>
      </c>
      <c r="I489" s="8">
        <v>9500.0</v>
      </c>
      <c r="J489" s="8">
        <v>8657.0</v>
      </c>
      <c r="K489" s="9">
        <v>843.0</v>
      </c>
      <c r="L489" s="9">
        <v>9.0</v>
      </c>
      <c r="M489" s="6"/>
    </row>
    <row r="490" spans="8:8" ht="21.0" customHeight="1">
      <c r="A490" s="10"/>
      <c r="B490" s="3" t="s">
        <v>17</v>
      </c>
      <c r="C490" s="4" t="s">
        <v>18</v>
      </c>
      <c r="D490" s="4" t="s">
        <v>19</v>
      </c>
      <c r="E490" s="4" t="s">
        <v>11</v>
      </c>
      <c r="F490" s="3" t="s">
        <v>20</v>
      </c>
    </row>
    <row r="491" spans="8:8" ht="21.0" customHeight="1">
      <c r="A491" s="10"/>
      <c r="B491" s="11" t="s">
        <v>22</v>
      </c>
      <c r="C491" s="9" t="s">
        <v>275</v>
      </c>
      <c r="D491" s="8">
        <v>9500.0</v>
      </c>
      <c r="E491" s="8">
        <v>8657.0</v>
      </c>
      <c r="F491" s="13"/>
    </row>
    <row r="492" spans="8:8" ht="21.0" customHeight="1">
      <c r="A492" s="10"/>
      <c r="B492" s="14"/>
      <c r="C492" s="15"/>
      <c r="D492" s="15"/>
      <c r="E492" s="15"/>
      <c r="F492" s="14"/>
    </row>
    <row r="493" spans="8:8" ht="21.0" customHeight="1">
      <c r="A493" s="16">
        <v>46227.0</v>
      </c>
      <c r="B493" s="6" t="s">
        <v>102</v>
      </c>
      <c r="C493" s="7" t="s">
        <v>426</v>
      </c>
      <c r="D493" s="6"/>
      <c r="E493" s="9">
        <v>1.0</v>
      </c>
      <c r="F493" s="8">
        <v>13950.0</v>
      </c>
      <c r="G493" s="8">
        <v>13950.0</v>
      </c>
      <c r="H493" s="9">
        <v>0.0</v>
      </c>
      <c r="I493" s="8">
        <v>13950.0</v>
      </c>
      <c r="J493" s="8">
        <v>12747.0</v>
      </c>
      <c r="K493" s="8">
        <v>1203.0</v>
      </c>
      <c r="L493" s="9">
        <v>9.0</v>
      </c>
      <c r="M493" s="6"/>
    </row>
    <row r="494" spans="8:8" ht="21.0" customHeight="1">
      <c r="A494" s="10"/>
      <c r="B494" s="3" t="s">
        <v>17</v>
      </c>
      <c r="C494" s="4" t="s">
        <v>18</v>
      </c>
      <c r="D494" s="4" t="s">
        <v>19</v>
      </c>
      <c r="E494" s="4" t="s">
        <v>11</v>
      </c>
      <c r="F494" s="3" t="s">
        <v>20</v>
      </c>
    </row>
    <row r="495" spans="8:8" ht="21.0" customHeight="1">
      <c r="A495" s="10"/>
      <c r="B495" s="11" t="s">
        <v>45</v>
      </c>
      <c r="C495" s="9" t="s">
        <v>275</v>
      </c>
      <c r="D495" s="8">
        <v>13950.0</v>
      </c>
      <c r="E495" s="8">
        <v>12747.0</v>
      </c>
      <c r="F495" s="13"/>
    </row>
    <row r="496" spans="8:8" ht="21.0" customHeight="1">
      <c r="A496" s="10"/>
      <c r="B496" s="14"/>
      <c r="C496" s="15"/>
      <c r="D496" s="15"/>
      <c r="E496" s="15"/>
      <c r="F496" s="14"/>
    </row>
    <row r="497" spans="8:8" ht="21.0" customHeight="1">
      <c r="A497" s="16">
        <v>46227.0</v>
      </c>
      <c r="B497" s="6" t="s">
        <v>29</v>
      </c>
      <c r="C497" s="7" t="s">
        <v>427</v>
      </c>
      <c r="D497" s="6"/>
      <c r="E497" s="9">
        <v>71.0</v>
      </c>
      <c r="F497" s="8">
        <v>416280.0</v>
      </c>
      <c r="G497" s="8">
        <v>264505.0</v>
      </c>
      <c r="H497" s="8">
        <v>151775.0</v>
      </c>
      <c r="I497" s="8">
        <v>416280.0</v>
      </c>
      <c r="J497" s="8">
        <v>398010.0</v>
      </c>
      <c r="K497" s="8">
        <v>18270.0</v>
      </c>
      <c r="L497" s="9">
        <v>4.0</v>
      </c>
      <c r="M497" s="6"/>
    </row>
    <row r="498" spans="8:8" ht="21.0" customHeight="1">
      <c r="A498" s="10"/>
      <c r="B498" s="3" t="s">
        <v>17</v>
      </c>
      <c r="C498" s="4" t="s">
        <v>18</v>
      </c>
      <c r="D498" s="4" t="s">
        <v>19</v>
      </c>
      <c r="E498" s="4" t="s">
        <v>11</v>
      </c>
      <c r="F498" s="3" t="s">
        <v>20</v>
      </c>
    </row>
    <row r="499" spans="8:8" ht="21.0" customHeight="1">
      <c r="A499" s="10"/>
      <c r="B499" s="11" t="s">
        <v>22</v>
      </c>
      <c r="C499" s="9" t="s">
        <v>318</v>
      </c>
      <c r="D499" s="8">
        <v>8800.0</v>
      </c>
      <c r="E499" s="8">
        <v>173135.0</v>
      </c>
      <c r="F499" s="13"/>
    </row>
    <row r="500" spans="8:8" ht="21.0" customHeight="1">
      <c r="A500" s="10"/>
      <c r="B500" s="11" t="s">
        <v>24</v>
      </c>
      <c r="C500" s="9" t="s">
        <v>368</v>
      </c>
      <c r="D500" s="8">
        <v>5000.0</v>
      </c>
      <c r="E500" s="8">
        <v>26000.0</v>
      </c>
      <c r="F500" s="13"/>
    </row>
    <row r="501" spans="8:8" ht="21.0" customHeight="1">
      <c r="A501" s="10"/>
      <c r="B501" s="11" t="s">
        <v>87</v>
      </c>
      <c r="C501" s="9" t="s">
        <v>275</v>
      </c>
      <c r="D501" s="8">
        <v>21400.0</v>
      </c>
      <c r="E501" s="8">
        <v>20440.0</v>
      </c>
      <c r="F501" s="13"/>
    </row>
    <row r="502" spans="8:8" ht="21.0" customHeight="1">
      <c r="A502" s="10"/>
      <c r="B502" s="11" t="s">
        <v>101</v>
      </c>
      <c r="C502" s="9" t="s">
        <v>323</v>
      </c>
      <c r="D502" s="8">
        <v>13020.0</v>
      </c>
      <c r="E502" s="8">
        <v>38760.0</v>
      </c>
      <c r="F502" s="13"/>
    </row>
    <row r="503" spans="8:8" ht="21.0" customHeight="1">
      <c r="A503" s="10"/>
      <c r="B503" s="11" t="s">
        <v>44</v>
      </c>
      <c r="C503" s="9" t="s">
        <v>284</v>
      </c>
      <c r="D503" s="8">
        <v>9200.0</v>
      </c>
      <c r="E503" s="8">
        <v>53940.0</v>
      </c>
      <c r="F503" s="13"/>
    </row>
    <row r="504" spans="8:8" ht="21.0" customHeight="1">
      <c r="A504" s="10"/>
      <c r="B504" s="11" t="s">
        <v>113</v>
      </c>
      <c r="C504" s="9" t="s">
        <v>275</v>
      </c>
      <c r="D504" s="8">
        <v>14575.0</v>
      </c>
      <c r="E504" s="8">
        <v>14475.0</v>
      </c>
      <c r="F504" s="13"/>
    </row>
    <row r="505" spans="8:8" ht="21.0" customHeight="1">
      <c r="A505" s="10"/>
      <c r="B505" s="11" t="s">
        <v>65</v>
      </c>
      <c r="C505" s="9" t="s">
        <v>275</v>
      </c>
      <c r="D505" s="8">
        <v>11910.0</v>
      </c>
      <c r="E505" s="8">
        <v>11315.0</v>
      </c>
      <c r="F505" s="13"/>
    </row>
    <row r="506" spans="8:8" ht="21.0" customHeight="1">
      <c r="A506" s="10"/>
      <c r="B506" s="11" t="s">
        <v>45</v>
      </c>
      <c r="C506" s="9" t="s">
        <v>275</v>
      </c>
      <c r="D506" s="8">
        <v>13335.0</v>
      </c>
      <c r="E506" s="8">
        <v>12747.0</v>
      </c>
      <c r="F506" s="13"/>
    </row>
    <row r="507" spans="8:8" ht="21.0" customHeight="1">
      <c r="A507" s="10"/>
      <c r="B507" s="11" t="s">
        <v>148</v>
      </c>
      <c r="C507" s="9" t="s">
        <v>303</v>
      </c>
      <c r="D507" s="8">
        <v>2000.0</v>
      </c>
      <c r="E507" s="9">
        <v>247.0</v>
      </c>
      <c r="F507" s="13"/>
    </row>
    <row r="508" spans="8:8" ht="21.0" customHeight="1">
      <c r="A508" s="10"/>
      <c r="B508" s="11" t="s">
        <v>38</v>
      </c>
      <c r="C508" s="9" t="s">
        <v>428</v>
      </c>
      <c r="D508" s="8">
        <v>1800.0</v>
      </c>
      <c r="E508" s="8">
        <v>46951.0</v>
      </c>
      <c r="F508" s="13"/>
    </row>
    <row r="509" spans="8:8" ht="21.0" customHeight="1">
      <c r="A509" s="10"/>
      <c r="B509" s="14"/>
      <c r="C509" s="15"/>
      <c r="D509" s="15"/>
      <c r="E509" s="15"/>
      <c r="F509" s="14"/>
    </row>
    <row r="510" spans="8:8" ht="21.0" customHeight="1">
      <c r="A510" s="16">
        <v>46227.0</v>
      </c>
      <c r="B510" s="6" t="s">
        <v>15</v>
      </c>
      <c r="C510" s="7" t="s">
        <v>429</v>
      </c>
      <c r="D510" s="6"/>
      <c r="E510" s="9">
        <v>2.0</v>
      </c>
      <c r="F510" s="8">
        <v>19000.0</v>
      </c>
      <c r="G510" s="8">
        <v>19000.0</v>
      </c>
      <c r="H510" s="9">
        <v>0.0</v>
      </c>
      <c r="I510" s="8">
        <v>19000.0</v>
      </c>
      <c r="J510" s="8">
        <v>17515.0</v>
      </c>
      <c r="K510" s="8">
        <v>1485.0</v>
      </c>
      <c r="L510" s="9">
        <v>8.0</v>
      </c>
      <c r="M510" s="6"/>
    </row>
    <row r="511" spans="8:8" ht="21.0" customHeight="1">
      <c r="A511" s="10"/>
      <c r="B511" s="3" t="s">
        <v>17</v>
      </c>
      <c r="C511" s="4" t="s">
        <v>18</v>
      </c>
      <c r="D511" s="4" t="s">
        <v>19</v>
      </c>
      <c r="E511" s="4" t="s">
        <v>11</v>
      </c>
      <c r="F511" s="3" t="s">
        <v>20</v>
      </c>
    </row>
    <row r="512" spans="8:8" ht="21.0" customHeight="1">
      <c r="A512" s="10"/>
      <c r="B512" s="11" t="s">
        <v>44</v>
      </c>
      <c r="C512" s="9" t="s">
        <v>275</v>
      </c>
      <c r="D512" s="8">
        <v>9500.0</v>
      </c>
      <c r="E512" s="8">
        <v>8990.0</v>
      </c>
      <c r="F512" s="13"/>
    </row>
    <row r="513" spans="8:8" ht="21.0" customHeight="1">
      <c r="A513" s="10"/>
      <c r="B513" s="11" t="s">
        <v>37</v>
      </c>
      <c r="C513" s="9" t="s">
        <v>275</v>
      </c>
      <c r="D513" s="8">
        <v>9500.0</v>
      </c>
      <c r="E513" s="8">
        <v>8525.0</v>
      </c>
      <c r="F513" s="13"/>
    </row>
    <row r="514" spans="8:8" ht="21.0" customHeight="1">
      <c r="A514" s="10"/>
      <c r="B514" s="14"/>
      <c r="C514" s="15"/>
      <c r="D514" s="15"/>
      <c r="E514" s="15"/>
      <c r="F514" s="14"/>
    </row>
    <row r="515" spans="8:8" ht="21.0" customHeight="1">
      <c r="A515" s="16">
        <v>46227.0</v>
      </c>
      <c r="B515" s="6" t="s">
        <v>25</v>
      </c>
      <c r="C515" s="7" t="s">
        <v>430</v>
      </c>
      <c r="D515" s="6"/>
      <c r="E515" s="9">
        <v>270.0</v>
      </c>
      <c r="F515" s="8">
        <v>1350000.0</v>
      </c>
      <c r="G515" s="8">
        <v>1350000.0</v>
      </c>
      <c r="H515" s="9">
        <v>0.0</v>
      </c>
      <c r="I515" s="8">
        <v>1350000.0</v>
      </c>
      <c r="J515" s="8">
        <v>1404000.0</v>
      </c>
      <c r="K515" s="8">
        <v>-54000.0</v>
      </c>
      <c r="L515" s="9">
        <v>-4.0</v>
      </c>
      <c r="M515" s="6"/>
    </row>
    <row r="516" spans="8:8" ht="21.0" customHeight="1">
      <c r="A516" s="10"/>
      <c r="B516" s="3" t="s">
        <v>17</v>
      </c>
      <c r="C516" s="4" t="s">
        <v>18</v>
      </c>
      <c r="D516" s="4" t="s">
        <v>19</v>
      </c>
      <c r="E516" s="4" t="s">
        <v>11</v>
      </c>
      <c r="F516" s="3" t="s">
        <v>20</v>
      </c>
    </row>
    <row r="517" spans="8:8" ht="21.0" customHeight="1">
      <c r="A517" s="10"/>
      <c r="B517" s="11" t="s">
        <v>24</v>
      </c>
      <c r="C517" s="9" t="s">
        <v>431</v>
      </c>
      <c r="D517" s="8">
        <v>5000.0</v>
      </c>
      <c r="E517" s="8">
        <v>1404000.0</v>
      </c>
      <c r="F517" s="13"/>
    </row>
    <row r="518" spans="8:8" ht="21.0" customHeight="1">
      <c r="A518" s="10"/>
      <c r="B518" s="14"/>
      <c r="C518" s="15"/>
      <c r="D518" s="15"/>
      <c r="E518" s="15"/>
      <c r="F518" s="14"/>
    </row>
    <row r="519" spans="8:8" ht="21.0" customHeight="1">
      <c r="A519" s="16">
        <v>46227.0</v>
      </c>
      <c r="B519" s="6" t="s">
        <v>104</v>
      </c>
      <c r="C519" s="7" t="s">
        <v>432</v>
      </c>
      <c r="D519" s="6"/>
      <c r="E519" s="9">
        <v>65.0</v>
      </c>
      <c r="F519" s="8">
        <v>383075.0</v>
      </c>
      <c r="G519" s="9">
        <v>0.0</v>
      </c>
      <c r="H519" s="8">
        <v>383075.0</v>
      </c>
      <c r="I519" s="8">
        <v>383075.0</v>
      </c>
      <c r="J519" s="8">
        <v>358735.0</v>
      </c>
      <c r="K519" s="8">
        <v>24340.0</v>
      </c>
      <c r="L519" s="9">
        <v>6.0</v>
      </c>
      <c r="M519" s="6"/>
    </row>
    <row r="520" spans="8:8" ht="21.0" customHeight="1">
      <c r="A520" s="10"/>
      <c r="B520" s="3" t="s">
        <v>17</v>
      </c>
      <c r="C520" s="4" t="s">
        <v>18</v>
      </c>
      <c r="D520" s="4" t="s">
        <v>19</v>
      </c>
      <c r="E520" s="4" t="s">
        <v>11</v>
      </c>
      <c r="F520" s="3" t="s">
        <v>20</v>
      </c>
    </row>
    <row r="521" spans="8:8" ht="21.0" customHeight="1">
      <c r="A521" s="10"/>
      <c r="B521" s="11" t="s">
        <v>24</v>
      </c>
      <c r="C521" s="9" t="s">
        <v>369</v>
      </c>
      <c r="D521" s="8">
        <v>5000.0</v>
      </c>
      <c r="E521" s="8">
        <v>78000.0</v>
      </c>
      <c r="F521" s="13"/>
    </row>
    <row r="522" spans="8:8" ht="21.0" customHeight="1">
      <c r="A522" s="10"/>
      <c r="B522" s="11" t="s">
        <v>22</v>
      </c>
      <c r="C522" s="9" t="s">
        <v>314</v>
      </c>
      <c r="D522" s="8">
        <v>9200.0</v>
      </c>
      <c r="E522" s="8">
        <v>86567.0</v>
      </c>
      <c r="F522" s="13"/>
    </row>
    <row r="523" spans="8:8" ht="21.0" customHeight="1">
      <c r="A523" s="10"/>
      <c r="B523" s="11" t="s">
        <v>44</v>
      </c>
      <c r="C523" s="9" t="s">
        <v>270</v>
      </c>
      <c r="D523" s="8">
        <v>9200.0</v>
      </c>
      <c r="E523" s="8">
        <v>44950.0</v>
      </c>
      <c r="F523" s="13"/>
    </row>
    <row r="524" spans="8:8" ht="21.0" customHeight="1">
      <c r="A524" s="10"/>
      <c r="B524" s="11" t="s">
        <v>45</v>
      </c>
      <c r="C524" s="9" t="s">
        <v>270</v>
      </c>
      <c r="D524" s="8">
        <v>13335.0</v>
      </c>
      <c r="E524" s="8">
        <v>63734.0</v>
      </c>
      <c r="F524" s="13"/>
    </row>
    <row r="525" spans="8:8" ht="21.0" customHeight="1">
      <c r="A525" s="10"/>
      <c r="B525" s="11" t="s">
        <v>100</v>
      </c>
      <c r="C525" s="9" t="s">
        <v>270</v>
      </c>
      <c r="D525" s="8">
        <v>11480.0</v>
      </c>
      <c r="E525" s="8">
        <v>54575.0</v>
      </c>
      <c r="F525" s="13"/>
    </row>
    <row r="526" spans="8:8" ht="21.0" customHeight="1">
      <c r="A526" s="10"/>
      <c r="B526" s="11" t="s">
        <v>148</v>
      </c>
      <c r="C526" s="9" t="s">
        <v>377</v>
      </c>
      <c r="D526" s="8">
        <v>2000.0</v>
      </c>
      <c r="E526" s="9">
        <v>618.0</v>
      </c>
      <c r="F526" s="13"/>
    </row>
    <row r="527" spans="8:8" ht="21.0" customHeight="1">
      <c r="A527" s="10"/>
      <c r="B527" s="11" t="s">
        <v>38</v>
      </c>
      <c r="C527" s="9" t="s">
        <v>319</v>
      </c>
      <c r="D527" s="8">
        <v>1800.0</v>
      </c>
      <c r="E527" s="8">
        <v>30291.0</v>
      </c>
      <c r="F527" s="13"/>
    </row>
    <row r="528" spans="8:8" ht="21.0" customHeight="1">
      <c r="A528" s="10"/>
      <c r="B528" s="14"/>
      <c r="C528" s="15"/>
      <c r="D528" s="15"/>
      <c r="E528" s="15"/>
      <c r="F528" s="14"/>
    </row>
    <row r="529" spans="8:8" ht="21.0" customHeight="1">
      <c r="A529" s="16">
        <v>46227.0</v>
      </c>
      <c r="B529" s="6" t="s">
        <v>75</v>
      </c>
      <c r="C529" s="7" t="s">
        <v>433</v>
      </c>
      <c r="D529" s="6"/>
      <c r="E529" s="9">
        <v>2.0</v>
      </c>
      <c r="F529" s="8">
        <v>18670.0</v>
      </c>
      <c r="G529" s="8">
        <v>1800.0</v>
      </c>
      <c r="H529" s="8">
        <v>16870.0</v>
      </c>
      <c r="I529" s="8">
        <v>18670.0</v>
      </c>
      <c r="J529" s="8">
        <v>17313.0</v>
      </c>
      <c r="K529" s="8">
        <v>1357.0</v>
      </c>
      <c r="L529" s="9">
        <v>7.0</v>
      </c>
      <c r="M529" s="6" t="s">
        <v>413</v>
      </c>
    </row>
    <row r="530" spans="8:8" ht="21.0" customHeight="1">
      <c r="A530" s="10"/>
      <c r="B530" s="3" t="s">
        <v>17</v>
      </c>
      <c r="C530" s="4" t="s">
        <v>18</v>
      </c>
      <c r="D530" s="4" t="s">
        <v>19</v>
      </c>
      <c r="E530" s="4" t="s">
        <v>11</v>
      </c>
      <c r="F530" s="3" t="s">
        <v>20</v>
      </c>
    </row>
    <row r="531" spans="8:8" ht="21.0" customHeight="1">
      <c r="A531" s="10"/>
      <c r="B531" s="11" t="s">
        <v>22</v>
      </c>
      <c r="C531" s="9" t="s">
        <v>274</v>
      </c>
      <c r="D531" s="8">
        <v>9335.0</v>
      </c>
      <c r="E531" s="8">
        <v>17313.0</v>
      </c>
      <c r="F531" s="13"/>
    </row>
    <row r="532" spans="8:8" ht="21.0" customHeight="1">
      <c r="A532" s="10"/>
      <c r="B532" s="14"/>
      <c r="C532" s="15"/>
      <c r="D532" s="15"/>
      <c r="E532" s="15"/>
      <c r="F532" s="14"/>
    </row>
    <row r="533" spans="8:8" ht="21.0" customHeight="1">
      <c r="A533" s="16">
        <v>46227.0</v>
      </c>
      <c r="B533" s="6" t="s">
        <v>212</v>
      </c>
      <c r="C533" s="7" t="s">
        <v>434</v>
      </c>
      <c r="D533" s="6"/>
      <c r="E533" s="9">
        <v>14.0</v>
      </c>
      <c r="F533" s="8">
        <v>154730.0</v>
      </c>
      <c r="G533" s="8">
        <v>154730.0</v>
      </c>
      <c r="H533" s="9">
        <v>0.0</v>
      </c>
      <c r="I533" s="8">
        <v>154730.0</v>
      </c>
      <c r="J533" s="8">
        <v>143894.0</v>
      </c>
      <c r="K533" s="8">
        <v>10836.0</v>
      </c>
      <c r="L533" s="9">
        <v>7.0</v>
      </c>
      <c r="M533" s="6"/>
    </row>
    <row r="534" spans="8:8" ht="21.0" customHeight="1">
      <c r="A534" s="10"/>
      <c r="B534" s="3" t="s">
        <v>17</v>
      </c>
      <c r="C534" s="4" t="s">
        <v>18</v>
      </c>
      <c r="D534" s="4" t="s">
        <v>19</v>
      </c>
      <c r="E534" s="4" t="s">
        <v>11</v>
      </c>
      <c r="F534" s="3" t="s">
        <v>20</v>
      </c>
    </row>
    <row r="535" spans="8:8" ht="21.0" customHeight="1">
      <c r="A535" s="10"/>
      <c r="B535" s="11" t="s">
        <v>65</v>
      </c>
      <c r="C535" s="9" t="s">
        <v>274</v>
      </c>
      <c r="D535" s="8">
        <v>11910.0</v>
      </c>
      <c r="E535" s="8">
        <v>22630.0</v>
      </c>
      <c r="F535" s="13"/>
    </row>
    <row r="536" spans="8:8" ht="21.0" customHeight="1">
      <c r="A536" s="10"/>
      <c r="B536" s="11" t="s">
        <v>101</v>
      </c>
      <c r="C536" s="9" t="s">
        <v>274</v>
      </c>
      <c r="D536" s="8">
        <v>13550.0</v>
      </c>
      <c r="E536" s="8">
        <v>25840.0</v>
      </c>
      <c r="F536" s="13"/>
    </row>
    <row r="537" spans="8:8" ht="21.0" customHeight="1">
      <c r="A537" s="10"/>
      <c r="B537" s="11" t="s">
        <v>45</v>
      </c>
      <c r="C537" s="9" t="s">
        <v>301</v>
      </c>
      <c r="D537" s="8">
        <v>13950.0</v>
      </c>
      <c r="E537" s="8">
        <v>50987.0</v>
      </c>
      <c r="F537" s="13"/>
    </row>
    <row r="538" spans="8:8" ht="21.0" customHeight="1">
      <c r="A538" s="10"/>
      <c r="B538" s="11" t="s">
        <v>22</v>
      </c>
      <c r="C538" s="9" t="s">
        <v>274</v>
      </c>
      <c r="D538" s="8">
        <v>9200.0</v>
      </c>
      <c r="E538" s="8">
        <v>17313.0</v>
      </c>
      <c r="F538" s="13"/>
    </row>
    <row r="539" spans="8:8" ht="21.0" customHeight="1">
      <c r="A539" s="10"/>
      <c r="B539" s="11" t="s">
        <v>21</v>
      </c>
      <c r="C539" s="9" t="s">
        <v>274</v>
      </c>
      <c r="D539" s="8">
        <v>9000.0</v>
      </c>
      <c r="E539" s="8">
        <v>16244.0</v>
      </c>
      <c r="F539" s="13"/>
    </row>
    <row r="540" spans="8:8" ht="21.0" customHeight="1">
      <c r="A540" s="10"/>
      <c r="B540" s="11" t="s">
        <v>235</v>
      </c>
      <c r="C540" s="9" t="s">
        <v>275</v>
      </c>
      <c r="D540" s="8">
        <v>9710.0</v>
      </c>
      <c r="E540" s="8">
        <v>9280.0</v>
      </c>
      <c r="F540" s="13"/>
    </row>
    <row r="541" spans="8:8" ht="21.0" customHeight="1">
      <c r="A541" s="10"/>
      <c r="B541" s="11" t="s">
        <v>48</v>
      </c>
      <c r="C541" s="9" t="s">
        <v>293</v>
      </c>
      <c r="D541" s="8">
        <v>1900.0</v>
      </c>
      <c r="E541" s="8">
        <v>1600.0</v>
      </c>
      <c r="F541" s="13"/>
    </row>
    <row r="542" spans="8:8" ht="21.0" customHeight="1">
      <c r="A542" s="10"/>
      <c r="B542" s="14"/>
      <c r="C542" s="15"/>
      <c r="D542" s="15"/>
      <c r="E542" s="15"/>
      <c r="F542" s="14"/>
    </row>
    <row r="543" spans="8:8" ht="21.0" customHeight="1">
      <c r="A543" s="16">
        <v>46227.0</v>
      </c>
      <c r="B543" s="6" t="s">
        <v>15</v>
      </c>
      <c r="C543" s="7" t="s">
        <v>435</v>
      </c>
      <c r="D543" s="6"/>
      <c r="E543" s="9">
        <v>10.0</v>
      </c>
      <c r="F543" s="8">
        <v>58225.0</v>
      </c>
      <c r="G543" s="8">
        <v>58225.0</v>
      </c>
      <c r="H543" s="9">
        <v>0.0</v>
      </c>
      <c r="I543" s="8">
        <v>58225.0</v>
      </c>
      <c r="J543" s="8">
        <v>53628.0</v>
      </c>
      <c r="K543" s="8">
        <v>4597.0</v>
      </c>
      <c r="L543" s="9">
        <v>8.0</v>
      </c>
      <c r="M543" s="6" t="s">
        <v>436</v>
      </c>
    </row>
    <row r="544" spans="8:8" ht="21.0" customHeight="1">
      <c r="A544" s="10"/>
      <c r="B544" s="3" t="s">
        <v>17</v>
      </c>
      <c r="C544" s="4" t="s">
        <v>18</v>
      </c>
      <c r="D544" s="4" t="s">
        <v>19</v>
      </c>
      <c r="E544" s="4" t="s">
        <v>11</v>
      </c>
      <c r="F544" s="3" t="s">
        <v>20</v>
      </c>
    </row>
    <row r="545" spans="8:8" ht="21.0" customHeight="1">
      <c r="A545" s="10"/>
      <c r="B545" s="11" t="s">
        <v>21</v>
      </c>
      <c r="C545" s="9" t="s">
        <v>275</v>
      </c>
      <c r="D545" s="8">
        <v>9000.0</v>
      </c>
      <c r="E545" s="8">
        <v>8122.0</v>
      </c>
      <c r="F545" s="13"/>
    </row>
    <row r="546" spans="8:8" ht="21.0" customHeight="1">
      <c r="A546" s="10"/>
      <c r="B546" s="11" t="s">
        <v>22</v>
      </c>
      <c r="C546" s="9" t="s">
        <v>275</v>
      </c>
      <c r="D546" s="8">
        <v>9500.0</v>
      </c>
      <c r="E546" s="8">
        <v>8657.0</v>
      </c>
      <c r="F546" s="13"/>
    </row>
    <row r="547" spans="8:8" ht="21.0" customHeight="1">
      <c r="A547" s="10"/>
      <c r="B547" s="11" t="s">
        <v>44</v>
      </c>
      <c r="C547" s="9" t="s">
        <v>275</v>
      </c>
      <c r="D547" s="8">
        <v>9500.0</v>
      </c>
      <c r="E547" s="8">
        <v>8990.0</v>
      </c>
      <c r="F547" s="13"/>
    </row>
    <row r="548" spans="8:8" ht="21.0" customHeight="1">
      <c r="A548" s="10"/>
      <c r="B548" s="11" t="s">
        <v>65</v>
      </c>
      <c r="C548" s="9" t="s">
        <v>275</v>
      </c>
      <c r="D548" s="8">
        <v>12525.0</v>
      </c>
      <c r="E548" s="8">
        <v>11315.0</v>
      </c>
      <c r="F548" s="13"/>
    </row>
    <row r="549" spans="8:8" ht="21.0" customHeight="1">
      <c r="A549" s="10"/>
      <c r="B549" s="11" t="s">
        <v>24</v>
      </c>
      <c r="C549" s="9" t="s">
        <v>265</v>
      </c>
      <c r="D549" s="8">
        <v>5200.0</v>
      </c>
      <c r="E549" s="8">
        <v>10400.0</v>
      </c>
      <c r="F549" s="13"/>
    </row>
    <row r="550" spans="8:8" ht="21.0" customHeight="1">
      <c r="A550" s="10"/>
      <c r="B550" s="11" t="s">
        <v>48</v>
      </c>
      <c r="C550" s="9" t="s">
        <v>293</v>
      </c>
      <c r="D550" s="8">
        <v>1900.0</v>
      </c>
      <c r="E550" s="8">
        <v>1600.0</v>
      </c>
      <c r="F550" s="13"/>
    </row>
    <row r="551" spans="8:8" ht="21.0" customHeight="1">
      <c r="A551" s="10"/>
      <c r="B551" s="11" t="s">
        <v>38</v>
      </c>
      <c r="C551" s="9" t="s">
        <v>325</v>
      </c>
      <c r="D551" s="8">
        <v>1800.0</v>
      </c>
      <c r="E551" s="8">
        <v>4544.0</v>
      </c>
      <c r="F551" s="13"/>
    </row>
    <row r="552" spans="8:8" ht="21.0" customHeight="1">
      <c r="A552" s="10"/>
      <c r="B552" s="14"/>
      <c r="C552" s="15"/>
      <c r="D552" s="15"/>
      <c r="E552" s="15"/>
      <c r="F552" s="14"/>
    </row>
    <row r="553" spans="8:8" ht="21.0" customHeight="1">
      <c r="A553" s="16">
        <v>46227.0</v>
      </c>
      <c r="B553" s="6" t="s">
        <v>394</v>
      </c>
      <c r="C553" s="7" t="s">
        <v>437</v>
      </c>
      <c r="D553" s="6"/>
      <c r="E553" s="9">
        <v>25.0</v>
      </c>
      <c r="F553" s="8">
        <v>230000.0</v>
      </c>
      <c r="G553" s="8">
        <v>200000.0</v>
      </c>
      <c r="H553" s="8">
        <v>30000.0</v>
      </c>
      <c r="I553" s="8">
        <v>230000.0</v>
      </c>
      <c r="J553" s="8">
        <v>218085.0</v>
      </c>
      <c r="K553" s="8">
        <v>11915.0</v>
      </c>
      <c r="L553" s="9">
        <v>5.0</v>
      </c>
      <c r="M553" s="6"/>
    </row>
    <row r="554" spans="8:8" ht="21.0" customHeight="1">
      <c r="A554" s="10"/>
      <c r="B554" s="3" t="s">
        <v>17</v>
      </c>
      <c r="C554" s="4" t="s">
        <v>18</v>
      </c>
      <c r="D554" s="4" t="s">
        <v>19</v>
      </c>
      <c r="E554" s="4" t="s">
        <v>11</v>
      </c>
      <c r="F554" s="3" t="s">
        <v>20</v>
      </c>
    </row>
    <row r="555" spans="8:8" ht="21.0" customHeight="1">
      <c r="A555" s="10"/>
      <c r="B555" s="11" t="s">
        <v>22</v>
      </c>
      <c r="C555" s="9" t="s">
        <v>318</v>
      </c>
      <c r="D555" s="8">
        <v>9200.0</v>
      </c>
      <c r="E555" s="8">
        <v>173135.0</v>
      </c>
      <c r="F555" s="13"/>
    </row>
    <row r="556" spans="8:8" ht="21.0" customHeight="1">
      <c r="A556" s="10"/>
      <c r="B556" s="11" t="s">
        <v>44</v>
      </c>
      <c r="C556" s="9" t="s">
        <v>270</v>
      </c>
      <c r="D556" s="8">
        <v>9200.0</v>
      </c>
      <c r="E556" s="8">
        <v>44950.0</v>
      </c>
      <c r="F556" s="13"/>
    </row>
    <row r="557" spans="8:8" ht="21.0" customHeight="1">
      <c r="A557" s="10"/>
      <c r="B557" s="14"/>
      <c r="C557" s="15"/>
      <c r="D557" s="15"/>
      <c r="E557" s="15"/>
      <c r="F557" s="14"/>
    </row>
    <row r="558" spans="8:8" ht="21.0" customHeight="1">
      <c r="A558" s="16">
        <v>46227.0</v>
      </c>
      <c r="B558" s="6" t="s">
        <v>75</v>
      </c>
      <c r="C558" s="7" t="s">
        <v>438</v>
      </c>
      <c r="D558" s="6"/>
      <c r="E558" s="9">
        <v>3.0</v>
      </c>
      <c r="F558" s="8">
        <v>20470.0</v>
      </c>
      <c r="G558" s="9">
        <v>0.0</v>
      </c>
      <c r="H558" s="8">
        <v>20470.0</v>
      </c>
      <c r="I558" s="8">
        <v>20470.0</v>
      </c>
      <c r="J558" s="8">
        <v>18828.0</v>
      </c>
      <c r="K558" s="8">
        <v>1642.0</v>
      </c>
      <c r="L558" s="9">
        <v>8.0</v>
      </c>
      <c r="M558" s="6" t="s">
        <v>439</v>
      </c>
    </row>
    <row r="559" spans="8:8" ht="21.0" customHeight="1">
      <c r="A559" s="10"/>
      <c r="B559" s="3" t="s">
        <v>17</v>
      </c>
      <c r="C559" s="4" t="s">
        <v>18</v>
      </c>
      <c r="D559" s="4" t="s">
        <v>19</v>
      </c>
      <c r="E559" s="4" t="s">
        <v>11</v>
      </c>
      <c r="F559" s="3" t="s">
        <v>20</v>
      </c>
    </row>
    <row r="560" spans="8:8" ht="21.0" customHeight="1">
      <c r="A560" s="10"/>
      <c r="B560" s="11" t="s">
        <v>22</v>
      </c>
      <c r="C560" s="9" t="s">
        <v>274</v>
      </c>
      <c r="D560" s="8">
        <v>9335.0</v>
      </c>
      <c r="E560" s="8">
        <v>17313.0</v>
      </c>
      <c r="F560" s="13"/>
    </row>
    <row r="561" spans="8:8" ht="21.0" customHeight="1">
      <c r="A561" s="10"/>
      <c r="B561" s="11" t="s">
        <v>38</v>
      </c>
      <c r="C561" s="9" t="s">
        <v>293</v>
      </c>
      <c r="D561" s="8">
        <v>1800.0</v>
      </c>
      <c r="E561" s="8">
        <v>1515.0</v>
      </c>
      <c r="F561" s="13"/>
    </row>
    <row r="562" spans="8:8" ht="21.0" customHeight="1">
      <c r="A562" s="10"/>
      <c r="B562" s="14"/>
      <c r="C562" s="15"/>
      <c r="D562" s="15"/>
      <c r="E562" s="15"/>
      <c r="F562" s="14"/>
    </row>
    <row r="563" spans="8:8" ht="21.0" customHeight="1">
      <c r="A563" s="16">
        <v>46227.0</v>
      </c>
      <c r="B563" s="6" t="s">
        <v>75</v>
      </c>
      <c r="C563" s="7" t="s">
        <v>440</v>
      </c>
      <c r="D563" s="6"/>
      <c r="E563" s="9">
        <v>60.0</v>
      </c>
      <c r="F563" s="8">
        <v>560100.0</v>
      </c>
      <c r="G563" s="9">
        <v>0.0</v>
      </c>
      <c r="H563" s="8">
        <v>560100.0</v>
      </c>
      <c r="I563" s="8">
        <v>560100.0</v>
      </c>
      <c r="J563" s="8">
        <v>519405.0</v>
      </c>
      <c r="K563" s="8">
        <v>40695.0</v>
      </c>
      <c r="L563" s="9">
        <v>7.0</v>
      </c>
      <c r="M563" s="6" t="s">
        <v>441</v>
      </c>
    </row>
    <row r="564" spans="8:8" ht="21.0" customHeight="1">
      <c r="A564" s="10"/>
      <c r="B564" s="3" t="s">
        <v>17</v>
      </c>
      <c r="C564" s="4" t="s">
        <v>18</v>
      </c>
      <c r="D564" s="4" t="s">
        <v>19</v>
      </c>
      <c r="E564" s="4" t="s">
        <v>11</v>
      </c>
      <c r="F564" s="3" t="s">
        <v>20</v>
      </c>
    </row>
    <row r="565" spans="8:8" ht="21.0" customHeight="1">
      <c r="A565" s="10"/>
      <c r="B565" s="11" t="s">
        <v>22</v>
      </c>
      <c r="C565" s="9" t="s">
        <v>307</v>
      </c>
      <c r="D565" s="8">
        <v>9335.0</v>
      </c>
      <c r="E565" s="8">
        <v>519405.0</v>
      </c>
      <c r="F565" s="13"/>
    </row>
    <row r="566" spans="8:8" ht="21.0" customHeight="1">
      <c r="A566" s="10"/>
      <c r="B566" s="14"/>
      <c r="C566" s="15"/>
      <c r="D566" s="15"/>
      <c r="E566" s="15"/>
      <c r="F566" s="14"/>
    </row>
    <row r="567" spans="8:8" ht="21.0" customHeight="1">
      <c r="A567" s="16">
        <v>46227.0</v>
      </c>
      <c r="B567" s="6" t="s">
        <v>75</v>
      </c>
      <c r="C567" s="7" t="s">
        <v>442</v>
      </c>
      <c r="D567" s="6"/>
      <c r="E567" s="9">
        <v>10.0</v>
      </c>
      <c r="F567" s="8">
        <v>18000.0</v>
      </c>
      <c r="G567" s="9">
        <v>0.0</v>
      </c>
      <c r="H567" s="8">
        <v>18000.0</v>
      </c>
      <c r="I567" s="8">
        <v>18000.0</v>
      </c>
      <c r="J567" s="8">
        <v>15145.0</v>
      </c>
      <c r="K567" s="8">
        <v>2855.0</v>
      </c>
      <c r="L567" s="9">
        <v>16.0</v>
      </c>
      <c r="M567" s="6" t="s">
        <v>443</v>
      </c>
    </row>
    <row r="568" spans="8:8" ht="21.0" customHeight="1">
      <c r="A568" s="10"/>
      <c r="B568" s="3" t="s">
        <v>17</v>
      </c>
      <c r="C568" s="4" t="s">
        <v>18</v>
      </c>
      <c r="D568" s="4" t="s">
        <v>19</v>
      </c>
      <c r="E568" s="4" t="s">
        <v>11</v>
      </c>
      <c r="F568" s="3" t="s">
        <v>20</v>
      </c>
    </row>
    <row r="569" spans="8:8" ht="21.0" customHeight="1">
      <c r="A569" s="10"/>
      <c r="B569" s="11" t="s">
        <v>38</v>
      </c>
      <c r="C569" s="9" t="s">
        <v>315</v>
      </c>
      <c r="D569" s="8">
        <v>1800.0</v>
      </c>
      <c r="E569" s="8">
        <v>15145.0</v>
      </c>
      <c r="F569" s="13"/>
    </row>
    <row r="570" spans="8:8" ht="21.0" customHeight="1">
      <c r="A570" s="10"/>
      <c r="B570" s="14"/>
      <c r="C570" s="15"/>
      <c r="D570" s="15"/>
      <c r="E570" s="15"/>
      <c r="F570" s="14"/>
    </row>
    <row r="571" spans="8:8" ht="21.0" customHeight="1">
      <c r="A571" s="17">
        <v>46228.0</v>
      </c>
      <c r="B571" s="6" t="s">
        <v>104</v>
      </c>
      <c r="C571" s="7" t="s">
        <v>444</v>
      </c>
      <c r="D571" s="6"/>
      <c r="E571" s="9">
        <v>3.0</v>
      </c>
      <c r="F571" s="8">
        <v>49775.0</v>
      </c>
      <c r="G571" s="9">
        <v>0.0</v>
      </c>
      <c r="H571" s="8">
        <v>49775.0</v>
      </c>
      <c r="I571" s="8">
        <v>49775.0</v>
      </c>
      <c r="J571" s="8">
        <v>47480.0</v>
      </c>
      <c r="K571" s="8">
        <v>2295.0</v>
      </c>
      <c r="L571" s="9">
        <v>5.0</v>
      </c>
      <c r="M571" s="6"/>
    </row>
    <row r="572" spans="8:8" ht="21.0" customHeight="1">
      <c r="A572" s="10"/>
      <c r="B572" s="3" t="s">
        <v>17</v>
      </c>
      <c r="C572" s="4" t="s">
        <v>18</v>
      </c>
      <c r="D572" s="4" t="s">
        <v>19</v>
      </c>
      <c r="E572" s="4" t="s">
        <v>11</v>
      </c>
      <c r="F572" s="3" t="s">
        <v>20</v>
      </c>
    </row>
    <row r="573" spans="8:8" ht="21.0" customHeight="1">
      <c r="A573" s="10"/>
      <c r="B573" s="11" t="s">
        <v>87</v>
      </c>
      <c r="C573" s="9" t="s">
        <v>275</v>
      </c>
      <c r="D573" s="8">
        <v>21485.0</v>
      </c>
      <c r="E573" s="8">
        <v>20440.0</v>
      </c>
      <c r="F573" s="13"/>
    </row>
    <row r="574" spans="8:8" ht="21.0" customHeight="1">
      <c r="A574" s="10"/>
      <c r="B574" s="11" t="s">
        <v>141</v>
      </c>
      <c r="C574" s="9" t="s">
        <v>274</v>
      </c>
      <c r="D574" s="8">
        <v>14145.0</v>
      </c>
      <c r="E574" s="8">
        <v>27040.0</v>
      </c>
      <c r="F574" s="13"/>
    </row>
    <row r="575" spans="8:8" ht="21.0" customHeight="1">
      <c r="A575" s="10"/>
      <c r="B575" s="14"/>
      <c r="C575" s="15"/>
      <c r="D575" s="15"/>
      <c r="E575" s="15"/>
      <c r="F575" s="14"/>
    </row>
    <row r="576" spans="8:8" ht="21.0" customHeight="1">
      <c r="A576" s="16">
        <v>46228.0</v>
      </c>
      <c r="B576" s="6" t="s">
        <v>15</v>
      </c>
      <c r="C576" s="7" t="s">
        <v>445</v>
      </c>
      <c r="D576" s="6"/>
      <c r="E576" s="9">
        <v>1.0</v>
      </c>
      <c r="F576" s="8">
        <v>5300.0</v>
      </c>
      <c r="G576" s="8">
        <v>5300.0</v>
      </c>
      <c r="H576" s="9">
        <v>0.0</v>
      </c>
      <c r="I576" s="8">
        <v>5300.0</v>
      </c>
      <c r="J576" s="8">
        <v>5200.0</v>
      </c>
      <c r="K576" s="9">
        <v>100.0</v>
      </c>
      <c r="L576" s="9">
        <v>2.0</v>
      </c>
      <c r="M576" s="6"/>
    </row>
    <row r="577" spans="8:8" ht="21.0" customHeight="1">
      <c r="A577" s="10"/>
      <c r="B577" s="3" t="s">
        <v>17</v>
      </c>
      <c r="C577" s="4" t="s">
        <v>18</v>
      </c>
      <c r="D577" s="4" t="s">
        <v>19</v>
      </c>
      <c r="E577" s="4" t="s">
        <v>11</v>
      </c>
      <c r="F577" s="3" t="s">
        <v>20</v>
      </c>
    </row>
    <row r="578" spans="8:8" ht="21.0" customHeight="1">
      <c r="A578" s="10"/>
      <c r="B578" s="11" t="s">
        <v>24</v>
      </c>
      <c r="C578" s="9" t="s">
        <v>257</v>
      </c>
      <c r="D578" s="8">
        <v>5300.0</v>
      </c>
      <c r="E578" s="8">
        <v>5200.0</v>
      </c>
      <c r="F578" s="13"/>
    </row>
    <row r="579" spans="8:8" ht="21.0" customHeight="1">
      <c r="A579" s="10"/>
      <c r="B579" s="14"/>
      <c r="C579" s="15"/>
      <c r="D579" s="15"/>
      <c r="E579" s="15"/>
      <c r="F579" s="14"/>
    </row>
    <row r="580" spans="8:8" ht="21.0" customHeight="1">
      <c r="A580" s="16">
        <v>46228.0</v>
      </c>
      <c r="B580" s="6" t="s">
        <v>59</v>
      </c>
      <c r="C580" s="7" t="s">
        <v>446</v>
      </c>
      <c r="D580" s="6"/>
      <c r="E580" s="9">
        <v>260.0</v>
      </c>
      <c r="F580" s="8">
        <v>1300000.0</v>
      </c>
      <c r="G580" s="8">
        <v>1300000.0</v>
      </c>
      <c r="H580" s="9">
        <v>0.0</v>
      </c>
      <c r="I580" s="8">
        <v>1300000.0</v>
      </c>
      <c r="J580" s="8">
        <v>1352000.0</v>
      </c>
      <c r="K580" s="8">
        <v>-52000.0</v>
      </c>
      <c r="L580" s="9">
        <v>-4.0</v>
      </c>
      <c r="M580" s="6"/>
    </row>
    <row r="581" spans="8:8" ht="21.0" customHeight="1">
      <c r="A581" s="10"/>
      <c r="B581" s="3" t="s">
        <v>17</v>
      </c>
      <c r="C581" s="4" t="s">
        <v>18</v>
      </c>
      <c r="D581" s="4" t="s">
        <v>19</v>
      </c>
      <c r="E581" s="4" t="s">
        <v>11</v>
      </c>
      <c r="F581" s="3" t="s">
        <v>20</v>
      </c>
    </row>
    <row r="582" spans="8:8" ht="21.0" customHeight="1">
      <c r="A582" s="10"/>
      <c r="B582" s="11" t="s">
        <v>24</v>
      </c>
      <c r="C582" s="9" t="s">
        <v>447</v>
      </c>
      <c r="D582" s="8">
        <v>5000.0</v>
      </c>
      <c r="E582" s="8">
        <v>1352000.0</v>
      </c>
      <c r="F582" s="13"/>
    </row>
    <row r="583" spans="8:8" ht="21.0" customHeight="1">
      <c r="A583" s="10"/>
      <c r="B583" s="14"/>
      <c r="C583" s="15"/>
      <c r="D583" s="15"/>
      <c r="E583" s="15"/>
      <c r="F583" s="14"/>
    </row>
    <row r="584" spans="8:8" ht="21.0" customHeight="1">
      <c r="A584" s="16">
        <v>46228.0</v>
      </c>
      <c r="B584" s="6" t="s">
        <v>104</v>
      </c>
      <c r="C584" s="7" t="s">
        <v>448</v>
      </c>
      <c r="D584" s="6"/>
      <c r="E584" s="9">
        <v>25.0</v>
      </c>
      <c r="F584" s="8">
        <v>135000.0</v>
      </c>
      <c r="G584" s="9">
        <v>0.0</v>
      </c>
      <c r="H584" s="8">
        <v>135000.0</v>
      </c>
      <c r="I584" s="8">
        <v>135000.0</v>
      </c>
      <c r="J584" s="8">
        <v>127716.0</v>
      </c>
      <c r="K584" s="8">
        <v>7284.0</v>
      </c>
      <c r="L584" s="9">
        <v>5.0</v>
      </c>
      <c r="M584" s="6"/>
    </row>
    <row r="585" spans="8:8" ht="21.0" customHeight="1">
      <c r="A585" s="10"/>
      <c r="B585" s="3" t="s">
        <v>17</v>
      </c>
      <c r="C585" s="4" t="s">
        <v>18</v>
      </c>
      <c r="D585" s="4" t="s">
        <v>19</v>
      </c>
      <c r="E585" s="4" t="s">
        <v>11</v>
      </c>
      <c r="F585" s="3" t="s">
        <v>20</v>
      </c>
    </row>
    <row r="586" spans="8:8" ht="21.0" customHeight="1">
      <c r="A586" s="10"/>
      <c r="B586" s="11" t="s">
        <v>22</v>
      </c>
      <c r="C586" s="9" t="s">
        <v>314</v>
      </c>
      <c r="D586" s="8">
        <v>9200.0</v>
      </c>
      <c r="E586" s="8">
        <v>86567.0</v>
      </c>
      <c r="F586" s="13"/>
    </row>
    <row r="587" spans="8:8" ht="21.0" customHeight="1">
      <c r="A587" s="10"/>
      <c r="B587" s="11" t="s">
        <v>24</v>
      </c>
      <c r="C587" s="9" t="s">
        <v>368</v>
      </c>
      <c r="D587" s="8">
        <v>5000.0</v>
      </c>
      <c r="E587" s="8">
        <v>26000.0</v>
      </c>
      <c r="F587" s="13"/>
    </row>
    <row r="588" spans="8:8" ht="21.0" customHeight="1">
      <c r="A588" s="10"/>
      <c r="B588" s="11" t="s">
        <v>38</v>
      </c>
      <c r="C588" s="9" t="s">
        <v>315</v>
      </c>
      <c r="D588" s="8">
        <v>1800.0</v>
      </c>
      <c r="E588" s="8">
        <v>15149.0</v>
      </c>
      <c r="F588" s="13"/>
    </row>
    <row r="589" spans="8:8" ht="21.0" customHeight="1">
      <c r="A589" s="10"/>
      <c r="B589" s="14"/>
      <c r="C589" s="15"/>
      <c r="D589" s="15"/>
      <c r="E589" s="15"/>
      <c r="F589" s="14"/>
    </row>
    <row r="590" spans="8:8" ht="21.0" customHeight="1">
      <c r="A590" s="16">
        <v>46228.0</v>
      </c>
      <c r="B590" s="6" t="s">
        <v>253</v>
      </c>
      <c r="C590" s="7" t="s">
        <v>449</v>
      </c>
      <c r="D590" s="6"/>
      <c r="E590" s="9">
        <v>8.0</v>
      </c>
      <c r="F590" s="8">
        <v>177210.0</v>
      </c>
      <c r="G590" s="9">
        <v>0.0</v>
      </c>
      <c r="H590" s="8">
        <v>177210.0</v>
      </c>
      <c r="I590" s="8">
        <v>177210.0</v>
      </c>
      <c r="J590" s="8">
        <v>169190.0</v>
      </c>
      <c r="K590" s="8">
        <v>8020.0</v>
      </c>
      <c r="L590" s="9">
        <v>5.0</v>
      </c>
      <c r="M590" s="6"/>
    </row>
    <row r="591" spans="8:8" ht="21.0" customHeight="1">
      <c r="A591" s="10"/>
      <c r="B591" s="3" t="s">
        <v>17</v>
      </c>
      <c r="C591" s="4" t="s">
        <v>18</v>
      </c>
      <c r="D591" s="4" t="s">
        <v>19</v>
      </c>
      <c r="E591" s="4" t="s">
        <v>11</v>
      </c>
      <c r="F591" s="3" t="s">
        <v>20</v>
      </c>
    </row>
    <row r="592" spans="8:8" ht="21.0" customHeight="1">
      <c r="A592" s="10"/>
      <c r="B592" s="11" t="s">
        <v>34</v>
      </c>
      <c r="C592" s="9" t="s">
        <v>255</v>
      </c>
      <c r="D592" s="8">
        <v>22740.0</v>
      </c>
      <c r="E592" s="8">
        <v>107975.0</v>
      </c>
      <c r="F592" s="13"/>
    </row>
    <row r="593" spans="8:8" ht="21.0" customHeight="1">
      <c r="A593" s="10"/>
      <c r="B593" s="11" t="s">
        <v>35</v>
      </c>
      <c r="C593" s="9" t="s">
        <v>356</v>
      </c>
      <c r="D593" s="8">
        <v>21170.0</v>
      </c>
      <c r="E593" s="8">
        <v>61215.0</v>
      </c>
      <c r="F593" s="13"/>
    </row>
    <row r="594" spans="8:8" ht="21.0" customHeight="1">
      <c r="A594" s="10"/>
      <c r="B594" s="14"/>
      <c r="C594" s="15"/>
      <c r="D594" s="15"/>
      <c r="E594" s="15"/>
      <c r="F594" s="14"/>
    </row>
    <row r="595" spans="8:8" ht="21.0" customHeight="1">
      <c r="A595" s="16">
        <v>46228.0</v>
      </c>
      <c r="B595" s="6" t="s">
        <v>154</v>
      </c>
      <c r="C595" s="7" t="s">
        <v>450</v>
      </c>
      <c r="D595" s="6"/>
      <c r="E595" s="9">
        <v>20.0</v>
      </c>
      <c r="F595" s="8">
        <v>110000.0</v>
      </c>
      <c r="G595" s="8">
        <v>18000.0</v>
      </c>
      <c r="H595" s="8">
        <v>92000.0</v>
      </c>
      <c r="I595" s="8">
        <v>110000.0</v>
      </c>
      <c r="J595" s="8">
        <v>101716.0</v>
      </c>
      <c r="K595" s="8">
        <v>8284.0</v>
      </c>
      <c r="L595" s="9">
        <v>8.0</v>
      </c>
      <c r="M595" s="6"/>
    </row>
    <row r="596" spans="8:8" ht="21.0" customHeight="1">
      <c r="A596" s="10"/>
      <c r="B596" s="3" t="s">
        <v>17</v>
      </c>
      <c r="C596" s="4" t="s">
        <v>18</v>
      </c>
      <c r="D596" s="4" t="s">
        <v>19</v>
      </c>
      <c r="E596" s="4" t="s">
        <v>11</v>
      </c>
      <c r="F596" s="3" t="s">
        <v>20</v>
      </c>
    </row>
    <row r="597" spans="8:8" ht="21.0" customHeight="1">
      <c r="A597" s="10"/>
      <c r="B597" s="11" t="s">
        <v>22</v>
      </c>
      <c r="C597" s="9" t="s">
        <v>314</v>
      </c>
      <c r="D597" s="8">
        <v>9200.0</v>
      </c>
      <c r="E597" s="8">
        <v>86567.0</v>
      </c>
      <c r="F597" s="13"/>
    </row>
    <row r="598" spans="8:8" ht="21.0" customHeight="1">
      <c r="A598" s="10"/>
      <c r="B598" s="11" t="s">
        <v>38</v>
      </c>
      <c r="C598" s="9" t="s">
        <v>315</v>
      </c>
      <c r="D598" s="8">
        <v>1800.0</v>
      </c>
      <c r="E598" s="8">
        <v>15149.0</v>
      </c>
      <c r="F598" s="13"/>
    </row>
    <row r="599" spans="8:8" ht="21.0" customHeight="1">
      <c r="A599" s="10"/>
      <c r="B599" s="14"/>
      <c r="C599" s="15"/>
      <c r="D599" s="15"/>
      <c r="E599" s="15"/>
      <c r="F599" s="14"/>
    </row>
    <row r="600" spans="8:8" ht="21.0" customHeight="1">
      <c r="A600" s="16">
        <v>46228.0</v>
      </c>
      <c r="B600" s="6" t="s">
        <v>212</v>
      </c>
      <c r="C600" s="7" t="s">
        <v>451</v>
      </c>
      <c r="D600" s="6"/>
      <c r="E600" s="9">
        <v>3.0</v>
      </c>
      <c r="F600" s="8">
        <v>27600.0</v>
      </c>
      <c r="G600" s="8">
        <v>27600.0</v>
      </c>
      <c r="H600" s="9">
        <v>0.0</v>
      </c>
      <c r="I600" s="8">
        <v>27600.0</v>
      </c>
      <c r="J600" s="8">
        <v>25970.0</v>
      </c>
      <c r="K600" s="8">
        <v>1630.0</v>
      </c>
      <c r="L600" s="9">
        <v>6.0</v>
      </c>
      <c r="M600" s="6"/>
    </row>
    <row r="601" spans="8:8" ht="21.0" customHeight="1">
      <c r="A601" s="10"/>
      <c r="B601" s="3" t="s">
        <v>17</v>
      </c>
      <c r="C601" s="4" t="s">
        <v>18</v>
      </c>
      <c r="D601" s="4" t="s">
        <v>19</v>
      </c>
      <c r="E601" s="4" t="s">
        <v>11</v>
      </c>
      <c r="F601" s="3" t="s">
        <v>20</v>
      </c>
    </row>
    <row r="602" spans="8:8" ht="21.0" customHeight="1">
      <c r="A602" s="10"/>
      <c r="B602" s="11" t="s">
        <v>22</v>
      </c>
      <c r="C602" s="9" t="s">
        <v>323</v>
      </c>
      <c r="D602" s="8">
        <v>9200.0</v>
      </c>
      <c r="E602" s="8">
        <v>25970.0</v>
      </c>
      <c r="F602" s="13"/>
    </row>
    <row r="603" spans="8:8" ht="21.0" customHeight="1">
      <c r="A603" s="10"/>
      <c r="B603" s="14"/>
      <c r="C603" s="15"/>
      <c r="D603" s="15"/>
      <c r="E603" s="15"/>
      <c r="F603" s="14"/>
    </row>
    <row r="604" spans="8:8" ht="21.0" customHeight="1">
      <c r="A604" s="16">
        <v>46228.0</v>
      </c>
      <c r="B604" s="6" t="s">
        <v>29</v>
      </c>
      <c r="C604" s="7" t="s">
        <v>452</v>
      </c>
      <c r="D604" s="6"/>
      <c r="E604" s="9">
        <v>110.0</v>
      </c>
      <c r="F604" s="8">
        <v>611475.0</v>
      </c>
      <c r="G604" s="8">
        <v>600800.0</v>
      </c>
      <c r="H604" s="8">
        <v>10675.0</v>
      </c>
      <c r="I604" s="8">
        <v>611475.0</v>
      </c>
      <c r="J604" s="8">
        <v>574981.0</v>
      </c>
      <c r="K604" s="8">
        <v>36494.0</v>
      </c>
      <c r="L604" s="9">
        <v>6.0</v>
      </c>
      <c r="M604" s="6"/>
    </row>
    <row r="605" spans="8:8" ht="21.0" customHeight="1">
      <c r="A605" s="10"/>
      <c r="B605" s="3" t="s">
        <v>17</v>
      </c>
      <c r="C605" s="4" t="s">
        <v>18</v>
      </c>
      <c r="D605" s="4" t="s">
        <v>19</v>
      </c>
      <c r="E605" s="4" t="s">
        <v>11</v>
      </c>
      <c r="F605" s="3" t="s">
        <v>20</v>
      </c>
    </row>
    <row r="606" spans="8:8" ht="21.0" customHeight="1">
      <c r="A606" s="10"/>
      <c r="B606" s="11" t="s">
        <v>22</v>
      </c>
      <c r="C606" s="9" t="s">
        <v>330</v>
      </c>
      <c r="D606" s="8">
        <v>8800.0</v>
      </c>
      <c r="E606" s="8">
        <v>259702.0</v>
      </c>
      <c r="F606" s="13"/>
    </row>
    <row r="607" spans="8:8" ht="21.0" customHeight="1">
      <c r="A607" s="10"/>
      <c r="B607" s="11" t="s">
        <v>37</v>
      </c>
      <c r="C607" s="9" t="s">
        <v>314</v>
      </c>
      <c r="D607" s="8">
        <v>8880.0</v>
      </c>
      <c r="E607" s="8">
        <v>85250.0</v>
      </c>
      <c r="F607" s="13"/>
    </row>
    <row r="608" spans="8:8" ht="21.0" customHeight="1">
      <c r="A608" s="10"/>
      <c r="B608" s="11" t="s">
        <v>44</v>
      </c>
      <c r="C608" s="9" t="s">
        <v>314</v>
      </c>
      <c r="D608" s="8">
        <v>9200.0</v>
      </c>
      <c r="E608" s="8">
        <v>89900.0</v>
      </c>
      <c r="F608" s="13"/>
    </row>
    <row r="609" spans="8:8" ht="21.0" customHeight="1">
      <c r="A609" s="10"/>
      <c r="B609" s="11" t="s">
        <v>45</v>
      </c>
      <c r="C609" s="9" t="s">
        <v>270</v>
      </c>
      <c r="D609" s="8">
        <v>13335.0</v>
      </c>
      <c r="E609" s="8">
        <v>63734.0</v>
      </c>
      <c r="F609" s="13"/>
    </row>
    <row r="610" spans="8:8" ht="21.0" customHeight="1">
      <c r="A610" s="10"/>
      <c r="B610" s="11" t="s">
        <v>38</v>
      </c>
      <c r="C610" s="9" t="s">
        <v>453</v>
      </c>
      <c r="D610" s="8">
        <v>1800.0</v>
      </c>
      <c r="E610" s="8">
        <v>75747.0</v>
      </c>
      <c r="F610" s="13"/>
    </row>
    <row r="611" spans="8:8" ht="21.0" customHeight="1">
      <c r="A611" s="10"/>
      <c r="B611" s="11" t="s">
        <v>148</v>
      </c>
      <c r="C611" s="9" t="s">
        <v>377</v>
      </c>
      <c r="D611" s="8">
        <v>2000.0</v>
      </c>
      <c r="E611" s="9">
        <v>648.0</v>
      </c>
      <c r="F611" s="13"/>
    </row>
    <row r="612" spans="8:8" ht="21.0" customHeight="1">
      <c r="A612" s="10"/>
      <c r="B612" s="14"/>
      <c r="C612" s="15"/>
      <c r="D612" s="15"/>
      <c r="E612" s="15"/>
      <c r="F612" s="14"/>
    </row>
    <row r="613" spans="8:8" ht="21.0" customHeight="1">
      <c r="A613" s="16">
        <v>46228.0</v>
      </c>
      <c r="B613" s="6" t="s">
        <v>75</v>
      </c>
      <c r="C613" s="7" t="s">
        <v>454</v>
      </c>
      <c r="D613" s="6"/>
      <c r="E613" s="9">
        <v>1.0</v>
      </c>
      <c r="F613" s="8">
        <v>9335.0</v>
      </c>
      <c r="G613" s="9">
        <v>0.0</v>
      </c>
      <c r="H613" s="8">
        <v>9335.0</v>
      </c>
      <c r="I613" s="8">
        <v>9335.0</v>
      </c>
      <c r="J613" s="8">
        <v>8657.0</v>
      </c>
      <c r="K613" s="9">
        <v>678.0</v>
      </c>
      <c r="L613" s="9">
        <v>7.0</v>
      </c>
      <c r="M613" s="6" t="s">
        <v>455</v>
      </c>
    </row>
    <row r="614" spans="8:8" ht="21.0" customHeight="1">
      <c r="A614" s="10"/>
      <c r="B614" s="3" t="s">
        <v>17</v>
      </c>
      <c r="C614" s="4" t="s">
        <v>18</v>
      </c>
      <c r="D614" s="4" t="s">
        <v>19</v>
      </c>
      <c r="E614" s="4" t="s">
        <v>11</v>
      </c>
      <c r="F614" s="3" t="s">
        <v>20</v>
      </c>
    </row>
    <row r="615" spans="8:8" ht="21.0" customHeight="1">
      <c r="A615" s="10"/>
      <c r="B615" s="11" t="s">
        <v>22</v>
      </c>
      <c r="C615" s="9" t="s">
        <v>275</v>
      </c>
      <c r="D615" s="8">
        <v>9335.0</v>
      </c>
      <c r="E615" s="8">
        <v>8657.0</v>
      </c>
      <c r="F615" s="13"/>
    </row>
    <row r="616" spans="8:8" ht="21.0" customHeight="1">
      <c r="A616" s="10"/>
      <c r="B616" s="14"/>
      <c r="C616" s="15"/>
      <c r="D616" s="15"/>
      <c r="E616" s="15"/>
      <c r="F616" s="14"/>
    </row>
    <row r="617" spans="8:8" ht="21.0" customHeight="1">
      <c r="A617" s="16">
        <v>46228.0</v>
      </c>
      <c r="B617" s="6" t="s">
        <v>75</v>
      </c>
      <c r="C617" s="7" t="s">
        <v>456</v>
      </c>
      <c r="D617" s="6"/>
      <c r="E617" s="9">
        <v>6.0</v>
      </c>
      <c r="F617" s="8">
        <v>31800.0</v>
      </c>
      <c r="G617" s="8">
        <v>5400.0</v>
      </c>
      <c r="H617" s="8">
        <v>26400.0</v>
      </c>
      <c r="I617" s="8">
        <v>31800.0</v>
      </c>
      <c r="J617" s="8">
        <v>30515.0</v>
      </c>
      <c r="K617" s="8">
        <v>1285.0</v>
      </c>
      <c r="L617" s="9">
        <v>4.0</v>
      </c>
      <c r="M617" s="6" t="s">
        <v>457</v>
      </c>
    </row>
    <row r="618" spans="8:8" ht="21.0" customHeight="1">
      <c r="A618" s="10"/>
      <c r="B618" s="3" t="s">
        <v>17</v>
      </c>
      <c r="C618" s="4" t="s">
        <v>18</v>
      </c>
      <c r="D618" s="4" t="s">
        <v>19</v>
      </c>
      <c r="E618" s="4" t="s">
        <v>11</v>
      </c>
      <c r="F618" s="3" t="s">
        <v>20</v>
      </c>
    </row>
    <row r="619" spans="8:8" ht="21.0" customHeight="1">
      <c r="A619" s="10"/>
      <c r="B619" s="11" t="s">
        <v>22</v>
      </c>
      <c r="C619" s="9" t="s">
        <v>323</v>
      </c>
      <c r="D619" s="8">
        <v>8800.0</v>
      </c>
      <c r="E619" s="8">
        <v>25970.0</v>
      </c>
      <c r="F619" s="13"/>
    </row>
    <row r="620" spans="8:8" ht="21.0" customHeight="1">
      <c r="A620" s="10"/>
      <c r="B620" s="11" t="s">
        <v>38</v>
      </c>
      <c r="C620" s="9" t="s">
        <v>325</v>
      </c>
      <c r="D620" s="8">
        <v>1800.0</v>
      </c>
      <c r="E620" s="8">
        <v>4545.0</v>
      </c>
      <c r="F620" s="13"/>
    </row>
    <row r="621" spans="8:8" ht="21.0" customHeight="1">
      <c r="A621" s="10"/>
      <c r="B621" s="14"/>
      <c r="C621" s="15"/>
      <c r="D621" s="15"/>
      <c r="E621" s="15"/>
      <c r="F621" s="14"/>
    </row>
    <row r="622" spans="8:8" ht="21.0" customHeight="1">
      <c r="A622" s="16">
        <v>46228.0</v>
      </c>
      <c r="B622" s="6" t="s">
        <v>458</v>
      </c>
      <c r="C622" s="7" t="s">
        <v>459</v>
      </c>
      <c r="D622" s="6"/>
      <c r="E622" s="9">
        <v>6.0</v>
      </c>
      <c r="F622" s="8">
        <v>74120.0</v>
      </c>
      <c r="G622" s="9">
        <v>0.0</v>
      </c>
      <c r="H622" s="8">
        <v>74120.0</v>
      </c>
      <c r="I622" s="8">
        <v>74120.0</v>
      </c>
      <c r="J622" s="8">
        <v>70676.0</v>
      </c>
      <c r="K622" s="8">
        <v>3444.0</v>
      </c>
      <c r="L622" s="9">
        <v>5.0</v>
      </c>
      <c r="M622" s="6"/>
    </row>
    <row r="623" spans="8:8" ht="21.0" customHeight="1">
      <c r="A623" s="10"/>
      <c r="B623" s="3" t="s">
        <v>17</v>
      </c>
      <c r="C623" s="4" t="s">
        <v>18</v>
      </c>
      <c r="D623" s="4" t="s">
        <v>19</v>
      </c>
      <c r="E623" s="4" t="s">
        <v>11</v>
      </c>
      <c r="F623" s="3" t="s">
        <v>20</v>
      </c>
    </row>
    <row r="624" spans="8:8" ht="21.0" customHeight="1">
      <c r="A624" s="10"/>
      <c r="B624" s="11" t="s">
        <v>45</v>
      </c>
      <c r="C624" s="9" t="s">
        <v>275</v>
      </c>
      <c r="D624" s="8">
        <v>13335.0</v>
      </c>
      <c r="E624" s="8">
        <v>12747.0</v>
      </c>
      <c r="F624" s="13"/>
    </row>
    <row r="625" spans="8:8" ht="21.0" customHeight="1">
      <c r="A625" s="10"/>
      <c r="B625" s="11" t="s">
        <v>21</v>
      </c>
      <c r="C625" s="9" t="s">
        <v>275</v>
      </c>
      <c r="D625" s="8">
        <v>8500.0</v>
      </c>
      <c r="E625" s="8">
        <v>8122.0</v>
      </c>
      <c r="F625" s="13"/>
    </row>
    <row r="626" spans="8:8" ht="21.0" customHeight="1">
      <c r="A626" s="10"/>
      <c r="B626" s="11" t="s">
        <v>22</v>
      </c>
      <c r="C626" s="9" t="s">
        <v>275</v>
      </c>
      <c r="D626" s="8">
        <v>9200.0</v>
      </c>
      <c r="E626" s="8">
        <v>8657.0</v>
      </c>
      <c r="F626" s="13"/>
    </row>
    <row r="627" spans="8:8" ht="21.0" customHeight="1">
      <c r="A627" s="10"/>
      <c r="B627" s="11" t="s">
        <v>34</v>
      </c>
      <c r="C627" s="9" t="s">
        <v>266</v>
      </c>
      <c r="D627" s="8">
        <v>22740.0</v>
      </c>
      <c r="E627" s="8">
        <v>21595.0</v>
      </c>
      <c r="F627" s="13"/>
    </row>
    <row r="628" spans="8:8" ht="21.0" customHeight="1">
      <c r="A628" s="10"/>
      <c r="B628" s="11" t="s">
        <v>460</v>
      </c>
      <c r="C628" s="9" t="s">
        <v>257</v>
      </c>
      <c r="D628" s="8">
        <v>4200.0</v>
      </c>
      <c r="E628" s="8">
        <v>4000.0</v>
      </c>
      <c r="F628" s="13"/>
    </row>
    <row r="629" spans="8:8" ht="21.0" customHeight="1">
      <c r="A629" s="10"/>
      <c r="B629" s="11" t="s">
        <v>33</v>
      </c>
      <c r="C629" s="9" t="s">
        <v>266</v>
      </c>
      <c r="D629" s="8">
        <v>16145.0</v>
      </c>
      <c r="E629" s="8">
        <v>15555.0</v>
      </c>
      <c r="F629" s="13"/>
    </row>
    <row r="630" spans="8:8" ht="21.0" customHeight="1">
      <c r="A630" s="10"/>
      <c r="B630" s="14"/>
      <c r="C630" s="15"/>
      <c r="D630" s="15"/>
      <c r="E630" s="15"/>
      <c r="F630" s="14"/>
    </row>
    <row r="631" spans="8:8" ht="21.0" customHeight="1">
      <c r="A631" s="16">
        <v>46228.0</v>
      </c>
      <c r="B631" s="6" t="s">
        <v>15</v>
      </c>
      <c r="C631" s="7" t="s">
        <v>461</v>
      </c>
      <c r="D631" s="6"/>
      <c r="E631" s="9">
        <v>1.0</v>
      </c>
      <c r="F631" s="8">
        <v>5300.0</v>
      </c>
      <c r="G631" s="8">
        <v>5300.0</v>
      </c>
      <c r="H631" s="9">
        <v>0.0</v>
      </c>
      <c r="I631" s="8">
        <v>5300.0</v>
      </c>
      <c r="J631" s="8">
        <v>5200.0</v>
      </c>
      <c r="K631" s="9">
        <v>100.0</v>
      </c>
      <c r="L631" s="9">
        <v>2.0</v>
      </c>
      <c r="M631" s="6"/>
    </row>
    <row r="632" spans="8:8" ht="21.0" customHeight="1">
      <c r="A632" s="10"/>
      <c r="B632" s="3" t="s">
        <v>17</v>
      </c>
      <c r="C632" s="4" t="s">
        <v>18</v>
      </c>
      <c r="D632" s="4" t="s">
        <v>19</v>
      </c>
      <c r="E632" s="4" t="s">
        <v>11</v>
      </c>
      <c r="F632" s="3" t="s">
        <v>20</v>
      </c>
    </row>
    <row r="633" spans="8:8" ht="21.0" customHeight="1">
      <c r="A633" s="10"/>
      <c r="B633" s="11" t="s">
        <v>24</v>
      </c>
      <c r="C633" s="9" t="s">
        <v>257</v>
      </c>
      <c r="D633" s="8">
        <v>5300.0</v>
      </c>
      <c r="E633" s="8">
        <v>5200.0</v>
      </c>
      <c r="F633" s="13"/>
    </row>
    <row r="634" spans="8:8" ht="21.0" customHeight="1">
      <c r="A634" s="10"/>
      <c r="B634" s="14"/>
      <c r="C634" s="15"/>
      <c r="D634" s="15"/>
      <c r="E634" s="15"/>
      <c r="F634" s="14"/>
    </row>
    <row r="635" spans="8:8" ht="21.0" customHeight="1">
      <c r="A635" s="16">
        <v>46228.0</v>
      </c>
      <c r="B635" s="6" t="s">
        <v>104</v>
      </c>
      <c r="C635" s="7" t="s">
        <v>462</v>
      </c>
      <c r="D635" s="6"/>
      <c r="E635" s="9">
        <v>5.0</v>
      </c>
      <c r="F635" s="8">
        <v>80725.0</v>
      </c>
      <c r="G635" s="9">
        <v>0.0</v>
      </c>
      <c r="H635" s="8">
        <v>80725.0</v>
      </c>
      <c r="I635" s="8">
        <v>80725.0</v>
      </c>
      <c r="J635" s="8">
        <v>76236.0</v>
      </c>
      <c r="K635" s="8">
        <v>4489.0</v>
      </c>
      <c r="L635" s="9">
        <v>6.0</v>
      </c>
      <c r="M635" s="6"/>
    </row>
    <row r="636" spans="8:8" ht="21.0" customHeight="1">
      <c r="A636" s="10"/>
      <c r="B636" s="3" t="s">
        <v>17</v>
      </c>
      <c r="C636" s="4" t="s">
        <v>18</v>
      </c>
      <c r="D636" s="4" t="s">
        <v>19</v>
      </c>
      <c r="E636" s="4" t="s">
        <v>11</v>
      </c>
      <c r="F636" s="3" t="s">
        <v>20</v>
      </c>
    </row>
    <row r="637" spans="8:8" ht="21.0" customHeight="1">
      <c r="A637" s="10"/>
      <c r="B637" s="11" t="s">
        <v>32</v>
      </c>
      <c r="C637" s="9" t="s">
        <v>255</v>
      </c>
      <c r="D637" s="8">
        <v>16145.0</v>
      </c>
      <c r="E637" s="8">
        <v>76236.0</v>
      </c>
      <c r="F637" s="13"/>
    </row>
    <row r="638" spans="8:8" ht="21.0" customHeight="1">
      <c r="A638" s="10"/>
      <c r="B638" s="14"/>
      <c r="C638" s="15"/>
      <c r="D638" s="15"/>
      <c r="E638" s="15"/>
      <c r="F638" s="14"/>
    </row>
    <row r="639" spans="8:8" ht="21.0" customHeight="1">
      <c r="A639" s="16">
        <v>46228.0</v>
      </c>
      <c r="B639" s="6" t="s">
        <v>122</v>
      </c>
      <c r="C639" s="7" t="s">
        <v>463</v>
      </c>
      <c r="D639" s="6"/>
      <c r="E639" s="9">
        <v>4.0</v>
      </c>
      <c r="F639" s="8">
        <v>36600.0</v>
      </c>
      <c r="G639" s="8">
        <v>36600.0</v>
      </c>
      <c r="H639" s="9">
        <v>0.0</v>
      </c>
      <c r="I639" s="8">
        <v>36600.0</v>
      </c>
      <c r="J639" s="8">
        <v>33960.0</v>
      </c>
      <c r="K639" s="8">
        <v>2640.0</v>
      </c>
      <c r="L639" s="9">
        <v>7.0</v>
      </c>
      <c r="M639" s="6"/>
    </row>
    <row r="640" spans="8:8" ht="21.0" customHeight="1">
      <c r="A640" s="10"/>
      <c r="B640" s="3" t="s">
        <v>17</v>
      </c>
      <c r="C640" s="4" t="s">
        <v>18</v>
      </c>
      <c r="D640" s="4" t="s">
        <v>19</v>
      </c>
      <c r="E640" s="4" t="s">
        <v>11</v>
      </c>
      <c r="F640" s="3" t="s">
        <v>20</v>
      </c>
    </row>
    <row r="641" spans="8:8" ht="21.0" customHeight="1">
      <c r="A641" s="10"/>
      <c r="B641" s="11" t="s">
        <v>22</v>
      </c>
      <c r="C641" s="9" t="s">
        <v>274</v>
      </c>
      <c r="D641" s="8">
        <v>9200.0</v>
      </c>
      <c r="E641" s="8">
        <v>17313.0</v>
      </c>
      <c r="F641" s="13"/>
    </row>
    <row r="642" spans="8:8" ht="21.0" customHeight="1">
      <c r="A642" s="10"/>
      <c r="B642" s="11" t="s">
        <v>37</v>
      </c>
      <c r="C642" s="9" t="s">
        <v>275</v>
      </c>
      <c r="D642" s="8">
        <v>9200.0</v>
      </c>
      <c r="E642" s="8">
        <v>8525.0</v>
      </c>
      <c r="F642" s="13"/>
    </row>
    <row r="643" spans="8:8" ht="21.0" customHeight="1">
      <c r="A643" s="10"/>
      <c r="B643" s="11" t="s">
        <v>21</v>
      </c>
      <c r="C643" s="9" t="s">
        <v>275</v>
      </c>
      <c r="D643" s="8">
        <v>9000.0</v>
      </c>
      <c r="E643" s="8">
        <v>8122.0</v>
      </c>
      <c r="F643" s="13"/>
    </row>
    <row r="644" spans="8:8" ht="21.0" customHeight="1">
      <c r="A644" s="10"/>
      <c r="B644" s="14"/>
      <c r="C644" s="15"/>
      <c r="D644" s="15"/>
      <c r="E644" s="15"/>
      <c r="F644" s="14"/>
    </row>
    <row r="645" spans="8:8" ht="21.0" customHeight="1">
      <c r="A645" s="16">
        <v>46228.0</v>
      </c>
      <c r="B645" s="6" t="s">
        <v>102</v>
      </c>
      <c r="C645" s="7" t="s">
        <v>464</v>
      </c>
      <c r="D645" s="6"/>
      <c r="E645" s="9">
        <v>1.0</v>
      </c>
      <c r="F645" s="8">
        <v>9500.0</v>
      </c>
      <c r="G645" s="8">
        <v>9500.0</v>
      </c>
      <c r="H645" s="9">
        <v>0.0</v>
      </c>
      <c r="I645" s="8">
        <v>9500.0</v>
      </c>
      <c r="J645" s="8">
        <v>8657.0</v>
      </c>
      <c r="K645" s="9">
        <v>843.0</v>
      </c>
      <c r="L645" s="9">
        <v>9.0</v>
      </c>
      <c r="M645" s="6"/>
    </row>
    <row r="646" spans="8:8" ht="21.0" customHeight="1">
      <c r="A646" s="10"/>
      <c r="B646" s="3" t="s">
        <v>17</v>
      </c>
      <c r="C646" s="4" t="s">
        <v>18</v>
      </c>
      <c r="D646" s="4" t="s">
        <v>19</v>
      </c>
      <c r="E646" s="4" t="s">
        <v>11</v>
      </c>
      <c r="F646" s="3" t="s">
        <v>20</v>
      </c>
    </row>
    <row r="647" spans="8:8" ht="21.0" customHeight="1">
      <c r="A647" s="10"/>
      <c r="B647" s="11" t="s">
        <v>22</v>
      </c>
      <c r="C647" s="9" t="s">
        <v>275</v>
      </c>
      <c r="D647" s="8">
        <v>9500.0</v>
      </c>
      <c r="E647" s="8">
        <v>8657.0</v>
      </c>
      <c r="F647" s="13"/>
    </row>
    <row r="648" spans="8:8" ht="21.0" customHeight="1">
      <c r="A648" s="10"/>
      <c r="B648" s="14"/>
      <c r="C648" s="15"/>
      <c r="D648" s="15"/>
      <c r="E648" s="15"/>
      <c r="F648" s="14"/>
    </row>
    <row r="649" spans="8:8" ht="21.0" customHeight="1">
      <c r="A649" s="16">
        <v>46228.0</v>
      </c>
      <c r="B649" s="6" t="s">
        <v>102</v>
      </c>
      <c r="C649" s="7" t="s">
        <v>465</v>
      </c>
      <c r="D649" s="6"/>
      <c r="E649" s="9">
        <v>1.0</v>
      </c>
      <c r="F649" s="8">
        <v>13950.0</v>
      </c>
      <c r="G649" s="8">
        <v>13950.0</v>
      </c>
      <c r="H649" s="9">
        <v>0.0</v>
      </c>
      <c r="I649" s="8">
        <v>13950.0</v>
      </c>
      <c r="J649" s="8">
        <v>12747.0</v>
      </c>
      <c r="K649" s="8">
        <v>1203.0</v>
      </c>
      <c r="L649" s="9">
        <v>9.0</v>
      </c>
      <c r="M649" s="6"/>
    </row>
    <row r="650" spans="8:8" ht="21.0" customHeight="1">
      <c r="A650" s="10"/>
      <c r="B650" s="3" t="s">
        <v>17</v>
      </c>
      <c r="C650" s="4" t="s">
        <v>18</v>
      </c>
      <c r="D650" s="4" t="s">
        <v>19</v>
      </c>
      <c r="E650" s="4" t="s">
        <v>11</v>
      </c>
      <c r="F650" s="3" t="s">
        <v>20</v>
      </c>
    </row>
    <row r="651" spans="8:8" ht="21.0" customHeight="1">
      <c r="A651" s="10"/>
      <c r="B651" s="11" t="s">
        <v>45</v>
      </c>
      <c r="C651" s="9" t="s">
        <v>275</v>
      </c>
      <c r="D651" s="8">
        <v>13950.0</v>
      </c>
      <c r="E651" s="8">
        <v>12747.0</v>
      </c>
      <c r="F651" s="13"/>
    </row>
    <row r="652" spans="8:8" ht="21.0" customHeight="1">
      <c r="A652" s="10"/>
      <c r="B652" s="14"/>
      <c r="C652" s="15"/>
      <c r="D652" s="15"/>
      <c r="E652" s="15"/>
      <c r="F652" s="14"/>
    </row>
    <row r="653" spans="8:8" ht="21.0" customHeight="1">
      <c r="A653" s="16">
        <v>46228.0</v>
      </c>
      <c r="B653" s="6" t="s">
        <v>15</v>
      </c>
      <c r="C653" s="7" t="s">
        <v>466</v>
      </c>
      <c r="D653" s="6"/>
      <c r="E653" s="9">
        <v>2.0</v>
      </c>
      <c r="F653" s="8">
        <v>21950.0</v>
      </c>
      <c r="G653" s="8">
        <v>21950.0</v>
      </c>
      <c r="H653" s="9">
        <v>0.0</v>
      </c>
      <c r="I653" s="8">
        <v>21950.0</v>
      </c>
      <c r="J653" s="8">
        <v>12729.0</v>
      </c>
      <c r="K653" s="8">
        <v>9221.0</v>
      </c>
      <c r="L653" s="9">
        <v>42.0</v>
      </c>
      <c r="M653" s="6"/>
    </row>
    <row r="654" spans="8:8" ht="21.0" customHeight="1">
      <c r="A654" s="10"/>
      <c r="B654" s="3" t="s">
        <v>17</v>
      </c>
      <c r="C654" s="4" t="s">
        <v>18</v>
      </c>
      <c r="D654" s="4" t="s">
        <v>19</v>
      </c>
      <c r="E654" s="4" t="s">
        <v>11</v>
      </c>
      <c r="F654" s="3" t="s">
        <v>20</v>
      </c>
    </row>
    <row r="655" spans="8:8" ht="21.0" customHeight="1">
      <c r="A655" s="10"/>
      <c r="B655" s="11" t="s">
        <v>181</v>
      </c>
      <c r="C655" s="9" t="s">
        <v>275</v>
      </c>
      <c r="D655" s="8">
        <v>16950.0</v>
      </c>
      <c r="E655" s="8">
        <v>16350.0</v>
      </c>
      <c r="F655" s="13"/>
    </row>
    <row r="656" spans="8:8" ht="21.0" customHeight="1">
      <c r="A656" s="10"/>
      <c r="B656" s="11" t="s">
        <v>49</v>
      </c>
      <c r="C656" s="9" t="s">
        <v>293</v>
      </c>
      <c r="D656" s="8">
        <v>5000.0</v>
      </c>
      <c r="E656" s="8">
        <v>-3621.0</v>
      </c>
      <c r="F656" s="13"/>
    </row>
    <row r="657" spans="8:8" ht="21.0" customHeight="1">
      <c r="A657" s="10"/>
      <c r="B657" s="14"/>
      <c r="C657" s="15"/>
      <c r="D657" s="15"/>
      <c r="E657" s="15"/>
      <c r="F657" s="14"/>
    </row>
    <row r="658" spans="8:8" ht="21.0" customHeight="1">
      <c r="A658" s="16">
        <v>46228.0</v>
      </c>
      <c r="B658" s="6" t="s">
        <v>95</v>
      </c>
      <c r="C658" s="7" t="s">
        <v>467</v>
      </c>
      <c r="D658" s="6"/>
      <c r="E658" s="9">
        <v>6.0</v>
      </c>
      <c r="F658" s="8">
        <v>59335.0</v>
      </c>
      <c r="G658" s="9">
        <v>0.0</v>
      </c>
      <c r="H658" s="8">
        <v>59335.0</v>
      </c>
      <c r="I658" s="8">
        <v>59335.0</v>
      </c>
      <c r="J658" s="8">
        <v>56697.0</v>
      </c>
      <c r="K658" s="8">
        <v>2638.0</v>
      </c>
      <c r="L658" s="9">
        <v>4.0</v>
      </c>
      <c r="M658" s="6"/>
    </row>
    <row r="659" spans="8:8" ht="21.0" customHeight="1">
      <c r="A659" s="10"/>
      <c r="B659" s="3" t="s">
        <v>17</v>
      </c>
      <c r="C659" s="4" t="s">
        <v>18</v>
      </c>
      <c r="D659" s="4" t="s">
        <v>19</v>
      </c>
      <c r="E659" s="4" t="s">
        <v>11</v>
      </c>
      <c r="F659" s="3" t="s">
        <v>20</v>
      </c>
    </row>
    <row r="660" spans="8:8" ht="21.0" customHeight="1">
      <c r="A660" s="10"/>
      <c r="B660" s="11" t="s">
        <v>22</v>
      </c>
      <c r="C660" s="9" t="s">
        <v>323</v>
      </c>
      <c r="D660" s="8">
        <v>9200.0</v>
      </c>
      <c r="E660" s="8">
        <v>25970.0</v>
      </c>
      <c r="F660" s="13"/>
    </row>
    <row r="661" spans="8:8" ht="21.0" customHeight="1">
      <c r="A661" s="10"/>
      <c r="B661" s="11" t="s">
        <v>44</v>
      </c>
      <c r="C661" s="9" t="s">
        <v>274</v>
      </c>
      <c r="D661" s="8">
        <v>9200.0</v>
      </c>
      <c r="E661" s="8">
        <v>17980.0</v>
      </c>
      <c r="F661" s="13"/>
    </row>
    <row r="662" spans="8:8" ht="21.0" customHeight="1">
      <c r="A662" s="10"/>
      <c r="B662" s="11" t="s">
        <v>45</v>
      </c>
      <c r="C662" s="9" t="s">
        <v>275</v>
      </c>
      <c r="D662" s="8">
        <v>13335.0</v>
      </c>
      <c r="E662" s="8">
        <v>12747.0</v>
      </c>
      <c r="F662" s="13"/>
    </row>
    <row r="663" spans="8:8" ht="21.0" customHeight="1">
      <c r="A663" s="10"/>
      <c r="B663" s="14"/>
      <c r="C663" s="15"/>
      <c r="D663" s="15"/>
      <c r="E663" s="15"/>
      <c r="F663" s="14"/>
    </row>
    <row r="664" spans="8:8" ht="21.0" customHeight="1">
      <c r="A664" s="17">
        <v>46230.0</v>
      </c>
      <c r="B664" s="6" t="s">
        <v>15</v>
      </c>
      <c r="C664" s="7" t="s">
        <v>468</v>
      </c>
      <c r="D664" s="6"/>
      <c r="E664" s="9">
        <v>2.0</v>
      </c>
      <c r="F664" s="8">
        <v>10600.0</v>
      </c>
      <c r="G664" s="8">
        <v>10600.0</v>
      </c>
      <c r="H664" s="9">
        <v>0.0</v>
      </c>
      <c r="I664" s="8">
        <v>10600.0</v>
      </c>
      <c r="J664" s="8">
        <v>10400.0</v>
      </c>
      <c r="K664" s="9">
        <v>200.0</v>
      </c>
      <c r="L664" s="9">
        <v>2.0</v>
      </c>
      <c r="M664" s="6"/>
    </row>
    <row r="665" spans="8:8" ht="21.0" customHeight="1">
      <c r="A665" s="10"/>
      <c r="B665" s="3" t="s">
        <v>17</v>
      </c>
      <c r="C665" s="4" t="s">
        <v>18</v>
      </c>
      <c r="D665" s="4" t="s">
        <v>19</v>
      </c>
      <c r="E665" s="4" t="s">
        <v>11</v>
      </c>
      <c r="F665" s="3" t="s">
        <v>20</v>
      </c>
    </row>
    <row r="666" spans="8:8" ht="21.0" customHeight="1">
      <c r="A666" s="10"/>
      <c r="B666" s="11" t="s">
        <v>24</v>
      </c>
      <c r="C666" s="9" t="s">
        <v>265</v>
      </c>
      <c r="D666" s="8">
        <v>5300.0</v>
      </c>
      <c r="E666" s="8">
        <v>10400.0</v>
      </c>
      <c r="F666" s="13"/>
    </row>
    <row r="667" spans="8:8" ht="21.0" customHeight="1">
      <c r="A667" s="10"/>
      <c r="B667" s="14"/>
      <c r="C667" s="15"/>
      <c r="D667" s="15"/>
      <c r="E667" s="15"/>
      <c r="F667" s="14"/>
    </row>
    <row r="668" spans="8:8" ht="21.0" customHeight="1">
      <c r="A668" s="16">
        <v>46230.0</v>
      </c>
      <c r="B668" s="6" t="s">
        <v>104</v>
      </c>
      <c r="C668" s="7" t="s">
        <v>469</v>
      </c>
      <c r="D668" s="6"/>
      <c r="E668" s="9">
        <v>1.0</v>
      </c>
      <c r="F668" s="8">
        <v>16145.0</v>
      </c>
      <c r="G668" s="8">
        <v>14400.0</v>
      </c>
      <c r="H668" s="8">
        <v>1745.0</v>
      </c>
      <c r="I668" s="8">
        <v>16145.0</v>
      </c>
      <c r="J668" s="8">
        <v>15247.0</v>
      </c>
      <c r="K668" s="9">
        <v>898.0</v>
      </c>
      <c r="L668" s="9">
        <v>6.0</v>
      </c>
      <c r="M668" s="6"/>
    </row>
    <row r="669" spans="8:8" ht="21.0" customHeight="1">
      <c r="A669" s="10"/>
      <c r="B669" s="3" t="s">
        <v>17</v>
      </c>
      <c r="C669" s="4" t="s">
        <v>18</v>
      </c>
      <c r="D669" s="4" t="s">
        <v>19</v>
      </c>
      <c r="E669" s="4" t="s">
        <v>11</v>
      </c>
      <c r="F669" s="3" t="s">
        <v>20</v>
      </c>
    </row>
    <row r="670" spans="8:8" ht="21.0" customHeight="1">
      <c r="A670" s="10"/>
      <c r="B670" s="11" t="s">
        <v>32</v>
      </c>
      <c r="C670" s="9" t="s">
        <v>266</v>
      </c>
      <c r="D670" s="8">
        <v>16145.0</v>
      </c>
      <c r="E670" s="8">
        <v>15247.0</v>
      </c>
      <c r="F670" s="13"/>
    </row>
    <row r="671" spans="8:8" ht="21.0" customHeight="1">
      <c r="A671" s="10"/>
      <c r="B671" s="14"/>
      <c r="C671" s="15"/>
      <c r="D671" s="15"/>
      <c r="E671" s="15"/>
      <c r="F671" s="14"/>
    </row>
    <row r="672" spans="8:8" ht="21.0" customHeight="1">
      <c r="A672" s="16">
        <v>46230.0</v>
      </c>
      <c r="B672" s="6" t="s">
        <v>29</v>
      </c>
      <c r="C672" s="7" t="s">
        <v>470</v>
      </c>
      <c r="D672" s="6"/>
      <c r="E672" s="9">
        <v>40.0</v>
      </c>
      <c r="F672" s="8">
        <v>366800.0</v>
      </c>
      <c r="G672" s="8">
        <v>18000.0</v>
      </c>
      <c r="H672" s="8">
        <v>348800.0</v>
      </c>
      <c r="I672" s="8">
        <v>366800.0</v>
      </c>
      <c r="J672" s="8">
        <v>329598.0</v>
      </c>
      <c r="K672" s="8">
        <v>37202.0</v>
      </c>
      <c r="L672" s="9">
        <v>10.0</v>
      </c>
      <c r="M672" s="6"/>
    </row>
    <row r="673" spans="8:8" ht="21.0" customHeight="1">
      <c r="A673" s="10"/>
      <c r="B673" s="3" t="s">
        <v>17</v>
      </c>
      <c r="C673" s="4" t="s">
        <v>18</v>
      </c>
      <c r="D673" s="4" t="s">
        <v>19</v>
      </c>
      <c r="E673" s="4" t="s">
        <v>11</v>
      </c>
      <c r="F673" s="3" t="s">
        <v>20</v>
      </c>
    </row>
    <row r="674" spans="8:8" ht="21.0" customHeight="1">
      <c r="A674" s="10"/>
      <c r="B674" s="11" t="s">
        <v>100</v>
      </c>
      <c r="C674" s="9" t="s">
        <v>314</v>
      </c>
      <c r="D674" s="8">
        <v>11480.0</v>
      </c>
      <c r="E674" s="8">
        <v>109150.0</v>
      </c>
      <c r="F674" s="13"/>
    </row>
    <row r="675" spans="8:8" ht="21.0" customHeight="1">
      <c r="A675" s="10"/>
      <c r="B675" s="11" t="s">
        <v>87</v>
      </c>
      <c r="C675" s="9" t="s">
        <v>314</v>
      </c>
      <c r="D675" s="8">
        <v>21400.0</v>
      </c>
      <c r="E675" s="8">
        <v>204400.0</v>
      </c>
      <c r="F675" s="13"/>
    </row>
    <row r="676" spans="8:8" ht="21.0" customHeight="1">
      <c r="A676" s="10"/>
      <c r="B676" s="11" t="s">
        <v>38</v>
      </c>
      <c r="C676" s="9" t="s">
        <v>315</v>
      </c>
      <c r="D676" s="8">
        <v>1800.0</v>
      </c>
      <c r="E676" s="8">
        <v>15193.0</v>
      </c>
      <c r="F676" s="13"/>
    </row>
    <row r="677" spans="8:8" ht="21.0" customHeight="1">
      <c r="A677" s="10"/>
      <c r="B677" s="11" t="s">
        <v>148</v>
      </c>
      <c r="C677" s="9" t="s">
        <v>315</v>
      </c>
      <c r="D677" s="8">
        <v>2000.0</v>
      </c>
      <c r="E677" s="9">
        <v>855.0</v>
      </c>
      <c r="F677" s="13"/>
    </row>
    <row r="678" spans="8:8" ht="21.0" customHeight="1">
      <c r="A678" s="10"/>
      <c r="B678" s="14"/>
      <c r="C678" s="15"/>
      <c r="D678" s="15"/>
      <c r="E678" s="15"/>
      <c r="F678" s="14"/>
    </row>
    <row r="679" spans="8:8" ht="21.0" customHeight="1">
      <c r="A679" s="16">
        <v>46230.0</v>
      </c>
      <c r="B679" s="6" t="s">
        <v>212</v>
      </c>
      <c r="C679" s="7" t="s">
        <v>471</v>
      </c>
      <c r="D679" s="6"/>
      <c r="E679" s="9">
        <v>4.0</v>
      </c>
      <c r="F679" s="8">
        <v>45300.0</v>
      </c>
      <c r="G679" s="8">
        <v>45300.0</v>
      </c>
      <c r="H679" s="9">
        <v>0.0</v>
      </c>
      <c r="I679" s="8">
        <v>45300.0</v>
      </c>
      <c r="J679" s="8">
        <v>41503.0</v>
      </c>
      <c r="K679" s="8">
        <v>3797.0</v>
      </c>
      <c r="L679" s="9">
        <v>8.0</v>
      </c>
      <c r="M679" s="6"/>
    </row>
    <row r="680" spans="8:8" ht="21.0" customHeight="1">
      <c r="A680" s="10"/>
      <c r="B680" s="3" t="s">
        <v>17</v>
      </c>
      <c r="C680" s="4" t="s">
        <v>18</v>
      </c>
      <c r="D680" s="4" t="s">
        <v>19</v>
      </c>
      <c r="E680" s="4" t="s">
        <v>11</v>
      </c>
      <c r="F680" s="3" t="s">
        <v>20</v>
      </c>
    </row>
    <row r="681" spans="8:8" ht="21.0" customHeight="1">
      <c r="A681" s="10"/>
      <c r="B681" s="11" t="s">
        <v>21</v>
      </c>
      <c r="C681" s="9" t="s">
        <v>323</v>
      </c>
      <c r="D681" s="8">
        <v>9000.0</v>
      </c>
      <c r="E681" s="8">
        <v>24353.0</v>
      </c>
      <c r="F681" s="13"/>
    </row>
    <row r="682" spans="8:8" ht="21.0" customHeight="1">
      <c r="A682" s="10"/>
      <c r="B682" s="11" t="s">
        <v>43</v>
      </c>
      <c r="C682" s="9" t="s">
        <v>275</v>
      </c>
      <c r="D682" s="8">
        <v>18300.0</v>
      </c>
      <c r="E682" s="8">
        <v>17150.0</v>
      </c>
      <c r="F682" s="13"/>
    </row>
    <row r="683" spans="8:8" ht="21.0" customHeight="1">
      <c r="A683" s="10"/>
      <c r="B683" s="14"/>
      <c r="C683" s="15"/>
      <c r="D683" s="15"/>
      <c r="E683" s="15"/>
      <c r="F683" s="14"/>
    </row>
    <row r="684" spans="8:8" ht="21.0" customHeight="1">
      <c r="A684" s="16">
        <v>46230.0</v>
      </c>
      <c r="B684" s="6" t="s">
        <v>152</v>
      </c>
      <c r="C684" s="7" t="s">
        <v>472</v>
      </c>
      <c r="D684" s="6"/>
      <c r="E684" s="9">
        <v>100.0</v>
      </c>
      <c r="F684" s="8">
        <v>746500.0</v>
      </c>
      <c r="G684" s="8">
        <v>100000.0</v>
      </c>
      <c r="H684" s="8">
        <v>646500.0</v>
      </c>
      <c r="I684" s="8">
        <v>746500.0</v>
      </c>
      <c r="J684" s="8">
        <v>641582.0</v>
      </c>
      <c r="K684" s="8">
        <v>104918.0</v>
      </c>
      <c r="L684" s="9">
        <v>14.0</v>
      </c>
      <c r="M684" s="6"/>
    </row>
    <row r="685" spans="8:8" ht="21.0" customHeight="1">
      <c r="A685" s="10"/>
      <c r="B685" s="3" t="s">
        <v>17</v>
      </c>
      <c r="C685" s="4" t="s">
        <v>18</v>
      </c>
      <c r="D685" s="4" t="s">
        <v>19</v>
      </c>
      <c r="E685" s="4" t="s">
        <v>11</v>
      </c>
      <c r="F685" s="3" t="s">
        <v>20</v>
      </c>
    </row>
    <row r="686" spans="8:8" ht="21.0" customHeight="1">
      <c r="A686" s="10"/>
      <c r="B686" s="11" t="s">
        <v>45</v>
      </c>
      <c r="C686" s="9" t="s">
        <v>473</v>
      </c>
      <c r="D686" s="8">
        <v>12930.0</v>
      </c>
      <c r="E686" s="8">
        <v>637309.0</v>
      </c>
      <c r="F686" s="13"/>
    </row>
    <row r="687" spans="8:8" ht="21.0" customHeight="1">
      <c r="A687" s="10"/>
      <c r="B687" s="11" t="s">
        <v>148</v>
      </c>
      <c r="C687" s="9" t="s">
        <v>453</v>
      </c>
      <c r="D687" s="8">
        <v>2000.0</v>
      </c>
      <c r="E687" s="8">
        <v>4273.0</v>
      </c>
      <c r="F687" s="13"/>
    </row>
    <row r="688" spans="8:8" ht="21.0" customHeight="1">
      <c r="A688" s="10"/>
      <c r="B688" s="14"/>
      <c r="C688" s="15"/>
      <c r="D688" s="15"/>
      <c r="E688" s="15"/>
      <c r="F688" s="14"/>
    </row>
    <row r="689" spans="8:8" ht="21.0" customHeight="1">
      <c r="A689" s="16">
        <v>46230.0</v>
      </c>
      <c r="B689" s="6" t="s">
        <v>25</v>
      </c>
      <c r="C689" s="7" t="s">
        <v>474</v>
      </c>
      <c r="D689" s="6"/>
      <c r="E689" s="9">
        <v>210.0</v>
      </c>
      <c r="F689" s="8">
        <v>1050000.0</v>
      </c>
      <c r="G689" s="9">
        <v>0.0</v>
      </c>
      <c r="H689" s="8">
        <v>1050000.0</v>
      </c>
      <c r="I689" s="8">
        <v>1050000.0</v>
      </c>
      <c r="J689" s="8">
        <v>1092000.0</v>
      </c>
      <c r="K689" s="8">
        <v>-42000.0</v>
      </c>
      <c r="L689" s="9">
        <v>-4.0</v>
      </c>
      <c r="M689" s="6"/>
    </row>
    <row r="690" spans="8:8" ht="21.0" customHeight="1">
      <c r="A690" s="10"/>
      <c r="B690" s="3" t="s">
        <v>17</v>
      </c>
      <c r="C690" s="4" t="s">
        <v>18</v>
      </c>
      <c r="D690" s="4" t="s">
        <v>19</v>
      </c>
      <c r="E690" s="4" t="s">
        <v>11</v>
      </c>
      <c r="F690" s="3" t="s">
        <v>20</v>
      </c>
    </row>
    <row r="691" spans="8:8" ht="21.0" customHeight="1">
      <c r="A691" s="10"/>
      <c r="B691" s="11" t="s">
        <v>24</v>
      </c>
      <c r="C691" s="9" t="s">
        <v>401</v>
      </c>
      <c r="D691" s="8">
        <v>5000.0</v>
      </c>
      <c r="E691" s="8">
        <v>1092000.0</v>
      </c>
      <c r="F691" s="13"/>
    </row>
    <row r="692" spans="8:8" ht="21.0" customHeight="1">
      <c r="A692" s="10"/>
      <c r="B692" s="14"/>
      <c r="C692" s="15"/>
      <c r="D692" s="15"/>
      <c r="E692" s="15"/>
      <c r="F692" s="14"/>
    </row>
    <row r="693" spans="8:8" ht="21.0" customHeight="1">
      <c r="A693" s="16">
        <v>46230.0</v>
      </c>
      <c r="B693" s="6" t="s">
        <v>165</v>
      </c>
      <c r="C693" s="7" t="s">
        <v>475</v>
      </c>
      <c r="D693" s="6"/>
      <c r="E693" s="9">
        <v>700.0</v>
      </c>
      <c r="F693" s="8">
        <v>4026900.0</v>
      </c>
      <c r="G693" s="8">
        <v>2700000.0</v>
      </c>
      <c r="H693" s="8">
        <v>1326900.0</v>
      </c>
      <c r="I693" s="8">
        <v>4026900.0</v>
      </c>
      <c r="J693" s="8">
        <v>3693066.0</v>
      </c>
      <c r="K693" s="8">
        <v>333834.0</v>
      </c>
      <c r="L693" s="9">
        <v>8.0</v>
      </c>
      <c r="M693" s="6"/>
    </row>
    <row r="694" spans="8:8" ht="21.0" customHeight="1">
      <c r="A694" s="10"/>
      <c r="B694" s="3" t="s">
        <v>17</v>
      </c>
      <c r="C694" s="4" t="s">
        <v>18</v>
      </c>
      <c r="D694" s="4" t="s">
        <v>19</v>
      </c>
      <c r="E694" s="4" t="s">
        <v>11</v>
      </c>
      <c r="F694" s="3" t="s">
        <v>20</v>
      </c>
    </row>
    <row r="695" spans="8:8" ht="21.0" customHeight="1">
      <c r="A695" s="10"/>
      <c r="B695" s="11" t="s">
        <v>22</v>
      </c>
      <c r="C695" s="9" t="s">
        <v>476</v>
      </c>
      <c r="D695" s="8">
        <v>8500.0</v>
      </c>
      <c r="E695" s="8">
        <v>1731349.0</v>
      </c>
      <c r="F695" s="13"/>
    </row>
    <row r="696" spans="8:8" ht="21.0" customHeight="1">
      <c r="A696" s="10"/>
      <c r="B696" s="11" t="s">
        <v>37</v>
      </c>
      <c r="C696" s="9" t="s">
        <v>477</v>
      </c>
      <c r="D696" s="8">
        <v>8880.0</v>
      </c>
      <c r="E696" s="8">
        <v>852500.0</v>
      </c>
      <c r="F696" s="13"/>
    </row>
    <row r="697" spans="8:8" ht="21.0" customHeight="1">
      <c r="A697" s="10"/>
      <c r="B697" s="11" t="s">
        <v>45</v>
      </c>
      <c r="C697" s="9" t="s">
        <v>330</v>
      </c>
      <c r="D697" s="8">
        <v>12830.0</v>
      </c>
      <c r="E697" s="8">
        <v>382385.0</v>
      </c>
      <c r="F697" s="13"/>
    </row>
    <row r="698" spans="8:8" ht="21.0" customHeight="1">
      <c r="A698" s="10"/>
      <c r="B698" s="11" t="s">
        <v>43</v>
      </c>
      <c r="C698" s="9" t="s">
        <v>318</v>
      </c>
      <c r="D698" s="8">
        <v>17700.0</v>
      </c>
      <c r="E698" s="8">
        <v>343000.0</v>
      </c>
      <c r="F698" s="13"/>
    </row>
    <row r="699" spans="8:8" ht="21.0" customHeight="1">
      <c r="A699" s="10"/>
      <c r="B699" s="11" t="s">
        <v>38</v>
      </c>
      <c r="C699" s="9" t="s">
        <v>478</v>
      </c>
      <c r="D699" s="8">
        <v>1800.0</v>
      </c>
      <c r="E699" s="8">
        <v>455783.0</v>
      </c>
      <c r="F699" s="13"/>
    </row>
    <row r="700" spans="8:8" ht="21.0" customHeight="1">
      <c r="A700" s="10"/>
      <c r="B700" s="11" t="s">
        <v>148</v>
      </c>
      <c r="C700" s="9" t="s">
        <v>271</v>
      </c>
      <c r="D700" s="8">
        <v>2000.0</v>
      </c>
      <c r="E700" s="8">
        <v>2564.0</v>
      </c>
      <c r="F700" s="13"/>
    </row>
    <row r="701" spans="8:8" ht="21.0" customHeight="1">
      <c r="A701" s="10"/>
      <c r="B701" s="11" t="s">
        <v>49</v>
      </c>
      <c r="C701" s="9" t="s">
        <v>319</v>
      </c>
      <c r="D701" s="8">
        <v>5000.0</v>
      </c>
      <c r="E701" s="8">
        <v>-74515.0</v>
      </c>
      <c r="F701" s="13"/>
    </row>
    <row r="702" spans="8:8" ht="21.0" customHeight="1">
      <c r="A702" s="10"/>
      <c r="B702" s="14"/>
      <c r="C702" s="15"/>
      <c r="D702" s="15"/>
      <c r="E702" s="15"/>
      <c r="F702" s="14"/>
    </row>
    <row r="703" spans="8:8" ht="21.0" customHeight="1">
      <c r="A703" s="16">
        <v>46230.0</v>
      </c>
      <c r="B703" s="6" t="s">
        <v>59</v>
      </c>
      <c r="C703" s="7" t="s">
        <v>479</v>
      </c>
      <c r="D703" s="6"/>
      <c r="E703" s="9">
        <v>80.0</v>
      </c>
      <c r="F703" s="8">
        <v>440000.0</v>
      </c>
      <c r="G703" s="8">
        <v>440000.0</v>
      </c>
      <c r="H703" s="9">
        <v>0.0</v>
      </c>
      <c r="I703" s="8">
        <v>440000.0</v>
      </c>
      <c r="J703" s="8">
        <v>407041.0</v>
      </c>
      <c r="K703" s="8">
        <v>32959.0</v>
      </c>
      <c r="L703" s="9">
        <v>7.0</v>
      </c>
      <c r="M703" s="6"/>
    </row>
    <row r="704" spans="8:8" ht="21.0" customHeight="1">
      <c r="A704" s="10"/>
      <c r="B704" s="3" t="s">
        <v>17</v>
      </c>
      <c r="C704" s="4" t="s">
        <v>18</v>
      </c>
      <c r="D704" s="4" t="s">
        <v>19</v>
      </c>
      <c r="E704" s="4" t="s">
        <v>11</v>
      </c>
      <c r="F704" s="3" t="s">
        <v>20</v>
      </c>
    </row>
    <row r="705" spans="8:8" ht="21.0" customHeight="1">
      <c r="A705" s="10"/>
      <c r="B705" s="11" t="s">
        <v>22</v>
      </c>
      <c r="C705" s="9" t="s">
        <v>480</v>
      </c>
      <c r="D705" s="8">
        <v>9000.0</v>
      </c>
      <c r="E705" s="8">
        <v>346270.0</v>
      </c>
      <c r="F705" s="13"/>
    </row>
    <row r="706" spans="8:8" ht="21.0" customHeight="1">
      <c r="A706" s="10"/>
      <c r="B706" s="11" t="s">
        <v>38</v>
      </c>
      <c r="C706" s="9" t="s">
        <v>481</v>
      </c>
      <c r="D706" s="8">
        <v>2000.0</v>
      </c>
      <c r="E706" s="8">
        <v>60771.0</v>
      </c>
      <c r="F706" s="13"/>
    </row>
    <row r="707" spans="8:8" ht="21.0" customHeight="1">
      <c r="A707" s="10"/>
      <c r="B707" s="14"/>
      <c r="C707" s="15"/>
      <c r="D707" s="15"/>
      <c r="E707" s="15"/>
      <c r="F707" s="14"/>
    </row>
    <row r="708" spans="8:8" ht="21.0" customHeight="1">
      <c r="A708" s="16">
        <v>46230.0</v>
      </c>
      <c r="B708" s="6" t="s">
        <v>139</v>
      </c>
      <c r="C708" s="7" t="s">
        <v>482</v>
      </c>
      <c r="D708" s="6"/>
      <c r="E708" s="9">
        <v>140.0</v>
      </c>
      <c r="F708" s="8">
        <v>721000.0</v>
      </c>
      <c r="G708" s="8">
        <v>721000.0</v>
      </c>
      <c r="H708" s="9">
        <v>0.0</v>
      </c>
      <c r="I708" s="8">
        <v>721000.0</v>
      </c>
      <c r="J708" s="8">
        <v>712321.0</v>
      </c>
      <c r="K708" s="8">
        <v>8679.0</v>
      </c>
      <c r="L708" s="9">
        <v>1.0</v>
      </c>
      <c r="M708" s="6"/>
    </row>
    <row r="709" spans="8:8" ht="21.0" customHeight="1">
      <c r="A709" s="10"/>
      <c r="B709" s="3" t="s">
        <v>17</v>
      </c>
      <c r="C709" s="4" t="s">
        <v>18</v>
      </c>
      <c r="D709" s="4" t="s">
        <v>19</v>
      </c>
      <c r="E709" s="4" t="s">
        <v>11</v>
      </c>
      <c r="F709" s="3" t="s">
        <v>20</v>
      </c>
    </row>
    <row r="710" spans="8:8" ht="21.0" customHeight="1">
      <c r="A710" s="10"/>
      <c r="B710" s="11" t="s">
        <v>22</v>
      </c>
      <c r="C710" s="9" t="s">
        <v>329</v>
      </c>
      <c r="D710" s="8">
        <v>8500.0</v>
      </c>
      <c r="E710" s="8">
        <v>605972.0</v>
      </c>
      <c r="F710" s="13"/>
    </row>
    <row r="711" spans="8:8" ht="21.0" customHeight="1">
      <c r="A711" s="10"/>
      <c r="B711" s="11" t="s">
        <v>38</v>
      </c>
      <c r="C711" s="9" t="s">
        <v>340</v>
      </c>
      <c r="D711" s="8">
        <v>1800.0</v>
      </c>
      <c r="E711" s="8">
        <v>106349.0</v>
      </c>
      <c r="F711" s="13"/>
    </row>
    <row r="712" spans="8:8" ht="21.0" customHeight="1">
      <c r="A712" s="10"/>
      <c r="B712" s="14"/>
      <c r="C712" s="15"/>
      <c r="D712" s="15"/>
      <c r="E712" s="15"/>
      <c r="F712" s="14"/>
    </row>
    <row r="713" spans="8:8" ht="21.0" customHeight="1">
      <c r="A713" s="16">
        <v>46230.0</v>
      </c>
      <c r="B713" s="6" t="s">
        <v>25</v>
      </c>
      <c r="C713" s="7" t="s">
        <v>483</v>
      </c>
      <c r="D713" s="6"/>
      <c r="E713" s="9">
        <v>8.0</v>
      </c>
      <c r="F713" s="8">
        <v>64160.0</v>
      </c>
      <c r="G713" s="9">
        <v>0.0</v>
      </c>
      <c r="H713" s="8">
        <v>64160.0</v>
      </c>
      <c r="I713" s="8">
        <v>64160.0</v>
      </c>
      <c r="J713" s="8">
        <v>61480.0</v>
      </c>
      <c r="K713" s="8">
        <v>2680.0</v>
      </c>
      <c r="L713" s="9">
        <v>4.0</v>
      </c>
      <c r="M713" s="6"/>
    </row>
    <row r="714" spans="8:8" ht="21.0" customHeight="1">
      <c r="A714" s="10"/>
      <c r="B714" s="3" t="s">
        <v>17</v>
      </c>
      <c r="C714" s="4" t="s">
        <v>18</v>
      </c>
      <c r="D714" s="4" t="s">
        <v>19</v>
      </c>
      <c r="E714" s="4" t="s">
        <v>11</v>
      </c>
      <c r="F714" s="3" t="s">
        <v>20</v>
      </c>
    </row>
    <row r="715" spans="8:8" ht="21.0" customHeight="1">
      <c r="A715" s="10"/>
      <c r="B715" s="11" t="s">
        <v>27</v>
      </c>
      <c r="C715" s="9" t="s">
        <v>484</v>
      </c>
      <c r="D715" s="8">
        <v>8020.0</v>
      </c>
      <c r="E715" s="8">
        <v>61480.0</v>
      </c>
      <c r="F715" s="13"/>
    </row>
    <row r="716" spans="8:8" ht="21.0" customHeight="1">
      <c r="A716" s="10"/>
      <c r="B716" s="14"/>
      <c r="C716" s="15"/>
      <c r="D716" s="15"/>
      <c r="E716" s="15"/>
      <c r="F716" s="14"/>
    </row>
    <row r="717" spans="8:8" ht="21.0" customHeight="1">
      <c r="A717" s="16">
        <v>46230.0</v>
      </c>
      <c r="B717" s="6" t="s">
        <v>145</v>
      </c>
      <c r="C717" s="7" t="s">
        <v>485</v>
      </c>
      <c r="D717" s="6"/>
      <c r="E717" s="9">
        <v>10.0</v>
      </c>
      <c r="F717" s="8">
        <v>76675.0</v>
      </c>
      <c r="G717" s="8">
        <v>13600.0</v>
      </c>
      <c r="H717" s="8">
        <v>63075.0</v>
      </c>
      <c r="I717" s="8">
        <v>76675.0</v>
      </c>
      <c r="J717" s="8">
        <v>64158.0</v>
      </c>
      <c r="K717" s="8">
        <v>12517.0</v>
      </c>
      <c r="L717" s="9">
        <v>16.0</v>
      </c>
      <c r="M717" s="6"/>
    </row>
    <row r="718" spans="8:8" ht="21.0" customHeight="1">
      <c r="A718" s="10"/>
      <c r="B718" s="3" t="s">
        <v>17</v>
      </c>
      <c r="C718" s="4" t="s">
        <v>18</v>
      </c>
      <c r="D718" s="4" t="s">
        <v>19</v>
      </c>
      <c r="E718" s="4" t="s">
        <v>11</v>
      </c>
      <c r="F718" s="3" t="s">
        <v>20</v>
      </c>
    </row>
    <row r="719" spans="8:8" ht="21.0" customHeight="1">
      <c r="A719" s="10"/>
      <c r="B719" s="11" t="s">
        <v>45</v>
      </c>
      <c r="C719" s="9" t="s">
        <v>270</v>
      </c>
      <c r="D719" s="8">
        <v>13335.0</v>
      </c>
      <c r="E719" s="8">
        <v>63731.0</v>
      </c>
      <c r="F719" s="13"/>
    </row>
    <row r="720" spans="8:8" ht="21.0" customHeight="1">
      <c r="A720" s="10"/>
      <c r="B720" s="11" t="s">
        <v>148</v>
      </c>
      <c r="C720" s="9" t="s">
        <v>377</v>
      </c>
      <c r="D720" s="8">
        <v>2000.0</v>
      </c>
      <c r="E720" s="9">
        <v>427.0</v>
      </c>
      <c r="F720" s="13"/>
    </row>
    <row r="721" spans="8:8" ht="21.0" customHeight="1">
      <c r="A721" s="10"/>
      <c r="B721" s="14"/>
      <c r="C721" s="15"/>
      <c r="D721" s="15"/>
      <c r="E721" s="15"/>
      <c r="F721" s="14"/>
    </row>
    <row r="722" spans="8:8" ht="21.0" customHeight="1">
      <c r="A722" s="16">
        <v>46230.0</v>
      </c>
      <c r="B722" s="6" t="s">
        <v>15</v>
      </c>
      <c r="C722" s="7" t="s">
        <v>486</v>
      </c>
      <c r="D722" s="6"/>
      <c r="E722" s="9">
        <v>1.0</v>
      </c>
      <c r="F722" s="8">
        <v>5300.0</v>
      </c>
      <c r="G722" s="8">
        <v>5300.0</v>
      </c>
      <c r="H722" s="9">
        <v>0.0</v>
      </c>
      <c r="I722" s="8">
        <v>5300.0</v>
      </c>
      <c r="J722" s="8">
        <v>5200.0</v>
      </c>
      <c r="K722" s="9">
        <v>100.0</v>
      </c>
      <c r="L722" s="9">
        <v>2.0</v>
      </c>
      <c r="M722" s="6"/>
    </row>
    <row r="723" spans="8:8" ht="21.0" customHeight="1">
      <c r="A723" s="10"/>
      <c r="B723" s="3" t="s">
        <v>17</v>
      </c>
      <c r="C723" s="4" t="s">
        <v>18</v>
      </c>
      <c r="D723" s="4" t="s">
        <v>19</v>
      </c>
      <c r="E723" s="4" t="s">
        <v>11</v>
      </c>
      <c r="F723" s="3" t="s">
        <v>20</v>
      </c>
    </row>
    <row r="724" spans="8:8" ht="21.0" customHeight="1">
      <c r="A724" s="10"/>
      <c r="B724" s="11" t="s">
        <v>24</v>
      </c>
      <c r="C724" s="9" t="s">
        <v>257</v>
      </c>
      <c r="D724" s="8">
        <v>5300.0</v>
      </c>
      <c r="E724" s="8">
        <v>5200.0</v>
      </c>
      <c r="F724" s="13"/>
    </row>
    <row r="725" spans="8:8" ht="21.0" customHeight="1">
      <c r="A725" s="10"/>
      <c r="B725" s="14"/>
      <c r="C725" s="15"/>
      <c r="D725" s="15"/>
      <c r="E725" s="15"/>
      <c r="F725" s="14"/>
    </row>
    <row r="726" spans="8:8" ht="21.0" customHeight="1">
      <c r="A726" s="16">
        <v>46230.0</v>
      </c>
      <c r="B726" s="6" t="s">
        <v>85</v>
      </c>
      <c r="C726" s="7" t="s">
        <v>487</v>
      </c>
      <c r="D726" s="6"/>
      <c r="E726" s="9">
        <v>46.0</v>
      </c>
      <c r="F726" s="8">
        <v>386590.0</v>
      </c>
      <c r="G726" s="8">
        <v>44400.0</v>
      </c>
      <c r="H726" s="8">
        <v>342190.0</v>
      </c>
      <c r="I726" s="8">
        <v>386590.0</v>
      </c>
      <c r="J726" s="8">
        <v>325142.0</v>
      </c>
      <c r="K726" s="8">
        <v>61448.0</v>
      </c>
      <c r="L726" s="9">
        <v>16.0</v>
      </c>
      <c r="M726" s="6"/>
    </row>
    <row r="727" spans="8:8" ht="21.0" customHeight="1">
      <c r="A727" s="10"/>
      <c r="B727" s="3" t="s">
        <v>17</v>
      </c>
      <c r="C727" s="4" t="s">
        <v>18</v>
      </c>
      <c r="D727" s="4" t="s">
        <v>19</v>
      </c>
      <c r="E727" s="4" t="s">
        <v>11</v>
      </c>
      <c r="F727" s="3" t="s">
        <v>20</v>
      </c>
    </row>
    <row r="728" spans="8:8" ht="21.0" customHeight="1">
      <c r="A728" s="10"/>
      <c r="B728" s="11" t="s">
        <v>45</v>
      </c>
      <c r="C728" s="9" t="s">
        <v>314</v>
      </c>
      <c r="D728" s="8">
        <v>13950.0</v>
      </c>
      <c r="E728" s="8">
        <v>127462.0</v>
      </c>
      <c r="F728" s="13"/>
    </row>
    <row r="729" spans="8:8" ht="21.0" customHeight="1">
      <c r="A729" s="10"/>
      <c r="B729" s="11" t="s">
        <v>22</v>
      </c>
      <c r="C729" s="9" t="s">
        <v>270</v>
      </c>
      <c r="D729" s="8">
        <v>9300.0</v>
      </c>
      <c r="E729" s="8">
        <v>43284.0</v>
      </c>
      <c r="F729" s="13"/>
    </row>
    <row r="730" spans="8:8" ht="21.0" customHeight="1">
      <c r="A730" s="10"/>
      <c r="B730" s="11" t="s">
        <v>101</v>
      </c>
      <c r="C730" s="9" t="s">
        <v>323</v>
      </c>
      <c r="D730" s="8">
        <v>14455.0</v>
      </c>
      <c r="E730" s="8">
        <v>38760.0</v>
      </c>
      <c r="F730" s="13"/>
    </row>
    <row r="731" spans="8:8" ht="21.0" customHeight="1">
      <c r="A731" s="10"/>
      <c r="B731" s="11" t="s">
        <v>87</v>
      </c>
      <c r="C731" s="9" t="s">
        <v>270</v>
      </c>
      <c r="D731" s="8">
        <v>22565.0</v>
      </c>
      <c r="E731" s="8">
        <v>102200.0</v>
      </c>
      <c r="F731" s="13"/>
    </row>
    <row r="732" spans="8:8" ht="21.0" customHeight="1">
      <c r="A732" s="10"/>
      <c r="B732" s="11" t="s">
        <v>148</v>
      </c>
      <c r="C732" s="9" t="s">
        <v>351</v>
      </c>
      <c r="D732" s="8">
        <v>2000.0</v>
      </c>
      <c r="E732" s="8">
        <v>1282.0</v>
      </c>
      <c r="F732" s="13"/>
    </row>
    <row r="733" spans="8:8" ht="21.0" customHeight="1">
      <c r="A733" s="10"/>
      <c r="B733" s="11" t="s">
        <v>38</v>
      </c>
      <c r="C733" s="9" t="s">
        <v>372</v>
      </c>
      <c r="D733" s="8">
        <v>1800.0</v>
      </c>
      <c r="E733" s="8">
        <v>12154.0</v>
      </c>
      <c r="F733" s="13"/>
    </row>
    <row r="734" spans="8:8" ht="21.0" customHeight="1">
      <c r="A734" s="10"/>
      <c r="B734" s="14"/>
      <c r="C734" s="15"/>
      <c r="D734" s="15"/>
      <c r="E734" s="15"/>
      <c r="F734" s="14"/>
    </row>
    <row r="735" spans="8:8" ht="21.0" customHeight="1">
      <c r="A735" s="16">
        <v>46230.0</v>
      </c>
      <c r="B735" s="6" t="s">
        <v>59</v>
      </c>
      <c r="C735" s="7" t="s">
        <v>488</v>
      </c>
      <c r="D735" s="6"/>
      <c r="E735" s="9">
        <v>100.0</v>
      </c>
      <c r="F735" s="8">
        <v>500000.0</v>
      </c>
      <c r="G735" s="8">
        <v>80000.0</v>
      </c>
      <c r="H735" s="8">
        <v>420000.0</v>
      </c>
      <c r="I735" s="8">
        <v>500000.0</v>
      </c>
      <c r="J735" s="8">
        <v>520000.0</v>
      </c>
      <c r="K735" s="8">
        <v>-20000.0</v>
      </c>
      <c r="L735" s="9">
        <v>-4.0</v>
      </c>
      <c r="M735" s="6"/>
    </row>
    <row r="736" spans="8:8" ht="21.0" customHeight="1">
      <c r="A736" s="10"/>
      <c r="B736" s="3" t="s">
        <v>17</v>
      </c>
      <c r="C736" s="4" t="s">
        <v>18</v>
      </c>
      <c r="D736" s="4" t="s">
        <v>19</v>
      </c>
      <c r="E736" s="4" t="s">
        <v>11</v>
      </c>
      <c r="F736" s="3" t="s">
        <v>20</v>
      </c>
    </row>
    <row r="737" spans="8:8" ht="21.0" customHeight="1">
      <c r="A737" s="10"/>
      <c r="B737" s="11" t="s">
        <v>24</v>
      </c>
      <c r="C737" s="9" t="s">
        <v>259</v>
      </c>
      <c r="D737" s="8">
        <v>5000.0</v>
      </c>
      <c r="E737" s="8">
        <v>520000.0</v>
      </c>
      <c r="F737" s="13"/>
    </row>
    <row r="738" spans="8:8" ht="21.0" customHeight="1">
      <c r="A738" s="10"/>
      <c r="B738" s="14"/>
      <c r="C738" s="15"/>
      <c r="D738" s="15"/>
      <c r="E738" s="15"/>
      <c r="F738" s="14"/>
    </row>
    <row r="739" spans="8:8" ht="21.0" customHeight="1">
      <c r="A739" s="16">
        <v>46230.0</v>
      </c>
      <c r="B739" s="6" t="s">
        <v>75</v>
      </c>
      <c r="C739" s="7" t="s">
        <v>489</v>
      </c>
      <c r="D739" s="6"/>
      <c r="E739" s="9">
        <v>8.0</v>
      </c>
      <c r="F739" s="8">
        <v>44540.0</v>
      </c>
      <c r="G739" s="8">
        <v>7200.0</v>
      </c>
      <c r="H739" s="8">
        <v>37340.0</v>
      </c>
      <c r="I739" s="8">
        <v>44540.0</v>
      </c>
      <c r="J739" s="8">
        <v>40704.0</v>
      </c>
      <c r="K739" s="8">
        <v>3836.0</v>
      </c>
      <c r="L739" s="9">
        <v>9.0</v>
      </c>
      <c r="M739" s="6" t="s">
        <v>490</v>
      </c>
    </row>
    <row r="740" spans="8:8" ht="21.0" customHeight="1">
      <c r="A740" s="10"/>
      <c r="B740" s="3" t="s">
        <v>17</v>
      </c>
      <c r="C740" s="4" t="s">
        <v>18</v>
      </c>
      <c r="D740" s="4" t="s">
        <v>19</v>
      </c>
      <c r="E740" s="4" t="s">
        <v>11</v>
      </c>
      <c r="F740" s="3" t="s">
        <v>20</v>
      </c>
    </row>
    <row r="741" spans="8:8" ht="21.0" customHeight="1">
      <c r="A741" s="10"/>
      <c r="B741" s="11" t="s">
        <v>22</v>
      </c>
      <c r="C741" s="9" t="s">
        <v>301</v>
      </c>
      <c r="D741" s="8">
        <v>9335.0</v>
      </c>
      <c r="E741" s="8">
        <v>34627.0</v>
      </c>
      <c r="F741" s="13"/>
    </row>
    <row r="742" spans="8:8" ht="21.0" customHeight="1">
      <c r="A742" s="10"/>
      <c r="B742" s="11" t="s">
        <v>38</v>
      </c>
      <c r="C742" s="9" t="s">
        <v>354</v>
      </c>
      <c r="D742" s="8">
        <v>1800.0</v>
      </c>
      <c r="E742" s="8">
        <v>6077.0</v>
      </c>
      <c r="F742" s="13"/>
    </row>
    <row r="743" spans="8:8" ht="21.0" customHeight="1">
      <c r="A743" s="10"/>
      <c r="B743" s="14"/>
      <c r="C743" s="15"/>
      <c r="D743" s="15"/>
      <c r="E743" s="15"/>
      <c r="F743" s="14"/>
    </row>
    <row r="744" spans="8:8" ht="21.0" customHeight="1">
      <c r="A744" s="16">
        <v>46230.0</v>
      </c>
      <c r="B744" s="6" t="s">
        <v>336</v>
      </c>
      <c r="C744" s="7" t="s">
        <v>491</v>
      </c>
      <c r="D744" s="6"/>
      <c r="E744" s="9">
        <v>10.0</v>
      </c>
      <c r="F744" s="8">
        <v>105070.0</v>
      </c>
      <c r="G744" s="8">
        <v>105070.0</v>
      </c>
      <c r="H744" s="9">
        <v>0.0</v>
      </c>
      <c r="I744" s="8">
        <v>105070.0</v>
      </c>
      <c r="J744" s="8">
        <v>98905.0</v>
      </c>
      <c r="K744" s="8">
        <v>6165.0</v>
      </c>
      <c r="L744" s="9">
        <v>6.0</v>
      </c>
      <c r="M744" s="6"/>
    </row>
    <row r="745" spans="8:8" ht="21.0" customHeight="1">
      <c r="A745" s="10"/>
      <c r="B745" s="3" t="s">
        <v>17</v>
      </c>
      <c r="C745" s="4" t="s">
        <v>18</v>
      </c>
      <c r="D745" s="4" t="s">
        <v>19</v>
      </c>
      <c r="E745" s="4" t="s">
        <v>11</v>
      </c>
      <c r="F745" s="3" t="s">
        <v>20</v>
      </c>
    </row>
    <row r="746" spans="8:8" ht="21.0" customHeight="1">
      <c r="A746" s="10"/>
      <c r="B746" s="11" t="s">
        <v>45</v>
      </c>
      <c r="C746" s="9" t="s">
        <v>274</v>
      </c>
      <c r="D746" s="8">
        <v>13335.0</v>
      </c>
      <c r="E746" s="8">
        <v>25492.0</v>
      </c>
      <c r="F746" s="13"/>
    </row>
    <row r="747" spans="8:8" ht="21.0" customHeight="1">
      <c r="A747" s="10"/>
      <c r="B747" s="11" t="s">
        <v>21</v>
      </c>
      <c r="C747" s="9" t="s">
        <v>274</v>
      </c>
      <c r="D747" s="8">
        <v>9000.0</v>
      </c>
      <c r="E747" s="8">
        <v>16235.0</v>
      </c>
      <c r="F747" s="13"/>
    </row>
    <row r="748" spans="8:8" ht="21.0" customHeight="1">
      <c r="A748" s="10"/>
      <c r="B748" s="11" t="s">
        <v>22</v>
      </c>
      <c r="C748" s="9" t="s">
        <v>274</v>
      </c>
      <c r="D748" s="8">
        <v>9200.0</v>
      </c>
      <c r="E748" s="8">
        <v>17313.0</v>
      </c>
      <c r="F748" s="13"/>
    </row>
    <row r="749" spans="8:8" ht="21.0" customHeight="1">
      <c r="A749" s="10"/>
      <c r="B749" s="11" t="s">
        <v>44</v>
      </c>
      <c r="C749" s="9" t="s">
        <v>275</v>
      </c>
      <c r="D749" s="8">
        <v>9200.0</v>
      </c>
      <c r="E749" s="8">
        <v>8990.0</v>
      </c>
      <c r="F749" s="13"/>
    </row>
    <row r="750" spans="8:8" ht="21.0" customHeight="1">
      <c r="A750" s="10"/>
      <c r="B750" s="11" t="s">
        <v>37</v>
      </c>
      <c r="C750" s="9" t="s">
        <v>275</v>
      </c>
      <c r="D750" s="8">
        <v>9200.0</v>
      </c>
      <c r="E750" s="8">
        <v>8525.0</v>
      </c>
      <c r="F750" s="13"/>
    </row>
    <row r="751" spans="8:8" ht="21.0" customHeight="1">
      <c r="A751" s="10"/>
      <c r="B751" s="11" t="s">
        <v>43</v>
      </c>
      <c r="C751" s="9" t="s">
        <v>275</v>
      </c>
      <c r="D751" s="8">
        <v>18300.0</v>
      </c>
      <c r="E751" s="8">
        <v>17150.0</v>
      </c>
      <c r="F751" s="13"/>
    </row>
    <row r="752" spans="8:8" ht="21.0" customHeight="1">
      <c r="A752" s="10"/>
      <c r="B752" s="11" t="s">
        <v>24</v>
      </c>
      <c r="C752" s="9" t="s">
        <v>257</v>
      </c>
      <c r="D752" s="8">
        <v>5300.0</v>
      </c>
      <c r="E752" s="8">
        <v>5200.0</v>
      </c>
      <c r="F752" s="13"/>
    </row>
    <row r="753" spans="8:8" ht="21.0" customHeight="1">
      <c r="A753" s="10"/>
      <c r="B753" s="14"/>
      <c r="C753" s="15"/>
      <c r="D753" s="15"/>
      <c r="E753" s="15"/>
      <c r="F753" s="14"/>
    </row>
    <row r="754" spans="8:8" ht="21.0" customHeight="1">
      <c r="A754" s="16">
        <v>46230.0</v>
      </c>
      <c r="B754" s="6" t="s">
        <v>59</v>
      </c>
      <c r="C754" s="7" t="s">
        <v>492</v>
      </c>
      <c r="D754" s="6"/>
      <c r="E754" s="9">
        <v>70.0</v>
      </c>
      <c r="F754" s="8">
        <v>380200.0</v>
      </c>
      <c r="G754" s="8">
        <v>120000.0</v>
      </c>
      <c r="H754" s="8">
        <v>260200.0</v>
      </c>
      <c r="I754" s="8">
        <v>380200.0</v>
      </c>
      <c r="J754" s="8">
        <v>388850.0</v>
      </c>
      <c r="K754" s="8">
        <v>-8650.0</v>
      </c>
      <c r="L754" s="9">
        <v>-2.0</v>
      </c>
      <c r="M754" s="6"/>
    </row>
    <row r="755" spans="8:8" ht="21.0" customHeight="1">
      <c r="A755" s="10"/>
      <c r="B755" s="3" t="s">
        <v>17</v>
      </c>
      <c r="C755" s="4" t="s">
        <v>18</v>
      </c>
      <c r="D755" s="4" t="s">
        <v>19</v>
      </c>
      <c r="E755" s="4" t="s">
        <v>11</v>
      </c>
      <c r="F755" s="3" t="s">
        <v>20</v>
      </c>
    </row>
    <row r="756" spans="8:8" ht="21.0" customHeight="1">
      <c r="A756" s="10"/>
      <c r="B756" s="11" t="s">
        <v>24</v>
      </c>
      <c r="C756" s="9" t="s">
        <v>419</v>
      </c>
      <c r="D756" s="8">
        <v>5000.0</v>
      </c>
      <c r="E756" s="8">
        <v>312000.0</v>
      </c>
      <c r="F756" s="13"/>
    </row>
    <row r="757" spans="8:8" ht="21.0" customHeight="1">
      <c r="A757" s="10"/>
      <c r="B757" s="11" t="s">
        <v>27</v>
      </c>
      <c r="C757" s="9" t="s">
        <v>333</v>
      </c>
      <c r="D757" s="8">
        <v>8020.0</v>
      </c>
      <c r="E757" s="8">
        <v>76850.0</v>
      </c>
      <c r="F757" s="13"/>
    </row>
    <row r="758" spans="8:8" ht="21.0" customHeight="1">
      <c r="A758" s="10"/>
      <c r="B758" s="14"/>
      <c r="C758" s="15"/>
      <c r="D758" s="15"/>
      <c r="E758" s="15"/>
      <c r="F758" s="14"/>
    </row>
    <row r="759" spans="8:8" ht="21.0" customHeight="1">
      <c r="A759" s="16">
        <v>46230.0</v>
      </c>
      <c r="B759" s="6" t="s">
        <v>15</v>
      </c>
      <c r="C759" s="7" t="s">
        <v>493</v>
      </c>
      <c r="D759" s="6"/>
      <c r="E759" s="9">
        <v>3.0</v>
      </c>
      <c r="F759" s="8">
        <v>28000.0</v>
      </c>
      <c r="G759" s="8">
        <v>28000.0</v>
      </c>
      <c r="H759" s="9">
        <v>0.0</v>
      </c>
      <c r="I759" s="8">
        <v>28000.0</v>
      </c>
      <c r="J759" s="8">
        <v>25633.0</v>
      </c>
      <c r="K759" s="8">
        <v>2367.0</v>
      </c>
      <c r="L759" s="9">
        <v>8.0</v>
      </c>
      <c r="M759" s="6"/>
    </row>
    <row r="760" spans="8:8" ht="21.0" customHeight="1">
      <c r="A760" s="10"/>
      <c r="B760" s="3" t="s">
        <v>17</v>
      </c>
      <c r="C760" s="4" t="s">
        <v>18</v>
      </c>
      <c r="D760" s="4" t="s">
        <v>19</v>
      </c>
      <c r="E760" s="4" t="s">
        <v>11</v>
      </c>
      <c r="F760" s="3" t="s">
        <v>20</v>
      </c>
    </row>
    <row r="761" spans="8:8" ht="21.0" customHeight="1">
      <c r="A761" s="10"/>
      <c r="B761" s="11" t="s">
        <v>44</v>
      </c>
      <c r="C761" s="9" t="s">
        <v>275</v>
      </c>
      <c r="D761" s="8">
        <v>9500.0</v>
      </c>
      <c r="E761" s="8">
        <v>8990.0</v>
      </c>
      <c r="F761" s="13"/>
    </row>
    <row r="762" spans="8:8" ht="21.0" customHeight="1">
      <c r="A762" s="10"/>
      <c r="B762" s="11" t="s">
        <v>37</v>
      </c>
      <c r="C762" s="9" t="s">
        <v>275</v>
      </c>
      <c r="D762" s="8">
        <v>9500.0</v>
      </c>
      <c r="E762" s="8">
        <v>8525.0</v>
      </c>
      <c r="F762" s="13"/>
    </row>
    <row r="763" spans="8:8" ht="21.0" customHeight="1">
      <c r="A763" s="10"/>
      <c r="B763" s="11" t="s">
        <v>21</v>
      </c>
      <c r="C763" s="9" t="s">
        <v>275</v>
      </c>
      <c r="D763" s="8">
        <v>9000.0</v>
      </c>
      <c r="E763" s="8">
        <v>8118.0</v>
      </c>
      <c r="F763" s="13"/>
    </row>
    <row r="764" spans="8:8" ht="21.0" customHeight="1">
      <c r="A764" s="10"/>
      <c r="B764" s="14"/>
      <c r="C764" s="15"/>
      <c r="D764" s="15"/>
      <c r="E764" s="15"/>
      <c r="F764" s="14"/>
    </row>
    <row r="765" spans="8:8" ht="21.0" customHeight="1">
      <c r="A765" s="17">
        <v>46231.0</v>
      </c>
      <c r="B765" s="6" t="s">
        <v>212</v>
      </c>
      <c r="C765" s="7" t="s">
        <v>494</v>
      </c>
      <c r="D765" s="6"/>
      <c r="E765" s="9">
        <v>5.0</v>
      </c>
      <c r="F765" s="8">
        <v>46000.0</v>
      </c>
      <c r="G765" s="8">
        <v>46000.0</v>
      </c>
      <c r="H765" s="9">
        <v>0.0</v>
      </c>
      <c r="I765" s="8">
        <v>46000.0</v>
      </c>
      <c r="J765" s="8">
        <v>43617.0</v>
      </c>
      <c r="K765" s="8">
        <v>2383.0</v>
      </c>
      <c r="L765" s="9">
        <v>5.0</v>
      </c>
      <c r="M765" s="6"/>
    </row>
    <row r="766" spans="8:8" ht="21.0" customHeight="1">
      <c r="A766" s="10"/>
      <c r="B766" s="3" t="s">
        <v>17</v>
      </c>
      <c r="C766" s="4" t="s">
        <v>18</v>
      </c>
      <c r="D766" s="4" t="s">
        <v>19</v>
      </c>
      <c r="E766" s="4" t="s">
        <v>11</v>
      </c>
      <c r="F766" s="3" t="s">
        <v>20</v>
      </c>
    </row>
    <row r="767" spans="8:8" ht="21.0" customHeight="1">
      <c r="A767" s="10"/>
      <c r="B767" s="11" t="s">
        <v>22</v>
      </c>
      <c r="C767" s="9" t="s">
        <v>301</v>
      </c>
      <c r="D767" s="8">
        <v>9200.0</v>
      </c>
      <c r="E767" s="8">
        <v>34627.0</v>
      </c>
      <c r="F767" s="13"/>
    </row>
    <row r="768" spans="8:8" ht="21.0" customHeight="1">
      <c r="A768" s="10"/>
      <c r="B768" s="11" t="s">
        <v>44</v>
      </c>
      <c r="C768" s="9" t="s">
        <v>275</v>
      </c>
      <c r="D768" s="8">
        <v>9200.0</v>
      </c>
      <c r="E768" s="8">
        <v>8990.0</v>
      </c>
      <c r="F768" s="13"/>
    </row>
    <row r="769" spans="8:8" ht="21.0" customHeight="1">
      <c r="A769" s="10"/>
      <c r="B769" s="14"/>
      <c r="C769" s="15"/>
      <c r="D769" s="15"/>
      <c r="E769" s="15"/>
      <c r="F769" s="14"/>
    </row>
    <row r="770" spans="8:8" ht="21.0" customHeight="1">
      <c r="A770" s="16">
        <v>46231.0</v>
      </c>
      <c r="B770" s="6" t="s">
        <v>95</v>
      </c>
      <c r="C770" s="7" t="s">
        <v>495</v>
      </c>
      <c r="D770" s="6"/>
      <c r="E770" s="9">
        <v>258.0</v>
      </c>
      <c r="F770" s="8">
        <v>1307800.0</v>
      </c>
      <c r="G770" s="8">
        <v>1090000.0</v>
      </c>
      <c r="H770" s="8">
        <v>217800.0</v>
      </c>
      <c r="I770" s="8">
        <v>1307800.0</v>
      </c>
      <c r="J770" s="8">
        <v>1366450.0</v>
      </c>
      <c r="K770" s="8">
        <v>-58650.0</v>
      </c>
      <c r="L770" s="9">
        <v>-4.0</v>
      </c>
      <c r="M770" s="6"/>
    </row>
    <row r="771" spans="8:8" ht="21.0" customHeight="1">
      <c r="A771" s="10"/>
      <c r="B771" s="3" t="s">
        <v>17</v>
      </c>
      <c r="C771" s="4" t="s">
        <v>18</v>
      </c>
      <c r="D771" s="4" t="s">
        <v>19</v>
      </c>
      <c r="E771" s="4" t="s">
        <v>11</v>
      </c>
      <c r="F771" s="3" t="s">
        <v>20</v>
      </c>
    </row>
    <row r="772" spans="8:8" ht="21.0" customHeight="1">
      <c r="A772" s="10"/>
      <c r="B772" s="11" t="s">
        <v>24</v>
      </c>
      <c r="C772" s="9" t="s">
        <v>346</v>
      </c>
      <c r="D772" s="8">
        <v>4950.0</v>
      </c>
      <c r="E772" s="8">
        <v>1289600.0</v>
      </c>
      <c r="F772" s="13"/>
    </row>
    <row r="773" spans="8:8" ht="21.0" customHeight="1">
      <c r="A773" s="10"/>
      <c r="B773" s="11" t="s">
        <v>27</v>
      </c>
      <c r="C773" s="9" t="s">
        <v>333</v>
      </c>
      <c r="D773" s="8">
        <v>8020.0</v>
      </c>
      <c r="E773" s="8">
        <v>76850.0</v>
      </c>
      <c r="F773" s="13"/>
    </row>
    <row r="774" spans="8:8" ht="21.0" customHeight="1">
      <c r="A774" s="10"/>
      <c r="B774" s="14"/>
      <c r="C774" s="15"/>
      <c r="D774" s="15"/>
      <c r="E774" s="15"/>
      <c r="F774" s="14"/>
    </row>
    <row r="775" spans="8:8" ht="21.0" customHeight="1">
      <c r="A775" s="16">
        <v>46231.0</v>
      </c>
      <c r="B775" s="6" t="s">
        <v>15</v>
      </c>
      <c r="C775" s="7" t="s">
        <v>496</v>
      </c>
      <c r="D775" s="6"/>
      <c r="E775" s="9">
        <v>1.0</v>
      </c>
      <c r="F775" s="8">
        <v>5300.0</v>
      </c>
      <c r="G775" s="8">
        <v>5300.0</v>
      </c>
      <c r="H775" s="9">
        <v>0.0</v>
      </c>
      <c r="I775" s="8">
        <v>5300.0</v>
      </c>
      <c r="J775" s="8">
        <v>5200.0</v>
      </c>
      <c r="K775" s="9">
        <v>100.0</v>
      </c>
      <c r="L775" s="9">
        <v>2.0</v>
      </c>
      <c r="M775" s="6"/>
    </row>
    <row r="776" spans="8:8" ht="21.0" customHeight="1">
      <c r="A776" s="10"/>
      <c r="B776" s="3" t="s">
        <v>17</v>
      </c>
      <c r="C776" s="4" t="s">
        <v>18</v>
      </c>
      <c r="D776" s="4" t="s">
        <v>19</v>
      </c>
      <c r="E776" s="4" t="s">
        <v>11</v>
      </c>
      <c r="F776" s="3" t="s">
        <v>20</v>
      </c>
    </row>
    <row r="777" spans="8:8" ht="21.0" customHeight="1">
      <c r="A777" s="10"/>
      <c r="B777" s="11" t="s">
        <v>24</v>
      </c>
      <c r="C777" s="9" t="s">
        <v>257</v>
      </c>
      <c r="D777" s="8">
        <v>5300.0</v>
      </c>
      <c r="E777" s="8">
        <v>5200.0</v>
      </c>
      <c r="F777" s="13"/>
    </row>
    <row r="778" spans="8:8" ht="21.0" customHeight="1">
      <c r="A778" s="10"/>
      <c r="B778" s="14"/>
      <c r="C778" s="15"/>
      <c r="D778" s="15"/>
      <c r="E778" s="15"/>
      <c r="F778" s="14"/>
    </row>
    <row r="779" spans="8:8" ht="21.0" customHeight="1">
      <c r="A779" s="16">
        <v>46231.0</v>
      </c>
      <c r="B779" s="6" t="s">
        <v>25</v>
      </c>
      <c r="C779" s="7" t="s">
        <v>497</v>
      </c>
      <c r="D779" s="6"/>
      <c r="E779" s="9">
        <v>251.0</v>
      </c>
      <c r="F779" s="8">
        <v>1325335.0</v>
      </c>
      <c r="G779" s="8">
        <v>1050000.0</v>
      </c>
      <c r="H779" s="8">
        <v>275335.0</v>
      </c>
      <c r="I779" s="8">
        <v>1325335.0</v>
      </c>
      <c r="J779" s="8">
        <v>1367390.0</v>
      </c>
      <c r="K779" s="8">
        <v>-42055.0</v>
      </c>
      <c r="L779" s="9">
        <v>-3.0</v>
      </c>
      <c r="M779" s="6"/>
    </row>
    <row r="780" spans="8:8" ht="21.0" customHeight="1">
      <c r="A780" s="10"/>
      <c r="B780" s="3" t="s">
        <v>17</v>
      </c>
      <c r="C780" s="4" t="s">
        <v>18</v>
      </c>
      <c r="D780" s="4" t="s">
        <v>19</v>
      </c>
      <c r="E780" s="4" t="s">
        <v>11</v>
      </c>
      <c r="F780" s="3" t="s">
        <v>20</v>
      </c>
    </row>
    <row r="781" spans="8:8" ht="21.0" customHeight="1">
      <c r="A781" s="10"/>
      <c r="B781" s="11" t="s">
        <v>24</v>
      </c>
      <c r="C781" s="9" t="s">
        <v>346</v>
      </c>
      <c r="D781" s="8">
        <v>5000.0</v>
      </c>
      <c r="E781" s="8">
        <v>1289600.0</v>
      </c>
      <c r="F781" s="13"/>
    </row>
    <row r="782" spans="8:8" ht="21.0" customHeight="1">
      <c r="A782" s="10"/>
      <c r="B782" s="11" t="s">
        <v>190</v>
      </c>
      <c r="C782" s="9" t="s">
        <v>498</v>
      </c>
      <c r="D782" s="8">
        <v>28445.0</v>
      </c>
      <c r="E782" s="8">
        <v>77790.0</v>
      </c>
      <c r="F782" s="13"/>
    </row>
    <row r="783" spans="8:8" ht="21.0" customHeight="1">
      <c r="A783" s="10"/>
      <c r="B783" s="14"/>
      <c r="C783" s="15"/>
      <c r="D783" s="15"/>
      <c r="E783" s="15"/>
      <c r="F783" s="14"/>
    </row>
    <row r="784" spans="8:8" ht="21.0" customHeight="1">
      <c r="A784" s="16">
        <v>46231.0</v>
      </c>
      <c r="B784" s="6" t="s">
        <v>50</v>
      </c>
      <c r="C784" s="7" t="s">
        <v>499</v>
      </c>
      <c r="D784" s="6"/>
      <c r="E784" s="9">
        <v>15.0</v>
      </c>
      <c r="F784" s="8">
        <v>75000.0</v>
      </c>
      <c r="G784" s="8">
        <v>75000.0</v>
      </c>
      <c r="H784" s="9">
        <v>0.0</v>
      </c>
      <c r="I784" s="8">
        <v>75000.0</v>
      </c>
      <c r="J784" s="8">
        <v>78000.0</v>
      </c>
      <c r="K784" s="8">
        <v>-3000.0</v>
      </c>
      <c r="L784" s="9">
        <v>-4.0</v>
      </c>
      <c r="M784" s="6"/>
    </row>
    <row r="785" spans="8:8" ht="21.0" customHeight="1">
      <c r="A785" s="10"/>
      <c r="B785" s="3" t="s">
        <v>17</v>
      </c>
      <c r="C785" s="4" t="s">
        <v>18</v>
      </c>
      <c r="D785" s="4" t="s">
        <v>19</v>
      </c>
      <c r="E785" s="4" t="s">
        <v>11</v>
      </c>
      <c r="F785" s="3" t="s">
        <v>20</v>
      </c>
    </row>
    <row r="786" spans="8:8" ht="21.0" customHeight="1">
      <c r="A786" s="10"/>
      <c r="B786" s="11" t="s">
        <v>24</v>
      </c>
      <c r="C786" s="9" t="s">
        <v>369</v>
      </c>
      <c r="D786" s="8">
        <v>5000.0</v>
      </c>
      <c r="E786" s="8">
        <v>78000.0</v>
      </c>
      <c r="F786" s="13"/>
    </row>
    <row r="787" spans="8:8" ht="21.0" customHeight="1">
      <c r="A787" s="10"/>
      <c r="B787" s="14"/>
      <c r="C787" s="15"/>
      <c r="D787" s="15"/>
      <c r="E787" s="15"/>
      <c r="F787" s="14"/>
    </row>
    <row r="788" spans="8:8" ht="21.0" customHeight="1">
      <c r="A788" s="16">
        <v>46231.0</v>
      </c>
      <c r="B788" s="6" t="s">
        <v>29</v>
      </c>
      <c r="C788" s="7" t="s">
        <v>500</v>
      </c>
      <c r="D788" s="6"/>
      <c r="E788" s="9">
        <v>134.0</v>
      </c>
      <c r="F788" s="8">
        <v>866365.0</v>
      </c>
      <c r="G788" s="8">
        <v>192600.0</v>
      </c>
      <c r="H788" s="8">
        <v>673765.0</v>
      </c>
      <c r="I788" s="8">
        <v>866365.0</v>
      </c>
      <c r="J788" s="8">
        <v>790401.0</v>
      </c>
      <c r="K788" s="8">
        <v>75964.0</v>
      </c>
      <c r="L788" s="9">
        <v>9.0</v>
      </c>
      <c r="M788" s="6"/>
    </row>
    <row r="789" spans="8:8" ht="21.0" customHeight="1">
      <c r="A789" s="10"/>
      <c r="B789" s="3" t="s">
        <v>17</v>
      </c>
      <c r="C789" s="4" t="s">
        <v>18</v>
      </c>
      <c r="D789" s="4" t="s">
        <v>19</v>
      </c>
      <c r="E789" s="4" t="s">
        <v>11</v>
      </c>
      <c r="F789" s="3" t="s">
        <v>20</v>
      </c>
    </row>
    <row r="790" spans="8:8" ht="21.0" customHeight="1">
      <c r="A790" s="10"/>
      <c r="B790" s="11" t="s">
        <v>44</v>
      </c>
      <c r="C790" s="9" t="s">
        <v>379</v>
      </c>
      <c r="D790" s="8">
        <v>9200.0</v>
      </c>
      <c r="E790" s="8">
        <v>161820.0</v>
      </c>
      <c r="F790" s="13"/>
    </row>
    <row r="791" spans="8:8" ht="21.0" customHeight="1">
      <c r="A791" s="10"/>
      <c r="B791" s="11" t="s">
        <v>45</v>
      </c>
      <c r="C791" s="9" t="s">
        <v>501</v>
      </c>
      <c r="D791" s="8">
        <v>13335.0</v>
      </c>
      <c r="E791" s="8">
        <v>242177.0</v>
      </c>
      <c r="F791" s="13"/>
    </row>
    <row r="792" spans="8:8" ht="21.0" customHeight="1">
      <c r="A792" s="10"/>
      <c r="B792" s="11" t="s">
        <v>37</v>
      </c>
      <c r="C792" s="9" t="s">
        <v>502</v>
      </c>
      <c r="D792" s="8">
        <v>8880.0</v>
      </c>
      <c r="E792" s="8">
        <v>102300.0</v>
      </c>
      <c r="F792" s="13"/>
    </row>
    <row r="793" spans="8:8" ht="21.0" customHeight="1">
      <c r="A793" s="10"/>
      <c r="B793" s="11" t="s">
        <v>87</v>
      </c>
      <c r="C793" s="9" t="s">
        <v>275</v>
      </c>
      <c r="D793" s="8">
        <v>21400.0</v>
      </c>
      <c r="E793" s="8">
        <v>20440.0</v>
      </c>
      <c r="F793" s="13"/>
    </row>
    <row r="794" spans="8:8" ht="21.0" customHeight="1">
      <c r="A794" s="10"/>
      <c r="B794" s="11" t="s">
        <v>65</v>
      </c>
      <c r="C794" s="9" t="s">
        <v>358</v>
      </c>
      <c r="D794" s="8">
        <v>11910.0</v>
      </c>
      <c r="E794" s="8">
        <v>124465.0</v>
      </c>
      <c r="F794" s="13"/>
    </row>
    <row r="795" spans="8:8" ht="21.0" customHeight="1">
      <c r="A795" s="10"/>
      <c r="B795" s="11" t="s">
        <v>24</v>
      </c>
      <c r="C795" s="9" t="s">
        <v>503</v>
      </c>
      <c r="D795" s="8">
        <v>5000.0</v>
      </c>
      <c r="E795" s="8">
        <v>36400.0</v>
      </c>
      <c r="F795" s="13"/>
    </row>
    <row r="796" spans="8:8" ht="21.0" customHeight="1">
      <c r="A796" s="10"/>
      <c r="B796" s="11" t="s">
        <v>28</v>
      </c>
      <c r="C796" s="9" t="s">
        <v>266</v>
      </c>
      <c r="D796" s="8">
        <v>13200.0</v>
      </c>
      <c r="E796" s="8">
        <v>13501.0</v>
      </c>
      <c r="F796" s="13"/>
    </row>
    <row r="797" spans="8:8" ht="21.0" customHeight="1">
      <c r="A797" s="10"/>
      <c r="B797" s="11" t="s">
        <v>93</v>
      </c>
      <c r="C797" s="9" t="s">
        <v>274</v>
      </c>
      <c r="D797" s="8">
        <v>11415.0</v>
      </c>
      <c r="E797" s="8">
        <v>22260.0</v>
      </c>
      <c r="F797" s="13"/>
    </row>
    <row r="798" spans="8:8" ht="21.0" customHeight="1">
      <c r="A798" s="10"/>
      <c r="B798" s="11" t="s">
        <v>148</v>
      </c>
      <c r="C798" s="9" t="s">
        <v>319</v>
      </c>
      <c r="D798" s="8">
        <v>2000.0</v>
      </c>
      <c r="E798" s="8">
        <v>1709.0</v>
      </c>
      <c r="F798" s="13"/>
    </row>
    <row r="799" spans="8:8" ht="21.0" customHeight="1">
      <c r="A799" s="10"/>
      <c r="B799" s="11" t="s">
        <v>38</v>
      </c>
      <c r="C799" s="9" t="s">
        <v>504</v>
      </c>
      <c r="D799" s="8">
        <v>1800.0</v>
      </c>
      <c r="E799" s="8">
        <v>65329.0</v>
      </c>
      <c r="F799" s="13"/>
    </row>
    <row r="800" spans="8:8" ht="21.0" customHeight="1">
      <c r="A800" s="10"/>
      <c r="B800" s="14"/>
      <c r="C800" s="15"/>
      <c r="D800" s="15"/>
      <c r="E800" s="15"/>
      <c r="F800" s="14"/>
    </row>
    <row r="801" spans="8:8" ht="21.0" customHeight="1">
      <c r="A801" s="16">
        <v>46231.0</v>
      </c>
      <c r="B801" s="6" t="s">
        <v>75</v>
      </c>
      <c r="C801" s="7" t="s">
        <v>505</v>
      </c>
      <c r="D801" s="6"/>
      <c r="E801" s="9">
        <v>192.0</v>
      </c>
      <c r="F801" s="8">
        <v>1080230.0</v>
      </c>
      <c r="G801" s="8">
        <v>19000.0</v>
      </c>
      <c r="H801" s="8">
        <v>1061230.0</v>
      </c>
      <c r="I801" s="8">
        <v>1080230.0</v>
      </c>
      <c r="J801" s="8">
        <v>980034.0</v>
      </c>
      <c r="K801" s="8">
        <v>100196.0</v>
      </c>
      <c r="L801" s="9">
        <v>9.0</v>
      </c>
      <c r="M801" s="6"/>
    </row>
    <row r="802" spans="8:8" ht="21.0" customHeight="1">
      <c r="A802" s="10"/>
      <c r="B802" s="3" t="s">
        <v>17</v>
      </c>
      <c r="C802" s="4" t="s">
        <v>18</v>
      </c>
      <c r="D802" s="4" t="s">
        <v>19</v>
      </c>
      <c r="E802" s="4" t="s">
        <v>11</v>
      </c>
      <c r="F802" s="3" t="s">
        <v>20</v>
      </c>
    </row>
    <row r="803" spans="8:8" ht="21.0" customHeight="1">
      <c r="A803" s="10"/>
      <c r="B803" s="11" t="s">
        <v>22</v>
      </c>
      <c r="C803" s="9" t="s">
        <v>506</v>
      </c>
      <c r="D803" s="8">
        <v>9335.0</v>
      </c>
      <c r="E803" s="8">
        <v>709853.0</v>
      </c>
      <c r="F803" s="13"/>
    </row>
    <row r="804" spans="8:8" ht="21.0" customHeight="1">
      <c r="A804" s="10"/>
      <c r="B804" s="11" t="s">
        <v>24</v>
      </c>
      <c r="C804" s="9" t="s">
        <v>507</v>
      </c>
      <c r="D804" s="8">
        <v>5970.0</v>
      </c>
      <c r="E804" s="8">
        <v>145600.0</v>
      </c>
      <c r="F804" s="13"/>
    </row>
    <row r="805" spans="8:8" ht="21.0" customHeight="1">
      <c r="A805" s="10"/>
      <c r="B805" s="11" t="s">
        <v>38</v>
      </c>
      <c r="C805" s="9" t="s">
        <v>508</v>
      </c>
      <c r="D805" s="8">
        <v>1800.0</v>
      </c>
      <c r="E805" s="8">
        <v>124581.0</v>
      </c>
      <c r="F805" s="13"/>
    </row>
    <row r="806" spans="8:8" ht="21.0" customHeight="1">
      <c r="A806" s="10"/>
      <c r="B806" s="14"/>
      <c r="C806" s="15"/>
      <c r="D806" s="15"/>
      <c r="E806" s="15"/>
      <c r="F806" s="14"/>
    </row>
    <row r="807" spans="8:8" ht="21.0" customHeight="1">
      <c r="A807" s="16">
        <v>46231.0</v>
      </c>
      <c r="B807" s="6" t="s">
        <v>29</v>
      </c>
      <c r="C807" s="7" t="s">
        <v>509</v>
      </c>
      <c r="D807" s="6"/>
      <c r="E807" s="9">
        <v>91.0</v>
      </c>
      <c r="F807" s="8">
        <v>593410.0</v>
      </c>
      <c r="G807" s="9">
        <v>0.0</v>
      </c>
      <c r="H807" s="8">
        <v>593410.0</v>
      </c>
      <c r="I807" s="8">
        <v>593410.0</v>
      </c>
      <c r="J807" s="8">
        <v>549624.0</v>
      </c>
      <c r="K807" s="8">
        <v>43786.0</v>
      </c>
      <c r="L807" s="9">
        <v>7.0</v>
      </c>
      <c r="M807" s="6"/>
    </row>
    <row r="808" spans="8:8" ht="21.0" customHeight="1">
      <c r="A808" s="10"/>
      <c r="B808" s="3" t="s">
        <v>17</v>
      </c>
      <c r="C808" s="4" t="s">
        <v>18</v>
      </c>
      <c r="D808" s="4" t="s">
        <v>19</v>
      </c>
      <c r="E808" s="4" t="s">
        <v>11</v>
      </c>
      <c r="F808" s="3" t="s">
        <v>20</v>
      </c>
    </row>
    <row r="809" spans="8:8" ht="21.0" customHeight="1">
      <c r="A809" s="10"/>
      <c r="B809" s="11" t="s">
        <v>44</v>
      </c>
      <c r="C809" s="9" t="s">
        <v>350</v>
      </c>
      <c r="D809" s="8">
        <v>9200.0</v>
      </c>
      <c r="E809" s="8">
        <v>134850.0</v>
      </c>
      <c r="F809" s="13"/>
    </row>
    <row r="810" spans="8:8" ht="21.0" customHeight="1">
      <c r="A810" s="10"/>
      <c r="B810" s="11" t="s">
        <v>45</v>
      </c>
      <c r="C810" s="9" t="s">
        <v>314</v>
      </c>
      <c r="D810" s="8">
        <v>13335.0</v>
      </c>
      <c r="E810" s="8">
        <v>127462.0</v>
      </c>
      <c r="F810" s="13"/>
    </row>
    <row r="811" spans="8:8" ht="21.0" customHeight="1">
      <c r="A811" s="10"/>
      <c r="B811" s="11" t="s">
        <v>37</v>
      </c>
      <c r="C811" s="9" t="s">
        <v>270</v>
      </c>
      <c r="D811" s="8">
        <v>8880.0</v>
      </c>
      <c r="E811" s="8">
        <v>42625.0</v>
      </c>
      <c r="F811" s="13"/>
    </row>
    <row r="812" spans="8:8" ht="21.0" customHeight="1">
      <c r="A812" s="10"/>
      <c r="B812" s="11" t="s">
        <v>100</v>
      </c>
      <c r="C812" s="9" t="s">
        <v>323</v>
      </c>
      <c r="D812" s="8">
        <v>11480.0</v>
      </c>
      <c r="E812" s="8">
        <v>32745.0</v>
      </c>
      <c r="F812" s="13"/>
    </row>
    <row r="813" spans="8:8" ht="21.0" customHeight="1">
      <c r="A813" s="10"/>
      <c r="B813" s="11" t="s">
        <v>113</v>
      </c>
      <c r="C813" s="9" t="s">
        <v>323</v>
      </c>
      <c r="D813" s="8">
        <v>14575.0</v>
      </c>
      <c r="E813" s="8">
        <v>43425.0</v>
      </c>
      <c r="F813" s="13"/>
    </row>
    <row r="814" spans="8:8" ht="21.0" customHeight="1">
      <c r="A814" s="10"/>
      <c r="B814" s="11" t="s">
        <v>65</v>
      </c>
      <c r="C814" s="9" t="s">
        <v>323</v>
      </c>
      <c r="D814" s="8">
        <v>11910.0</v>
      </c>
      <c r="E814" s="8">
        <v>33945.0</v>
      </c>
      <c r="F814" s="13"/>
    </row>
    <row r="815" spans="8:8" ht="21.0" customHeight="1">
      <c r="A815" s="10"/>
      <c r="B815" s="11" t="s">
        <v>24</v>
      </c>
      <c r="C815" s="9" t="s">
        <v>368</v>
      </c>
      <c r="D815" s="8">
        <v>5000.0</v>
      </c>
      <c r="E815" s="8">
        <v>26000.0</v>
      </c>
      <c r="F815" s="13"/>
    </row>
    <row r="816" spans="8:8" ht="21.0" customHeight="1">
      <c r="A816" s="10"/>
      <c r="B816" s="11" t="s">
        <v>70</v>
      </c>
      <c r="C816" s="9" t="s">
        <v>380</v>
      </c>
      <c r="D816" s="8">
        <v>13460.0</v>
      </c>
      <c r="E816" s="8">
        <v>25710.0</v>
      </c>
      <c r="F816" s="13"/>
    </row>
    <row r="817" spans="8:8" ht="21.0" customHeight="1">
      <c r="A817" s="10"/>
      <c r="B817" s="11" t="s">
        <v>93</v>
      </c>
      <c r="C817" s="9" t="s">
        <v>323</v>
      </c>
      <c r="D817" s="8">
        <v>11415.0</v>
      </c>
      <c r="E817" s="8">
        <v>33390.0</v>
      </c>
      <c r="F817" s="13"/>
    </row>
    <row r="818" spans="8:8" ht="21.0" customHeight="1">
      <c r="A818" s="10"/>
      <c r="B818" s="11" t="s">
        <v>38</v>
      </c>
      <c r="C818" s="9" t="s">
        <v>510</v>
      </c>
      <c r="D818" s="8">
        <v>1800.0</v>
      </c>
      <c r="E818" s="8">
        <v>48617.0</v>
      </c>
      <c r="F818" s="13"/>
    </row>
    <row r="819" spans="8:8" ht="21.0" customHeight="1">
      <c r="A819" s="10"/>
      <c r="B819" s="11" t="s">
        <v>148</v>
      </c>
      <c r="C819" s="9" t="s">
        <v>315</v>
      </c>
      <c r="D819" s="8">
        <v>2000.0</v>
      </c>
      <c r="E819" s="9">
        <v>855.0</v>
      </c>
      <c r="F819" s="13"/>
    </row>
    <row r="820" spans="8:8" ht="21.0" customHeight="1">
      <c r="A820" s="10"/>
      <c r="B820" s="14"/>
      <c r="C820" s="15"/>
      <c r="D820" s="15"/>
      <c r="E820" s="15"/>
      <c r="F820" s="14"/>
    </row>
    <row r="821" spans="8:8" ht="21.0" customHeight="1">
      <c r="A821" s="16">
        <v>46231.0</v>
      </c>
      <c r="B821" s="6" t="s">
        <v>104</v>
      </c>
      <c r="C821" s="7" t="s">
        <v>511</v>
      </c>
      <c r="D821" s="6"/>
      <c r="E821" s="9">
        <v>2.0</v>
      </c>
      <c r="F821" s="8">
        <v>35630.0</v>
      </c>
      <c r="G821" s="9">
        <v>0.0</v>
      </c>
      <c r="H821" s="8">
        <v>35630.0</v>
      </c>
      <c r="I821" s="8">
        <v>35630.0</v>
      </c>
      <c r="J821" s="8">
        <v>33960.0</v>
      </c>
      <c r="K821" s="8">
        <v>1670.0</v>
      </c>
      <c r="L821" s="9">
        <v>5.0</v>
      </c>
      <c r="M821" s="6"/>
    </row>
    <row r="822" spans="8:8" ht="21.0" customHeight="1">
      <c r="A822" s="10"/>
      <c r="B822" s="3" t="s">
        <v>17</v>
      </c>
      <c r="C822" s="4" t="s">
        <v>18</v>
      </c>
      <c r="D822" s="4" t="s">
        <v>19</v>
      </c>
      <c r="E822" s="4" t="s">
        <v>11</v>
      </c>
      <c r="F822" s="3" t="s">
        <v>20</v>
      </c>
    </row>
    <row r="823" spans="8:8" ht="21.0" customHeight="1">
      <c r="A823" s="10"/>
      <c r="B823" s="11" t="s">
        <v>87</v>
      </c>
      <c r="C823" s="9" t="s">
        <v>275</v>
      </c>
      <c r="D823" s="8">
        <v>21485.0</v>
      </c>
      <c r="E823" s="8">
        <v>20440.0</v>
      </c>
      <c r="F823" s="13"/>
    </row>
    <row r="824" spans="8:8" ht="21.0" customHeight="1">
      <c r="A824" s="10"/>
      <c r="B824" s="11" t="s">
        <v>141</v>
      </c>
      <c r="C824" s="9" t="s">
        <v>275</v>
      </c>
      <c r="D824" s="8">
        <v>14145.0</v>
      </c>
      <c r="E824" s="8">
        <v>13520.0</v>
      </c>
      <c r="F824" s="13"/>
    </row>
    <row r="825" spans="8:8" ht="21.0" customHeight="1">
      <c r="A825" s="10"/>
      <c r="B825" s="14"/>
      <c r="C825" s="15"/>
      <c r="D825" s="15"/>
      <c r="E825" s="15"/>
      <c r="F825" s="14"/>
    </row>
    <row r="826" spans="8:8" ht="21.0" customHeight="1">
      <c r="A826" s="16">
        <v>46232.0</v>
      </c>
      <c r="B826" s="6" t="s">
        <v>63</v>
      </c>
      <c r="C826" s="7" t="s">
        <v>512</v>
      </c>
      <c r="D826" s="6"/>
      <c r="E826" s="9">
        <v>963.0</v>
      </c>
      <c r="F826" s="8">
        <v>8698030.0</v>
      </c>
      <c r="G826" s="8">
        <v>572000.0</v>
      </c>
      <c r="H826" s="8">
        <v>8126030.0</v>
      </c>
      <c r="I826" s="8">
        <v>8698030.0</v>
      </c>
      <c r="J826" s="8">
        <v>8648333.0</v>
      </c>
      <c r="K826" s="8">
        <v>49697.0</v>
      </c>
      <c r="L826" s="9">
        <v>1.0</v>
      </c>
      <c r="M826" s="6" t="s">
        <v>513</v>
      </c>
    </row>
    <row r="827" spans="8:8" ht="21.0" customHeight="1">
      <c r="A827" s="10"/>
      <c r="B827" s="3" t="s">
        <v>17</v>
      </c>
      <c r="C827" s="4" t="s">
        <v>18</v>
      </c>
      <c r="D827" s="4" t="s">
        <v>19</v>
      </c>
      <c r="E827" s="4" t="s">
        <v>11</v>
      </c>
      <c r="F827" s="3" t="s">
        <v>20</v>
      </c>
    </row>
    <row r="828" spans="8:8" ht="21.0" customHeight="1">
      <c r="A828" s="10"/>
      <c r="B828" s="11" t="s">
        <v>22</v>
      </c>
      <c r="C828" s="9" t="s">
        <v>306</v>
      </c>
      <c r="D828" s="8">
        <v>8500.0</v>
      </c>
      <c r="E828" s="8">
        <v>1211944.0</v>
      </c>
      <c r="F828" s="13"/>
    </row>
    <row r="829" spans="8:8" ht="21.0" customHeight="1">
      <c r="A829" s="10"/>
      <c r="B829" s="11" t="s">
        <v>21</v>
      </c>
      <c r="C829" s="9" t="s">
        <v>306</v>
      </c>
      <c r="D829" s="8">
        <v>8100.0</v>
      </c>
      <c r="E829" s="8">
        <v>1136483.0</v>
      </c>
      <c r="F829" s="13"/>
    </row>
    <row r="830" spans="8:8" ht="21.0" customHeight="1">
      <c r="A830" s="10"/>
      <c r="B830" s="11" t="s">
        <v>113</v>
      </c>
      <c r="C830" s="9" t="s">
        <v>330</v>
      </c>
      <c r="D830" s="8">
        <v>14475.0</v>
      </c>
      <c r="E830" s="8">
        <v>434250.0</v>
      </c>
      <c r="F830" s="13"/>
    </row>
    <row r="831" spans="8:8" ht="21.0" customHeight="1">
      <c r="A831" s="10"/>
      <c r="B831" s="11" t="s">
        <v>229</v>
      </c>
      <c r="C831" s="9" t="s">
        <v>514</v>
      </c>
      <c r="D831" s="8">
        <v>13500.0</v>
      </c>
      <c r="E831" s="8">
        <v>1358000.0</v>
      </c>
      <c r="F831" s="13"/>
    </row>
    <row r="832" spans="8:8" ht="21.0" customHeight="1">
      <c r="A832" s="10"/>
      <c r="B832" s="11" t="s">
        <v>32</v>
      </c>
      <c r="C832" s="9" t="s">
        <v>515</v>
      </c>
      <c r="D832" s="8">
        <v>15555.0</v>
      </c>
      <c r="E832" s="8">
        <v>1463734.0</v>
      </c>
      <c r="F832" s="13"/>
    </row>
    <row r="833" spans="8:8" ht="21.0" customHeight="1">
      <c r="A833" s="10"/>
      <c r="B833" s="11" t="s">
        <v>31</v>
      </c>
      <c r="C833" s="9" t="s">
        <v>516</v>
      </c>
      <c r="D833" s="8">
        <v>17100.0</v>
      </c>
      <c r="E833" s="8">
        <v>2565000.0</v>
      </c>
      <c r="F833" s="13"/>
    </row>
    <row r="834" spans="8:8" ht="21.0" customHeight="1">
      <c r="A834" s="10"/>
      <c r="B834" s="11" t="s">
        <v>48</v>
      </c>
      <c r="C834" s="9" t="s">
        <v>308</v>
      </c>
      <c r="D834" s="8">
        <v>1900.0</v>
      </c>
      <c r="E834" s="8">
        <v>220454.0</v>
      </c>
      <c r="F834" s="13"/>
    </row>
    <row r="835" spans="8:8" ht="21.0" customHeight="1">
      <c r="A835" s="10"/>
      <c r="B835" s="11" t="s">
        <v>38</v>
      </c>
      <c r="C835" s="9" t="s">
        <v>517</v>
      </c>
      <c r="D835" s="8">
        <v>1800.0</v>
      </c>
      <c r="E835" s="8">
        <v>258468.0</v>
      </c>
      <c r="F835" s="13"/>
    </row>
    <row r="836" spans="8:8" ht="21.0" customHeight="1">
      <c r="A836" s="10"/>
      <c r="B836" s="14"/>
      <c r="C836" s="15"/>
      <c r="D836" s="15"/>
      <c r="E836" s="15"/>
      <c r="F836" s="14"/>
    </row>
    <row r="837" spans="8:8" ht="21.0" customHeight="1">
      <c r="A837" s="16">
        <v>46232.0</v>
      </c>
      <c r="B837" s="6" t="s">
        <v>75</v>
      </c>
      <c r="C837" s="7" t="s">
        <v>518</v>
      </c>
      <c r="D837" s="6"/>
      <c r="E837" s="9">
        <v>21.0</v>
      </c>
      <c r="F837" s="8">
        <v>218480.0</v>
      </c>
      <c r="G837" s="9">
        <v>0.0</v>
      </c>
      <c r="H837" s="8">
        <v>218480.0</v>
      </c>
      <c r="I837" s="8">
        <v>218480.0</v>
      </c>
      <c r="J837" s="8">
        <v>198242.0</v>
      </c>
      <c r="K837" s="8">
        <v>20238.0</v>
      </c>
      <c r="L837" s="9">
        <v>9.0</v>
      </c>
      <c r="M837" s="6" t="s">
        <v>519</v>
      </c>
    </row>
    <row r="838" spans="8:8" ht="21.0" customHeight="1">
      <c r="A838" s="10"/>
      <c r="B838" s="3" t="s">
        <v>17</v>
      </c>
      <c r="C838" s="4" t="s">
        <v>18</v>
      </c>
      <c r="D838" s="4" t="s">
        <v>19</v>
      </c>
      <c r="E838" s="4" t="s">
        <v>11</v>
      </c>
      <c r="F838" s="3" t="s">
        <v>20</v>
      </c>
    </row>
    <row r="839" spans="8:8" ht="21.0" customHeight="1">
      <c r="A839" s="10"/>
      <c r="B839" s="11" t="s">
        <v>87</v>
      </c>
      <c r="C839" s="9" t="s">
        <v>270</v>
      </c>
      <c r="D839" s="8">
        <v>21485.0</v>
      </c>
      <c r="E839" s="8">
        <v>102200.0</v>
      </c>
      <c r="F839" s="13"/>
    </row>
    <row r="840" spans="8:8" ht="21.0" customHeight="1">
      <c r="A840" s="10"/>
      <c r="B840" s="11" t="s">
        <v>36</v>
      </c>
      <c r="C840" s="9" t="s">
        <v>270</v>
      </c>
      <c r="D840" s="8">
        <v>15525.0</v>
      </c>
      <c r="E840" s="8">
        <v>74500.0</v>
      </c>
      <c r="F840" s="13"/>
    </row>
    <row r="841" spans="8:8" ht="21.0" customHeight="1">
      <c r="A841" s="10"/>
      <c r="B841" s="11" t="s">
        <v>28</v>
      </c>
      <c r="C841" s="9" t="s">
        <v>266</v>
      </c>
      <c r="D841" s="8">
        <v>14430.0</v>
      </c>
      <c r="E841" s="8">
        <v>13501.0</v>
      </c>
      <c r="F841" s="13"/>
    </row>
    <row r="842" spans="8:8" ht="21.0" customHeight="1">
      <c r="A842" s="10"/>
      <c r="B842" s="11" t="s">
        <v>38</v>
      </c>
      <c r="C842" s="9" t="s">
        <v>377</v>
      </c>
      <c r="D842" s="8">
        <v>1800.0</v>
      </c>
      <c r="E842" s="8">
        <v>7602.0</v>
      </c>
      <c r="F842" s="13"/>
    </row>
    <row r="843" spans="8:8" ht="21.0" customHeight="1">
      <c r="A843" s="10"/>
      <c r="B843" s="11" t="s">
        <v>148</v>
      </c>
      <c r="C843" s="9" t="s">
        <v>377</v>
      </c>
      <c r="D843" s="8">
        <v>2000.0</v>
      </c>
      <c r="E843" s="9">
        <v>439.0</v>
      </c>
      <c r="F843" s="13"/>
    </row>
    <row r="844" spans="8:8" ht="21.0" customHeight="1">
      <c r="A844" s="10"/>
      <c r="B844" s="14"/>
      <c r="C844" s="15"/>
      <c r="D844" s="15"/>
      <c r="E844" s="15"/>
      <c r="F844" s="14"/>
    </row>
    <row r="845" spans="8:8" ht="21.0" customHeight="1">
      <c r="A845" s="16">
        <v>46232.0</v>
      </c>
      <c r="B845" s="6" t="s">
        <v>95</v>
      </c>
      <c r="C845" s="7" t="s">
        <v>520</v>
      </c>
      <c r="D845" s="6"/>
      <c r="E845" s="9">
        <v>6.0</v>
      </c>
      <c r="F845" s="8">
        <v>63470.0</v>
      </c>
      <c r="G845" s="9">
        <v>0.0</v>
      </c>
      <c r="H845" s="8">
        <v>63470.0</v>
      </c>
      <c r="I845" s="8">
        <v>63470.0</v>
      </c>
      <c r="J845" s="8">
        <v>60785.0</v>
      </c>
      <c r="K845" s="8">
        <v>2685.0</v>
      </c>
      <c r="L845" s="9">
        <v>4.0</v>
      </c>
      <c r="M845" s="6"/>
    </row>
    <row r="846" spans="8:8" ht="21.0" customHeight="1">
      <c r="A846" s="10"/>
      <c r="B846" s="3" t="s">
        <v>17</v>
      </c>
      <c r="C846" s="4" t="s">
        <v>18</v>
      </c>
      <c r="D846" s="4" t="s">
        <v>19</v>
      </c>
      <c r="E846" s="4" t="s">
        <v>11</v>
      </c>
      <c r="F846" s="3" t="s">
        <v>20</v>
      </c>
    </row>
    <row r="847" spans="8:8" ht="21.0" customHeight="1">
      <c r="A847" s="10"/>
      <c r="B847" s="11" t="s">
        <v>22</v>
      </c>
      <c r="C847" s="9" t="s">
        <v>274</v>
      </c>
      <c r="D847" s="8">
        <v>9200.0</v>
      </c>
      <c r="E847" s="8">
        <v>17313.0</v>
      </c>
      <c r="F847" s="13"/>
    </row>
    <row r="848" spans="8:8" ht="21.0" customHeight="1">
      <c r="A848" s="10"/>
      <c r="B848" s="11" t="s">
        <v>44</v>
      </c>
      <c r="C848" s="9" t="s">
        <v>274</v>
      </c>
      <c r="D848" s="8">
        <v>9200.0</v>
      </c>
      <c r="E848" s="8">
        <v>17980.0</v>
      </c>
      <c r="F848" s="13"/>
    </row>
    <row r="849" spans="8:8" ht="21.0" customHeight="1">
      <c r="A849" s="10"/>
      <c r="B849" s="11" t="s">
        <v>45</v>
      </c>
      <c r="C849" s="9" t="s">
        <v>274</v>
      </c>
      <c r="D849" s="8">
        <v>13335.0</v>
      </c>
      <c r="E849" s="8">
        <v>25492.0</v>
      </c>
      <c r="F849" s="13"/>
    </row>
    <row r="850" spans="8:8" ht="21.0" customHeight="1">
      <c r="A850" s="10"/>
      <c r="B850" s="14"/>
      <c r="C850" s="15"/>
      <c r="D850" s="15"/>
      <c r="E850" s="15"/>
      <c r="F850" s="14"/>
    </row>
    <row r="851" spans="8:8" ht="21.0" customHeight="1">
      <c r="A851" s="16">
        <v>46232.0</v>
      </c>
      <c r="B851" s="6" t="s">
        <v>29</v>
      </c>
      <c r="C851" s="7" t="s">
        <v>521</v>
      </c>
      <c r="D851" s="6"/>
      <c r="E851" s="9">
        <v>38.0</v>
      </c>
      <c r="F851" s="8">
        <v>282255.0</v>
      </c>
      <c r="G851" s="9">
        <v>0.0</v>
      </c>
      <c r="H851" s="8">
        <v>282255.0</v>
      </c>
      <c r="I851" s="8">
        <v>282255.0</v>
      </c>
      <c r="J851" s="8">
        <v>271884.0</v>
      </c>
      <c r="K851" s="8">
        <v>10371.0</v>
      </c>
      <c r="L851" s="9">
        <v>4.0</v>
      </c>
      <c r="M851" s="6"/>
    </row>
    <row r="852" spans="8:8" ht="21.0" customHeight="1">
      <c r="A852" s="10"/>
      <c r="B852" s="3" t="s">
        <v>17</v>
      </c>
      <c r="C852" s="4" t="s">
        <v>18</v>
      </c>
      <c r="D852" s="4" t="s">
        <v>19</v>
      </c>
      <c r="E852" s="4" t="s">
        <v>11</v>
      </c>
      <c r="F852" s="3" t="s">
        <v>20</v>
      </c>
    </row>
    <row r="853" spans="8:8" ht="21.0" customHeight="1">
      <c r="A853" s="10"/>
      <c r="B853" s="11" t="s">
        <v>44</v>
      </c>
      <c r="C853" s="9" t="s">
        <v>350</v>
      </c>
      <c r="D853" s="8">
        <v>9200.0</v>
      </c>
      <c r="E853" s="8">
        <v>134850.0</v>
      </c>
      <c r="F853" s="13"/>
    </row>
    <row r="854" spans="8:8" ht="21.0" customHeight="1">
      <c r="A854" s="10"/>
      <c r="B854" s="11" t="s">
        <v>31</v>
      </c>
      <c r="C854" s="9" t="s">
        <v>380</v>
      </c>
      <c r="D854" s="8">
        <v>17100.0</v>
      </c>
      <c r="E854" s="8">
        <v>34200.0</v>
      </c>
      <c r="F854" s="13"/>
    </row>
    <row r="855" spans="8:8" ht="21.0" customHeight="1">
      <c r="A855" s="10"/>
      <c r="B855" s="11" t="s">
        <v>32</v>
      </c>
      <c r="C855" s="9" t="s">
        <v>266</v>
      </c>
      <c r="D855" s="8">
        <v>16145.0</v>
      </c>
      <c r="E855" s="8">
        <v>15247.0</v>
      </c>
      <c r="F855" s="13"/>
    </row>
    <row r="856" spans="8:8" ht="21.0" customHeight="1">
      <c r="A856" s="10"/>
      <c r="B856" s="11" t="s">
        <v>34</v>
      </c>
      <c r="C856" s="9" t="s">
        <v>266</v>
      </c>
      <c r="D856" s="8">
        <v>21695.0</v>
      </c>
      <c r="E856" s="8">
        <v>21595.0</v>
      </c>
      <c r="F856" s="13"/>
    </row>
    <row r="857" spans="8:8" ht="21.0" customHeight="1">
      <c r="A857" s="10"/>
      <c r="B857" s="11" t="s">
        <v>224</v>
      </c>
      <c r="C857" s="9" t="s">
        <v>266</v>
      </c>
      <c r="D857" s="8">
        <v>14430.0</v>
      </c>
      <c r="E857" s="8">
        <v>13911.0</v>
      </c>
      <c r="F857" s="13"/>
    </row>
    <row r="858" spans="8:8" ht="21.0" customHeight="1">
      <c r="A858" s="10"/>
      <c r="B858" s="11" t="s">
        <v>36</v>
      </c>
      <c r="C858" s="9" t="s">
        <v>275</v>
      </c>
      <c r="D858" s="8">
        <v>15525.0</v>
      </c>
      <c r="E858" s="8">
        <v>14900.0</v>
      </c>
      <c r="F858" s="13"/>
    </row>
    <row r="859" spans="8:8" ht="21.0" customHeight="1">
      <c r="A859" s="10"/>
      <c r="B859" s="11" t="s">
        <v>70</v>
      </c>
      <c r="C859" s="9" t="s">
        <v>266</v>
      </c>
      <c r="D859" s="8">
        <v>13460.0</v>
      </c>
      <c r="E859" s="8">
        <v>12855.0</v>
      </c>
      <c r="F859" s="13"/>
    </row>
    <row r="860" spans="8:8" ht="21.0" customHeight="1">
      <c r="A860" s="10"/>
      <c r="B860" s="11" t="s">
        <v>38</v>
      </c>
      <c r="C860" s="9" t="s">
        <v>360</v>
      </c>
      <c r="D860" s="8">
        <v>1800.0</v>
      </c>
      <c r="E860" s="8">
        <v>24326.0</v>
      </c>
      <c r="F860" s="13"/>
    </row>
    <row r="861" spans="8:8" ht="21.0" customHeight="1">
      <c r="A861" s="10"/>
      <c r="B861" s="14"/>
      <c r="C861" s="15"/>
      <c r="D861" s="15"/>
      <c r="E861" s="15"/>
      <c r="F861" s="14"/>
    </row>
    <row r="862" spans="8:8" ht="21.0" customHeight="1">
      <c r="A862" s="16">
        <v>46232.0</v>
      </c>
      <c r="B862" s="6" t="s">
        <v>25</v>
      </c>
      <c r="C862" s="7" t="s">
        <v>522</v>
      </c>
      <c r="D862" s="6"/>
      <c r="E862" s="9">
        <v>150.0</v>
      </c>
      <c r="F862" s="8">
        <v>750000.0</v>
      </c>
      <c r="G862" s="8">
        <v>664145.0</v>
      </c>
      <c r="H862" s="8">
        <v>85855.0</v>
      </c>
      <c r="I862" s="8">
        <v>750000.0</v>
      </c>
      <c r="J862" s="8">
        <v>780000.0</v>
      </c>
      <c r="K862" s="8">
        <v>-30000.0</v>
      </c>
      <c r="L862" s="9">
        <v>-4.0</v>
      </c>
      <c r="M862" s="6"/>
    </row>
    <row r="863" spans="8:8" ht="21.0" customHeight="1">
      <c r="A863" s="10"/>
      <c r="B863" s="3" t="s">
        <v>17</v>
      </c>
      <c r="C863" s="4" t="s">
        <v>18</v>
      </c>
      <c r="D863" s="4" t="s">
        <v>19</v>
      </c>
      <c r="E863" s="4" t="s">
        <v>11</v>
      </c>
      <c r="F863" s="3" t="s">
        <v>20</v>
      </c>
    </row>
    <row r="864" spans="8:8" ht="21.0" customHeight="1">
      <c r="A864" s="10"/>
      <c r="B864" s="11" t="s">
        <v>24</v>
      </c>
      <c r="C864" s="9" t="s">
        <v>523</v>
      </c>
      <c r="D864" s="8">
        <v>5000.0</v>
      </c>
      <c r="E864" s="8">
        <v>780000.0</v>
      </c>
      <c r="F864" s="13"/>
    </row>
    <row r="865" spans="8:8" ht="21.0" customHeight="1">
      <c r="A865" s="10"/>
      <c r="B865" s="14"/>
      <c r="C865" s="15"/>
      <c r="D865" s="15"/>
      <c r="E865" s="15"/>
      <c r="F865" s="14"/>
    </row>
    <row r="866" spans="8:8" ht="21.0" customHeight="1">
      <c r="A866" s="16">
        <v>46233.0</v>
      </c>
      <c r="B866" s="6" t="s">
        <v>210</v>
      </c>
      <c r="C866" s="7" t="s">
        <v>524</v>
      </c>
      <c r="D866" s="6"/>
      <c r="E866" s="8">
        <v>1240.0</v>
      </c>
      <c r="F866" s="8">
        <v>6138000.0</v>
      </c>
      <c r="G866" s="9">
        <v>0.0</v>
      </c>
      <c r="H866" s="8">
        <v>6138000.0</v>
      </c>
      <c r="I866" s="8">
        <v>6138000.0</v>
      </c>
      <c r="J866" s="8">
        <v>6448000.0</v>
      </c>
      <c r="K866" s="8">
        <v>-310000.0</v>
      </c>
      <c r="L866" s="9">
        <v>-5.0</v>
      </c>
      <c r="M866" s="6"/>
    </row>
    <row r="867" spans="8:8" ht="21.0" customHeight="1">
      <c r="A867" s="10"/>
      <c r="B867" s="3" t="s">
        <v>17</v>
      </c>
      <c r="C867" s="4" t="s">
        <v>18</v>
      </c>
      <c r="D867" s="4" t="s">
        <v>19</v>
      </c>
      <c r="E867" s="4" t="s">
        <v>11</v>
      </c>
      <c r="F867" s="3" t="s">
        <v>20</v>
      </c>
    </row>
    <row r="868" spans="8:8" ht="21.0" customHeight="1">
      <c r="A868" s="10"/>
      <c r="B868" s="11" t="s">
        <v>24</v>
      </c>
      <c r="C868" s="9" t="s">
        <v>525</v>
      </c>
      <c r="D868" s="8">
        <v>4950.0</v>
      </c>
      <c r="E868" s="8">
        <v>6448000.0</v>
      </c>
      <c r="F868" s="13"/>
    </row>
    <row r="869" spans="8:8" ht="21.0" customHeight="1">
      <c r="A869" s="10"/>
      <c r="B869" s="14"/>
      <c r="C869" s="15"/>
      <c r="D869" s="15"/>
      <c r="E869" s="15"/>
      <c r="F869" s="14"/>
    </row>
    <row r="870" spans="8:8" ht="21.0" customHeight="1">
      <c r="A870" s="16">
        <v>46233.0</v>
      </c>
      <c r="B870" s="6" t="s">
        <v>29</v>
      </c>
      <c r="C870" s="7" t="s">
        <v>526</v>
      </c>
      <c r="D870" s="6"/>
      <c r="E870" s="9">
        <v>76.0</v>
      </c>
      <c r="F870" s="8">
        <v>692765.0</v>
      </c>
      <c r="G870" s="8">
        <v>692765.0</v>
      </c>
      <c r="H870" s="9">
        <v>0.0</v>
      </c>
      <c r="I870" s="8">
        <v>692765.0</v>
      </c>
      <c r="J870" s="8">
        <v>655522.0</v>
      </c>
      <c r="K870" s="8">
        <v>37243.0</v>
      </c>
      <c r="L870" s="9">
        <v>5.0</v>
      </c>
      <c r="M870" s="6"/>
    </row>
    <row r="871" spans="8:8" ht="21.0" customHeight="1">
      <c r="A871" s="10"/>
      <c r="B871" s="3" t="s">
        <v>17</v>
      </c>
      <c r="C871" s="4" t="s">
        <v>18</v>
      </c>
      <c r="D871" s="4" t="s">
        <v>19</v>
      </c>
      <c r="E871" s="4" t="s">
        <v>11</v>
      </c>
      <c r="F871" s="3" t="s">
        <v>20</v>
      </c>
    </row>
    <row r="872" spans="8:8" ht="21.0" customHeight="1">
      <c r="A872" s="10"/>
      <c r="B872" s="11" t="s">
        <v>45</v>
      </c>
      <c r="C872" s="9" t="s">
        <v>527</v>
      </c>
      <c r="D872" s="8">
        <v>13335.0</v>
      </c>
      <c r="E872" s="8">
        <v>89223.0</v>
      </c>
      <c r="F872" s="13"/>
    </row>
    <row r="873" spans="8:8" ht="21.0" customHeight="1">
      <c r="A873" s="10"/>
      <c r="B873" s="11" t="s">
        <v>44</v>
      </c>
      <c r="C873" s="9" t="s">
        <v>343</v>
      </c>
      <c r="D873" s="8">
        <v>9200.0</v>
      </c>
      <c r="E873" s="8">
        <v>71920.0</v>
      </c>
      <c r="F873" s="13"/>
    </row>
    <row r="874" spans="8:8" ht="21.0" customHeight="1">
      <c r="A874" s="10"/>
      <c r="B874" s="11" t="s">
        <v>37</v>
      </c>
      <c r="C874" s="9" t="s">
        <v>301</v>
      </c>
      <c r="D874" s="8">
        <v>8880.0</v>
      </c>
      <c r="E874" s="8">
        <v>34100.0</v>
      </c>
      <c r="F874" s="13"/>
    </row>
    <row r="875" spans="8:8" ht="21.0" customHeight="1">
      <c r="A875" s="10"/>
      <c r="B875" s="11" t="s">
        <v>65</v>
      </c>
      <c r="C875" s="9" t="s">
        <v>323</v>
      </c>
      <c r="D875" s="8">
        <v>11910.0</v>
      </c>
      <c r="E875" s="8">
        <v>33945.0</v>
      </c>
      <c r="F875" s="13"/>
    </row>
    <row r="876" spans="8:8" ht="21.0" customHeight="1">
      <c r="A876" s="10"/>
      <c r="B876" s="11" t="s">
        <v>87</v>
      </c>
      <c r="C876" s="9" t="s">
        <v>274</v>
      </c>
      <c r="D876" s="8">
        <v>21400.0</v>
      </c>
      <c r="E876" s="8">
        <v>40880.0</v>
      </c>
      <c r="F876" s="13"/>
    </row>
    <row r="877" spans="8:8" ht="21.0" customHeight="1">
      <c r="A877" s="10"/>
      <c r="B877" s="11" t="s">
        <v>36</v>
      </c>
      <c r="C877" s="9" t="s">
        <v>275</v>
      </c>
      <c r="D877" s="8">
        <v>15525.0</v>
      </c>
      <c r="E877" s="8">
        <v>14900.0</v>
      </c>
      <c r="F877" s="13"/>
    </row>
    <row r="878" spans="8:8" ht="21.0" customHeight="1">
      <c r="A878" s="10"/>
      <c r="B878" s="11" t="s">
        <v>150</v>
      </c>
      <c r="C878" s="9" t="s">
        <v>323</v>
      </c>
      <c r="D878" s="8">
        <v>10315.0</v>
      </c>
      <c r="E878" s="8">
        <v>29775.0</v>
      </c>
      <c r="F878" s="13"/>
    </row>
    <row r="879" spans="8:8" ht="21.0" customHeight="1">
      <c r="A879" s="10"/>
      <c r="B879" s="11" t="s">
        <v>33</v>
      </c>
      <c r="C879" s="9" t="s">
        <v>263</v>
      </c>
      <c r="D879" s="8">
        <v>15655.0</v>
      </c>
      <c r="E879" s="8">
        <v>311100.0</v>
      </c>
      <c r="F879" s="13"/>
    </row>
    <row r="880" spans="8:8" ht="21.0" customHeight="1">
      <c r="A880" s="10"/>
      <c r="B880" s="11" t="s">
        <v>38</v>
      </c>
      <c r="C880" s="9" t="s">
        <v>528</v>
      </c>
      <c r="D880" s="8">
        <v>1800.0</v>
      </c>
      <c r="E880" s="8">
        <v>28888.0</v>
      </c>
      <c r="F880" s="13"/>
    </row>
    <row r="881" spans="8:8" ht="21.0" customHeight="1">
      <c r="A881" s="10"/>
      <c r="B881" s="11" t="s">
        <v>148</v>
      </c>
      <c r="C881" s="9" t="s">
        <v>529</v>
      </c>
      <c r="D881" s="8">
        <v>2000.0</v>
      </c>
      <c r="E881" s="9">
        <v>791.0</v>
      </c>
      <c r="F881" s="13"/>
    </row>
    <row r="882" spans="8:8" ht="21.0" customHeight="1">
      <c r="A882" s="10"/>
      <c r="B882" s="14"/>
      <c r="C882" s="15"/>
      <c r="D882" s="15"/>
      <c r="E882" s="15"/>
      <c r="F882" s="14"/>
    </row>
    <row r="883" spans="8:8" ht="21.0" customHeight="1">
      <c r="A883" s="16">
        <v>46233.0</v>
      </c>
      <c r="B883" s="6" t="s">
        <v>109</v>
      </c>
      <c r="C883" s="7" t="s">
        <v>530</v>
      </c>
      <c r="D883" s="6"/>
      <c r="E883" s="9">
        <v>1.0</v>
      </c>
      <c r="F883" s="8">
        <v>9500.0</v>
      </c>
      <c r="G883" s="8">
        <v>9500.0</v>
      </c>
      <c r="H883" s="9">
        <v>0.0</v>
      </c>
      <c r="I883" s="8">
        <v>9500.0</v>
      </c>
      <c r="J883" s="8">
        <v>8657.0</v>
      </c>
      <c r="K883" s="9">
        <v>843.0</v>
      </c>
      <c r="L883" s="9">
        <v>9.0</v>
      </c>
      <c r="M883" s="6"/>
    </row>
    <row r="884" spans="8:8" ht="21.0" customHeight="1">
      <c r="A884" s="10"/>
      <c r="B884" s="3" t="s">
        <v>17</v>
      </c>
      <c r="C884" s="4" t="s">
        <v>18</v>
      </c>
      <c r="D884" s="4" t="s">
        <v>19</v>
      </c>
      <c r="E884" s="4" t="s">
        <v>11</v>
      </c>
      <c r="F884" s="3" t="s">
        <v>20</v>
      </c>
    </row>
    <row r="885" spans="8:8" ht="21.0" customHeight="1">
      <c r="A885" s="10"/>
      <c r="B885" s="11" t="s">
        <v>22</v>
      </c>
      <c r="C885" s="9" t="s">
        <v>275</v>
      </c>
      <c r="D885" s="8">
        <v>9500.0</v>
      </c>
      <c r="E885" s="8">
        <v>8657.0</v>
      </c>
      <c r="F885" s="13"/>
    </row>
    <row r="886" spans="8:8" ht="21.0" customHeight="1">
      <c r="A886" s="10"/>
      <c r="B886" s="14"/>
      <c r="C886" s="15"/>
      <c r="D886" s="15"/>
      <c r="E886" s="15"/>
      <c r="F886" s="14"/>
    </row>
    <row r="887" spans="8:8" ht="21.0" customHeight="1">
      <c r="A887" s="16">
        <v>46233.0</v>
      </c>
      <c r="B887" s="6" t="s">
        <v>29</v>
      </c>
      <c r="C887" s="7" t="s">
        <v>531</v>
      </c>
      <c r="D887" s="6"/>
      <c r="E887" s="9">
        <v>24.0</v>
      </c>
      <c r="F887" s="8">
        <v>165620.0</v>
      </c>
      <c r="G887" s="8">
        <v>73635.0</v>
      </c>
      <c r="H887" s="8">
        <v>91985.0</v>
      </c>
      <c r="I887" s="8">
        <v>165620.0</v>
      </c>
      <c r="J887" s="8">
        <v>165935.0</v>
      </c>
      <c r="K887" s="9">
        <v>-315.0</v>
      </c>
      <c r="L887" s="9">
        <v>0.0</v>
      </c>
      <c r="M887" s="6"/>
    </row>
    <row r="888" spans="8:8" ht="21.0" customHeight="1">
      <c r="A888" s="10"/>
      <c r="B888" s="3" t="s">
        <v>17</v>
      </c>
      <c r="C888" s="4" t="s">
        <v>18</v>
      </c>
      <c r="D888" s="4" t="s">
        <v>19</v>
      </c>
      <c r="E888" s="4" t="s">
        <v>11</v>
      </c>
      <c r="F888" s="3" t="s">
        <v>20</v>
      </c>
    </row>
    <row r="889" spans="8:8" ht="21.0" customHeight="1">
      <c r="A889" s="10"/>
      <c r="B889" s="11" t="s">
        <v>24</v>
      </c>
      <c r="C889" s="9" t="s">
        <v>532</v>
      </c>
      <c r="D889" s="8">
        <v>5000.0</v>
      </c>
      <c r="E889" s="8">
        <v>72800.0</v>
      </c>
      <c r="F889" s="13"/>
    </row>
    <row r="890" spans="8:8" ht="21.0" customHeight="1">
      <c r="A890" s="10"/>
      <c r="B890" s="11" t="s">
        <v>32</v>
      </c>
      <c r="C890" s="9" t="s">
        <v>380</v>
      </c>
      <c r="D890" s="8">
        <v>15655.0</v>
      </c>
      <c r="E890" s="8">
        <v>30494.0</v>
      </c>
      <c r="F890" s="13"/>
    </row>
    <row r="891" spans="8:8" ht="21.0" customHeight="1">
      <c r="A891" s="10"/>
      <c r="B891" s="11" t="s">
        <v>33</v>
      </c>
      <c r="C891" s="9" t="s">
        <v>380</v>
      </c>
      <c r="D891" s="8">
        <v>15655.0</v>
      </c>
      <c r="E891" s="8">
        <v>31110.0</v>
      </c>
      <c r="F891" s="13"/>
    </row>
    <row r="892" spans="8:8" ht="21.0" customHeight="1">
      <c r="A892" s="10"/>
      <c r="B892" s="11" t="s">
        <v>44</v>
      </c>
      <c r="C892" s="9" t="s">
        <v>323</v>
      </c>
      <c r="D892" s="8">
        <v>9200.0</v>
      </c>
      <c r="E892" s="8">
        <v>26970.0</v>
      </c>
      <c r="F892" s="13"/>
    </row>
    <row r="893" spans="8:8" ht="21.0" customHeight="1">
      <c r="A893" s="10"/>
      <c r="B893" s="11" t="s">
        <v>38</v>
      </c>
      <c r="C893" s="9" t="s">
        <v>325</v>
      </c>
      <c r="D893" s="8">
        <v>1800.0</v>
      </c>
      <c r="E893" s="8">
        <v>4561.0</v>
      </c>
      <c r="F893" s="13"/>
    </row>
    <row r="894" spans="8:8" ht="21.0" customHeight="1">
      <c r="A894" s="10"/>
      <c r="B894" s="14"/>
      <c r="C894" s="15"/>
      <c r="D894" s="15"/>
      <c r="E894" s="15"/>
      <c r="F894" s="14"/>
    </row>
    <row r="895" spans="8:8" ht="21.0" customHeight="1">
      <c r="A895" s="16">
        <v>46233.0</v>
      </c>
      <c r="B895" s="6" t="s">
        <v>219</v>
      </c>
      <c r="C895" s="7" t="s">
        <v>533</v>
      </c>
      <c r="D895" s="6"/>
      <c r="E895" s="9">
        <v>1.0</v>
      </c>
      <c r="F895" s="8">
        <v>9345.0</v>
      </c>
      <c r="G895" s="9">
        <v>0.0</v>
      </c>
      <c r="H895" s="8">
        <v>9345.0</v>
      </c>
      <c r="I895" s="8">
        <v>9345.0</v>
      </c>
      <c r="J895" s="8">
        <v>8970.0</v>
      </c>
      <c r="K895" s="9">
        <v>375.0</v>
      </c>
      <c r="L895" s="9">
        <v>4.0</v>
      </c>
      <c r="M895" s="6" t="s">
        <v>534</v>
      </c>
    </row>
    <row r="896" spans="8:8" ht="21.0" customHeight="1">
      <c r="A896" s="10"/>
      <c r="B896" s="3" t="s">
        <v>17</v>
      </c>
      <c r="C896" s="4" t="s">
        <v>18</v>
      </c>
      <c r="D896" s="4" t="s">
        <v>19</v>
      </c>
      <c r="E896" s="4" t="s">
        <v>11</v>
      </c>
      <c r="F896" s="3" t="s">
        <v>20</v>
      </c>
    </row>
    <row r="897" spans="8:8" ht="21.0" customHeight="1">
      <c r="A897" s="10"/>
      <c r="B897" s="11" t="s">
        <v>80</v>
      </c>
      <c r="C897" s="9" t="s">
        <v>275</v>
      </c>
      <c r="D897" s="8">
        <v>9345.0</v>
      </c>
      <c r="E897" s="8">
        <v>8970.0</v>
      </c>
      <c r="F897" s="13"/>
    </row>
    <row r="898" spans="8:8" ht="21.0" customHeight="1">
      <c r="A898" s="10"/>
      <c r="B898" s="14"/>
      <c r="C898" s="15"/>
      <c r="D898" s="15"/>
      <c r="E898" s="15"/>
      <c r="F898" s="14"/>
    </row>
    <row r="899" spans="8:8" ht="21.0" customHeight="1">
      <c r="A899" s="16">
        <v>46233.0</v>
      </c>
      <c r="B899" s="6" t="s">
        <v>109</v>
      </c>
      <c r="C899" s="7" t="s">
        <v>535</v>
      </c>
      <c r="D899" s="6"/>
      <c r="E899" s="9">
        <v>1.0</v>
      </c>
      <c r="F899" s="8">
        <v>13950.0</v>
      </c>
      <c r="G899" s="8">
        <v>13950.0</v>
      </c>
      <c r="H899" s="9">
        <v>0.0</v>
      </c>
      <c r="I899" s="8">
        <v>13950.0</v>
      </c>
      <c r="J899" s="8">
        <v>12746.0</v>
      </c>
      <c r="K899" s="8">
        <v>1204.0</v>
      </c>
      <c r="L899" s="9">
        <v>9.0</v>
      </c>
      <c r="M899" s="6"/>
    </row>
    <row r="900" spans="8:8" ht="21.0" customHeight="1">
      <c r="A900" s="10"/>
      <c r="B900" s="3" t="s">
        <v>17</v>
      </c>
      <c r="C900" s="4" t="s">
        <v>18</v>
      </c>
      <c r="D900" s="4" t="s">
        <v>19</v>
      </c>
      <c r="E900" s="4" t="s">
        <v>11</v>
      </c>
      <c r="F900" s="3" t="s">
        <v>20</v>
      </c>
    </row>
    <row r="901" spans="8:8" ht="21.0" customHeight="1">
      <c r="A901" s="10"/>
      <c r="B901" s="11" t="s">
        <v>45</v>
      </c>
      <c r="C901" s="9" t="s">
        <v>275</v>
      </c>
      <c r="D901" s="8">
        <v>13950.0</v>
      </c>
      <c r="E901" s="8">
        <v>12746.0</v>
      </c>
      <c r="F901" s="13"/>
    </row>
    <row r="902" spans="8:8" ht="21.0" customHeight="1">
      <c r="A902" s="10"/>
      <c r="B902" s="14"/>
      <c r="C902" s="15"/>
      <c r="D902" s="15"/>
      <c r="E902" s="15"/>
      <c r="F902" s="14"/>
    </row>
    <row r="903" spans="8:8" ht="21.0" customHeight="1">
      <c r="A903" s="16">
        <v>46233.0</v>
      </c>
      <c r="B903" s="6" t="s">
        <v>109</v>
      </c>
      <c r="C903" s="7" t="s">
        <v>536</v>
      </c>
      <c r="D903" s="6"/>
      <c r="E903" s="9">
        <v>1.0</v>
      </c>
      <c r="F903" s="8">
        <v>12525.0</v>
      </c>
      <c r="G903" s="8">
        <v>12525.0</v>
      </c>
      <c r="H903" s="9">
        <v>0.0</v>
      </c>
      <c r="I903" s="8">
        <v>12525.0</v>
      </c>
      <c r="J903" s="8">
        <v>11315.0</v>
      </c>
      <c r="K903" s="8">
        <v>1210.0</v>
      </c>
      <c r="L903" s="9">
        <v>10.0</v>
      </c>
      <c r="M903" s="6"/>
    </row>
    <row r="904" spans="8:8" ht="21.0" customHeight="1">
      <c r="A904" s="10"/>
      <c r="B904" s="3" t="s">
        <v>17</v>
      </c>
      <c r="C904" s="4" t="s">
        <v>18</v>
      </c>
      <c r="D904" s="4" t="s">
        <v>19</v>
      </c>
      <c r="E904" s="4" t="s">
        <v>11</v>
      </c>
      <c r="F904" s="3" t="s">
        <v>20</v>
      </c>
    </row>
    <row r="905" spans="8:8" ht="21.0" customHeight="1">
      <c r="A905" s="10"/>
      <c r="B905" s="11" t="s">
        <v>65</v>
      </c>
      <c r="C905" s="9" t="s">
        <v>275</v>
      </c>
      <c r="D905" s="8">
        <v>12525.0</v>
      </c>
      <c r="E905" s="8">
        <v>11315.0</v>
      </c>
      <c r="F905" s="13"/>
    </row>
    <row r="906" spans="8:8" ht="21.0" customHeight="1">
      <c r="A906" s="10"/>
      <c r="B906" s="14"/>
      <c r="C906" s="15"/>
      <c r="D906" s="15"/>
      <c r="E906" s="15"/>
      <c r="F906" s="14"/>
    </row>
    <row r="907" spans="8:8" ht="21.0" customHeight="1">
      <c r="A907" s="16">
        <v>46233.0</v>
      </c>
      <c r="B907" s="6" t="s">
        <v>212</v>
      </c>
      <c r="C907" s="7" t="s">
        <v>537</v>
      </c>
      <c r="D907" s="6"/>
      <c r="E907" s="9">
        <v>1.0</v>
      </c>
      <c r="F907" s="8">
        <v>18300.0</v>
      </c>
      <c r="G907" s="8">
        <v>18300.0</v>
      </c>
      <c r="H907" s="9">
        <v>0.0</v>
      </c>
      <c r="I907" s="8">
        <v>18300.0</v>
      </c>
      <c r="J907" s="8">
        <v>17150.0</v>
      </c>
      <c r="K907" s="8">
        <v>1150.0</v>
      </c>
      <c r="L907" s="9">
        <v>6.0</v>
      </c>
      <c r="M907" s="6"/>
    </row>
    <row r="908" spans="8:8" ht="21.0" customHeight="1">
      <c r="A908" s="10"/>
      <c r="B908" s="3" t="s">
        <v>17</v>
      </c>
      <c r="C908" s="4" t="s">
        <v>18</v>
      </c>
      <c r="D908" s="4" t="s">
        <v>19</v>
      </c>
      <c r="E908" s="4" t="s">
        <v>11</v>
      </c>
      <c r="F908" s="3" t="s">
        <v>20</v>
      </c>
    </row>
    <row r="909" spans="8:8" ht="21.0" customHeight="1">
      <c r="A909" s="10"/>
      <c r="B909" s="11" t="s">
        <v>43</v>
      </c>
      <c r="C909" s="9" t="s">
        <v>275</v>
      </c>
      <c r="D909" s="8">
        <v>18300.0</v>
      </c>
      <c r="E909" s="8">
        <v>17150.0</v>
      </c>
      <c r="F909" s="13"/>
    </row>
    <row r="910" spans="8:8" ht="21.0" customHeight="1">
      <c r="A910" s="10"/>
      <c r="B910" s="14"/>
      <c r="C910" s="15"/>
      <c r="D910" s="15"/>
      <c r="E910" s="15"/>
      <c r="F910" s="14"/>
    </row>
    <row r="911" spans="8:8" ht="21.0" customHeight="1">
      <c r="A911" s="16">
        <v>46233.0</v>
      </c>
      <c r="B911" s="6" t="s">
        <v>15</v>
      </c>
      <c r="C911" s="7" t="s">
        <v>538</v>
      </c>
      <c r="D911" s="6"/>
      <c r="E911" s="9">
        <v>1.0</v>
      </c>
      <c r="F911" s="8">
        <v>5300.0</v>
      </c>
      <c r="G911" s="8">
        <v>5300.0</v>
      </c>
      <c r="H911" s="9">
        <v>0.0</v>
      </c>
      <c r="I911" s="8">
        <v>5300.0</v>
      </c>
      <c r="J911" s="8">
        <v>5200.0</v>
      </c>
      <c r="K911" s="9">
        <v>100.0</v>
      </c>
      <c r="L911" s="9">
        <v>2.0</v>
      </c>
      <c r="M911" s="6"/>
    </row>
    <row r="912" spans="8:8" ht="21.0" customHeight="1">
      <c r="A912" s="10"/>
      <c r="B912" s="3" t="s">
        <v>17</v>
      </c>
      <c r="C912" s="4" t="s">
        <v>18</v>
      </c>
      <c r="D912" s="4" t="s">
        <v>19</v>
      </c>
      <c r="E912" s="4" t="s">
        <v>11</v>
      </c>
      <c r="F912" s="3" t="s">
        <v>20</v>
      </c>
    </row>
    <row r="913" spans="8:8" ht="21.0" customHeight="1">
      <c r="A913" s="10"/>
      <c r="B913" s="11" t="s">
        <v>24</v>
      </c>
      <c r="C913" s="9" t="s">
        <v>257</v>
      </c>
      <c r="D913" s="8">
        <v>5300.0</v>
      </c>
      <c r="E913" s="8">
        <v>5200.0</v>
      </c>
      <c r="F913" s="13"/>
    </row>
    <row r="914" spans="8:8" ht="21.0" customHeight="1">
      <c r="A914" s="10"/>
      <c r="B914" s="14"/>
      <c r="C914" s="15"/>
      <c r="D914" s="15"/>
      <c r="E914" s="15"/>
      <c r="F914" s="14"/>
    </row>
    <row r="915" spans="8:8" ht="21.0" customHeight="1">
      <c r="A915" s="16">
        <v>46234.0</v>
      </c>
      <c r="B915" s="6" t="s">
        <v>102</v>
      </c>
      <c r="C915" s="7" t="s">
        <v>539</v>
      </c>
      <c r="D915" s="6"/>
      <c r="E915" s="9">
        <v>1.0</v>
      </c>
      <c r="F915" s="8">
        <v>9500.0</v>
      </c>
      <c r="G915" s="8">
        <v>9500.0</v>
      </c>
      <c r="H915" s="9">
        <v>0.0</v>
      </c>
      <c r="I915" s="8">
        <v>9500.0</v>
      </c>
      <c r="J915" s="8">
        <v>8657.0</v>
      </c>
      <c r="K915" s="9">
        <v>843.0</v>
      </c>
      <c r="L915" s="9">
        <v>9.0</v>
      </c>
      <c r="M915" s="6"/>
    </row>
    <row r="916" spans="8:8" ht="21.0" customHeight="1">
      <c r="A916" s="10"/>
      <c r="B916" s="3" t="s">
        <v>17</v>
      </c>
      <c r="C916" s="4" t="s">
        <v>18</v>
      </c>
      <c r="D916" s="4" t="s">
        <v>19</v>
      </c>
      <c r="E916" s="4" t="s">
        <v>11</v>
      </c>
      <c r="F916" s="3" t="s">
        <v>20</v>
      </c>
    </row>
    <row r="917" spans="8:8" ht="21.0" customHeight="1">
      <c r="A917" s="10"/>
      <c r="B917" s="11" t="s">
        <v>22</v>
      </c>
      <c r="C917" s="9" t="s">
        <v>275</v>
      </c>
      <c r="D917" s="8">
        <v>9500.0</v>
      </c>
      <c r="E917" s="8">
        <v>8657.0</v>
      </c>
      <c r="F917" s="13"/>
    </row>
    <row r="918" spans="8:8" ht="21.0" customHeight="1">
      <c r="A918" s="10"/>
      <c r="B918" s="14"/>
      <c r="C918" s="15"/>
      <c r="D918" s="15"/>
      <c r="E918" s="15"/>
      <c r="F918" s="14"/>
    </row>
    <row r="919" spans="8:8" ht="21.0" customHeight="1">
      <c r="A919" s="16">
        <v>46234.0</v>
      </c>
      <c r="B919" s="6" t="s">
        <v>50</v>
      </c>
      <c r="C919" s="7" t="s">
        <v>540</v>
      </c>
      <c r="D919" s="6"/>
      <c r="E919" s="9">
        <v>30.0</v>
      </c>
      <c r="F919" s="8">
        <v>500550.0</v>
      </c>
      <c r="G919" s="9">
        <v>0.0</v>
      </c>
      <c r="H919" s="8">
        <v>500550.0</v>
      </c>
      <c r="I919" s="8">
        <v>500550.0</v>
      </c>
      <c r="J919" s="8">
        <v>497550.0</v>
      </c>
      <c r="K919" s="8">
        <v>3000.0</v>
      </c>
      <c r="L919" s="9">
        <v>1.0</v>
      </c>
      <c r="M919" s="6"/>
    </row>
    <row r="920" spans="8:8" ht="21.0" customHeight="1">
      <c r="A920" s="10"/>
      <c r="B920" s="3" t="s">
        <v>17</v>
      </c>
      <c r="C920" s="4" t="s">
        <v>18</v>
      </c>
      <c r="D920" s="4" t="s">
        <v>19</v>
      </c>
      <c r="E920" s="4" t="s">
        <v>11</v>
      </c>
      <c r="F920" s="3" t="s">
        <v>20</v>
      </c>
    </row>
    <row r="921" spans="8:8" ht="21.0" customHeight="1">
      <c r="A921" s="10"/>
      <c r="B921" s="11" t="s">
        <v>31</v>
      </c>
      <c r="C921" s="9" t="s">
        <v>263</v>
      </c>
      <c r="D921" s="8">
        <v>17200.0</v>
      </c>
      <c r="E921" s="8">
        <v>342000.0</v>
      </c>
      <c r="F921" s="13"/>
    </row>
    <row r="922" spans="8:8" ht="21.0" customHeight="1">
      <c r="A922" s="10"/>
      <c r="B922" s="11" t="s">
        <v>33</v>
      </c>
      <c r="C922" s="9" t="s">
        <v>312</v>
      </c>
      <c r="D922" s="8">
        <v>15655.0</v>
      </c>
      <c r="E922" s="8">
        <v>155550.0</v>
      </c>
      <c r="F922" s="13"/>
    </row>
    <row r="923" spans="8:8" ht="21.0" customHeight="1">
      <c r="A923" s="10"/>
      <c r="B923" s="14"/>
      <c r="C923" s="15"/>
      <c r="D923" s="15"/>
      <c r="E923" s="15"/>
      <c r="F923" s="14"/>
    </row>
    <row r="924" spans="8:8" ht="21.0" customHeight="1">
      <c r="A924" s="16">
        <v>46234.0</v>
      </c>
      <c r="B924" s="6" t="s">
        <v>25</v>
      </c>
      <c r="C924" s="7" t="s">
        <v>541</v>
      </c>
      <c r="D924" s="6"/>
      <c r="E924" s="9">
        <v>150.0</v>
      </c>
      <c r="F924" s="8">
        <v>750000.0</v>
      </c>
      <c r="G924" s="8">
        <v>750000.0</v>
      </c>
      <c r="H924" s="9">
        <v>0.0</v>
      </c>
      <c r="I924" s="8">
        <v>750000.0</v>
      </c>
      <c r="J924" s="8">
        <v>780000.0</v>
      </c>
      <c r="K924" s="8">
        <v>-30000.0</v>
      </c>
      <c r="L924" s="9">
        <v>-4.0</v>
      </c>
      <c r="M924" s="6"/>
    </row>
    <row r="925" spans="8:8" ht="21.0" customHeight="1">
      <c r="A925" s="10"/>
      <c r="B925" s="3" t="s">
        <v>17</v>
      </c>
      <c r="C925" s="4" t="s">
        <v>18</v>
      </c>
      <c r="D925" s="4" t="s">
        <v>19</v>
      </c>
      <c r="E925" s="4" t="s">
        <v>11</v>
      </c>
      <c r="F925" s="3" t="s">
        <v>20</v>
      </c>
    </row>
    <row r="926" spans="8:8" ht="21.0" customHeight="1">
      <c r="A926" s="10"/>
      <c r="B926" s="11" t="s">
        <v>24</v>
      </c>
      <c r="C926" s="9" t="s">
        <v>523</v>
      </c>
      <c r="D926" s="8">
        <v>5000.0</v>
      </c>
      <c r="E926" s="8">
        <v>780000.0</v>
      </c>
      <c r="F926" s="13"/>
    </row>
    <row r="927" spans="8:8" ht="21.0" customHeight="1">
      <c r="A927" s="10"/>
      <c r="B927" s="14"/>
      <c r="C927" s="15"/>
      <c r="D927" s="15"/>
      <c r="E927" s="15"/>
      <c r="F927" s="14"/>
    </row>
    <row r="928" spans="8:8" ht="21.0" customHeight="1">
      <c r="A928" s="16">
        <v>46234.0</v>
      </c>
      <c r="B928" s="6" t="s">
        <v>29</v>
      </c>
      <c r="C928" s="7" t="s">
        <v>542</v>
      </c>
      <c r="D928" s="6"/>
      <c r="E928" s="9">
        <v>12.0</v>
      </c>
      <c r="F928" s="8">
        <v>60000.0</v>
      </c>
      <c r="G928" s="9">
        <v>0.0</v>
      </c>
      <c r="H928" s="8">
        <v>60000.0</v>
      </c>
      <c r="I928" s="8">
        <v>60000.0</v>
      </c>
      <c r="J928" s="8">
        <v>62400.0</v>
      </c>
      <c r="K928" s="8">
        <v>-2400.0</v>
      </c>
      <c r="L928" s="9">
        <v>-4.0</v>
      </c>
      <c r="M928" s="6"/>
    </row>
    <row r="929" spans="8:8" ht="21.0" customHeight="1">
      <c r="A929" s="10"/>
      <c r="B929" s="3" t="s">
        <v>17</v>
      </c>
      <c r="C929" s="4" t="s">
        <v>18</v>
      </c>
      <c r="D929" s="4" t="s">
        <v>19</v>
      </c>
      <c r="E929" s="4" t="s">
        <v>11</v>
      </c>
      <c r="F929" s="3" t="s">
        <v>20</v>
      </c>
    </row>
    <row r="930" spans="8:8" ht="21.0" customHeight="1">
      <c r="A930" s="10"/>
      <c r="B930" s="11" t="s">
        <v>24</v>
      </c>
      <c r="C930" s="9" t="s">
        <v>543</v>
      </c>
      <c r="D930" s="8">
        <v>5000.0</v>
      </c>
      <c r="E930" s="8">
        <v>62400.0</v>
      </c>
      <c r="F930" s="13"/>
    </row>
    <row r="931" spans="8:8" ht="21.0" customHeight="1">
      <c r="A931" s="10"/>
      <c r="B931" s="14"/>
      <c r="C931" s="15"/>
      <c r="D931" s="15"/>
      <c r="E931" s="15"/>
      <c r="F931" s="14"/>
    </row>
    <row r="932" spans="8:8" ht="21.0" customHeight="1">
      <c r="A932" s="16">
        <v>46234.0</v>
      </c>
      <c r="B932" s="6" t="s">
        <v>394</v>
      </c>
      <c r="C932" s="7" t="s">
        <v>544</v>
      </c>
      <c r="D932" s="6"/>
      <c r="E932" s="9">
        <v>30.0</v>
      </c>
      <c r="F932" s="8">
        <v>150000.0</v>
      </c>
      <c r="G932" s="9">
        <v>0.0</v>
      </c>
      <c r="H932" s="8">
        <v>150000.0</v>
      </c>
      <c r="I932" s="8">
        <v>150000.0</v>
      </c>
      <c r="J932" s="8">
        <v>156000.0</v>
      </c>
      <c r="K932" s="8">
        <v>-6000.0</v>
      </c>
      <c r="L932" s="9">
        <v>-4.0</v>
      </c>
      <c r="M932" s="6"/>
    </row>
    <row r="933" spans="8:8" ht="21.0" customHeight="1">
      <c r="A933" s="10"/>
      <c r="B933" s="3" t="s">
        <v>17</v>
      </c>
      <c r="C933" s="4" t="s">
        <v>18</v>
      </c>
      <c r="D933" s="4" t="s">
        <v>19</v>
      </c>
      <c r="E933" s="4" t="s">
        <v>11</v>
      </c>
      <c r="F933" s="3" t="s">
        <v>20</v>
      </c>
    </row>
    <row r="934" spans="8:8" ht="21.0" customHeight="1">
      <c r="A934" s="10"/>
      <c r="B934" s="11" t="s">
        <v>24</v>
      </c>
      <c r="C934" s="9" t="s">
        <v>545</v>
      </c>
      <c r="D934" s="8">
        <v>5000.0</v>
      </c>
      <c r="E934" s="8">
        <v>156000.0</v>
      </c>
      <c r="F934" s="13"/>
    </row>
    <row r="935" spans="8:8" ht="21.0" customHeight="1">
      <c r="A935" s="10"/>
      <c r="B935" s="14"/>
      <c r="C935" s="15"/>
      <c r="D935" s="15"/>
      <c r="E935" s="15"/>
      <c r="F935" s="14"/>
    </row>
    <row r="936" spans="8:8" ht="21.0" customHeight="1">
      <c r="A936" s="16">
        <v>46234.0</v>
      </c>
      <c r="B936" s="6" t="s">
        <v>122</v>
      </c>
      <c r="C936" s="7" t="s">
        <v>546</v>
      </c>
      <c r="D936" s="6"/>
      <c r="E936" s="9">
        <v>3.0</v>
      </c>
      <c r="F936" s="8">
        <v>23500.0</v>
      </c>
      <c r="G936" s="9">
        <v>0.0</v>
      </c>
      <c r="H936" s="8">
        <v>23500.0</v>
      </c>
      <c r="I936" s="8">
        <v>23500.0</v>
      </c>
      <c r="J936" s="8">
        <v>21975.0</v>
      </c>
      <c r="K936" s="8">
        <v>1525.0</v>
      </c>
      <c r="L936" s="9">
        <v>6.0</v>
      </c>
      <c r="M936" s="6"/>
    </row>
    <row r="937" spans="8:8" ht="21.0" customHeight="1">
      <c r="A937" s="10"/>
      <c r="B937" s="3" t="s">
        <v>17</v>
      </c>
      <c r="C937" s="4" t="s">
        <v>18</v>
      </c>
      <c r="D937" s="4" t="s">
        <v>19</v>
      </c>
      <c r="E937" s="4" t="s">
        <v>11</v>
      </c>
      <c r="F937" s="3" t="s">
        <v>20</v>
      </c>
    </row>
    <row r="938" spans="8:8" ht="21.0" customHeight="1">
      <c r="A938" s="10"/>
      <c r="B938" s="11" t="s">
        <v>24</v>
      </c>
      <c r="C938" s="9" t="s">
        <v>257</v>
      </c>
      <c r="D938" s="8">
        <v>5300.0</v>
      </c>
      <c r="E938" s="8">
        <v>5200.0</v>
      </c>
      <c r="F938" s="13"/>
    </row>
    <row r="939" spans="8:8" ht="21.0" customHeight="1">
      <c r="A939" s="10"/>
      <c r="B939" s="11" t="s">
        <v>22</v>
      </c>
      <c r="C939" s="9" t="s">
        <v>275</v>
      </c>
      <c r="D939" s="8">
        <v>9200.0</v>
      </c>
      <c r="E939" s="8">
        <v>8657.0</v>
      </c>
      <c r="F939" s="13"/>
    </row>
    <row r="940" spans="8:8" ht="21.0" customHeight="1">
      <c r="A940" s="10"/>
      <c r="B940" s="11" t="s">
        <v>21</v>
      </c>
      <c r="C940" s="9" t="s">
        <v>275</v>
      </c>
      <c r="D940" s="8">
        <v>9000.0</v>
      </c>
      <c r="E940" s="8">
        <v>8118.0</v>
      </c>
      <c r="F940" s="13"/>
    </row>
    <row r="941" spans="8:8" ht="21.0" customHeight="1">
      <c r="A941" s="10"/>
      <c r="B941" s="14"/>
      <c r="C941" s="15"/>
      <c r="D941" s="15"/>
      <c r="E941" s="15"/>
      <c r="F941" s="14"/>
    </row>
    <row r="942" spans="8:8" ht="21.0" customHeight="1">
      <c r="A942" s="16">
        <v>46234.0</v>
      </c>
      <c r="B942" s="6" t="s">
        <v>50</v>
      </c>
      <c r="C942" s="7" t="s">
        <v>547</v>
      </c>
      <c r="D942" s="6"/>
      <c r="E942" s="9">
        <v>25.0</v>
      </c>
      <c r="F942" s="8">
        <v>452450.0</v>
      </c>
      <c r="G942" s="9">
        <v>0.0</v>
      </c>
      <c r="H942" s="8">
        <v>452450.0</v>
      </c>
      <c r="I942" s="8">
        <v>452450.0</v>
      </c>
      <c r="J942" s="8">
        <v>449975.0</v>
      </c>
      <c r="K942" s="8">
        <v>2475.0</v>
      </c>
      <c r="L942" s="9">
        <v>1.0</v>
      </c>
      <c r="M942" s="6"/>
    </row>
    <row r="943" spans="8:8" ht="21.0" customHeight="1">
      <c r="A943" s="10"/>
      <c r="B943" s="3" t="s">
        <v>17</v>
      </c>
      <c r="C943" s="4" t="s">
        <v>18</v>
      </c>
      <c r="D943" s="4" t="s">
        <v>19</v>
      </c>
      <c r="E943" s="4" t="s">
        <v>11</v>
      </c>
      <c r="F943" s="3" t="s">
        <v>20</v>
      </c>
    </row>
    <row r="944" spans="8:8" ht="21.0" customHeight="1">
      <c r="A944" s="10"/>
      <c r="B944" s="11" t="s">
        <v>31</v>
      </c>
      <c r="C944" s="9" t="s">
        <v>263</v>
      </c>
      <c r="D944" s="8">
        <v>17200.0</v>
      </c>
      <c r="E944" s="8">
        <v>342000.0</v>
      </c>
      <c r="F944" s="13"/>
    </row>
    <row r="945" spans="8:8" ht="21.0" customHeight="1">
      <c r="A945" s="10"/>
      <c r="B945" s="11" t="s">
        <v>34</v>
      </c>
      <c r="C945" s="9" t="s">
        <v>255</v>
      </c>
      <c r="D945" s="8">
        <v>21690.0</v>
      </c>
      <c r="E945" s="8">
        <v>107975.0</v>
      </c>
      <c r="F945" s="13"/>
    </row>
    <row r="946" spans="8:8" ht="21.0" customHeight="1">
      <c r="A946" s="10"/>
      <c r="B946" s="14"/>
      <c r="C946" s="15"/>
      <c r="D946" s="15"/>
      <c r="E946" s="15"/>
      <c r="F946" s="14"/>
    </row>
    <row r="947" spans="8:8" ht="21.0" customHeight="1">
      <c r="A947" s="16">
        <v>46234.0</v>
      </c>
      <c r="B947" s="6" t="s">
        <v>29</v>
      </c>
      <c r="C947" s="7" t="s">
        <v>548</v>
      </c>
      <c r="D947" s="6"/>
      <c r="E947" s="9">
        <v>86.0</v>
      </c>
      <c r="F947" s="8">
        <v>488715.0</v>
      </c>
      <c r="G947" s="9">
        <v>0.0</v>
      </c>
      <c r="H947" s="8">
        <v>488715.0</v>
      </c>
      <c r="I947" s="8">
        <v>488715.0</v>
      </c>
      <c r="J947" s="8">
        <v>453881.0</v>
      </c>
      <c r="K947" s="8">
        <v>34834.0</v>
      </c>
      <c r="L947" s="9">
        <v>7.0</v>
      </c>
      <c r="M947" s="6"/>
    </row>
    <row r="948" spans="8:8" ht="21.0" customHeight="1">
      <c r="A948" s="10"/>
      <c r="B948" s="3" t="s">
        <v>17</v>
      </c>
      <c r="C948" s="4" t="s">
        <v>18</v>
      </c>
      <c r="D948" s="4" t="s">
        <v>19</v>
      </c>
      <c r="E948" s="4" t="s">
        <v>11</v>
      </c>
      <c r="F948" s="3" t="s">
        <v>20</v>
      </c>
    </row>
    <row r="949" spans="8:8" ht="21.0" customHeight="1">
      <c r="A949" s="10"/>
      <c r="B949" s="11" t="s">
        <v>22</v>
      </c>
      <c r="C949" s="9" t="s">
        <v>549</v>
      </c>
      <c r="D949" s="8">
        <v>9000.0</v>
      </c>
      <c r="E949" s="8">
        <v>147165.0</v>
      </c>
      <c r="F949" s="13"/>
    </row>
    <row r="950" spans="8:8" ht="21.0" customHeight="1">
      <c r="A950" s="10"/>
      <c r="B950" s="11" t="s">
        <v>45</v>
      </c>
      <c r="C950" s="9" t="s">
        <v>270</v>
      </c>
      <c r="D950" s="8">
        <v>13335.0</v>
      </c>
      <c r="E950" s="8">
        <v>63731.0</v>
      </c>
      <c r="F950" s="13"/>
    </row>
    <row r="951" spans="8:8" ht="21.0" customHeight="1">
      <c r="A951" s="10"/>
      <c r="B951" s="11" t="s">
        <v>44</v>
      </c>
      <c r="C951" s="9" t="s">
        <v>550</v>
      </c>
      <c r="D951" s="8">
        <v>9200.0</v>
      </c>
      <c r="E951" s="8">
        <v>116870.0</v>
      </c>
      <c r="F951" s="13"/>
    </row>
    <row r="952" spans="8:8" ht="21.0" customHeight="1">
      <c r="A952" s="10"/>
      <c r="B952" s="11" t="s">
        <v>37</v>
      </c>
      <c r="C952" s="9" t="s">
        <v>343</v>
      </c>
      <c r="D952" s="8">
        <v>8880.0</v>
      </c>
      <c r="E952" s="8">
        <v>68200.0</v>
      </c>
      <c r="F952" s="13"/>
    </row>
    <row r="953" spans="8:8" ht="21.0" customHeight="1">
      <c r="A953" s="10"/>
      <c r="B953" s="11" t="s">
        <v>38</v>
      </c>
      <c r="C953" s="9" t="s">
        <v>551</v>
      </c>
      <c r="D953" s="8">
        <v>1800.0</v>
      </c>
      <c r="E953" s="8">
        <v>57775.0</v>
      </c>
      <c r="F953" s="13"/>
    </row>
    <row r="954" spans="8:8" ht="21.0" customHeight="1">
      <c r="A954" s="10"/>
      <c r="B954" s="11" t="s">
        <v>148</v>
      </c>
      <c r="C954" s="9" t="s">
        <v>377</v>
      </c>
      <c r="D954" s="8">
        <v>2000.0</v>
      </c>
      <c r="E954" s="9">
        <v>140.0</v>
      </c>
      <c r="F954" s="13"/>
    </row>
    <row r="955" spans="8:8" ht="21.0" customHeight="1">
      <c r="A955" s="10"/>
      <c r="B955" s="14"/>
      <c r="C955" s="15"/>
      <c r="D955" s="15"/>
      <c r="E955" s="15"/>
      <c r="F955" s="14"/>
    </row>
    <row r="956" spans="8:8" ht="21.0" customHeight="1">
      <c r="A956" s="16">
        <v>46234.0</v>
      </c>
      <c r="B956" s="6" t="s">
        <v>78</v>
      </c>
      <c r="C956" s="7" t="s">
        <v>552</v>
      </c>
      <c r="D956" s="6"/>
      <c r="E956" s="9">
        <v>7.0</v>
      </c>
      <c r="F956" s="8">
        <v>137075.0</v>
      </c>
      <c r="G956" s="8">
        <v>137075.0</v>
      </c>
      <c r="H956" s="9">
        <v>0.0</v>
      </c>
      <c r="I956" s="8">
        <v>137075.0</v>
      </c>
      <c r="J956" s="8">
        <v>131510.0</v>
      </c>
      <c r="K956" s="8">
        <v>5565.0</v>
      </c>
      <c r="L956" s="9">
        <v>4.0</v>
      </c>
      <c r="M956" s="6"/>
    </row>
    <row r="957" spans="8:8" ht="21.0" customHeight="1">
      <c r="A957" s="10"/>
      <c r="B957" s="3" t="s">
        <v>17</v>
      </c>
      <c r="C957" s="4" t="s">
        <v>18</v>
      </c>
      <c r="D957" s="4" t="s">
        <v>19</v>
      </c>
      <c r="E957" s="4" t="s">
        <v>11</v>
      </c>
      <c r="F957" s="3" t="s">
        <v>20</v>
      </c>
    </row>
    <row r="958" spans="8:8" ht="21.0" customHeight="1">
      <c r="A958" s="10"/>
      <c r="B958" s="11" t="s">
        <v>31</v>
      </c>
      <c r="C958" s="9" t="s">
        <v>380</v>
      </c>
      <c r="D958" s="8">
        <v>17400.0</v>
      </c>
      <c r="E958" s="8">
        <v>34200.0</v>
      </c>
      <c r="F958" s="13"/>
    </row>
    <row r="959" spans="8:8" ht="21.0" customHeight="1">
      <c r="A959" s="10"/>
      <c r="B959" s="11" t="s">
        <v>34</v>
      </c>
      <c r="C959" s="9" t="s">
        <v>356</v>
      </c>
      <c r="D959" s="8">
        <v>22740.0</v>
      </c>
      <c r="E959" s="8">
        <v>64785.0</v>
      </c>
      <c r="F959" s="13"/>
    </row>
    <row r="960" spans="8:8" ht="21.0" customHeight="1">
      <c r="A960" s="10"/>
      <c r="B960" s="11" t="s">
        <v>35</v>
      </c>
      <c r="C960" s="9" t="s">
        <v>266</v>
      </c>
      <c r="D960" s="8">
        <v>21170.0</v>
      </c>
      <c r="E960" s="8">
        <v>20405.0</v>
      </c>
      <c r="F960" s="13"/>
    </row>
    <row r="961" spans="8:8" ht="21.0" customHeight="1">
      <c r="A961" s="10"/>
      <c r="B961" s="11" t="s">
        <v>61</v>
      </c>
      <c r="C961" s="9" t="s">
        <v>266</v>
      </c>
      <c r="D961" s="8">
        <v>12885.0</v>
      </c>
      <c r="E961" s="8">
        <v>12120.0</v>
      </c>
      <c r="F961" s="13"/>
    </row>
    <row r="962" spans="8:8" ht="21.0" customHeight="1">
      <c r="A962" s="10"/>
      <c r="B962" s="14"/>
      <c r="C962" s="15"/>
      <c r="D962" s="15"/>
      <c r="E962" s="15"/>
      <c r="F962" s="14"/>
    </row>
    <row r="963" spans="8:8" ht="21.0" customHeight="1">
      <c r="A963" s="16">
        <v>46234.0</v>
      </c>
      <c r="B963" s="6" t="s">
        <v>104</v>
      </c>
      <c r="C963" s="7" t="s">
        <v>553</v>
      </c>
      <c r="D963" s="6"/>
      <c r="E963" s="9">
        <v>1.0</v>
      </c>
      <c r="F963" s="8">
        <v>5000.0</v>
      </c>
      <c r="G963" s="9">
        <v>0.0</v>
      </c>
      <c r="H963" s="8">
        <v>5000.0</v>
      </c>
      <c r="I963" s="8">
        <v>5000.0</v>
      </c>
      <c r="J963" s="8">
        <v>5200.0</v>
      </c>
      <c r="K963" s="9">
        <v>-200.0</v>
      </c>
      <c r="L963" s="9">
        <v>-4.0</v>
      </c>
      <c r="M963" s="6"/>
    </row>
    <row r="964" spans="8:8" ht="21.0" customHeight="1">
      <c r="A964" s="10"/>
      <c r="B964" s="3" t="s">
        <v>17</v>
      </c>
      <c r="C964" s="4" t="s">
        <v>18</v>
      </c>
      <c r="D964" s="4" t="s">
        <v>19</v>
      </c>
      <c r="E964" s="4" t="s">
        <v>11</v>
      </c>
      <c r="F964" s="3" t="s">
        <v>20</v>
      </c>
    </row>
    <row r="965" spans="8:8" ht="21.0" customHeight="1">
      <c r="A965" s="10"/>
      <c r="B965" s="11" t="s">
        <v>24</v>
      </c>
      <c r="C965" s="9" t="s">
        <v>257</v>
      </c>
      <c r="D965" s="8">
        <v>5000.0</v>
      </c>
      <c r="E965" s="8">
        <v>5200.0</v>
      </c>
      <c r="F965" s="13"/>
    </row>
    <row r="966" spans="8:8" ht="21.0" customHeight="1">
      <c r="A966" s="24"/>
      <c r="B966" s="14"/>
      <c r="C966" s="15"/>
      <c r="D966" s="15"/>
      <c r="E966" s="15"/>
      <c r="F966" s="14"/>
    </row>
    <row r="967" spans="8:8" ht="21.0" customHeight="1">
      <c r="A967" s="29" t="s">
        <v>554</v>
      </c>
      <c r="B967" s="30"/>
      <c r="C967" s="30"/>
      <c r="D967" s="31"/>
      <c r="E967" s="32">
        <v>14815.0</v>
      </c>
      <c r="F967" s="4" t="s">
        <v>555</v>
      </c>
      <c r="G967" s="4" t="s">
        <v>556</v>
      </c>
      <c r="H967" s="4" t="s">
        <v>557</v>
      </c>
      <c r="I967" s="4" t="s">
        <v>555</v>
      </c>
      <c r="J967" s="4" t="s">
        <v>558</v>
      </c>
      <c r="K967" s="4" t="s">
        <v>559</v>
      </c>
      <c r="L967" s="4">
        <v>2.0</v>
      </c>
      <c r="M967" s="3"/>
    </row>
  </sheetData>
  <hyperlinks>
    <hyperlink ref="C5" r:id="rId1"/>
    <hyperlink ref="C10" r:id="rId2"/>
    <hyperlink ref="C14" r:id="rId3"/>
    <hyperlink ref="C22" r:id="rId4"/>
    <hyperlink ref="C27" r:id="rId5"/>
    <hyperlink ref="C31" r:id="rId6"/>
    <hyperlink ref="C39" r:id="rId7"/>
    <hyperlink ref="C44" r:id="rId8"/>
    <hyperlink ref="C49" r:id="rId9"/>
    <hyperlink ref="C53" r:id="rId10"/>
    <hyperlink ref="C57" r:id="rId11"/>
    <hyperlink ref="C62" r:id="rId12"/>
    <hyperlink ref="C66" r:id="rId13"/>
    <hyperlink ref="C70" r:id="rId14"/>
    <hyperlink ref="C82" r:id="rId15"/>
    <hyperlink ref="C88" r:id="rId16"/>
    <hyperlink ref="C103" r:id="rId17"/>
    <hyperlink ref="C107" r:id="rId18"/>
    <hyperlink ref="C111" r:id="rId19"/>
    <hyperlink ref="C115" r:id="rId20"/>
    <hyperlink ref="C122" r:id="rId21"/>
    <hyperlink ref="C127" r:id="rId22"/>
    <hyperlink ref="C136" r:id="rId23"/>
    <hyperlink ref="C142" r:id="rId24"/>
    <hyperlink ref="C148" r:id="rId25"/>
    <hyperlink ref="C152" r:id="rId26"/>
    <hyperlink ref="C157" r:id="rId27"/>
    <hyperlink ref="C164" r:id="rId28"/>
    <hyperlink ref="C168" r:id="rId29"/>
    <hyperlink ref="C184" r:id="rId30"/>
    <hyperlink ref="C194" r:id="rId31"/>
    <hyperlink ref="C198" r:id="rId32"/>
    <hyperlink ref="C205" r:id="rId33"/>
    <hyperlink ref="C211" r:id="rId34"/>
    <hyperlink ref="C215" r:id="rId35"/>
    <hyperlink ref="C220" r:id="rId36"/>
    <hyperlink ref="C224" r:id="rId37"/>
    <hyperlink ref="C229" r:id="rId38"/>
    <hyperlink ref="C233" r:id="rId39"/>
    <hyperlink ref="C238" r:id="rId40"/>
    <hyperlink ref="C245" r:id="rId41"/>
    <hyperlink ref="C255" r:id="rId42"/>
    <hyperlink ref="C261" r:id="rId43"/>
    <hyperlink ref="C272" r:id="rId44"/>
    <hyperlink ref="C276" r:id="rId45"/>
    <hyperlink ref="C280" r:id="rId46"/>
    <hyperlink ref="C284" r:id="rId47"/>
    <hyperlink ref="C303" r:id="rId48"/>
    <hyperlink ref="C307" r:id="rId49"/>
    <hyperlink ref="C317" r:id="rId50"/>
    <hyperlink ref="C330" r:id="rId51"/>
    <hyperlink ref="C334" r:id="rId52"/>
    <hyperlink ref="C343" r:id="rId53"/>
    <hyperlink ref="C351" r:id="rId54"/>
    <hyperlink ref="C357" r:id="rId55"/>
    <hyperlink ref="C361" r:id="rId56"/>
    <hyperlink ref="C366" r:id="rId57"/>
    <hyperlink ref="C371" r:id="rId58"/>
    <hyperlink ref="C378" r:id="rId59"/>
    <hyperlink ref="C382" r:id="rId60"/>
    <hyperlink ref="C386" r:id="rId61"/>
    <hyperlink ref="C390" r:id="rId62"/>
    <hyperlink ref="C394" r:id="rId63"/>
    <hyperlink ref="C399" r:id="rId64"/>
    <hyperlink ref="C403" r:id="rId65"/>
    <hyperlink ref="C410" r:id="rId66"/>
    <hyperlink ref="C414" r:id="rId67"/>
    <hyperlink ref="C422" r:id="rId68"/>
    <hyperlink ref="C427" r:id="rId69"/>
    <hyperlink ref="C431" r:id="rId70"/>
    <hyperlink ref="C436" r:id="rId71"/>
    <hyperlink ref="C440" r:id="rId72"/>
    <hyperlink ref="C444" r:id="rId73"/>
    <hyperlink ref="C456" r:id="rId74"/>
    <hyperlink ref="C467" r:id="rId75"/>
    <hyperlink ref="C471" r:id="rId76"/>
    <hyperlink ref="C476" r:id="rId77"/>
    <hyperlink ref="C483" r:id="rId78"/>
    <hyperlink ref="C489" r:id="rId79"/>
    <hyperlink ref="C493" r:id="rId80"/>
    <hyperlink ref="C497" r:id="rId81"/>
    <hyperlink ref="C510" r:id="rId82"/>
    <hyperlink ref="C515" r:id="rId83"/>
    <hyperlink ref="C519" r:id="rId84"/>
    <hyperlink ref="C529" r:id="rId85"/>
    <hyperlink ref="C533" r:id="rId86"/>
    <hyperlink ref="C543" r:id="rId87"/>
    <hyperlink ref="C553" r:id="rId88"/>
    <hyperlink ref="C558" r:id="rId89"/>
    <hyperlink ref="C563" r:id="rId90"/>
    <hyperlink ref="C567" r:id="rId91"/>
    <hyperlink ref="C571" r:id="rId92"/>
    <hyperlink ref="C576" r:id="rId93"/>
    <hyperlink ref="C580" r:id="rId94"/>
    <hyperlink ref="C584" r:id="rId95"/>
    <hyperlink ref="C590" r:id="rId96"/>
    <hyperlink ref="C595" r:id="rId97"/>
    <hyperlink ref="C600" r:id="rId98"/>
    <hyperlink ref="C604" r:id="rId99"/>
    <hyperlink ref="C613" r:id="rId100"/>
    <hyperlink ref="C617" r:id="rId101"/>
    <hyperlink ref="C622" r:id="rId102"/>
    <hyperlink ref="C631" r:id="rId103"/>
    <hyperlink ref="C635" r:id="rId104"/>
    <hyperlink ref="C639" r:id="rId105"/>
    <hyperlink ref="C645" r:id="rId106"/>
    <hyperlink ref="C649" r:id="rId107"/>
    <hyperlink ref="C653" r:id="rId108"/>
    <hyperlink ref="C658" r:id="rId109"/>
    <hyperlink ref="C664" r:id="rId110"/>
    <hyperlink ref="C668" r:id="rId111"/>
    <hyperlink ref="C672" r:id="rId112"/>
    <hyperlink ref="C679" r:id="rId113"/>
    <hyperlink ref="C684" r:id="rId114"/>
    <hyperlink ref="C689" r:id="rId115"/>
    <hyperlink ref="C693" r:id="rId116"/>
    <hyperlink ref="C703" r:id="rId117"/>
    <hyperlink ref="C708" r:id="rId118"/>
    <hyperlink ref="C713" r:id="rId119"/>
    <hyperlink ref="C717" r:id="rId120"/>
    <hyperlink ref="C722" r:id="rId121"/>
    <hyperlink ref="C726" r:id="rId122"/>
    <hyperlink ref="C735" r:id="rId123"/>
    <hyperlink ref="C739" r:id="rId124"/>
    <hyperlink ref="C744" r:id="rId125"/>
    <hyperlink ref="C754" r:id="rId126"/>
    <hyperlink ref="C759" r:id="rId127"/>
    <hyperlink ref="C765" r:id="rId128"/>
    <hyperlink ref="C770" r:id="rId129"/>
    <hyperlink ref="C775" r:id="rId130"/>
    <hyperlink ref="C779" r:id="rId131"/>
    <hyperlink ref="C784" r:id="rId132"/>
    <hyperlink ref="C788" r:id="rId133"/>
    <hyperlink ref="C801" r:id="rId134"/>
    <hyperlink ref="C807" r:id="rId135"/>
    <hyperlink ref="C821" r:id="rId136"/>
    <hyperlink ref="C826" r:id="rId137"/>
    <hyperlink ref="C837" r:id="rId138"/>
    <hyperlink ref="C845" r:id="rId139"/>
    <hyperlink ref="C851" r:id="rId140"/>
    <hyperlink ref="C862" r:id="rId141"/>
    <hyperlink ref="C866" r:id="rId142"/>
    <hyperlink ref="C870" r:id="rId143"/>
    <hyperlink ref="C883" r:id="rId144"/>
    <hyperlink ref="C887" r:id="rId145"/>
    <hyperlink ref="C895" r:id="rId146"/>
    <hyperlink ref="C899" r:id="rId147"/>
    <hyperlink ref="C903" r:id="rId148"/>
    <hyperlink ref="C907" r:id="rId149"/>
    <hyperlink ref="C911" r:id="rId150"/>
    <hyperlink ref="C915" r:id="rId151"/>
    <hyperlink ref="C919" r:id="rId152"/>
    <hyperlink ref="C924" r:id="rId153"/>
    <hyperlink ref="C928" r:id="rId154"/>
    <hyperlink ref="C932" r:id="rId155"/>
    <hyperlink ref="C936" r:id="rId156"/>
    <hyperlink ref="C942" r:id="rId157"/>
    <hyperlink ref="C947" r:id="rId158"/>
    <hyperlink ref="C956" r:id="rId159"/>
    <hyperlink ref="C963" r:id="rId160"/>
  </hyperlinks>
  <pageMargins left="0.75" right="0.75" top="1.0" bottom="1.0" header="0.511811023622047" footer="0.511811023622047"/>
</worksheet>
</file>

<file path=xl/worksheets/sheet3.xml><?xml version="1.0" encoding="utf-8"?>
<worksheet xmlns:r="http://schemas.openxmlformats.org/officeDocument/2006/relationships" xmlns="http://schemas.openxmlformats.org/spreadsheetml/2006/main">
  <dimension ref="A1:F133"/>
  <sheetViews>
    <sheetView workbookViewId="0">
      <selection activeCell="C9" sqref="C9"/>
    </sheetView>
  </sheetViews>
  <sheetFormatPr defaultRowHeight="14.5"/>
  <cols>
    <col min="1" max="1" customWidth="1" width="40.26953" style="33"/>
    <col min="2" max="2" customWidth="1" width="12.453125" style="33"/>
    <col min="3" max="3" customWidth="1" width="14.816406" style="33"/>
    <col min="4" max="4" customWidth="1" width="17.0" style="33"/>
    <col min="5" max="16384" customWidth="0" width="8.7265625" style="33"/>
  </cols>
  <sheetData>
    <row r="1" spans="8:8" ht="14.25" customHeight="1">
      <c r="A1" s="34" t="s">
        <v>560</v>
      </c>
      <c r="B1" s="34"/>
      <c r="C1" s="34"/>
      <c r="D1" s="34"/>
      <c r="E1" s="35"/>
    </row>
    <row r="2" spans="8:8" ht="55.5" customHeight="1">
      <c r="A2" s="36" t="s">
        <v>561</v>
      </c>
      <c r="B2" s="37" t="s">
        <v>562</v>
      </c>
      <c r="C2" s="37" t="s">
        <v>563</v>
      </c>
      <c r="D2" s="38" t="s">
        <v>564</v>
      </c>
      <c r="E2" s="35"/>
    </row>
    <row r="3" spans="8:8" ht="15.0" customHeight="1">
      <c r="A3" s="39" t="s">
        <v>565</v>
      </c>
      <c r="B3" s="40">
        <v>8990.0</v>
      </c>
      <c r="C3" s="40">
        <v>9335.0</v>
      </c>
      <c r="D3" s="41">
        <v>9685.0</v>
      </c>
      <c r="E3" s="35"/>
    </row>
    <row r="4" spans="8:8" ht="14.25" customHeight="1">
      <c r="A4" s="42" t="s">
        <v>566</v>
      </c>
      <c r="B4" s="43">
        <v>11550.0</v>
      </c>
      <c r="C4" s="43">
        <v>12160.0</v>
      </c>
      <c r="D4" s="44">
        <v>12630.0</v>
      </c>
      <c r="E4" s="35"/>
    </row>
    <row r="5" spans="8:8" ht="14.25" customHeight="1">
      <c r="A5" s="42" t="s">
        <v>567</v>
      </c>
      <c r="B5" s="45">
        <v>15555.0</v>
      </c>
      <c r="C5" s="45">
        <v>16145.0</v>
      </c>
      <c r="D5" s="46">
        <v>16735.0</v>
      </c>
      <c r="E5" s="35"/>
    </row>
    <row r="6" spans="8:8" ht="14.25" customHeight="1">
      <c r="A6" s="39" t="s">
        <v>568</v>
      </c>
      <c r="B6" s="45">
        <v>20440.0</v>
      </c>
      <c r="C6" s="45">
        <v>21485.0</v>
      </c>
      <c r="D6" s="46">
        <v>22565.0</v>
      </c>
      <c r="E6" s="35"/>
    </row>
    <row r="7" spans="8:8" ht="14.25" customHeight="1">
      <c r="A7" s="39" t="s">
        <v>569</v>
      </c>
      <c r="B7" s="45">
        <v>15715.0</v>
      </c>
      <c r="C7" s="45">
        <v>16550.0</v>
      </c>
      <c r="D7" s="46">
        <v>17390.0</v>
      </c>
      <c r="E7" s="35"/>
    </row>
    <row r="8" spans="8:8" ht="14.25" customHeight="1">
      <c r="A8" s="42" t="s">
        <v>570</v>
      </c>
      <c r="B8" s="45">
        <v>21595.0</v>
      </c>
      <c r="C8" s="45">
        <v>22740.0</v>
      </c>
      <c r="D8" s="46">
        <v>23895.0</v>
      </c>
      <c r="E8" s="35"/>
    </row>
    <row r="9" spans="8:8" ht="16.5" customHeight="1">
      <c r="A9" s="39" t="s">
        <v>571</v>
      </c>
      <c r="B9" s="40">
        <v>8990.0</v>
      </c>
      <c r="C9" s="40">
        <v>9335.0</v>
      </c>
      <c r="D9" s="41">
        <v>9685.0</v>
      </c>
      <c r="E9" s="35"/>
    </row>
    <row r="10" spans="8:8" ht="16.5" customHeight="1">
      <c r="A10" s="42" t="s">
        <v>572</v>
      </c>
      <c r="B10" s="43">
        <v>11550.0</v>
      </c>
      <c r="C10" s="43">
        <v>12160.0</v>
      </c>
      <c r="D10" s="44">
        <v>12630.0</v>
      </c>
      <c r="E10" s="35"/>
    </row>
    <row r="11" spans="8:8" ht="14.25" customHeight="1">
      <c r="A11" s="42" t="s">
        <v>32</v>
      </c>
      <c r="B11" s="45">
        <v>15555.0</v>
      </c>
      <c r="C11" s="45">
        <v>16145.0</v>
      </c>
      <c r="D11" s="46">
        <v>16735.0</v>
      </c>
      <c r="E11" s="35"/>
    </row>
    <row r="12" spans="8:8" ht="14.25" customHeight="1">
      <c r="A12" s="39" t="s">
        <v>573</v>
      </c>
      <c r="B12" s="45">
        <v>13520.0</v>
      </c>
      <c r="C12" s="45">
        <v>14145.0</v>
      </c>
      <c r="D12" s="46">
        <v>14765.0</v>
      </c>
      <c r="E12" s="35"/>
    </row>
    <row r="13" spans="8:8" ht="14.25" customHeight="1">
      <c r="A13" s="42" t="s">
        <v>574</v>
      </c>
      <c r="B13" s="45">
        <v>16595.0</v>
      </c>
      <c r="C13" s="45">
        <v>17435.0</v>
      </c>
      <c r="D13" s="46">
        <v>18275.0</v>
      </c>
      <c r="E13" s="35"/>
    </row>
    <row r="14" spans="8:8" ht="14.25" customHeight="1">
      <c r="A14" s="39" t="s">
        <v>575</v>
      </c>
      <c r="B14" s="43">
        <v>11315.0</v>
      </c>
      <c r="C14" s="43">
        <v>11910.0</v>
      </c>
      <c r="D14" s="44">
        <v>12525.0</v>
      </c>
      <c r="E14" s="35"/>
    </row>
    <row r="15" spans="8:8" ht="14.25" customHeight="1">
      <c r="A15" s="42" t="s">
        <v>576</v>
      </c>
      <c r="B15" s="43">
        <v>9700.0</v>
      </c>
      <c r="C15" s="43">
        <v>10245.0</v>
      </c>
      <c r="D15" s="44">
        <v>10795.0</v>
      </c>
      <c r="E15" s="35"/>
    </row>
    <row r="16" spans="8:8" ht="14.25" customHeight="1">
      <c r="A16" s="42" t="s">
        <v>577</v>
      </c>
      <c r="B16" s="43">
        <v>17115.0</v>
      </c>
      <c r="C16" s="43">
        <v>18005.0</v>
      </c>
      <c r="D16" s="44">
        <v>18910.0</v>
      </c>
      <c r="E16" s="35"/>
    </row>
    <row r="17" spans="8:8" ht="14.25" customHeight="1">
      <c r="A17" s="39" t="s">
        <v>578</v>
      </c>
      <c r="B17" s="45">
        <v>12730.0</v>
      </c>
      <c r="C17" s="45">
        <v>13332.0</v>
      </c>
      <c r="D17" s="46">
        <v>13932.0</v>
      </c>
      <c r="E17" s="35"/>
    </row>
    <row r="18" spans="8:8" ht="14.25" customHeight="1">
      <c r="A18" s="39" t="s">
        <v>579</v>
      </c>
      <c r="B18" s="43">
        <v>17265.0</v>
      </c>
      <c r="C18" s="43">
        <v>17840.0</v>
      </c>
      <c r="D18" s="44">
        <v>18395.0</v>
      </c>
      <c r="E18" s="35"/>
    </row>
    <row r="19" spans="8:8" ht="14.25" customHeight="1">
      <c r="A19" s="42" t="s">
        <v>580</v>
      </c>
      <c r="B19" s="45">
        <v>15735.0</v>
      </c>
      <c r="C19" s="45">
        <v>16740.0</v>
      </c>
      <c r="D19" s="46">
        <v>17710.0</v>
      </c>
      <c r="E19" s="35"/>
    </row>
    <row r="20" spans="8:8" ht="14.25" customHeight="1">
      <c r="A20" s="42" t="s">
        <v>581</v>
      </c>
      <c r="B20" s="45">
        <v>32000.0</v>
      </c>
      <c r="C20" s="45">
        <v>32000.0</v>
      </c>
      <c r="D20" s="46">
        <v>32000.0</v>
      </c>
      <c r="E20" s="35"/>
    </row>
    <row r="21" spans="8:8" ht="14.25" customHeight="1">
      <c r="A21" s="42" t="s">
        <v>582</v>
      </c>
      <c r="B21" s="45">
        <v>17100.0</v>
      </c>
      <c r="C21" s="45">
        <v>17845.0</v>
      </c>
      <c r="D21" s="46">
        <v>18615.0</v>
      </c>
      <c r="E21" s="35"/>
    </row>
    <row r="22" spans="8:8" ht="14.25" customHeight="1">
      <c r="A22" s="42" t="s">
        <v>178</v>
      </c>
      <c r="B22" s="45">
        <v>22775.0</v>
      </c>
      <c r="C22" s="45">
        <v>23770.0</v>
      </c>
      <c r="D22" s="46">
        <v>24795.0</v>
      </c>
      <c r="E22" s="35"/>
    </row>
    <row r="23" spans="8:8" ht="15.75" customHeight="1">
      <c r="A23" s="39" t="s">
        <v>583</v>
      </c>
      <c r="B23" s="40">
        <v>8990.0</v>
      </c>
      <c r="C23" s="40">
        <v>9335.0</v>
      </c>
      <c r="D23" s="41">
        <v>9685.0</v>
      </c>
      <c r="E23" s="35"/>
    </row>
    <row r="24" spans="8:8" ht="14.25" customHeight="1">
      <c r="A24" s="39" t="s">
        <v>584</v>
      </c>
      <c r="B24" s="45">
        <v>11165.0</v>
      </c>
      <c r="C24" s="45">
        <v>11595.0</v>
      </c>
      <c r="D24" s="46">
        <v>12025.0</v>
      </c>
      <c r="E24" s="35"/>
    </row>
    <row r="25" spans="8:8" ht="14.25" customHeight="1">
      <c r="A25" s="42" t="s">
        <v>585</v>
      </c>
      <c r="B25" s="43">
        <v>11550.0</v>
      </c>
      <c r="C25" s="43">
        <v>12160.0</v>
      </c>
      <c r="D25" s="44">
        <v>12630.0</v>
      </c>
      <c r="E25" s="35"/>
    </row>
    <row r="26" spans="8:8" ht="14.25" customHeight="1">
      <c r="A26" s="42" t="s">
        <v>586</v>
      </c>
      <c r="B26" s="45">
        <v>15555.0</v>
      </c>
      <c r="C26" s="45">
        <v>16145.0</v>
      </c>
      <c r="D26" s="46">
        <v>16735.0</v>
      </c>
      <c r="E26" s="35"/>
    </row>
    <row r="27" spans="8:8" ht="14.25" customHeight="1">
      <c r="A27" s="39" t="s">
        <v>587</v>
      </c>
      <c r="B27" s="43">
        <v>7060.0</v>
      </c>
      <c r="C27" s="43">
        <v>7370.0</v>
      </c>
      <c r="D27" s="44">
        <v>7675.0</v>
      </c>
      <c r="E27" s="35"/>
    </row>
    <row r="28" spans="8:8" ht="14.25" customHeight="1">
      <c r="A28" s="42" t="s">
        <v>93</v>
      </c>
      <c r="B28" s="45">
        <v>11130.0</v>
      </c>
      <c r="C28" s="45">
        <v>11600.0</v>
      </c>
      <c r="D28" s="46">
        <v>12090.0</v>
      </c>
      <c r="E28" s="35"/>
    </row>
    <row r="29" spans="8:8" ht="14.25" customHeight="1">
      <c r="A29" s="42" t="s">
        <v>588</v>
      </c>
      <c r="B29" s="45">
        <v>10520.0</v>
      </c>
      <c r="C29" s="45">
        <v>11200.0</v>
      </c>
      <c r="D29" s="46">
        <v>11895.0</v>
      </c>
      <c r="E29" s="35"/>
    </row>
    <row r="30" spans="8:8" ht="14.25" customHeight="1">
      <c r="A30" s="42" t="s">
        <v>589</v>
      </c>
      <c r="B30" s="43">
        <v>12570.0</v>
      </c>
      <c r="C30" s="43">
        <v>13090.0</v>
      </c>
      <c r="D30" s="44">
        <v>13625.0</v>
      </c>
      <c r="E30" s="35"/>
    </row>
    <row r="31" spans="8:8" ht="14.25" customHeight="1">
      <c r="A31" s="42" t="s">
        <v>590</v>
      </c>
      <c r="B31" s="45">
        <v>12680.0</v>
      </c>
      <c r="C31" s="45">
        <v>13340.0</v>
      </c>
      <c r="D31" s="46">
        <v>14015.0</v>
      </c>
      <c r="E31" s="35"/>
    </row>
    <row r="32" spans="8:8" ht="14.25" customHeight="1">
      <c r="A32" s="42" t="s">
        <v>591</v>
      </c>
      <c r="B32" s="45">
        <v>8700.0</v>
      </c>
      <c r="C32" s="45">
        <v>9065.0</v>
      </c>
      <c r="D32" s="46">
        <v>9445.0</v>
      </c>
      <c r="E32" s="35"/>
    </row>
    <row r="33" spans="8:8" ht="14.25" customHeight="1">
      <c r="A33" s="42" t="s">
        <v>592</v>
      </c>
      <c r="B33" s="45">
        <v>10250.0</v>
      </c>
      <c r="C33" s="45">
        <v>10910.0</v>
      </c>
      <c r="D33" s="46">
        <v>11590.0</v>
      </c>
      <c r="E33" s="35"/>
    </row>
    <row r="34" spans="8:8" ht="14.25" customHeight="1">
      <c r="A34" s="42" t="s">
        <v>593</v>
      </c>
      <c r="B34" s="45">
        <v>14475.0</v>
      </c>
      <c r="C34" s="45">
        <v>15115.0</v>
      </c>
      <c r="D34" s="46">
        <v>15765.0</v>
      </c>
      <c r="E34" s="35"/>
    </row>
    <row r="35" spans="8:8" ht="14.25" customHeight="1">
      <c r="A35" s="42" t="s">
        <v>594</v>
      </c>
      <c r="B35" s="45">
        <v>15100.0</v>
      </c>
      <c r="C35" s="45">
        <v>15915.0</v>
      </c>
      <c r="D35" s="46">
        <v>16745.0</v>
      </c>
      <c r="E35" s="35"/>
    </row>
    <row r="36" spans="8:8" ht="14.25" customHeight="1">
      <c r="A36" s="42" t="s">
        <v>595</v>
      </c>
      <c r="B36" s="43">
        <v>13850.0</v>
      </c>
      <c r="C36" s="43">
        <v>14465.0</v>
      </c>
      <c r="D36" s="44">
        <v>15085.0</v>
      </c>
      <c r="E36" s="35"/>
    </row>
    <row r="37" spans="8:8" ht="14.25" customHeight="1">
      <c r="A37" s="42" t="s">
        <v>596</v>
      </c>
      <c r="B37" s="43">
        <v>14710.0</v>
      </c>
      <c r="C37" s="43">
        <v>15495.0</v>
      </c>
      <c r="D37" s="44">
        <v>16305.0</v>
      </c>
      <c r="E37" s="35"/>
    </row>
    <row r="38" spans="8:8" ht="14.25" customHeight="1">
      <c r="A38" s="39" t="s">
        <v>597</v>
      </c>
      <c r="B38" s="40">
        <v>14900.0</v>
      </c>
      <c r="C38" s="40">
        <v>15525.0</v>
      </c>
      <c r="D38" s="41">
        <v>16140.0</v>
      </c>
      <c r="E38" s="35"/>
    </row>
    <row r="39" spans="8:8" ht="14.25" customHeight="1">
      <c r="A39" s="42" t="s">
        <v>598</v>
      </c>
      <c r="B39" s="45">
        <v>16365.0</v>
      </c>
      <c r="C39" s="45">
        <v>17250.0</v>
      </c>
      <c r="D39" s="46">
        <v>18040.0</v>
      </c>
      <c r="E39" s="35"/>
    </row>
    <row r="40" spans="8:8" ht="14.25" customHeight="1">
      <c r="A40" s="42" t="s">
        <v>599</v>
      </c>
      <c r="B40" s="45">
        <v>29800.0</v>
      </c>
      <c r="C40" s="45">
        <v>29800.0</v>
      </c>
      <c r="D40" s="46">
        <v>29800.0</v>
      </c>
      <c r="E40" s="35"/>
    </row>
    <row r="41" spans="8:8" ht="14.25" customHeight="1">
      <c r="A41" s="42" t="s">
        <v>600</v>
      </c>
      <c r="B41" s="43">
        <v>14845.0</v>
      </c>
      <c r="C41" s="43">
        <v>15790.0</v>
      </c>
      <c r="D41" s="44">
        <v>16770.0</v>
      </c>
      <c r="E41" s="35"/>
    </row>
    <row r="42" spans="8:8" ht="14.25" customHeight="1">
      <c r="A42" s="39" t="s">
        <v>601</v>
      </c>
      <c r="B42" s="40">
        <v>15375.0</v>
      </c>
      <c r="C42" s="40">
        <v>15945.0</v>
      </c>
      <c r="D42" s="41">
        <v>16535.0</v>
      </c>
      <c r="E42" s="35"/>
    </row>
    <row r="43" spans="8:8" ht="14.25" customHeight="1">
      <c r="A43" s="42" t="s">
        <v>602</v>
      </c>
      <c r="B43" s="40">
        <v>10915.0</v>
      </c>
      <c r="C43" s="40">
        <v>11480.0</v>
      </c>
      <c r="D43" s="41">
        <v>12045.0</v>
      </c>
      <c r="E43" s="35"/>
    </row>
    <row r="44" spans="8:8" ht="16.5" customHeight="1">
      <c r="A44" s="42" t="s">
        <v>35</v>
      </c>
      <c r="B44" s="45">
        <v>20405.0</v>
      </c>
      <c r="C44" s="45">
        <v>21170.0</v>
      </c>
      <c r="D44" s="46">
        <v>21830.0</v>
      </c>
      <c r="E44" s="35"/>
    </row>
    <row r="45" spans="8:8" ht="16.5" customHeight="1">
      <c r="A45" s="42" t="s">
        <v>603</v>
      </c>
      <c r="B45" s="45">
        <v>30855.0</v>
      </c>
      <c r="C45" s="45">
        <v>30855.0</v>
      </c>
      <c r="D45" s="46">
        <v>30855.0</v>
      </c>
      <c r="E45" s="35"/>
    </row>
    <row r="46" spans="8:8" ht="16.5" customHeight="1">
      <c r="A46" s="42" t="s">
        <v>604</v>
      </c>
      <c r="B46" s="43">
        <v>14715.0</v>
      </c>
      <c r="C46" s="43">
        <v>15655.0</v>
      </c>
      <c r="D46" s="44">
        <v>16640.0</v>
      </c>
      <c r="E46" s="35"/>
    </row>
    <row r="47" spans="8:8" ht="16.5" customHeight="1">
      <c r="A47" s="42" t="s">
        <v>605</v>
      </c>
      <c r="B47" s="43">
        <v>17305.0</v>
      </c>
      <c r="C47" s="43">
        <v>18190.0</v>
      </c>
      <c r="D47" s="44">
        <v>19095.0</v>
      </c>
      <c r="E47" s="35"/>
    </row>
    <row r="48" spans="8:8" ht="16.5" customHeight="1">
      <c r="A48" s="42" t="s">
        <v>606</v>
      </c>
      <c r="B48" s="43">
        <v>14715.0</v>
      </c>
      <c r="C48" s="43">
        <v>15655.0</v>
      </c>
      <c r="D48" s="44">
        <v>16640.0</v>
      </c>
      <c r="E48" s="35"/>
    </row>
    <row r="49" spans="8:8" ht="16.5" customHeight="1">
      <c r="A49" s="42" t="s">
        <v>607</v>
      </c>
      <c r="B49" s="43">
        <v>17305.0</v>
      </c>
      <c r="C49" s="43">
        <v>18190.0</v>
      </c>
      <c r="D49" s="44">
        <v>19095.0</v>
      </c>
      <c r="E49" s="35"/>
    </row>
    <row r="50" spans="8:8" ht="16.5" customHeight="1">
      <c r="A50" s="42" t="s">
        <v>608</v>
      </c>
      <c r="B50" s="43">
        <v>14715.0</v>
      </c>
      <c r="C50" s="43">
        <v>15655.0</v>
      </c>
      <c r="D50" s="44">
        <v>16640.0</v>
      </c>
      <c r="E50" s="35"/>
    </row>
    <row r="51" spans="8:8" ht="16.5" customHeight="1">
      <c r="A51" s="42" t="s">
        <v>609</v>
      </c>
      <c r="B51" s="43">
        <v>17305.0</v>
      </c>
      <c r="C51" s="43">
        <v>18190.0</v>
      </c>
      <c r="D51" s="44">
        <v>19095.0</v>
      </c>
      <c r="E51" s="35"/>
    </row>
    <row r="52" spans="8:8" ht="16.5" customHeight="1">
      <c r="A52" s="47" t="s">
        <v>610</v>
      </c>
      <c r="B52" s="40">
        <v>12390.0</v>
      </c>
      <c r="C52" s="40">
        <v>13125.0</v>
      </c>
      <c r="D52" s="41">
        <v>13900.0</v>
      </c>
      <c r="E52" s="35"/>
    </row>
    <row r="53" spans="8:8" ht="14.25" customHeight="1">
      <c r="A53" s="39" t="s">
        <v>611</v>
      </c>
      <c r="B53" s="40">
        <v>8525.0</v>
      </c>
      <c r="C53" s="40">
        <v>8880.0</v>
      </c>
      <c r="D53" s="41">
        <v>9235.0</v>
      </c>
      <c r="E53" s="35"/>
    </row>
    <row r="54" spans="8:8" ht="16.5" customHeight="1">
      <c r="A54" s="47" t="s">
        <v>612</v>
      </c>
      <c r="B54" s="40">
        <v>12390.0</v>
      </c>
      <c r="C54" s="40">
        <v>13125.0</v>
      </c>
      <c r="D54" s="41">
        <v>13900.0</v>
      </c>
      <c r="E54" s="35"/>
    </row>
    <row r="55" spans="8:8" ht="14.25" customHeight="1">
      <c r="A55" s="39" t="s">
        <v>613</v>
      </c>
      <c r="B55" s="40">
        <v>8970.0</v>
      </c>
      <c r="C55" s="40">
        <v>9345.0</v>
      </c>
      <c r="D55" s="41">
        <v>9720.0</v>
      </c>
      <c r="E55" s="35"/>
    </row>
    <row r="56" spans="8:8" ht="14.25" customHeight="1">
      <c r="A56" s="42" t="s">
        <v>614</v>
      </c>
      <c r="B56" s="43">
        <v>13780.0</v>
      </c>
      <c r="C56" s="43">
        <v>14450.0</v>
      </c>
      <c r="D56" s="44">
        <v>15415.0</v>
      </c>
      <c r="E56" s="35"/>
    </row>
    <row r="57" spans="8:8" ht="14.25" customHeight="1">
      <c r="A57" s="42" t="s">
        <v>615</v>
      </c>
      <c r="B57" s="45">
        <v>14075.0</v>
      </c>
      <c r="C57" s="45">
        <v>14430.0</v>
      </c>
      <c r="D57" s="46">
        <v>15015.0</v>
      </c>
      <c r="E57" s="35"/>
    </row>
    <row r="58" spans="8:8" ht="14.25" customHeight="1">
      <c r="A58" s="42" t="s">
        <v>616</v>
      </c>
      <c r="B58" s="40">
        <v>5520.0</v>
      </c>
      <c r="C58" s="40">
        <v>5720.0</v>
      </c>
      <c r="D58" s="41">
        <v>6030.0</v>
      </c>
      <c r="E58" s="35"/>
    </row>
    <row r="59" spans="8:8" ht="14.25" customHeight="1">
      <c r="A59" s="42" t="s">
        <v>617</v>
      </c>
      <c r="B59" s="45">
        <v>14360.0</v>
      </c>
      <c r="C59" s="45">
        <v>14820.0</v>
      </c>
      <c r="D59" s="46">
        <v>15525.0</v>
      </c>
      <c r="E59" s="35"/>
    </row>
    <row r="60" spans="8:8" ht="14.25" customHeight="1">
      <c r="A60" s="42" t="s">
        <v>618</v>
      </c>
      <c r="B60" s="40">
        <v>12920.0</v>
      </c>
      <c r="C60" s="40">
        <v>13550.0</v>
      </c>
      <c r="D60" s="41">
        <v>14455.0</v>
      </c>
      <c r="E60" s="35"/>
    </row>
    <row r="61" spans="8:8" ht="14.25" customHeight="1">
      <c r="A61" s="42" t="s">
        <v>619</v>
      </c>
      <c r="B61" s="45">
        <v>14075.0</v>
      </c>
      <c r="C61" s="45">
        <v>14430.0</v>
      </c>
      <c r="D61" s="46">
        <v>15015.0</v>
      </c>
      <c r="E61" s="35"/>
    </row>
    <row r="62" spans="8:8" ht="14.25" customHeight="1">
      <c r="A62" s="42" t="s">
        <v>620</v>
      </c>
      <c r="B62" s="45">
        <v>5970.0</v>
      </c>
      <c r="C62" s="45">
        <v>6195.0</v>
      </c>
      <c r="D62" s="46">
        <v>6530.0</v>
      </c>
      <c r="E62" s="35"/>
    </row>
    <row r="63" spans="8:8" ht="14.25" customHeight="1">
      <c r="A63" s="42" t="s">
        <v>621</v>
      </c>
      <c r="B63" s="45">
        <v>7685.0</v>
      </c>
      <c r="C63" s="45">
        <v>8020.0</v>
      </c>
      <c r="D63" s="46">
        <v>8355.0</v>
      </c>
      <c r="E63" s="35"/>
    </row>
    <row r="64" spans="8:8" ht="14.25" customHeight="1">
      <c r="A64" s="42" t="s">
        <v>622</v>
      </c>
      <c r="B64" s="45">
        <v>4590.0</v>
      </c>
      <c r="C64" s="45">
        <v>4715.0</v>
      </c>
      <c r="D64" s="46">
        <v>4845.0</v>
      </c>
      <c r="E64" s="35"/>
    </row>
    <row r="65" spans="8:8" ht="14.25" customHeight="1">
      <c r="A65" s="42" t="s">
        <v>623</v>
      </c>
      <c r="B65" s="40">
        <v>12920.0</v>
      </c>
      <c r="C65" s="40">
        <v>13550.0</v>
      </c>
      <c r="D65" s="41">
        <v>14455.0</v>
      </c>
      <c r="E65" s="35"/>
    </row>
    <row r="66" spans="8:8" ht="14.25" customHeight="1">
      <c r="A66" s="42" t="s">
        <v>624</v>
      </c>
      <c r="B66" s="45">
        <v>14075.0</v>
      </c>
      <c r="C66" s="45">
        <v>14430.0</v>
      </c>
      <c r="D66" s="46">
        <v>15015.0</v>
      </c>
      <c r="E66" s="35"/>
    </row>
    <row r="67" spans="8:8" ht="14.25" customHeight="1">
      <c r="A67" s="42" t="s">
        <v>625</v>
      </c>
      <c r="B67" s="45">
        <v>5970.0</v>
      </c>
      <c r="C67" s="45">
        <v>6195.0</v>
      </c>
      <c r="D67" s="46">
        <v>6530.0</v>
      </c>
      <c r="E67" s="35"/>
    </row>
    <row r="68" spans="8:8" ht="14.25" customHeight="1">
      <c r="A68" s="42" t="s">
        <v>626</v>
      </c>
      <c r="B68" s="40">
        <v>12920.0</v>
      </c>
      <c r="C68" s="40">
        <v>13550.0</v>
      </c>
      <c r="D68" s="41">
        <v>14455.0</v>
      </c>
      <c r="E68" s="35"/>
    </row>
    <row r="69" spans="8:8" ht="14.25" customHeight="1">
      <c r="A69" s="42" t="s">
        <v>627</v>
      </c>
      <c r="B69" s="45">
        <v>14075.0</v>
      </c>
      <c r="C69" s="45">
        <v>14430.0</v>
      </c>
      <c r="D69" s="46">
        <v>15015.0</v>
      </c>
      <c r="E69" s="35"/>
    </row>
    <row r="70" spans="8:8" ht="14.25" customHeight="1">
      <c r="A70" s="42" t="s">
        <v>628</v>
      </c>
      <c r="B70" s="45">
        <v>5970.0</v>
      </c>
      <c r="C70" s="45">
        <v>6195.0</v>
      </c>
      <c r="D70" s="46">
        <v>6530.0</v>
      </c>
      <c r="E70" s="35"/>
    </row>
    <row r="71" spans="8:8" ht="14.25" customHeight="1">
      <c r="A71" s="42" t="s">
        <v>629</v>
      </c>
      <c r="B71" s="45">
        <v>8775.0</v>
      </c>
      <c r="C71" s="45">
        <v>9255.0</v>
      </c>
      <c r="D71" s="46">
        <v>9735.0</v>
      </c>
      <c r="E71" s="35"/>
    </row>
    <row r="72" spans="8:8" ht="14.25" customHeight="1">
      <c r="A72" s="42" t="s">
        <v>630</v>
      </c>
      <c r="B72" s="45">
        <v>11265.0</v>
      </c>
      <c r="C72" s="45">
        <v>11735.0</v>
      </c>
      <c r="D72" s="46">
        <v>12205.0</v>
      </c>
      <c r="E72" s="35"/>
    </row>
    <row r="73" spans="8:8" ht="14.25" customHeight="1">
      <c r="A73" s="42" t="s">
        <v>631</v>
      </c>
      <c r="B73" s="40">
        <v>4775.0</v>
      </c>
      <c r="C73" s="40">
        <v>4950.0</v>
      </c>
      <c r="D73" s="41">
        <v>5125.0</v>
      </c>
      <c r="E73" s="35"/>
    </row>
    <row r="74" spans="8:8" ht="14.25" customHeight="1">
      <c r="A74" s="42" t="s">
        <v>632</v>
      </c>
      <c r="B74" s="45">
        <v>5065.0</v>
      </c>
      <c r="C74" s="45">
        <v>5465.0</v>
      </c>
      <c r="D74" s="46">
        <v>5880.0</v>
      </c>
      <c r="E74" s="35"/>
    </row>
    <row r="75" spans="8:8" ht="14.25" customHeight="1">
      <c r="A75" s="42" t="s">
        <v>633</v>
      </c>
      <c r="B75" s="45">
        <v>12855.0</v>
      </c>
      <c r="C75" s="45">
        <v>13460.0</v>
      </c>
      <c r="D75" s="46">
        <v>14085.0</v>
      </c>
      <c r="E75" s="35"/>
    </row>
    <row r="76" spans="8:8" ht="14.25" customHeight="1">
      <c r="A76" s="42" t="s">
        <v>634</v>
      </c>
      <c r="B76" s="45">
        <v>9925.0</v>
      </c>
      <c r="C76" s="45">
        <v>10315.0</v>
      </c>
      <c r="D76" s="46">
        <v>10705.0</v>
      </c>
      <c r="E76" s="35"/>
    </row>
    <row r="77" spans="8:8" ht="14.25" customHeight="1">
      <c r="A77" s="42" t="s">
        <v>635</v>
      </c>
      <c r="B77" s="45">
        <v>5065.0</v>
      </c>
      <c r="C77" s="45">
        <v>5465.0</v>
      </c>
      <c r="D77" s="46">
        <v>5880.0</v>
      </c>
      <c r="E77" s="35"/>
    </row>
    <row r="78" spans="8:8" ht="14.25" customHeight="1">
      <c r="A78" s="42" t="s">
        <v>636</v>
      </c>
      <c r="B78" s="45">
        <v>12855.0</v>
      </c>
      <c r="C78" s="45">
        <v>13460.0</v>
      </c>
      <c r="D78" s="46">
        <v>14085.0</v>
      </c>
      <c r="E78" s="35"/>
    </row>
    <row r="79" spans="8:8" ht="14.25" customHeight="1">
      <c r="A79" s="42" t="s">
        <v>637</v>
      </c>
      <c r="B79" s="43">
        <v>7200.0</v>
      </c>
      <c r="C79" s="43">
        <v>7525.0</v>
      </c>
      <c r="D79" s="44">
        <v>7850.0</v>
      </c>
      <c r="E79" s="35"/>
    </row>
    <row r="80" spans="8:8" ht="14.25" customHeight="1">
      <c r="A80" s="42" t="s">
        <v>638</v>
      </c>
      <c r="B80" s="43">
        <v>7200.0</v>
      </c>
      <c r="C80" s="43">
        <v>7525.0</v>
      </c>
      <c r="D80" s="44">
        <v>7850.0</v>
      </c>
      <c r="E80" s="35"/>
    </row>
    <row r="81" spans="8:8" ht="14.25" customHeight="1">
      <c r="A81" s="42" t="s">
        <v>639</v>
      </c>
      <c r="B81" s="45">
        <v>12120.0</v>
      </c>
      <c r="C81" s="45">
        <v>12885.0</v>
      </c>
      <c r="D81" s="46">
        <v>13420.0</v>
      </c>
      <c r="E81" s="35"/>
    </row>
    <row r="82" spans="8:8" ht="14.25" customHeight="1">
      <c r="A82" s="42" t="s">
        <v>640</v>
      </c>
      <c r="B82" s="45">
        <v>11935.0</v>
      </c>
      <c r="C82" s="45">
        <v>12480.0</v>
      </c>
      <c r="D82" s="46">
        <v>13025.0</v>
      </c>
      <c r="E82" s="35"/>
    </row>
    <row r="83" spans="8:8" ht="14.25" customHeight="1">
      <c r="A83" s="39" t="s">
        <v>641</v>
      </c>
      <c r="B83" s="40">
        <v>6600.0</v>
      </c>
      <c r="C83" s="40">
        <v>6900.0</v>
      </c>
      <c r="D83" s="41">
        <v>7200.0</v>
      </c>
      <c r="E83" s="35"/>
    </row>
    <row r="84" spans="8:8" ht="14.25" customHeight="1">
      <c r="A84" s="39" t="s">
        <v>642</v>
      </c>
      <c r="B84" s="43">
        <v>5475.0</v>
      </c>
      <c r="C84" s="43">
        <v>5715.0</v>
      </c>
      <c r="D84" s="44">
        <v>5965.0</v>
      </c>
      <c r="E84" s="35"/>
    </row>
    <row r="85" spans="8:8" ht="14.25" customHeight="1">
      <c r="A85" s="42" t="s">
        <v>643</v>
      </c>
      <c r="B85" s="45">
        <v>11970.0</v>
      </c>
      <c r="C85" s="45">
        <v>12715.0</v>
      </c>
      <c r="D85" s="46">
        <v>13245.0</v>
      </c>
      <c r="E85" s="35"/>
    </row>
    <row r="86" spans="8:8" ht="14.25" customHeight="1">
      <c r="A86" s="39" t="s">
        <v>644</v>
      </c>
      <c r="B86" s="43">
        <v>11645.0</v>
      </c>
      <c r="C86" s="43">
        <v>12165.0</v>
      </c>
      <c r="D86" s="44">
        <v>12695.0</v>
      </c>
      <c r="E86" s="35"/>
    </row>
    <row r="87" spans="8:8" ht="14.25" customHeight="1">
      <c r="A87" s="42" t="s">
        <v>645</v>
      </c>
      <c r="B87" s="45">
        <v>19305.0</v>
      </c>
      <c r="C87" s="45">
        <v>20655.0</v>
      </c>
      <c r="D87" s="46">
        <v>22040.0</v>
      </c>
      <c r="E87" s="35"/>
    </row>
    <row r="88" spans="8:8" ht="14.25" customHeight="1">
      <c r="A88" s="39" t="s">
        <v>646</v>
      </c>
      <c r="B88" s="45">
        <v>11145.0</v>
      </c>
      <c r="C88" s="45">
        <v>11560.0</v>
      </c>
      <c r="D88" s="46">
        <v>11980.0</v>
      </c>
      <c r="E88" s="35"/>
    </row>
    <row r="89" spans="8:8" ht="14.25" customHeight="1">
      <c r="A89" s="39" t="s">
        <v>647</v>
      </c>
      <c r="B89" s="43">
        <v>23400.0</v>
      </c>
      <c r="C89" s="43">
        <v>24140.0</v>
      </c>
      <c r="D89" s="44">
        <v>24810.0</v>
      </c>
      <c r="E89" s="35"/>
    </row>
    <row r="90" spans="8:8" ht="14.25" customHeight="1">
      <c r="A90" s="42" t="s">
        <v>648</v>
      </c>
      <c r="B90" s="45">
        <v>25930.0</v>
      </c>
      <c r="C90" s="45">
        <v>28445.0</v>
      </c>
      <c r="D90" s="46">
        <v>30935.0</v>
      </c>
      <c r="E90" s="35"/>
    </row>
    <row r="91" spans="8:8" ht="14.25" customHeight="1">
      <c r="A91" s="42" t="s">
        <v>649</v>
      </c>
      <c r="B91" s="45">
        <v>25930.0</v>
      </c>
      <c r="C91" s="45">
        <v>28445.0</v>
      </c>
      <c r="D91" s="46">
        <v>30935.0</v>
      </c>
      <c r="E91" s="35"/>
    </row>
    <row r="92" spans="8:8" ht="14.25" customHeight="1">
      <c r="A92" s="42" t="s">
        <v>650</v>
      </c>
      <c r="B92" s="45">
        <v>22250.0</v>
      </c>
      <c r="C92" s="45">
        <v>24185.0</v>
      </c>
      <c r="D92" s="46">
        <v>28085.0</v>
      </c>
      <c r="E92" s="35"/>
    </row>
    <row r="93" spans="8:8" ht="14.25" customHeight="1">
      <c r="A93" s="42" t="s">
        <v>651</v>
      </c>
      <c r="B93" s="45">
        <v>22250.0</v>
      </c>
      <c r="C93" s="45">
        <v>24185.0</v>
      </c>
      <c r="D93" s="46">
        <v>28085.0</v>
      </c>
      <c r="E93" s="35"/>
    </row>
    <row r="94" spans="8:8" ht="14.25" customHeight="1">
      <c r="A94" s="42" t="s">
        <v>652</v>
      </c>
      <c r="B94" s="45">
        <v>22250.0</v>
      </c>
      <c r="C94" s="45">
        <v>24235.0</v>
      </c>
      <c r="D94" s="46">
        <v>28145.0</v>
      </c>
      <c r="E94" s="35"/>
    </row>
    <row r="95" spans="8:8" ht="14.25" customHeight="1">
      <c r="A95" s="42" t="s">
        <v>653</v>
      </c>
      <c r="B95" s="45">
        <v>25180.0</v>
      </c>
      <c r="C95" s="45">
        <v>26825.0</v>
      </c>
      <c r="D95" s="46">
        <v>30290.0</v>
      </c>
      <c r="E95" s="35"/>
    </row>
    <row r="96" spans="8:8" ht="14.25" customHeight="1">
      <c r="A96" s="42" t="s">
        <v>654</v>
      </c>
      <c r="B96" s="45">
        <v>25180.0</v>
      </c>
      <c r="C96" s="45">
        <v>26825.0</v>
      </c>
      <c r="D96" s="46">
        <v>30290.0</v>
      </c>
      <c r="E96" s="35"/>
    </row>
    <row r="97" spans="8:8" ht="14.25" customHeight="1">
      <c r="A97" s="42" t="s">
        <v>655</v>
      </c>
      <c r="B97" s="45">
        <v>25180.0</v>
      </c>
      <c r="C97" s="45">
        <v>26825.0</v>
      </c>
      <c r="D97" s="46">
        <v>30290.0</v>
      </c>
      <c r="E97" s="35"/>
    </row>
    <row r="98" spans="8:8" ht="14.25" customHeight="1">
      <c r="A98" s="42" t="s">
        <v>656</v>
      </c>
      <c r="B98" s="45">
        <v>21540.0</v>
      </c>
      <c r="C98" s="45">
        <v>23480.0</v>
      </c>
      <c r="D98" s="46">
        <v>25285.0</v>
      </c>
      <c r="E98" s="35"/>
    </row>
    <row r="99" spans="8:8" ht="14.25" customHeight="1">
      <c r="A99" s="48"/>
      <c r="D99" s="49"/>
      <c r="E99" s="35"/>
    </row>
    <row r="100" spans="8:8" ht="14.25" customHeight="1">
      <c r="A100" s="50"/>
      <c r="B100" s="51" t="s">
        <v>657</v>
      </c>
      <c r="C100" s="51"/>
      <c r="D100" s="51"/>
      <c r="E100" s="35"/>
    </row>
    <row r="101" spans="8:8" ht="14.25" customHeight="1">
      <c r="A101" s="50"/>
      <c r="B101" s="51"/>
      <c r="C101" s="51"/>
      <c r="D101" s="51"/>
      <c r="E101" s="35"/>
    </row>
    <row r="102" spans="8:8" ht="14.25" customHeight="1">
      <c r="A102" s="50" t="s">
        <v>658</v>
      </c>
      <c r="B102" s="52">
        <v>8550.0</v>
      </c>
      <c r="C102" s="52">
        <v>8870.0</v>
      </c>
      <c r="D102" s="53">
        <v>9190.0</v>
      </c>
      <c r="E102" s="35"/>
    </row>
    <row r="103" spans="8:8" ht="14.25" customHeight="1">
      <c r="A103" s="50" t="s">
        <v>229</v>
      </c>
      <c r="B103" s="52">
        <v>14970.0</v>
      </c>
      <c r="C103" s="52">
        <v>15490.0</v>
      </c>
      <c r="D103" s="53">
        <v>16030.0</v>
      </c>
      <c r="E103" s="35"/>
    </row>
    <row r="104" spans="8:8" ht="14.25" customHeight="1">
      <c r="A104" s="50" t="s">
        <v>659</v>
      </c>
      <c r="B104" s="52">
        <v>14400.0</v>
      </c>
      <c r="C104" s="52">
        <v>15040.0</v>
      </c>
      <c r="D104" s="53">
        <v>15650.0</v>
      </c>
      <c r="E104" s="35"/>
    </row>
    <row r="105" spans="8:8" ht="14.25" customHeight="1">
      <c r="A105" s="50" t="s">
        <v>660</v>
      </c>
      <c r="B105" s="52">
        <v>10410.0</v>
      </c>
      <c r="C105" s="52">
        <v>10860.0</v>
      </c>
      <c r="D105" s="53">
        <v>11320.0</v>
      </c>
      <c r="E105" s="35"/>
    </row>
    <row r="106" spans="8:8" ht="14.25" customHeight="1">
      <c r="A106" s="50" t="s">
        <v>661</v>
      </c>
      <c r="B106" s="52">
        <v>17740.0</v>
      </c>
      <c r="C106" s="52">
        <v>18450.0</v>
      </c>
      <c r="D106" s="53">
        <v>19180.0</v>
      </c>
      <c r="E106" s="35"/>
    </row>
    <row r="107" spans="8:8" ht="14.25" customHeight="1">
      <c r="A107" s="50" t="s">
        <v>662</v>
      </c>
      <c r="B107" s="52">
        <v>10130.0</v>
      </c>
      <c r="C107" s="52">
        <v>10650.0</v>
      </c>
      <c r="D107" s="53">
        <v>11180.0</v>
      </c>
      <c r="E107" s="35"/>
    </row>
    <row r="108" spans="8:8" ht="14.25" customHeight="1">
      <c r="A108" s="50" t="s">
        <v>663</v>
      </c>
      <c r="B108" s="52">
        <v>13470.0</v>
      </c>
      <c r="C108" s="52">
        <v>14060.0</v>
      </c>
      <c r="D108" s="53">
        <v>14660.0</v>
      </c>
      <c r="E108" s="35"/>
    </row>
    <row r="109" spans="8:8" ht="14.25" customHeight="1">
      <c r="A109" s="50" t="s">
        <v>664</v>
      </c>
      <c r="B109" s="52">
        <v>6200.0</v>
      </c>
      <c r="C109" s="52">
        <v>6460.0</v>
      </c>
      <c r="D109" s="53">
        <v>6720.0</v>
      </c>
      <c r="E109" s="35"/>
    </row>
    <row r="110" spans="8:8" ht="14.25" customHeight="1">
      <c r="A110" s="50" t="s">
        <v>665</v>
      </c>
      <c r="B110" s="52">
        <v>9280.0</v>
      </c>
      <c r="C110" s="52">
        <v>9710.0</v>
      </c>
      <c r="D110" s="53">
        <v>10150.0</v>
      </c>
      <c r="E110" s="35"/>
    </row>
    <row r="111" spans="8:8" ht="14.25" customHeight="1">
      <c r="A111" s="50" t="s">
        <v>666</v>
      </c>
      <c r="B111" s="52">
        <v>15950.0</v>
      </c>
      <c r="C111" s="52">
        <v>16600.0</v>
      </c>
      <c r="D111" s="53">
        <v>17260.0</v>
      </c>
      <c r="E111" s="35"/>
    </row>
    <row r="112" spans="8:8" ht="14.25" customHeight="1">
      <c r="A112" s="50" t="s">
        <v>667</v>
      </c>
      <c r="B112" s="52">
        <v>8550.0</v>
      </c>
      <c r="C112" s="52">
        <v>8870.0</v>
      </c>
      <c r="D112" s="53">
        <v>9190.0</v>
      </c>
      <c r="E112" s="35"/>
    </row>
    <row r="113" spans="8:8" ht="14.25" customHeight="1">
      <c r="A113" s="50" t="s">
        <v>668</v>
      </c>
      <c r="B113" s="52">
        <v>28500.0</v>
      </c>
      <c r="C113" s="52">
        <v>29250.0</v>
      </c>
      <c r="D113" s="53">
        <v>30000.0</v>
      </c>
      <c r="E113" s="35"/>
    </row>
    <row r="114" spans="8:8" ht="14.25" customHeight="1">
      <c r="A114" s="50" t="s">
        <v>669</v>
      </c>
      <c r="B114" s="52">
        <v>10930.0</v>
      </c>
      <c r="C114" s="52">
        <v>11300.0</v>
      </c>
      <c r="D114" s="53">
        <v>11680.0</v>
      </c>
      <c r="E114" s="35"/>
    </row>
    <row r="115" spans="8:8" ht="14.25" customHeight="1">
      <c r="A115" s="50" t="s">
        <v>670</v>
      </c>
      <c r="B115" s="52">
        <v>9910.0</v>
      </c>
      <c r="C115" s="52">
        <v>10190.0</v>
      </c>
      <c r="D115" s="53">
        <v>10480.0</v>
      </c>
      <c r="E115" s="35"/>
    </row>
    <row r="116" spans="8:8" ht="14.25" customHeight="1">
      <c r="A116" s="50" t="s">
        <v>671</v>
      </c>
      <c r="B116" s="52">
        <v>12020.0</v>
      </c>
      <c r="C116" s="52">
        <v>12510.0</v>
      </c>
      <c r="D116" s="53">
        <v>13010.0</v>
      </c>
      <c r="E116" s="35"/>
    </row>
    <row r="117" spans="8:8" ht="14.25" customHeight="1">
      <c r="A117" s="50"/>
      <c r="B117" s="52"/>
      <c r="C117" s="52"/>
      <c r="D117" s="53"/>
      <c r="E117" s="35"/>
    </row>
    <row r="118" spans="8:8" ht="14.25" customHeight="1">
      <c r="A118" s="50"/>
      <c r="B118" s="51" t="s">
        <v>672</v>
      </c>
      <c r="C118" s="51"/>
      <c r="D118" s="51"/>
      <c r="E118" s="35"/>
    </row>
    <row r="119" spans="8:8" ht="14.25" customHeight="1">
      <c r="A119" s="50"/>
      <c r="B119" s="51"/>
      <c r="C119" s="51"/>
      <c r="D119" s="51"/>
      <c r="E119" s="35"/>
    </row>
    <row r="120" spans="8:8" ht="14.25" customHeight="1">
      <c r="A120" s="54" t="s">
        <v>673</v>
      </c>
      <c r="B120" s="52">
        <v>17100.0</v>
      </c>
      <c r="C120" s="52">
        <v>17700.0</v>
      </c>
      <c r="D120" s="53">
        <v>18100.0</v>
      </c>
      <c r="E120" s="35"/>
    </row>
    <row r="121" spans="8:8" ht="14.25" customHeight="1">
      <c r="A121" s="54" t="s">
        <v>674</v>
      </c>
      <c r="B121" s="52">
        <v>16350.0</v>
      </c>
      <c r="C121" s="52">
        <v>16900.0</v>
      </c>
      <c r="D121" s="53">
        <v>17600.0</v>
      </c>
      <c r="E121" s="35"/>
    </row>
    <row r="122" spans="8:8" ht="14.25" customHeight="1">
      <c r="A122" s="54" t="s">
        <v>675</v>
      </c>
      <c r="B122" s="52">
        <v>15280.0</v>
      </c>
      <c r="C122" s="52">
        <v>15750.0</v>
      </c>
      <c r="D122" s="53">
        <v>16300.0</v>
      </c>
      <c r="E122" s="35"/>
    </row>
    <row r="123" spans="8:8" ht="14.25" customHeight="1">
      <c r="A123" s="54" t="s">
        <v>676</v>
      </c>
      <c r="B123" s="52">
        <v>18600.0</v>
      </c>
      <c r="C123" s="52">
        <v>18600.0</v>
      </c>
      <c r="D123" s="53"/>
      <c r="E123" s="35"/>
    </row>
    <row r="124" spans="8:8" ht="14.25" customHeight="1">
      <c r="A124" s="54" t="s">
        <v>677</v>
      </c>
      <c r="B124" s="52">
        <v>18890.0</v>
      </c>
      <c r="C124" s="52">
        <v>19390.0</v>
      </c>
      <c r="D124" s="53">
        <v>20375.0</v>
      </c>
      <c r="E124" s="35"/>
    </row>
    <row r="125" spans="8:8" ht="14.25" customHeight="1">
      <c r="A125" s="54" t="s">
        <v>678</v>
      </c>
      <c r="B125" s="55">
        <v>12920.0</v>
      </c>
      <c r="C125" s="52">
        <v>13500.0</v>
      </c>
      <c r="D125" s="53">
        <v>14300.0</v>
      </c>
      <c r="E125" s="35"/>
    </row>
    <row r="126" spans="8:8" ht="14.25" customHeight="1">
      <c r="A126" s="54" t="s">
        <v>679</v>
      </c>
      <c r="B126" s="52">
        <v>8990.0</v>
      </c>
      <c r="C126" s="52">
        <v>9350.0</v>
      </c>
      <c r="D126" s="53">
        <v>9700.0</v>
      </c>
      <c r="E126" s="35"/>
    </row>
    <row r="127" spans="8:8" ht="14.25" customHeight="1">
      <c r="A127" s="54" t="s">
        <v>680</v>
      </c>
      <c r="B127" s="52">
        <v>20400.0</v>
      </c>
      <c r="C127" s="52">
        <v>20400.0</v>
      </c>
      <c r="D127" s="53">
        <v>20400.0</v>
      </c>
      <c r="E127" s="35"/>
    </row>
    <row r="128" spans="8:8" ht="14.25" customHeight="1">
      <c r="A128" s="54" t="s">
        <v>681</v>
      </c>
      <c r="B128" s="52">
        <v>16350.0</v>
      </c>
      <c r="C128" s="52">
        <v>17060.0</v>
      </c>
      <c r="D128" s="53">
        <v>17770.0</v>
      </c>
      <c r="E128" s="35"/>
    </row>
    <row r="129" spans="8:8" ht="14.25" customHeight="1">
      <c r="A129" s="54" t="s">
        <v>682</v>
      </c>
      <c r="B129" s="52">
        <v>24000.0</v>
      </c>
      <c r="C129" s="52">
        <v>24500.0</v>
      </c>
      <c r="D129" s="53">
        <v>25700.0</v>
      </c>
      <c r="E129" s="35"/>
    </row>
    <row r="130" spans="8:8" ht="14.25" customHeight="1">
      <c r="A130" s="54" t="s">
        <v>683</v>
      </c>
      <c r="B130" s="52">
        <v>13735.0</v>
      </c>
      <c r="C130" s="52">
        <v>13950.0</v>
      </c>
      <c r="D130" s="53">
        <v>14470.0</v>
      </c>
      <c r="E130" s="35"/>
    </row>
    <row r="131" spans="8:8" ht="14.25" customHeight="1">
      <c r="A131" s="54" t="s">
        <v>684</v>
      </c>
      <c r="B131" s="52">
        <v>15500.0</v>
      </c>
      <c r="C131" s="52">
        <v>15900.0</v>
      </c>
      <c r="D131" s="53">
        <v>16300.0</v>
      </c>
      <c r="E131" s="35"/>
    </row>
    <row r="132" spans="8:8" ht="15.0" customHeight="1">
      <c r="A132" s="56" t="s">
        <v>685</v>
      </c>
      <c r="B132" s="57">
        <v>21595.0</v>
      </c>
      <c r="C132" s="57">
        <v>22740.0</v>
      </c>
      <c r="D132" s="58">
        <v>23895.0</v>
      </c>
      <c r="E132" s="35"/>
    </row>
    <row r="133" spans="8:8" ht="14.25" customHeight="1">
      <c r="A133" s="59"/>
      <c r="B133" s="59"/>
      <c r="C133" s="59"/>
      <c r="D133" s="59"/>
    </row>
  </sheetData>
  <mergeCells count="3">
    <mergeCell ref="A1:D1"/>
    <mergeCell ref="B100:D101"/>
    <mergeCell ref="B118:D119"/>
  </mergeCells>
  <pageMargins left="0.7" right="0.7" top="0.75" bottom="0.75" header="0.511811023622047" footer="0.511811023622047"/>
</worksheet>
</file>

<file path=xl/worksheets/sheet4.xml><?xml version="1.0" encoding="utf-8"?>
<worksheet xmlns:r="http://schemas.openxmlformats.org/officeDocument/2006/relationships" xmlns="http://schemas.openxmlformats.org/spreadsheetml/2006/main">
  <dimension ref="A1:R32"/>
  <sheetViews>
    <sheetView workbookViewId="0" topLeftCell="B25" zoomScale="93">
      <selection activeCell="J35" sqref="J35"/>
    </sheetView>
  </sheetViews>
  <sheetFormatPr defaultRowHeight="14.5"/>
  <cols>
    <col min="1" max="1" customWidth="1" width="11.269531" style="60"/>
    <col min="2" max="2" customWidth="1" width="18.089844" style="60"/>
    <col min="3" max="3" customWidth="1" width="10.90625" style="60"/>
    <col min="4" max="4" customWidth="1" width="11.90625" style="60"/>
    <col min="5" max="5" customWidth="1" width="12.453125" style="60"/>
    <col min="6" max="6" customWidth="1" width="21.542969" style="60"/>
    <col min="7" max="7" customWidth="1" width="11.90625" style="60"/>
    <col min="9" max="9" customWidth="1" width="21.542969" style="60"/>
    <col min="10" max="10" customWidth="1" width="12.453125" style="60"/>
    <col min="11" max="11" customWidth="1" width="17.726562" style="60"/>
    <col min="12" max="12" customWidth="1" width="9.542969" style="60"/>
    <col min="13" max="13" customWidth="1" width="9.269531" style="60"/>
    <col min="14" max="14" customWidth="1" width="12.1796875" style="60"/>
    <col min="15" max="15" customWidth="1" width="15.453125" style="60"/>
    <col min="16" max="16" customWidth="1" width="15.542969" style="60"/>
    <col min="17" max="17" customWidth="1" width="9.269531" style="60"/>
  </cols>
  <sheetData>
    <row r="1" spans="8:8" ht="25.5" customHeight="1">
      <c r="A1" s="61" t="s">
        <v>686</v>
      </c>
      <c r="B1" s="61" t="s">
        <v>687</v>
      </c>
      <c r="C1" s="61" t="s">
        <v>688</v>
      </c>
      <c r="D1" s="61" t="s">
        <v>689</v>
      </c>
      <c r="E1" s="61" t="s">
        <v>690</v>
      </c>
      <c r="F1" s="61" t="s">
        <v>691</v>
      </c>
      <c r="G1" s="61" t="s">
        <v>692</v>
      </c>
      <c r="I1" s="61" t="s">
        <v>687</v>
      </c>
      <c r="J1" s="61" t="s">
        <v>693</v>
      </c>
      <c r="K1" s="61" t="s">
        <v>694</v>
      </c>
      <c r="L1" s="61" t="s">
        <v>695</v>
      </c>
      <c r="N1" s="61" t="s">
        <v>696</v>
      </c>
      <c r="O1" s="61" t="s">
        <v>697</v>
      </c>
      <c r="P1" s="61" t="s">
        <v>698</v>
      </c>
    </row>
    <row r="2" spans="8:8" ht="16.5" customHeight="1">
      <c r="A2" s="62">
        <v>46204.0</v>
      </c>
      <c r="B2" s="63" t="s">
        <v>21</v>
      </c>
      <c r="C2" s="64">
        <v>1.0</v>
      </c>
      <c r="D2" s="65">
        <v>9000.0</v>
      </c>
      <c r="E2" s="66">
        <f t="shared" si="0" ref="E2:E7">C2*D2</f>
        <v>9000.0</v>
      </c>
      <c r="F2" s="63" t="s">
        <v>699</v>
      </c>
      <c r="G2" s="67" t="s">
        <v>16</v>
      </c>
      <c r="I2" s="63" t="s">
        <v>21</v>
      </c>
      <c r="J2" s="68">
        <v>1.0</v>
      </c>
      <c r="K2" s="68">
        <v>9000.0</v>
      </c>
      <c r="L2" s="69">
        <f>K2/K$7</f>
        <v>0.005778120184899846</v>
      </c>
      <c r="N2" s="66">
        <f>K7</f>
        <v>1557600.0</v>
      </c>
      <c r="O2" s="70">
        <f>J7</f>
        <v>258.0</v>
      </c>
      <c r="P2" s="68">
        <f>COUNT(I2:I6,J2:J6)</f>
        <v>5.0</v>
      </c>
    </row>
    <row r="3" spans="8:8" ht="16.5" customHeight="1">
      <c r="A3" s="62">
        <v>46204.0</v>
      </c>
      <c r="B3" s="63" t="s">
        <v>22</v>
      </c>
      <c r="C3" s="64">
        <v>1.0</v>
      </c>
      <c r="D3" s="65">
        <v>9500.0</v>
      </c>
      <c r="E3" s="66">
        <f t="shared" si="0"/>
        <v>9500.0</v>
      </c>
      <c r="F3" s="63" t="s">
        <v>699</v>
      </c>
      <c r="G3" s="67" t="s">
        <v>16</v>
      </c>
      <c r="I3" s="63" t="s">
        <v>22</v>
      </c>
      <c r="J3" s="68">
        <v>1.0</v>
      </c>
      <c r="K3" s="68">
        <v>9500.0</v>
      </c>
      <c r="L3" s="69">
        <f>K3/K$7</f>
        <v>0.006099126861838726</v>
      </c>
    </row>
    <row r="4" spans="8:8" ht="16.5" customHeight="1">
      <c r="A4" s="62">
        <v>46204.0</v>
      </c>
      <c r="B4" s="71" t="s">
        <v>24</v>
      </c>
      <c r="C4" s="64">
        <v>1.0</v>
      </c>
      <c r="D4" s="65">
        <v>5400.0</v>
      </c>
      <c r="E4" s="66">
        <f t="shared" si="0"/>
        <v>5400.0</v>
      </c>
      <c r="F4" s="63" t="s">
        <v>700</v>
      </c>
      <c r="G4" s="67" t="s">
        <v>23</v>
      </c>
      <c r="I4" s="63" t="s">
        <v>24</v>
      </c>
      <c r="J4" s="68">
        <v>201.0</v>
      </c>
      <c r="K4" s="66">
        <f>SUM(E4+E5)</f>
        <v>995400.0</v>
      </c>
      <c r="L4" s="69">
        <f>K4/K$7</f>
        <v>0.639060092449923</v>
      </c>
    </row>
    <row r="5" spans="8:8" ht="16.5" customHeight="1">
      <c r="A5" s="62">
        <v>46204.0</v>
      </c>
      <c r="B5" s="71" t="s">
        <v>24</v>
      </c>
      <c r="C5" s="64">
        <v>200.0</v>
      </c>
      <c r="D5" s="65">
        <v>4950.0</v>
      </c>
      <c r="E5" s="66">
        <f t="shared" si="0"/>
        <v>990000.0</v>
      </c>
      <c r="F5" s="63" t="s">
        <v>25</v>
      </c>
      <c r="G5" s="67" t="s">
        <v>26</v>
      </c>
      <c r="I5" s="63" t="s">
        <v>27</v>
      </c>
      <c r="J5" s="68">
        <v>35.0</v>
      </c>
      <c r="K5" s="66">
        <f>E6</f>
        <v>280700.0</v>
      </c>
      <c r="L5" s="69">
        <f>K5/K$7</f>
        <v>0.18021314843348743</v>
      </c>
    </row>
    <row r="6" spans="8:8" ht="16.5" customHeight="1">
      <c r="A6" s="62">
        <v>46204.0</v>
      </c>
      <c r="B6" s="63" t="s">
        <v>27</v>
      </c>
      <c r="C6" s="64">
        <v>35.0</v>
      </c>
      <c r="D6" s="65">
        <v>8020.0</v>
      </c>
      <c r="E6" s="66">
        <f t="shared" si="0"/>
        <v>280700.0</v>
      </c>
      <c r="F6" s="63" t="s">
        <v>25</v>
      </c>
      <c r="G6" s="67" t="s">
        <v>26</v>
      </c>
      <c r="I6" s="63" t="s">
        <v>28</v>
      </c>
      <c r="J6" s="68">
        <v>20.0</v>
      </c>
      <c r="K6" s="66">
        <f>E7</f>
        <v>263000.0</v>
      </c>
      <c r="L6" s="69">
        <f>K6/K$7</f>
        <v>0.16884951206985105</v>
      </c>
    </row>
    <row r="7" spans="8:8" ht="16.5" customHeight="1">
      <c r="A7" s="62">
        <v>46204.0</v>
      </c>
      <c r="B7" s="63" t="s">
        <v>28</v>
      </c>
      <c r="C7" s="64">
        <v>20.0</v>
      </c>
      <c r="D7" s="65">
        <v>13150.0</v>
      </c>
      <c r="E7" s="66">
        <f t="shared" si="0"/>
        <v>263000.0</v>
      </c>
      <c r="F7" s="63" t="s">
        <v>25</v>
      </c>
      <c r="G7" s="67" t="s">
        <v>26</v>
      </c>
      <c r="I7" s="68" t="s">
        <v>701</v>
      </c>
      <c r="J7" s="70">
        <f>C8</f>
        <v>258.0</v>
      </c>
      <c r="K7" s="66">
        <f>SUM(K2:K6)</f>
        <v>1557600.0</v>
      </c>
      <c r="L7" s="69">
        <f>SUM(L2:L6)</f>
        <v>1.0</v>
      </c>
    </row>
    <row r="8" spans="8:8" ht="16.5" customHeight="1">
      <c r="A8" s="72"/>
      <c r="B8" s="73" t="s">
        <v>701</v>
      </c>
      <c r="C8" s="74">
        <f>SUM(C2:C7)</f>
        <v>258.0</v>
      </c>
      <c r="D8" s="75">
        <f>SUM(D2:D7)</f>
        <v>50020.0</v>
      </c>
      <c r="E8" s="76">
        <f>SUM(E2:E7)</f>
        <v>1557600.0</v>
      </c>
      <c r="F8" s="73"/>
      <c r="G8" s="77"/>
    </row>
    <row r="9" spans="8:8" ht="16.5" customHeight="1">
      <c r="A9" s="16"/>
      <c r="B9" s="6"/>
      <c r="C9" s="9"/>
      <c r="D9" s="8"/>
      <c r="E9" s="78"/>
      <c r="F9" s="6"/>
      <c r="G9" s="7"/>
      <c r="L9" s="79"/>
    </row>
    <row r="10" spans="8:8" ht="16.5" customHeight="1">
      <c r="A10" s="16"/>
      <c r="B10" s="6"/>
      <c r="C10" s="9"/>
      <c r="D10" s="8"/>
      <c r="E10" s="78"/>
      <c r="F10" s="6"/>
      <c r="G10" s="7"/>
      <c r="L10" s="79"/>
    </row>
    <row r="11" spans="8:8" ht="16.5" customHeight="1">
      <c r="A11" s="16"/>
      <c r="B11" s="6"/>
      <c r="C11" s="9"/>
      <c r="D11" s="8"/>
      <c r="E11" s="78"/>
      <c r="F11" s="6"/>
      <c r="G11" s="7"/>
      <c r="L11" s="79"/>
    </row>
    <row r="12" spans="8:8" ht="16.5" customHeight="1">
      <c r="A12" s="16"/>
      <c r="B12" s="6"/>
      <c r="C12" s="9"/>
      <c r="D12" s="8"/>
      <c r="E12" s="78"/>
      <c r="F12" s="6"/>
      <c r="G12" s="7"/>
      <c r="L12" s="79"/>
    </row>
    <row r="13" spans="8:8" ht="16.5" customHeight="1">
      <c r="A13" s="16"/>
      <c r="B13" s="6"/>
      <c r="C13" s="9"/>
      <c r="D13" s="8"/>
      <c r="E13" s="78"/>
      <c r="F13" s="6"/>
      <c r="G13" s="7"/>
      <c r="L13" s="79"/>
    </row>
    <row r="14" spans="8:8" ht="16.5" customHeight="1">
      <c r="A14" s="16"/>
      <c r="B14" s="6"/>
      <c r="C14" s="9"/>
      <c r="D14" s="8"/>
      <c r="E14" s="78"/>
      <c r="F14" s="6"/>
      <c r="G14" s="7"/>
      <c r="L14" s="79"/>
    </row>
    <row r="15" spans="8:8" ht="16.5" customHeight="1">
      <c r="A15" s="16"/>
      <c r="B15" s="6"/>
      <c r="C15" s="9"/>
      <c r="D15" s="8"/>
      <c r="E15" s="78"/>
      <c r="F15" s="6"/>
      <c r="G15" s="7"/>
      <c r="L15" s="79"/>
    </row>
    <row r="16" spans="8:8" ht="16.5" customHeight="1">
      <c r="A16" s="16"/>
      <c r="B16" s="6"/>
      <c r="C16" s="9"/>
      <c r="D16" s="8"/>
      <c r="E16" s="78"/>
      <c r="F16" s="6"/>
      <c r="G16" s="7"/>
      <c r="L16" s="79"/>
    </row>
    <row r="17" spans="8:8" ht="16.5" customHeight="1">
      <c r="A17" s="16"/>
      <c r="B17" s="6"/>
      <c r="C17" s="9"/>
      <c r="D17" s="8"/>
      <c r="E17" s="78"/>
      <c r="F17" s="6"/>
      <c r="G17" s="7"/>
      <c r="L17" s="79"/>
    </row>
    <row r="18" spans="8:8" ht="16.5" customHeight="1">
      <c r="A18" s="16"/>
      <c r="B18" s="6"/>
      <c r="C18" s="9"/>
      <c r="D18" s="8"/>
      <c r="E18" s="78"/>
      <c r="F18" s="6"/>
      <c r="G18" s="7"/>
    </row>
    <row r="19" spans="8:8" ht="16.5" customHeight="1">
      <c r="A19" s="16"/>
      <c r="B19" s="6"/>
      <c r="C19" s="9"/>
      <c r="D19" s="8"/>
      <c r="E19" s="78"/>
      <c r="F19" s="6"/>
      <c r="G19" s="7"/>
    </row>
    <row r="20" spans="8:8" ht="25.5" customHeight="1">
      <c r="A20" s="16"/>
      <c r="B20" s="6"/>
      <c r="C20" s="9"/>
      <c r="D20" s="8"/>
      <c r="E20" s="78"/>
      <c r="F20" s="6"/>
      <c r="G20" s="7"/>
      <c r="I20" s="61" t="s">
        <v>691</v>
      </c>
      <c r="J20" s="61" t="s">
        <v>690</v>
      </c>
      <c r="K20" s="61" t="s">
        <v>695</v>
      </c>
      <c r="L20" s="61" t="s">
        <v>702</v>
      </c>
    </row>
    <row r="21" spans="8:8" ht="16.5" customHeight="1">
      <c r="A21" s="16"/>
      <c r="B21" s="6"/>
      <c r="C21" s="9"/>
      <c r="D21" s="8"/>
      <c r="E21" s="78"/>
      <c r="F21" s="6"/>
      <c r="G21" s="7"/>
      <c r="I21" s="63" t="s">
        <v>699</v>
      </c>
      <c r="J21" s="66">
        <f>E2+E3</f>
        <v>18500.0</v>
      </c>
      <c r="K21" s="69">
        <f>J21/E$8</f>
        <v>0.011877247046738572</v>
      </c>
      <c r="L21" s="69">
        <v>0.09</v>
      </c>
    </row>
    <row r="22" spans="8:8" ht="16.5" customHeight="1">
      <c r="I22" s="63" t="s">
        <v>700</v>
      </c>
      <c r="J22" s="66">
        <f>E4</f>
        <v>5400.0</v>
      </c>
      <c r="K22" s="69">
        <f>J22/E$8</f>
        <v>0.0034668721109399076</v>
      </c>
      <c r="L22" s="69">
        <v>0.04</v>
      </c>
    </row>
    <row r="23" spans="8:8" ht="16.5" customHeight="1">
      <c r="I23" s="63" t="s">
        <v>25</v>
      </c>
      <c r="J23" s="66">
        <f>SUM(E5:E7)</f>
        <v>1533700.0</v>
      </c>
      <c r="K23" s="69">
        <f>J23/E8</f>
        <v>0.9846558808423215</v>
      </c>
      <c r="L23" s="69">
        <v>-0.03</v>
      </c>
    </row>
    <row r="24" spans="8:8" ht="16.5" customHeight="1">
      <c r="I24" s="80" t="s">
        <v>703</v>
      </c>
      <c r="J24" s="66">
        <f>SUM(J21:J23)</f>
        <v>1557600.0</v>
      </c>
      <c r="K24" s="69">
        <v>1.0</v>
      </c>
      <c r="L24" s="68"/>
    </row>
    <row r="25" spans="8:8" ht="16.5" customHeight="1">
      <c r="I25" s="81"/>
      <c r="J25" s="78"/>
      <c r="K25" s="79"/>
      <c r="L25" s="79"/>
    </row>
    <row r="28" spans="8:8" ht="25.5" customHeight="1">
      <c r="I28" s="61" t="s">
        <v>692</v>
      </c>
      <c r="J28" s="61" t="s">
        <v>690</v>
      </c>
      <c r="K28" s="61" t="s">
        <v>702</v>
      </c>
    </row>
    <row r="29" spans="8:8" ht="14.25" customHeight="1">
      <c r="I29" s="67" t="s">
        <v>16</v>
      </c>
      <c r="J29" s="66">
        <v>18500.0</v>
      </c>
      <c r="K29" s="69">
        <v>0.09</v>
      </c>
    </row>
    <row r="30" spans="8:8" ht="16.5" customHeight="1">
      <c r="I30" s="67" t="s">
        <v>23</v>
      </c>
      <c r="J30" s="8">
        <v>5400.0</v>
      </c>
      <c r="K30" s="69">
        <v>0.04</v>
      </c>
    </row>
    <row r="31" spans="8:8" ht="16.5" customHeight="1">
      <c r="I31" s="67" t="s">
        <v>26</v>
      </c>
      <c r="J31" s="8">
        <v>1533700.0</v>
      </c>
      <c r="K31" s="69">
        <v>-0.03</v>
      </c>
    </row>
    <row r="32" spans="8:8" ht="16.5" customHeight="1">
      <c r="I32" s="80" t="s">
        <v>703</v>
      </c>
      <c r="J32" s="66">
        <f>SUM(J29:J31)</f>
        <v>1557600.0</v>
      </c>
      <c r="K32" s="68"/>
    </row>
  </sheetData>
  <hyperlinks>
    <hyperlink ref="G2" r:id="rId3"/>
    <hyperlink ref="G3" r:id="rId4"/>
    <hyperlink ref="G4" r:id="rId5"/>
    <hyperlink ref="G5" r:id="rId6"/>
    <hyperlink ref="G6" r:id="rId7"/>
    <hyperlink ref="G7" r:id="rId8"/>
    <hyperlink ref="I29" r:id="rId9"/>
    <hyperlink ref="I30" r:id="rId10"/>
    <hyperlink ref="I31" r:id="rId11"/>
  </hyperlinks>
  <pageMargins left="0.7" right="0.7" top="0.75" bottom="0.75" header="0.511811023622047" footer="0.511811023622047"/>
  <drawing r:id="rId1"/>
  <legacyDrawing r:id="rId2"/>
</worksheet>
</file>

<file path=xl/worksheets/sheet5.xml><?xml version="1.0" encoding="utf-8"?>
<worksheet xmlns:r="http://schemas.openxmlformats.org/officeDocument/2006/relationships" xmlns="http://schemas.openxmlformats.org/spreadsheetml/2006/main">
  <dimension ref="A1:R60"/>
  <sheetViews>
    <sheetView workbookViewId="0" topLeftCell="B29" zoomScale="56">
      <selection activeCell="J60" sqref="J60"/>
    </sheetView>
  </sheetViews>
  <sheetFormatPr defaultRowHeight="14.5"/>
  <cols>
    <col min="1" max="1" customWidth="1" width="11.542969" style="60"/>
    <col min="2" max="2" customWidth="1" width="24.089844" style="60"/>
    <col min="3" max="3" customWidth="1" width="10.90625" style="60"/>
    <col min="4" max="4" customWidth="1" width="13.363281" style="60"/>
    <col min="5" max="5" customWidth="1" width="12.453125" style="60"/>
    <col min="6" max="6" customWidth="1" width="18.0" style="60"/>
    <col min="7" max="7" customWidth="1" width="11.90625" style="60"/>
    <col min="9" max="9" customWidth="1" width="18.0" style="60"/>
    <col min="10" max="10" customWidth="1" width="14.90625" style="60"/>
    <col min="11" max="11" customWidth="1" width="21.179688" style="60"/>
    <col min="12" max="12" customWidth="1" width="13.542969" style="60"/>
    <col min="13" max="13" customWidth="1" width="9.269531" style="60"/>
    <col min="14" max="14" customWidth="1" width="12.1796875" style="60"/>
    <col min="15" max="15" customWidth="1" width="15.453125" style="60"/>
    <col min="16" max="16" customWidth="1" width="15.542969" style="60"/>
    <col min="17" max="17" customWidth="1" width="9.269531" style="60"/>
  </cols>
  <sheetData>
    <row r="1" spans="8:8" ht="25.5" customHeight="1">
      <c r="A1" s="61" t="s">
        <v>686</v>
      </c>
      <c r="B1" s="61" t="s">
        <v>687</v>
      </c>
      <c r="C1" s="61" t="s">
        <v>688</v>
      </c>
      <c r="D1" s="61" t="s">
        <v>689</v>
      </c>
      <c r="E1" s="61" t="s">
        <v>690</v>
      </c>
      <c r="F1" s="61" t="s">
        <v>691</v>
      </c>
      <c r="G1" s="61" t="s">
        <v>692</v>
      </c>
      <c r="I1" s="61" t="s">
        <v>687</v>
      </c>
      <c r="J1" s="61" t="s">
        <v>693</v>
      </c>
      <c r="K1" s="61" t="s">
        <v>694</v>
      </c>
      <c r="L1" s="61" t="s">
        <v>695</v>
      </c>
      <c r="N1" s="61" t="s">
        <v>696</v>
      </c>
      <c r="O1" s="61" t="s">
        <v>697</v>
      </c>
      <c r="P1" s="61" t="s">
        <v>698</v>
      </c>
    </row>
    <row r="2" spans="8:8" ht="16.5" customHeight="1">
      <c r="A2" s="16">
        <v>46205.0</v>
      </c>
      <c r="B2" s="82" t="s">
        <v>24</v>
      </c>
      <c r="C2" s="64">
        <v>40.0</v>
      </c>
      <c r="D2" s="65">
        <v>4900.0</v>
      </c>
      <c r="E2" s="66">
        <f t="shared" si="0" ref="E2:E30">C2*D2</f>
        <v>196000.0</v>
      </c>
      <c r="F2" s="63" t="s">
        <v>29</v>
      </c>
      <c r="G2" s="67" t="s">
        <v>30</v>
      </c>
      <c r="I2" s="82" t="s">
        <v>24</v>
      </c>
      <c r="J2" s="68">
        <f>C2+C25</f>
        <v>300.0</v>
      </c>
      <c r="K2" s="66">
        <f>SUM(E2+E25)</f>
        <v>1496000.0</v>
      </c>
      <c r="L2" s="69">
        <f t="shared" si="1" ref="L2:L20">K2/K$20</f>
        <v>0.3537199110498459</v>
      </c>
      <c r="N2" s="66">
        <f>K20</f>
        <v>4229335.0</v>
      </c>
      <c r="O2" s="70">
        <f>J20</f>
        <v>488.0</v>
      </c>
      <c r="P2" s="68">
        <f>COUNT(I2:I19,J2:J19)</f>
        <v>18.0</v>
      </c>
    </row>
    <row r="3" spans="8:8" ht="16.5" customHeight="1">
      <c r="A3" s="16">
        <v>46205.0</v>
      </c>
      <c r="B3" s="83" t="s">
        <v>31</v>
      </c>
      <c r="C3" s="64">
        <v>15.0</v>
      </c>
      <c r="D3" s="65">
        <v>17845.0</v>
      </c>
      <c r="E3" s="66">
        <f t="shared" si="0"/>
        <v>267675.0</v>
      </c>
      <c r="F3" s="63" t="s">
        <v>29</v>
      </c>
      <c r="G3" s="67" t="s">
        <v>30</v>
      </c>
      <c r="I3" s="83" t="s">
        <v>31</v>
      </c>
      <c r="J3" s="68">
        <f>C3+C11+C21</f>
        <v>32.0</v>
      </c>
      <c r="K3" s="66">
        <f>E3+E11+E21</f>
        <v>558375.0</v>
      </c>
      <c r="L3" s="69">
        <f t="shared" si="1"/>
        <v>0.1320243016928193</v>
      </c>
    </row>
    <row r="4" spans="8:8" ht="16.5" customHeight="1">
      <c r="A4" s="16">
        <v>46205.0</v>
      </c>
      <c r="B4" s="84" t="s">
        <v>32</v>
      </c>
      <c r="C4" s="64">
        <v>3.0</v>
      </c>
      <c r="D4" s="65">
        <v>16145.0</v>
      </c>
      <c r="E4" s="66">
        <f t="shared" si="0"/>
        <v>48435.0</v>
      </c>
      <c r="F4" s="63" t="s">
        <v>29</v>
      </c>
      <c r="G4" s="67" t="s">
        <v>30</v>
      </c>
      <c r="I4" s="84" t="s">
        <v>32</v>
      </c>
      <c r="J4" s="68">
        <f>C4+C18</f>
        <v>33.0</v>
      </c>
      <c r="K4" s="66">
        <f>SUM(E4+E18)</f>
        <v>518085.0</v>
      </c>
      <c r="L4" s="69">
        <f t="shared" si="1"/>
        <v>0.12249798136113597</v>
      </c>
    </row>
    <row r="5" spans="8:8" ht="16.5" customHeight="1">
      <c r="A5" s="16">
        <v>46205.0</v>
      </c>
      <c r="B5" s="85" t="s">
        <v>33</v>
      </c>
      <c r="C5" s="64">
        <v>2.0</v>
      </c>
      <c r="D5" s="65">
        <v>16145.0</v>
      </c>
      <c r="E5" s="66">
        <f t="shared" si="0"/>
        <v>32290.0</v>
      </c>
      <c r="F5" s="63" t="s">
        <v>29</v>
      </c>
      <c r="G5" s="67" t="s">
        <v>30</v>
      </c>
      <c r="I5" s="63" t="s">
        <v>56</v>
      </c>
      <c r="J5" s="68">
        <v>1.0</v>
      </c>
      <c r="K5" s="66">
        <f>E26</f>
        <v>24235.0</v>
      </c>
      <c r="L5" s="69">
        <f t="shared" si="1"/>
        <v>0.0057302152702493414</v>
      </c>
    </row>
    <row r="6" spans="8:8" ht="16.5" customHeight="1">
      <c r="A6" s="16">
        <v>46205.0</v>
      </c>
      <c r="B6" s="86" t="s">
        <v>28</v>
      </c>
      <c r="C6" s="64">
        <v>5.0</v>
      </c>
      <c r="D6" s="65">
        <v>13200.0</v>
      </c>
      <c r="E6" s="66">
        <f t="shared" si="0"/>
        <v>66000.0</v>
      </c>
      <c r="F6" s="63" t="s">
        <v>29</v>
      </c>
      <c r="G6" s="67" t="s">
        <v>30</v>
      </c>
      <c r="I6" s="86" t="s">
        <v>28</v>
      </c>
      <c r="J6" s="68">
        <f>C6+C19</f>
        <v>40.0</v>
      </c>
      <c r="K6" s="66">
        <f>SUM(E6+E19)</f>
        <v>517500.0</v>
      </c>
      <c r="L6" s="69">
        <f t="shared" si="1"/>
        <v>0.12235966174351287</v>
      </c>
    </row>
    <row r="7" spans="8:8" ht="16.5" customHeight="1">
      <c r="A7" s="16">
        <v>46205.0</v>
      </c>
      <c r="B7" s="87" t="s">
        <v>34</v>
      </c>
      <c r="C7" s="64">
        <v>2.0</v>
      </c>
      <c r="D7" s="65">
        <v>22740.0</v>
      </c>
      <c r="E7" s="66">
        <f t="shared" si="0"/>
        <v>45480.0</v>
      </c>
      <c r="F7" s="63" t="s">
        <v>29</v>
      </c>
      <c r="G7" s="67" t="s">
        <v>30</v>
      </c>
      <c r="I7" s="87" t="s">
        <v>34</v>
      </c>
      <c r="J7" s="68">
        <f>C7+C20+C22</f>
        <v>8.0</v>
      </c>
      <c r="K7" s="66">
        <f>SUM(E7+E20+E22)</f>
        <v>176695.0</v>
      </c>
      <c r="L7" s="69">
        <f t="shared" si="1"/>
        <v>0.04177843561694687</v>
      </c>
    </row>
    <row r="8" spans="8:8" ht="16.5" customHeight="1">
      <c r="A8" s="16">
        <v>46205.0</v>
      </c>
      <c r="B8" s="63" t="s">
        <v>35</v>
      </c>
      <c r="C8" s="64">
        <v>2.0</v>
      </c>
      <c r="D8" s="65">
        <v>21170.0</v>
      </c>
      <c r="E8" s="66">
        <f t="shared" si="0"/>
        <v>42340.0</v>
      </c>
      <c r="F8" s="63" t="s">
        <v>29</v>
      </c>
      <c r="G8" s="67" t="s">
        <v>30</v>
      </c>
      <c r="I8" s="63" t="s">
        <v>35</v>
      </c>
      <c r="J8" s="68">
        <v>2.0</v>
      </c>
      <c r="K8" s="66">
        <f>E8</f>
        <v>42340.0</v>
      </c>
      <c r="L8" s="69">
        <f t="shared" si="1"/>
        <v>0.010011030102841227</v>
      </c>
    </row>
    <row r="9" spans="8:8" ht="16.5" customHeight="1">
      <c r="A9" s="16">
        <v>46205.0</v>
      </c>
      <c r="B9" s="63" t="s">
        <v>36</v>
      </c>
      <c r="C9" s="64">
        <v>6.0</v>
      </c>
      <c r="D9" s="65">
        <v>15525.0</v>
      </c>
      <c r="E9" s="66">
        <f t="shared" si="0"/>
        <v>93150.0</v>
      </c>
      <c r="F9" s="63" t="s">
        <v>29</v>
      </c>
      <c r="G9" s="67" t="s">
        <v>30</v>
      </c>
      <c r="I9" s="63" t="s">
        <v>36</v>
      </c>
      <c r="J9" s="68">
        <v>6.0</v>
      </c>
      <c r="K9" s="66">
        <f>E9</f>
        <v>93150.0</v>
      </c>
      <c r="L9" s="69">
        <f t="shared" si="1"/>
        <v>0.022024739113832317</v>
      </c>
    </row>
    <row r="10" spans="8:8" ht="16.5" customHeight="1">
      <c r="A10" s="16">
        <v>46205.0</v>
      </c>
      <c r="B10" s="88" t="s">
        <v>37</v>
      </c>
      <c r="C10" s="64">
        <v>2.0</v>
      </c>
      <c r="D10" s="65">
        <v>8880.0</v>
      </c>
      <c r="E10" s="66">
        <f t="shared" si="0"/>
        <v>17760.0</v>
      </c>
      <c r="F10" s="63" t="s">
        <v>29</v>
      </c>
      <c r="G10" s="67" t="s">
        <v>30</v>
      </c>
      <c r="I10" s="88" t="s">
        <v>37</v>
      </c>
      <c r="J10" s="68">
        <v>2.0</v>
      </c>
      <c r="K10" s="66">
        <f>E10</f>
        <v>17760.0</v>
      </c>
      <c r="L10" s="69">
        <f t="shared" si="1"/>
        <v>0.004199241724762877</v>
      </c>
    </row>
    <row r="11" spans="8:8" ht="16.5" customHeight="1">
      <c r="A11" s="16">
        <v>46205.0</v>
      </c>
      <c r="B11" s="83" t="s">
        <v>31</v>
      </c>
      <c r="C11" s="64">
        <v>15.0</v>
      </c>
      <c r="D11" s="65">
        <v>17100.0</v>
      </c>
      <c r="E11" s="66">
        <f t="shared" si="0"/>
        <v>256500.0</v>
      </c>
      <c r="F11" s="63" t="s">
        <v>29</v>
      </c>
      <c r="G11" s="67" t="s">
        <v>39</v>
      </c>
      <c r="I11" s="89" t="s">
        <v>22</v>
      </c>
      <c r="J11" s="68">
        <f>C12+C23</f>
        <v>12.0</v>
      </c>
      <c r="K11" s="66">
        <f>E12+E23</f>
        <v>103200.0</v>
      </c>
      <c r="L11" s="69">
        <f t="shared" si="1"/>
        <v>0.024400999211459957</v>
      </c>
    </row>
    <row r="12" spans="8:8" ht="16.5" customHeight="1">
      <c r="A12" s="16">
        <v>46205.0</v>
      </c>
      <c r="B12" s="89" t="s">
        <v>22</v>
      </c>
      <c r="C12" s="64">
        <v>10.0</v>
      </c>
      <c r="D12" s="65">
        <v>8600.0</v>
      </c>
      <c r="E12" s="66">
        <f t="shared" si="0"/>
        <v>86000.0</v>
      </c>
      <c r="F12" s="63" t="s">
        <v>40</v>
      </c>
      <c r="G12" s="67" t="s">
        <v>41</v>
      </c>
      <c r="I12" s="63" t="s">
        <v>43</v>
      </c>
      <c r="J12" s="68">
        <v>1.0</v>
      </c>
      <c r="K12" s="66">
        <f>E13</f>
        <v>17700.0</v>
      </c>
      <c r="L12" s="69">
        <f t="shared" si="1"/>
        <v>0.004185055097314353</v>
      </c>
    </row>
    <row r="13" spans="8:8" ht="16.5" customHeight="1">
      <c r="A13" s="16">
        <v>46205.0</v>
      </c>
      <c r="B13" s="63" t="s">
        <v>43</v>
      </c>
      <c r="C13" s="64">
        <v>1.0</v>
      </c>
      <c r="D13" s="65">
        <v>17700.0</v>
      </c>
      <c r="E13" s="66">
        <f t="shared" si="0"/>
        <v>17700.0</v>
      </c>
      <c r="F13" s="63" t="s">
        <v>29</v>
      </c>
      <c r="G13" s="67" t="s">
        <v>42</v>
      </c>
      <c r="I13" s="63" t="s">
        <v>21</v>
      </c>
      <c r="J13" s="68">
        <v>1.0</v>
      </c>
      <c r="K13" s="66">
        <f>E14</f>
        <v>8500.0</v>
      </c>
      <c r="L13" s="69">
        <f t="shared" si="1"/>
        <v>0.0020097722218741245</v>
      </c>
    </row>
    <row r="14" spans="8:8" ht="16.5" customHeight="1">
      <c r="A14" s="16">
        <v>46205.0</v>
      </c>
      <c r="B14" s="63" t="s">
        <v>21</v>
      </c>
      <c r="C14" s="64">
        <v>1.0</v>
      </c>
      <c r="D14" s="65">
        <v>8500.0</v>
      </c>
      <c r="E14" s="66">
        <f t="shared" si="0"/>
        <v>8500.0</v>
      </c>
      <c r="F14" s="63" t="s">
        <v>29</v>
      </c>
      <c r="G14" s="67" t="s">
        <v>42</v>
      </c>
      <c r="I14" s="63" t="s">
        <v>44</v>
      </c>
      <c r="J14" s="68">
        <v>1.0</v>
      </c>
      <c r="K14" s="66">
        <f>E15</f>
        <v>9200.0</v>
      </c>
      <c r="L14" s="69">
        <f t="shared" si="1"/>
        <v>0.0021752828754402287</v>
      </c>
    </row>
    <row r="15" spans="8:8" ht="16.5" customHeight="1">
      <c r="A15" s="16">
        <v>46205.0</v>
      </c>
      <c r="B15" s="63" t="s">
        <v>44</v>
      </c>
      <c r="C15" s="64">
        <v>1.0</v>
      </c>
      <c r="D15" s="65">
        <v>9200.0</v>
      </c>
      <c r="E15" s="66">
        <f t="shared" si="0"/>
        <v>9200.0</v>
      </c>
      <c r="F15" s="63" t="s">
        <v>29</v>
      </c>
      <c r="G15" s="67" t="s">
        <v>42</v>
      </c>
      <c r="I15" s="63" t="s">
        <v>45</v>
      </c>
      <c r="J15" s="68">
        <v>2.0</v>
      </c>
      <c r="K15" s="66">
        <f>E16</f>
        <v>26670.0</v>
      </c>
      <c r="L15" s="69">
        <f t="shared" si="1"/>
        <v>0.006305955900868576</v>
      </c>
    </row>
    <row r="16" spans="8:8" ht="16.5" customHeight="1">
      <c r="A16" s="16">
        <v>46205.0</v>
      </c>
      <c r="B16" s="63" t="s">
        <v>45</v>
      </c>
      <c r="C16" s="64">
        <v>2.0</v>
      </c>
      <c r="D16" s="65">
        <v>13335.0</v>
      </c>
      <c r="E16" s="66">
        <f t="shared" si="0"/>
        <v>26670.0</v>
      </c>
      <c r="F16" s="63" t="s">
        <v>29</v>
      </c>
      <c r="G16" s="67" t="s">
        <v>42</v>
      </c>
      <c r="I16" s="85" t="s">
        <v>33</v>
      </c>
      <c r="J16" s="68">
        <f>C5+C17</f>
        <v>27.0</v>
      </c>
      <c r="K16" s="66">
        <f>E5+E17</f>
        <v>423665.0</v>
      </c>
      <c r="L16" s="69">
        <f t="shared" si="1"/>
        <v>0.10017295863297658</v>
      </c>
    </row>
    <row r="17" spans="8:8" ht="16.5" customHeight="1">
      <c r="A17" s="16">
        <v>46205.0</v>
      </c>
      <c r="B17" s="85" t="s">
        <v>33</v>
      </c>
      <c r="C17" s="64">
        <v>25.0</v>
      </c>
      <c r="D17" s="65">
        <v>15655.0</v>
      </c>
      <c r="E17" s="66">
        <f t="shared" si="0"/>
        <v>391375.0</v>
      </c>
      <c r="F17" s="63" t="s">
        <v>50</v>
      </c>
      <c r="G17" s="67" t="s">
        <v>51</v>
      </c>
      <c r="I17" s="90" t="s">
        <v>27</v>
      </c>
      <c r="J17" s="68">
        <f>C27+C28</f>
        <v>15.0</v>
      </c>
      <c r="K17" s="66">
        <f>E27+E28</f>
        <v>120300.0</v>
      </c>
      <c r="L17" s="69">
        <f t="shared" si="1"/>
        <v>0.028444188034289077</v>
      </c>
    </row>
    <row r="18" spans="8:8" ht="16.5" customHeight="1">
      <c r="A18" s="16">
        <v>46205.0</v>
      </c>
      <c r="B18" s="84" t="s">
        <v>32</v>
      </c>
      <c r="C18" s="64">
        <v>30.0</v>
      </c>
      <c r="D18" s="65">
        <v>15655.0</v>
      </c>
      <c r="E18" s="66">
        <f t="shared" si="0"/>
        <v>469650.0</v>
      </c>
      <c r="F18" s="63" t="s">
        <v>50</v>
      </c>
      <c r="G18" s="67" t="s">
        <v>51</v>
      </c>
      <c r="I18" s="63" t="s">
        <v>61</v>
      </c>
      <c r="J18" s="68">
        <v>2.0</v>
      </c>
      <c r="K18" s="66">
        <f>E29</f>
        <v>25770.0</v>
      </c>
      <c r="L18" s="69">
        <f t="shared" si="1"/>
        <v>0.006093156489140728</v>
      </c>
    </row>
    <row r="19" spans="8:8" ht="16.5" customHeight="1">
      <c r="A19" s="16">
        <v>46205.0</v>
      </c>
      <c r="B19" s="86" t="s">
        <v>28</v>
      </c>
      <c r="C19" s="64">
        <v>35.0</v>
      </c>
      <c r="D19" s="65">
        <v>12900.0</v>
      </c>
      <c r="E19" s="66">
        <f t="shared" si="0"/>
        <v>451500.0</v>
      </c>
      <c r="F19" s="63" t="s">
        <v>50</v>
      </c>
      <c r="G19" s="67" t="s">
        <v>51</v>
      </c>
      <c r="I19" s="63" t="s">
        <v>62</v>
      </c>
      <c r="J19" s="68">
        <v>2.0</v>
      </c>
      <c r="K19" s="66">
        <f>E30</f>
        <v>41310.0</v>
      </c>
      <c r="L19" s="69">
        <f t="shared" si="1"/>
        <v>0.009767492998308244</v>
      </c>
    </row>
    <row r="20" spans="8:8" ht="16.5" customHeight="1">
      <c r="A20" s="16">
        <v>46205.0</v>
      </c>
      <c r="B20" s="87" t="s">
        <v>34</v>
      </c>
      <c r="C20" s="64">
        <v>5.0</v>
      </c>
      <c r="D20" s="65">
        <v>21695.0</v>
      </c>
      <c r="E20" s="66">
        <f t="shared" si="0"/>
        <v>108475.0</v>
      </c>
      <c r="F20" s="63" t="s">
        <v>50</v>
      </c>
      <c r="G20" s="67" t="s">
        <v>51</v>
      </c>
      <c r="I20" s="68" t="s">
        <v>701</v>
      </c>
      <c r="J20" s="70">
        <f>C31</f>
        <v>488.0</v>
      </c>
      <c r="K20" s="66">
        <f>E31</f>
        <v>4229335.0</v>
      </c>
      <c r="L20" s="69">
        <f t="shared" si="1"/>
        <v>1.0</v>
      </c>
    </row>
    <row r="21" spans="8:8" ht="16.5" customHeight="1">
      <c r="A21" s="16">
        <v>46205.0</v>
      </c>
      <c r="B21" s="83" t="s">
        <v>31</v>
      </c>
      <c r="C21" s="64">
        <v>2.0</v>
      </c>
      <c r="D21" s="65">
        <v>17100.0</v>
      </c>
      <c r="E21" s="66">
        <f t="shared" si="0"/>
        <v>34200.0</v>
      </c>
      <c r="F21" s="63" t="s">
        <v>29</v>
      </c>
      <c r="G21" s="67" t="s">
        <v>52</v>
      </c>
    </row>
    <row r="22" spans="8:8" ht="16.5" customHeight="1">
      <c r="A22" s="16">
        <v>46205.0</v>
      </c>
      <c r="B22" s="87" t="s">
        <v>34</v>
      </c>
      <c r="C22" s="64">
        <v>1.0</v>
      </c>
      <c r="D22" s="65">
        <v>22740.0</v>
      </c>
      <c r="E22" s="66">
        <f t="shared" si="0"/>
        <v>22740.0</v>
      </c>
      <c r="F22" s="63" t="s">
        <v>29</v>
      </c>
      <c r="G22" s="67" t="s">
        <v>52</v>
      </c>
      <c r="I22" s="6"/>
    </row>
    <row r="23" spans="8:8" ht="16.5" customHeight="1">
      <c r="A23" s="16">
        <v>46205.0</v>
      </c>
      <c r="B23" s="89" t="s">
        <v>22</v>
      </c>
      <c r="C23" s="64">
        <v>2.0</v>
      </c>
      <c r="D23" s="65">
        <v>8600.0</v>
      </c>
      <c r="E23" s="66">
        <f t="shared" si="0"/>
        <v>17200.0</v>
      </c>
      <c r="F23" s="63" t="s">
        <v>40</v>
      </c>
      <c r="G23" s="67" t="s">
        <v>53</v>
      </c>
      <c r="I23" s="6"/>
    </row>
    <row r="24" spans="8:8" ht="16.5" customHeight="1">
      <c r="A24" s="16">
        <v>46205.0</v>
      </c>
      <c r="B24" s="88" t="s">
        <v>37</v>
      </c>
      <c r="C24" s="64">
        <v>1.0</v>
      </c>
      <c r="D24" s="65">
        <v>8880.0</v>
      </c>
      <c r="E24" s="66">
        <f t="shared" si="0"/>
        <v>8880.0</v>
      </c>
      <c r="F24" s="63" t="s">
        <v>29</v>
      </c>
      <c r="G24" s="67" t="s">
        <v>54</v>
      </c>
      <c r="I24" s="6"/>
    </row>
    <row r="25" spans="8:8" ht="16.5" customHeight="1">
      <c r="A25" s="16">
        <v>46205.0</v>
      </c>
      <c r="B25" s="82" t="s">
        <v>24</v>
      </c>
      <c r="C25" s="64">
        <v>260.0</v>
      </c>
      <c r="D25" s="65">
        <v>5000.0</v>
      </c>
      <c r="E25" s="66">
        <f t="shared" si="0"/>
        <v>1300000.0</v>
      </c>
      <c r="F25" s="63" t="s">
        <v>25</v>
      </c>
      <c r="G25" s="67" t="s">
        <v>55</v>
      </c>
      <c r="I25" s="6"/>
      <c r="J25" s="78"/>
      <c r="K25" s="79"/>
      <c r="L25" s="79"/>
    </row>
    <row r="26" spans="8:8" ht="16.5" customHeight="1">
      <c r="A26" s="16">
        <v>46205.0</v>
      </c>
      <c r="B26" s="63" t="s">
        <v>56</v>
      </c>
      <c r="C26" s="64">
        <v>1.0</v>
      </c>
      <c r="D26" s="65">
        <v>24235.0</v>
      </c>
      <c r="E26" s="66">
        <f t="shared" si="0"/>
        <v>24235.0</v>
      </c>
      <c r="F26" s="63" t="s">
        <v>25</v>
      </c>
      <c r="G26" s="67" t="s">
        <v>55</v>
      </c>
      <c r="I26" s="6"/>
    </row>
    <row r="27" spans="8:8" ht="16.5" customHeight="1">
      <c r="A27" s="16">
        <v>46205.0</v>
      </c>
      <c r="B27" s="90" t="s">
        <v>27</v>
      </c>
      <c r="C27" s="64">
        <v>5.0</v>
      </c>
      <c r="D27" s="65">
        <v>8020.0</v>
      </c>
      <c r="E27" s="66">
        <f t="shared" si="0"/>
        <v>40100.0</v>
      </c>
      <c r="F27" s="63" t="s">
        <v>25</v>
      </c>
      <c r="G27" s="67" t="s">
        <v>57</v>
      </c>
      <c r="I27" s="6"/>
    </row>
    <row r="28" spans="8:8" ht="16.5" customHeight="1">
      <c r="A28" s="16">
        <v>46205.0</v>
      </c>
      <c r="B28" s="90" t="s">
        <v>27</v>
      </c>
      <c r="C28" s="64">
        <v>10.0</v>
      </c>
      <c r="D28" s="65">
        <v>8020.0</v>
      </c>
      <c r="E28" s="66">
        <f t="shared" si="0"/>
        <v>80200.0</v>
      </c>
      <c r="F28" s="63" t="s">
        <v>25</v>
      </c>
      <c r="G28" s="67" t="s">
        <v>58</v>
      </c>
    </row>
    <row r="29" spans="8:8" ht="16.5" customHeight="1">
      <c r="A29" s="16">
        <v>46205.0</v>
      </c>
      <c r="B29" s="63" t="s">
        <v>61</v>
      </c>
      <c r="C29" s="64">
        <v>2.0</v>
      </c>
      <c r="D29" s="65">
        <v>12885.0</v>
      </c>
      <c r="E29" s="66">
        <f t="shared" si="0"/>
        <v>25770.0</v>
      </c>
      <c r="F29" s="63" t="s">
        <v>59</v>
      </c>
      <c r="G29" s="67" t="s">
        <v>60</v>
      </c>
    </row>
    <row r="30" spans="8:8" ht="16.5" customHeight="1">
      <c r="A30" s="16">
        <v>46205.0</v>
      </c>
      <c r="B30" s="63" t="s">
        <v>62</v>
      </c>
      <c r="C30" s="64">
        <v>2.0</v>
      </c>
      <c r="D30" s="65">
        <v>20655.0</v>
      </c>
      <c r="E30" s="66">
        <f t="shared" si="0"/>
        <v>41310.0</v>
      </c>
      <c r="F30" s="63" t="s">
        <v>59</v>
      </c>
      <c r="G30" s="67" t="s">
        <v>60</v>
      </c>
    </row>
    <row r="31" spans="8:8" ht="16.5" customHeight="1">
      <c r="A31" s="68"/>
      <c r="B31" s="63" t="s">
        <v>701</v>
      </c>
      <c r="C31" s="68">
        <f>SUM(C2:C30)</f>
        <v>488.0</v>
      </c>
      <c r="D31" s="70">
        <f>SUM(D2:D30)</f>
        <v>413025.0</v>
      </c>
      <c r="E31" s="66">
        <f>SUM(E2:E30)</f>
        <v>4229335.0</v>
      </c>
      <c r="F31" s="68"/>
      <c r="G31" s="68"/>
    </row>
    <row r="36" spans="8:8" ht="14.25" customHeight="1">
      <c r="E36" s="91">
        <f>SUM(E2:E11)</f>
        <v>1065630.0</v>
      </c>
    </row>
    <row r="37" spans="8:8" ht="14.25" customHeight="1">
      <c r="E37" s="91">
        <f>SUM(E13:E16)</f>
        <v>62070.0</v>
      </c>
    </row>
    <row r="38" spans="8:8" ht="13.5" customHeight="1">
      <c r="E38" s="91">
        <f>+E21+E22</f>
        <v>56940.0</v>
      </c>
      <c r="I38" s="61" t="s">
        <v>691</v>
      </c>
      <c r="J38" s="61" t="s">
        <v>690</v>
      </c>
      <c r="K38" s="61" t="s">
        <v>695</v>
      </c>
      <c r="L38" s="61" t="s">
        <v>702</v>
      </c>
    </row>
    <row r="39" spans="8:8" ht="16.5" customHeight="1">
      <c r="I39" s="63" t="s">
        <v>29</v>
      </c>
      <c r="J39" s="66">
        <f>E36+E37+E38+E24</f>
        <v>1193520.0</v>
      </c>
      <c r="K39" s="69">
        <f t="shared" si="2" ref="K39:K44">J39/E$31</f>
        <v>0.28220039320602414</v>
      </c>
      <c r="L39" s="69" t="s">
        <v>704</v>
      </c>
    </row>
    <row r="40" spans="8:8" ht="16.5" customHeight="1">
      <c r="I40" s="63" t="s">
        <v>40</v>
      </c>
      <c r="J40" s="66">
        <f>E12+E23</f>
        <v>103200.0</v>
      </c>
      <c r="K40" s="69">
        <f t="shared" si="2"/>
        <v>0.024400999211459957</v>
      </c>
      <c r="L40" s="69">
        <v>0.09</v>
      </c>
    </row>
    <row r="41" spans="8:8" ht="16.5" customHeight="1">
      <c r="I41" s="63" t="s">
        <v>50</v>
      </c>
      <c r="J41" s="66">
        <f>SUM(E17:E20)</f>
        <v>1421000.0</v>
      </c>
      <c r="K41" s="69">
        <f t="shared" si="2"/>
        <v>0.3359866267391919</v>
      </c>
      <c r="L41" s="69">
        <v>0.0</v>
      </c>
    </row>
    <row r="42" spans="8:8" ht="16.5" customHeight="1">
      <c r="I42" s="63" t="s">
        <v>25</v>
      </c>
      <c r="J42" s="66">
        <f>SUM(E25:E28)</f>
        <v>1444535.0</v>
      </c>
      <c r="K42" s="69">
        <f t="shared" si="2"/>
        <v>0.3415513313558751</v>
      </c>
      <c r="L42" s="68"/>
    </row>
    <row r="43" spans="8:8" ht="16.5" customHeight="1">
      <c r="I43" s="63" t="s">
        <v>59</v>
      </c>
      <c r="J43" s="66">
        <f>E29+E30</f>
        <v>67080.0</v>
      </c>
      <c r="K43" s="69">
        <f t="shared" si="2"/>
        <v>0.01586064948744897</v>
      </c>
      <c r="L43" s="69">
        <v>0.06</v>
      </c>
    </row>
    <row r="44" spans="8:8" ht="16.5" customHeight="1">
      <c r="I44" s="80" t="s">
        <v>703</v>
      </c>
      <c r="J44" s="66">
        <f>SUM(J39:J43)</f>
        <v>4229335.0</v>
      </c>
      <c r="K44" s="69">
        <f t="shared" si="2"/>
        <v>1.0</v>
      </c>
      <c r="L44" s="68"/>
    </row>
    <row r="47" spans="8:8" ht="14.25" customHeight="1">
      <c r="I47" s="61" t="s">
        <v>692</v>
      </c>
      <c r="J47" s="61" t="s">
        <v>690</v>
      </c>
      <c r="K47" s="61" t="s">
        <v>702</v>
      </c>
    </row>
    <row r="48" spans="8:8" ht="16.5" customHeight="1">
      <c r="I48" s="67" t="s">
        <v>30</v>
      </c>
      <c r="J48" s="92">
        <v>821130.0</v>
      </c>
      <c r="K48" s="69">
        <v>0.01</v>
      </c>
    </row>
    <row r="49" spans="8:8" ht="16.5" customHeight="1">
      <c r="I49" s="67" t="s">
        <v>39</v>
      </c>
      <c r="J49" s="92">
        <v>256500.0</v>
      </c>
      <c r="K49" s="69">
        <v>0.0</v>
      </c>
    </row>
    <row r="50" spans="8:8" ht="16.5" customHeight="1">
      <c r="I50" s="67" t="s">
        <v>41</v>
      </c>
      <c r="J50" s="92">
        <v>86000.0</v>
      </c>
      <c r="K50" s="69">
        <v>0.0</v>
      </c>
    </row>
    <row r="51" spans="8:8" ht="16.5" customHeight="1">
      <c r="I51" s="67" t="s">
        <v>42</v>
      </c>
      <c r="J51" s="92">
        <v>62070.0</v>
      </c>
      <c r="K51" s="69">
        <v>0.04</v>
      </c>
    </row>
    <row r="52" spans="8:8" ht="16.5" customHeight="1">
      <c r="I52" s="67" t="s">
        <v>51</v>
      </c>
      <c r="J52" s="92">
        <v>1421000.0</v>
      </c>
      <c r="K52" s="69">
        <v>0.0</v>
      </c>
    </row>
    <row r="53" spans="8:8" ht="16.5" customHeight="1">
      <c r="I53" s="67" t="s">
        <v>52</v>
      </c>
      <c r="J53" s="92">
        <v>56940.0</v>
      </c>
      <c r="K53" s="69">
        <v>0.02</v>
      </c>
    </row>
    <row r="54" spans="8:8" ht="16.5" customHeight="1">
      <c r="I54" s="67" t="s">
        <v>53</v>
      </c>
      <c r="J54" s="92">
        <v>17200.0</v>
      </c>
      <c r="K54" s="69">
        <v>0.0</v>
      </c>
    </row>
    <row r="55" spans="8:8" ht="16.5" customHeight="1">
      <c r="I55" s="67" t="s">
        <v>54</v>
      </c>
      <c r="J55" s="92">
        <v>8880.0</v>
      </c>
      <c r="K55" s="69">
        <v>0.04</v>
      </c>
    </row>
    <row r="56" spans="8:8" ht="16.5" customHeight="1">
      <c r="I56" s="67" t="s">
        <v>55</v>
      </c>
      <c r="J56" s="92">
        <v>1324235.0</v>
      </c>
      <c r="K56" s="69">
        <v>-0.04</v>
      </c>
    </row>
    <row r="57" spans="8:8" ht="16.5" customHeight="1">
      <c r="I57" s="67" t="s">
        <v>57</v>
      </c>
      <c r="J57" s="92">
        <v>40100.0</v>
      </c>
      <c r="K57" s="69">
        <v>0.04</v>
      </c>
    </row>
    <row r="58" spans="8:8" ht="16.5" customHeight="1">
      <c r="I58" s="67" t="s">
        <v>58</v>
      </c>
      <c r="J58" s="92">
        <v>80200.0</v>
      </c>
      <c r="K58" s="69">
        <v>0.04</v>
      </c>
    </row>
    <row r="59" spans="8:8" ht="16.5" customHeight="1">
      <c r="I59" s="67" t="s">
        <v>60</v>
      </c>
      <c r="J59" s="92">
        <v>67080.0</v>
      </c>
      <c r="K59" s="69">
        <v>0.06</v>
      </c>
    </row>
    <row r="60" spans="8:8" ht="16.5" customHeight="1">
      <c r="I60" s="80" t="s">
        <v>703</v>
      </c>
      <c r="J60" s="66">
        <f>SUM(J48:J59)</f>
        <v>4241335.0</v>
      </c>
      <c r="K60" s="68"/>
    </row>
  </sheetData>
  <hyperlinks>
    <hyperlink ref="G2" r:id="rId3"/>
    <hyperlink ref="G3" r:id="rId4"/>
    <hyperlink ref="G4" r:id="rId5"/>
    <hyperlink ref="G5" r:id="rId6"/>
    <hyperlink ref="G6" r:id="rId7"/>
    <hyperlink ref="G7" r:id="rId8"/>
    <hyperlink ref="G8" r:id="rId9"/>
    <hyperlink ref="G9" r:id="rId10"/>
    <hyperlink ref="G10" r:id="rId11"/>
    <hyperlink ref="G11" r:id="rId12"/>
    <hyperlink ref="G12" r:id="rId13"/>
    <hyperlink ref="G13" r:id="rId14"/>
    <hyperlink ref="G14" r:id="rId15"/>
    <hyperlink ref="G15" r:id="rId16"/>
    <hyperlink ref="G16" r:id="rId17"/>
    <hyperlink ref="G17" r:id="rId18"/>
    <hyperlink ref="G18" r:id="rId19"/>
    <hyperlink ref="G19" r:id="rId20"/>
    <hyperlink ref="G20" r:id="rId21"/>
    <hyperlink ref="G21" r:id="rId22"/>
    <hyperlink ref="G22" r:id="rId23"/>
    <hyperlink ref="G23" r:id="rId24"/>
    <hyperlink ref="G24" r:id="rId25"/>
    <hyperlink ref="G25" r:id="rId26"/>
    <hyperlink ref="G26" r:id="rId27"/>
    <hyperlink ref="G27" r:id="rId28"/>
    <hyperlink ref="G28" r:id="rId29"/>
    <hyperlink ref="G29" r:id="rId30"/>
    <hyperlink ref="G30" r:id="rId31"/>
    <hyperlink ref="I48" r:id="rId32"/>
    <hyperlink ref="I49" r:id="rId33"/>
    <hyperlink ref="I50" r:id="rId34"/>
    <hyperlink ref="I51" r:id="rId35"/>
    <hyperlink ref="I53" r:id="rId36"/>
    <hyperlink ref="I54" r:id="rId37"/>
    <hyperlink ref="I55" r:id="rId38"/>
    <hyperlink ref="I56" r:id="rId39"/>
    <hyperlink ref="I57" r:id="rId40"/>
    <hyperlink ref="I58" r:id="rId41"/>
    <hyperlink ref="I59" r:id="rId42"/>
  </hyperlinks>
  <pageMargins left="0.7" right="0.7" top="0.75" bottom="0.75" header="0.511811023622047" footer="0.511811023622047"/>
  <drawing r:id="rId1"/>
  <legacyDrawing r:id="rId2"/>
</worksheet>
</file>

<file path=xl/worksheets/sheet6.xml><?xml version="1.0" encoding="utf-8"?>
<worksheet xmlns:r="http://schemas.openxmlformats.org/officeDocument/2006/relationships" xmlns="http://schemas.openxmlformats.org/spreadsheetml/2006/main">
  <dimension ref="A1:R59"/>
  <sheetViews>
    <sheetView workbookViewId="0" topLeftCell="B27" zoomScale="49">
      <selection activeCell="J59" sqref="J59"/>
    </sheetView>
  </sheetViews>
  <sheetFormatPr defaultRowHeight="14.5"/>
  <cols>
    <col min="1" max="1" customWidth="1" width="11.269531" style="60"/>
    <col min="2" max="2" customWidth="1" width="18.089844" style="60"/>
    <col min="3" max="3" customWidth="1" width="10.90625" style="60"/>
    <col min="4" max="4" customWidth="1" width="11.90625" style="60"/>
    <col min="5" max="5" customWidth="1" width="12.453125" style="60"/>
    <col min="6" max="6" customWidth="1" width="21.542969" style="60"/>
    <col min="7" max="7" customWidth="1" width="11.90625" style="60"/>
    <col min="9" max="9" customWidth="1" width="21.542969" style="60"/>
    <col min="10" max="10" customWidth="1" width="12.453125" style="60"/>
    <col min="11" max="11" customWidth="1" width="17.726562" style="60"/>
    <col min="12" max="12" customWidth="1" width="9.542969" style="60"/>
    <col min="13" max="13" customWidth="1" width="9.269531" style="60"/>
    <col min="14" max="14" customWidth="1" width="12.1796875" style="60"/>
    <col min="15" max="15" customWidth="1" width="15.453125" style="60"/>
    <col min="16" max="16" customWidth="1" width="15.542969" style="60"/>
    <col min="17" max="17" customWidth="1" width="9.269531" style="60"/>
  </cols>
  <sheetData>
    <row r="1" spans="8:8" ht="25.5" customHeight="1">
      <c r="A1" s="61" t="s">
        <v>686</v>
      </c>
      <c r="B1" s="61" t="s">
        <v>687</v>
      </c>
      <c r="C1" s="61" t="s">
        <v>688</v>
      </c>
      <c r="D1" s="61" t="s">
        <v>689</v>
      </c>
      <c r="E1" s="61" t="s">
        <v>690</v>
      </c>
      <c r="F1" s="61" t="s">
        <v>691</v>
      </c>
      <c r="G1" s="61" t="s">
        <v>692</v>
      </c>
      <c r="I1" s="61" t="s">
        <v>687</v>
      </c>
      <c r="J1" s="61" t="s">
        <v>693</v>
      </c>
      <c r="K1" s="61" t="s">
        <v>694</v>
      </c>
      <c r="L1" s="61" t="s">
        <v>695</v>
      </c>
      <c r="N1" s="61" t="s">
        <v>696</v>
      </c>
      <c r="O1" s="61" t="s">
        <v>697</v>
      </c>
      <c r="P1" s="61" t="s">
        <v>698</v>
      </c>
    </row>
    <row r="2" spans="8:8" ht="16.5" customHeight="1">
      <c r="A2" s="62">
        <v>46204.0</v>
      </c>
      <c r="B2" s="93" t="s">
        <v>45</v>
      </c>
      <c r="C2" s="64">
        <v>280.0</v>
      </c>
      <c r="D2" s="65">
        <v>12930.0</v>
      </c>
      <c r="E2" s="66">
        <f t="shared" si="0" ref="E2:E13">C2*D2</f>
        <v>3620400.0</v>
      </c>
      <c r="F2" s="63" t="s">
        <v>66</v>
      </c>
      <c r="G2" s="67" t="s">
        <v>67</v>
      </c>
      <c r="I2" s="93" t="s">
        <v>45</v>
      </c>
      <c r="J2" s="68">
        <f>SUM(C2+C7+C26+C30)</f>
        <v>432.0</v>
      </c>
      <c r="K2" s="66">
        <f>E2+E7+E26+E30</f>
        <v>5577850.0</v>
      </c>
      <c r="L2" s="69">
        <f t="shared" si="1" ref="L2:L18">K2/K$18</f>
        <v>0.3611954998933156</v>
      </c>
      <c r="N2" s="66">
        <f>E32</f>
        <v>1.5442745E7</v>
      </c>
      <c r="O2" s="70">
        <f>J18</f>
        <v>1474.0</v>
      </c>
      <c r="P2" s="68">
        <f>COUNT(I2:I17,J2:J17)</f>
        <v>16.0</v>
      </c>
    </row>
    <row r="3" spans="8:8" ht="16.5" customHeight="1">
      <c r="A3" s="62">
        <v>46206.0</v>
      </c>
      <c r="B3" s="94" t="s">
        <v>22</v>
      </c>
      <c r="C3" s="64">
        <v>210.0</v>
      </c>
      <c r="D3" s="65">
        <v>8990.0</v>
      </c>
      <c r="E3" s="66">
        <f t="shared" si="0"/>
        <v>1887900.0</v>
      </c>
      <c r="F3" s="63" t="s">
        <v>66</v>
      </c>
      <c r="G3" s="67" t="s">
        <v>68</v>
      </c>
      <c r="I3" s="94" t="s">
        <v>22</v>
      </c>
      <c r="J3" s="68">
        <f>C3+C14+C23+C27</f>
        <v>252.0</v>
      </c>
      <c r="K3" s="66">
        <f>E3+E14+E23+E27</f>
        <v>2627755.0</v>
      </c>
      <c r="L3" s="69">
        <f t="shared" si="1"/>
        <v>0.17016113391757748</v>
      </c>
    </row>
    <row r="4" spans="8:8" ht="16.5" customHeight="1">
      <c r="A4" s="62">
        <v>46206.0</v>
      </c>
      <c r="B4" s="82" t="s">
        <v>44</v>
      </c>
      <c r="C4" s="64">
        <v>140.0</v>
      </c>
      <c r="D4" s="65">
        <v>8990.0</v>
      </c>
      <c r="E4" s="66">
        <f t="shared" si="0"/>
        <v>1258600.0</v>
      </c>
      <c r="F4" s="63" t="s">
        <v>66</v>
      </c>
      <c r="G4" s="67" t="s">
        <v>72</v>
      </c>
      <c r="I4" s="82" t="s">
        <v>44</v>
      </c>
      <c r="J4" s="68">
        <f>C4+C6+C21+C29</f>
        <v>296.0</v>
      </c>
      <c r="K4" s="66">
        <f>SUM(E4+E6+E21+E29)</f>
        <v>2664400.0</v>
      </c>
      <c r="L4" s="69">
        <f t="shared" si="1"/>
        <v>0.17253409287014712</v>
      </c>
    </row>
    <row r="5" spans="8:8" ht="16.5" customHeight="1">
      <c r="A5" s="62">
        <v>46206.0</v>
      </c>
      <c r="B5" s="71" t="s">
        <v>65</v>
      </c>
      <c r="C5" s="64">
        <v>84.0</v>
      </c>
      <c r="D5" s="65">
        <v>11415.0</v>
      </c>
      <c r="E5" s="66">
        <f t="shared" si="0"/>
        <v>958860.0</v>
      </c>
      <c r="F5" s="63" t="s">
        <v>66</v>
      </c>
      <c r="G5" s="67" t="s">
        <v>73</v>
      </c>
      <c r="I5" s="71" t="s">
        <v>65</v>
      </c>
      <c r="J5" s="68">
        <f>C5+C13+C31</f>
        <v>173.0</v>
      </c>
      <c r="K5" s="66">
        <f>E5+E13+E31</f>
        <v>1968870.0</v>
      </c>
      <c r="L5" s="69">
        <f t="shared" si="1"/>
        <v>0.12749482038329327</v>
      </c>
    </row>
    <row r="6" spans="8:8" ht="16.5" customHeight="1">
      <c r="A6" s="62">
        <v>46206.0</v>
      </c>
      <c r="B6" s="82" t="s">
        <v>44</v>
      </c>
      <c r="C6" s="64">
        <v>15.0</v>
      </c>
      <c r="D6" s="65">
        <v>9200.0</v>
      </c>
      <c r="E6" s="66">
        <f t="shared" si="0"/>
        <v>138000.0</v>
      </c>
      <c r="F6" s="63" t="s">
        <v>29</v>
      </c>
      <c r="G6" s="67" t="s">
        <v>68</v>
      </c>
      <c r="I6" s="63" t="s">
        <v>69</v>
      </c>
      <c r="J6" s="68">
        <v>1.0</v>
      </c>
      <c r="K6" s="66">
        <f>E8</f>
        <v>14450.0</v>
      </c>
      <c r="L6" s="69">
        <f t="shared" si="1"/>
        <v>9.357144730421955E-4</v>
      </c>
    </row>
    <row r="7" spans="8:8" ht="16.5" customHeight="1">
      <c r="A7" s="62">
        <v>46206.0</v>
      </c>
      <c r="B7" s="93" t="s">
        <v>45</v>
      </c>
      <c r="C7" s="64">
        <v>10.0</v>
      </c>
      <c r="D7" s="65">
        <v>13335.0</v>
      </c>
      <c r="E7" s="66">
        <f t="shared" si="0"/>
        <v>133350.0</v>
      </c>
      <c r="F7" s="63" t="s">
        <v>29</v>
      </c>
      <c r="G7" s="67" t="s">
        <v>68</v>
      </c>
      <c r="I7" s="63" t="s">
        <v>70</v>
      </c>
      <c r="J7" s="68">
        <f>C9</f>
        <v>1.0</v>
      </c>
      <c r="K7" s="66">
        <f>E9</f>
        <v>13460.0</v>
      </c>
      <c r="L7" s="69">
        <f t="shared" si="1"/>
        <v>8.716066994566056E-4</v>
      </c>
    </row>
    <row r="8" spans="8:8" ht="16.5" customHeight="1">
      <c r="A8" s="62">
        <v>46206.0</v>
      </c>
      <c r="B8" s="63" t="s">
        <v>69</v>
      </c>
      <c r="C8" s="64">
        <v>1.0</v>
      </c>
      <c r="D8" s="65">
        <v>14450.0</v>
      </c>
      <c r="E8" s="66">
        <f t="shared" si="0"/>
        <v>14450.0</v>
      </c>
      <c r="F8" s="63" t="s">
        <v>29</v>
      </c>
      <c r="G8" s="67" t="s">
        <v>68</v>
      </c>
      <c r="I8" s="95" t="s">
        <v>37</v>
      </c>
      <c r="J8" s="68">
        <f>C10+C22</f>
        <v>6.0</v>
      </c>
      <c r="K8" s="66">
        <f>E10+E22</f>
        <v>53600.0</v>
      </c>
      <c r="L8" s="69">
        <f t="shared" si="1"/>
        <v>0.003470885519381431</v>
      </c>
    </row>
    <row r="9" spans="8:8" ht="16.5" customHeight="1">
      <c r="A9" s="62">
        <v>46206.0</v>
      </c>
      <c r="B9" s="63" t="s">
        <v>70</v>
      </c>
      <c r="C9" s="64">
        <v>1.0</v>
      </c>
      <c r="D9" s="65">
        <v>13460.0</v>
      </c>
      <c r="E9" s="66">
        <f t="shared" si="0"/>
        <v>13460.0</v>
      </c>
      <c r="F9" s="63" t="s">
        <v>29</v>
      </c>
      <c r="G9" s="67" t="s">
        <v>68</v>
      </c>
      <c r="I9" s="63" t="s">
        <v>36</v>
      </c>
      <c r="J9" s="68">
        <f>C11</f>
        <v>1.0</v>
      </c>
      <c r="K9" s="66">
        <f>E11</f>
        <v>15525.0</v>
      </c>
      <c r="L9" s="69">
        <f t="shared" si="1"/>
        <v>0.0010053264494103865</v>
      </c>
    </row>
    <row r="10" spans="8:8" ht="16.5" customHeight="1">
      <c r="A10" s="62">
        <v>46206.0</v>
      </c>
      <c r="B10" s="95" t="s">
        <v>37</v>
      </c>
      <c r="C10" s="64">
        <v>5.0</v>
      </c>
      <c r="D10" s="65">
        <v>8880.0</v>
      </c>
      <c r="E10" s="66">
        <f t="shared" si="0"/>
        <v>44400.0</v>
      </c>
      <c r="F10" s="63" t="s">
        <v>29</v>
      </c>
      <c r="G10" s="67" t="s">
        <v>68</v>
      </c>
      <c r="I10" s="63" t="s">
        <v>71</v>
      </c>
      <c r="J10" s="68">
        <f>C12</f>
        <v>1.0</v>
      </c>
      <c r="K10" s="66">
        <f>E12</f>
        <v>15945.0</v>
      </c>
      <c r="L10" s="69">
        <f t="shared" si="1"/>
        <v>0.0010325236866891216</v>
      </c>
    </row>
    <row r="11" spans="8:8" ht="16.5" customHeight="1">
      <c r="A11" s="62">
        <v>46206.0</v>
      </c>
      <c r="B11" s="63" t="s">
        <v>36</v>
      </c>
      <c r="C11" s="64">
        <v>1.0</v>
      </c>
      <c r="D11" s="65">
        <v>15525.0</v>
      </c>
      <c r="E11" s="66">
        <f t="shared" si="0"/>
        <v>15525.0</v>
      </c>
      <c r="F11" s="63" t="s">
        <v>29</v>
      </c>
      <c r="G11" s="67" t="s">
        <v>68</v>
      </c>
      <c r="I11" s="89" t="s">
        <v>31</v>
      </c>
      <c r="J11" s="68">
        <f>C24+C28</f>
        <v>31.0</v>
      </c>
      <c r="K11" s="66">
        <f>E24+E28</f>
        <v>525300.0</v>
      </c>
      <c r="L11" s="69">
        <f t="shared" si="1"/>
        <v>0.03401597319647511</v>
      </c>
    </row>
    <row r="12" spans="8:8" ht="16.5" customHeight="1">
      <c r="A12" s="62">
        <v>46206.0</v>
      </c>
      <c r="B12" s="63" t="s">
        <v>71</v>
      </c>
      <c r="C12" s="64">
        <v>1.0</v>
      </c>
      <c r="D12" s="65">
        <v>15945.0</v>
      </c>
      <c r="E12" s="66">
        <f t="shared" si="0"/>
        <v>15945.0</v>
      </c>
      <c r="F12" s="63" t="s">
        <v>29</v>
      </c>
      <c r="G12" s="67" t="s">
        <v>68</v>
      </c>
      <c r="I12" s="63" t="s">
        <v>87</v>
      </c>
      <c r="J12" s="68">
        <f>C25</f>
        <v>2.0</v>
      </c>
      <c r="K12" s="66">
        <f>E25</f>
        <v>45130.0</v>
      </c>
      <c r="L12" s="69">
        <f t="shared" si="1"/>
        <v>0.00292240790092694</v>
      </c>
    </row>
    <row r="13" spans="8:8" ht="16.5" customHeight="1">
      <c r="A13" s="62">
        <v>46206.0</v>
      </c>
      <c r="B13" s="71" t="s">
        <v>65</v>
      </c>
      <c r="C13" s="64">
        <v>5.0</v>
      </c>
      <c r="D13" s="65">
        <v>11910.0</v>
      </c>
      <c r="E13" s="66">
        <f t="shared" si="0"/>
        <v>59550.0</v>
      </c>
      <c r="F13" s="63" t="s">
        <v>29</v>
      </c>
      <c r="G13" s="67" t="s">
        <v>68</v>
      </c>
      <c r="I13" s="63" t="s">
        <v>62</v>
      </c>
      <c r="J13" s="68">
        <f>C15</f>
        <v>30.0</v>
      </c>
      <c r="K13" s="66">
        <f>E15</f>
        <v>258000.0</v>
      </c>
      <c r="L13" s="69">
        <f t="shared" si="1"/>
        <v>0.016706874328365845</v>
      </c>
    </row>
    <row r="14" spans="8:8" ht="16.5" customHeight="1">
      <c r="A14" s="96">
        <v>46206.0</v>
      </c>
      <c r="B14" s="80" t="s">
        <v>62</v>
      </c>
      <c r="C14" s="97">
        <v>1.0</v>
      </c>
      <c r="D14" s="98">
        <v>20655.0</v>
      </c>
      <c r="E14" s="99">
        <v>20655.0</v>
      </c>
      <c r="F14" s="80" t="s">
        <v>29</v>
      </c>
      <c r="G14" s="67" t="s">
        <v>73</v>
      </c>
      <c r="I14" s="90" t="s">
        <v>24</v>
      </c>
      <c r="J14" s="68">
        <f>C16+C19</f>
        <v>202.0</v>
      </c>
      <c r="K14" s="66">
        <f>E16+E19</f>
        <v>1010800.0</v>
      </c>
      <c r="L14" s="69">
        <f t="shared" si="1"/>
        <v>0.06545468438415579</v>
      </c>
    </row>
    <row r="15" spans="8:8" ht="16.5" customHeight="1">
      <c r="A15" s="96">
        <v>46206.0</v>
      </c>
      <c r="B15" s="100" t="s">
        <v>22</v>
      </c>
      <c r="C15" s="97">
        <v>30.0</v>
      </c>
      <c r="D15" s="98">
        <v>8600.0</v>
      </c>
      <c r="E15" s="99">
        <v>258000.0</v>
      </c>
      <c r="F15" s="80" t="s">
        <v>40</v>
      </c>
      <c r="G15" s="67" t="s">
        <v>72</v>
      </c>
      <c r="I15" s="63" t="s">
        <v>77</v>
      </c>
      <c r="J15" s="68">
        <f>C17</f>
        <v>24.0</v>
      </c>
      <c r="K15" s="66">
        <f>E17</f>
        <v>428160.0</v>
      </c>
      <c r="L15" s="69">
        <f t="shared" si="1"/>
        <v>0.027725640745864807</v>
      </c>
    </row>
    <row r="16" spans="8:8" ht="16.5" customHeight="1">
      <c r="A16" s="62">
        <v>46206.0</v>
      </c>
      <c r="B16" s="90" t="s">
        <v>24</v>
      </c>
      <c r="C16" s="64">
        <v>200.0</v>
      </c>
      <c r="D16" s="65">
        <v>5000.0</v>
      </c>
      <c r="E16" s="66">
        <f t="shared" si="2" ref="E16:E23">C16*D16</f>
        <v>1000000.0</v>
      </c>
      <c r="F16" s="63" t="s">
        <v>25</v>
      </c>
      <c r="G16" s="67" t="s">
        <v>74</v>
      </c>
      <c r="I16" s="63" t="s">
        <v>80</v>
      </c>
      <c r="J16" s="68">
        <f>C18</f>
        <v>20.0</v>
      </c>
      <c r="K16" s="66">
        <f>E18</f>
        <v>186900.0</v>
      </c>
      <c r="L16" s="69">
        <f t="shared" si="1"/>
        <v>0.012102770589037118</v>
      </c>
    </row>
    <row r="17" spans="8:8" ht="16.5" customHeight="1">
      <c r="A17" s="62">
        <v>46206.0</v>
      </c>
      <c r="B17" s="63" t="s">
        <v>77</v>
      </c>
      <c r="C17" s="64">
        <v>24.0</v>
      </c>
      <c r="D17" s="65">
        <v>17840.0</v>
      </c>
      <c r="E17" s="66">
        <f t="shared" si="2"/>
        <v>428160.0</v>
      </c>
      <c r="F17" s="63" t="s">
        <v>75</v>
      </c>
      <c r="G17" s="67" t="s">
        <v>76</v>
      </c>
      <c r="I17" s="63" t="s">
        <v>43</v>
      </c>
      <c r="J17" s="68">
        <f>C20</f>
        <v>2.0</v>
      </c>
      <c r="K17" s="66">
        <f>E20</f>
        <v>36600.0</v>
      </c>
      <c r="L17" s="69">
        <f t="shared" si="1"/>
        <v>0.0023700449628612013</v>
      </c>
    </row>
    <row r="18" spans="8:8" ht="16.5" customHeight="1">
      <c r="A18" s="62">
        <v>46206.0</v>
      </c>
      <c r="B18" s="63" t="s">
        <v>80</v>
      </c>
      <c r="C18" s="64">
        <v>20.0</v>
      </c>
      <c r="D18" s="65">
        <v>9345.0</v>
      </c>
      <c r="E18" s="66">
        <f t="shared" si="2"/>
        <v>186900.0</v>
      </c>
      <c r="F18" s="63" t="s">
        <v>78</v>
      </c>
      <c r="G18" s="67" t="s">
        <v>79</v>
      </c>
      <c r="I18" s="68" t="s">
        <v>701</v>
      </c>
      <c r="J18" s="70">
        <f>C32</f>
        <v>1474.0</v>
      </c>
      <c r="K18" s="66">
        <f>SUM(K2:K17)</f>
        <v>1.5442745E7</v>
      </c>
      <c r="L18" s="69">
        <f t="shared" si="1"/>
        <v>1.0</v>
      </c>
    </row>
    <row r="19" spans="8:8" ht="16.5" customHeight="1">
      <c r="A19" s="62">
        <v>46206.0</v>
      </c>
      <c r="B19" s="90" t="s">
        <v>24</v>
      </c>
      <c r="C19" s="64">
        <v>2.0</v>
      </c>
      <c r="D19" s="65">
        <v>5400.0</v>
      </c>
      <c r="E19" s="66">
        <f t="shared" si="2"/>
        <v>10800.0</v>
      </c>
      <c r="F19" s="63" t="s">
        <v>81</v>
      </c>
      <c r="G19" s="67" t="s">
        <v>82</v>
      </c>
      <c r="L19" s="79"/>
    </row>
    <row r="20" spans="8:8" ht="16.5" customHeight="1">
      <c r="A20" s="62">
        <v>46206.0</v>
      </c>
      <c r="B20" s="63" t="s">
        <v>43</v>
      </c>
      <c r="C20" s="64">
        <v>2.0</v>
      </c>
      <c r="D20" s="101">
        <v>18300.0</v>
      </c>
      <c r="E20" s="66">
        <f t="shared" si="2"/>
        <v>36600.0</v>
      </c>
      <c r="F20" s="63" t="s">
        <v>81</v>
      </c>
      <c r="G20" s="67" t="s">
        <v>82</v>
      </c>
    </row>
    <row r="21" spans="8:8" ht="16.5" customHeight="1">
      <c r="A21" s="62">
        <v>46206.0</v>
      </c>
      <c r="B21" s="82" t="s">
        <v>44</v>
      </c>
      <c r="C21" s="64">
        <v>1.0</v>
      </c>
      <c r="D21" s="65">
        <v>9200.0</v>
      </c>
      <c r="E21" s="66">
        <f t="shared" si="2"/>
        <v>9200.0</v>
      </c>
      <c r="F21" s="63" t="s">
        <v>81</v>
      </c>
      <c r="G21" s="67" t="s">
        <v>82</v>
      </c>
      <c r="I21" s="6"/>
    </row>
    <row r="22" spans="8:8" ht="16.5" customHeight="1">
      <c r="A22" s="62">
        <v>46206.0</v>
      </c>
      <c r="B22" s="95" t="s">
        <v>37</v>
      </c>
      <c r="C22" s="64">
        <v>1.0</v>
      </c>
      <c r="D22" s="65">
        <v>9200.0</v>
      </c>
      <c r="E22" s="66">
        <f t="shared" si="2"/>
        <v>9200.0</v>
      </c>
      <c r="F22" s="63" t="s">
        <v>81</v>
      </c>
      <c r="G22" s="67" t="s">
        <v>82</v>
      </c>
      <c r="I22" s="6"/>
    </row>
    <row r="23" spans="8:8" ht="16.5" customHeight="1">
      <c r="A23" s="62">
        <v>46206.0</v>
      </c>
      <c r="B23" s="94" t="s">
        <v>22</v>
      </c>
      <c r="C23" s="64">
        <v>1.0</v>
      </c>
      <c r="D23" s="65">
        <v>9200.0</v>
      </c>
      <c r="E23" s="66">
        <f t="shared" si="2"/>
        <v>9200.0</v>
      </c>
      <c r="F23" s="63" t="s">
        <v>81</v>
      </c>
      <c r="G23" s="67" t="s">
        <v>82</v>
      </c>
      <c r="I23" s="6"/>
    </row>
    <row r="24" spans="8:8" ht="16.5" customHeight="1">
      <c r="A24" s="96">
        <v>46206.0</v>
      </c>
      <c r="B24" s="100" t="s">
        <v>22</v>
      </c>
      <c r="C24" s="97">
        <v>1.0</v>
      </c>
      <c r="D24" s="98">
        <v>9300.0</v>
      </c>
      <c r="E24" s="99">
        <v>9300.0</v>
      </c>
      <c r="F24" s="80" t="s">
        <v>85</v>
      </c>
      <c r="G24" s="67" t="s">
        <v>86</v>
      </c>
    </row>
    <row r="25" spans="8:8" ht="16.5" customHeight="1">
      <c r="A25" s="62">
        <v>46206.0</v>
      </c>
      <c r="B25" s="63" t="s">
        <v>87</v>
      </c>
      <c r="C25" s="64">
        <v>2.0</v>
      </c>
      <c r="D25" s="101">
        <v>22565.0</v>
      </c>
      <c r="E25" s="66">
        <f>C25*D25</f>
        <v>45130.0</v>
      </c>
      <c r="F25" s="63" t="s">
        <v>85</v>
      </c>
      <c r="G25" s="67" t="s">
        <v>86</v>
      </c>
      <c r="J25" s="78"/>
      <c r="K25" s="79"/>
      <c r="L25" s="79"/>
    </row>
    <row r="26" spans="8:8" ht="16.5" customHeight="1">
      <c r="A26" s="62">
        <v>46206.0</v>
      </c>
      <c r="B26" s="93" t="s">
        <v>45</v>
      </c>
      <c r="C26" s="64">
        <v>2.0</v>
      </c>
      <c r="D26" s="65">
        <v>13950.0</v>
      </c>
      <c r="E26" s="66">
        <f>C26*D26</f>
        <v>27900.0</v>
      </c>
      <c r="F26" s="63" t="s">
        <v>85</v>
      </c>
      <c r="G26" s="67" t="s">
        <v>86</v>
      </c>
      <c r="I26" s="6"/>
    </row>
    <row r="27" spans="8:8" ht="16.5" customHeight="1">
      <c r="A27" s="96">
        <v>46206.0</v>
      </c>
      <c r="B27" s="102" t="s">
        <v>31</v>
      </c>
      <c r="C27" s="97">
        <v>40.0</v>
      </c>
      <c r="D27" s="98">
        <v>17750.0</v>
      </c>
      <c r="E27" s="99">
        <v>710000.0</v>
      </c>
      <c r="F27" s="80" t="s">
        <v>50</v>
      </c>
      <c r="G27" s="67" t="s">
        <v>83</v>
      </c>
      <c r="I27" s="6"/>
    </row>
    <row r="28" spans="8:8" ht="16.5" customHeight="1">
      <c r="A28" s="62">
        <v>46206.0</v>
      </c>
      <c r="B28" s="89" t="s">
        <v>31</v>
      </c>
      <c r="C28" s="64">
        <v>30.0</v>
      </c>
      <c r="D28" s="65">
        <v>17200.0</v>
      </c>
      <c r="E28" s="66">
        <f>C28*D28</f>
        <v>516000.0</v>
      </c>
      <c r="F28" s="63" t="s">
        <v>50</v>
      </c>
      <c r="G28" s="67" t="s">
        <v>88</v>
      </c>
      <c r="I28" s="6"/>
    </row>
    <row r="29" spans="8:8" ht="16.5" customHeight="1">
      <c r="A29" s="96">
        <v>46206.0</v>
      </c>
      <c r="B29" s="94" t="s">
        <v>22</v>
      </c>
      <c r="C29" s="64">
        <v>140.0</v>
      </c>
      <c r="D29" s="92">
        <v>8990.0</v>
      </c>
      <c r="E29" s="66">
        <f>C29*D29</f>
        <v>1258600.0</v>
      </c>
      <c r="F29" s="63" t="s">
        <v>63</v>
      </c>
      <c r="G29" s="67" t="s">
        <v>64</v>
      </c>
    </row>
    <row r="30" spans="8:8" ht="16.5" customHeight="1">
      <c r="A30" s="62">
        <v>46206.0</v>
      </c>
      <c r="B30" s="93" t="s">
        <v>45</v>
      </c>
      <c r="C30" s="64">
        <v>140.0</v>
      </c>
      <c r="D30" s="92">
        <v>12830.0</v>
      </c>
      <c r="E30" s="66">
        <f>C30*D30</f>
        <v>1796200.0</v>
      </c>
      <c r="F30" s="63" t="s">
        <v>63</v>
      </c>
      <c r="G30" s="67" t="s">
        <v>64</v>
      </c>
    </row>
    <row r="31" spans="8:8" ht="25.5" customHeight="1">
      <c r="A31" s="96">
        <v>46206.0</v>
      </c>
      <c r="B31" s="71" t="s">
        <v>65</v>
      </c>
      <c r="C31" s="64">
        <v>84.0</v>
      </c>
      <c r="D31" s="92">
        <v>11315.0</v>
      </c>
      <c r="E31" s="66">
        <f>C31*D31</f>
        <v>950460.0</v>
      </c>
      <c r="F31" s="63" t="s">
        <v>63</v>
      </c>
      <c r="G31" s="67" t="s">
        <v>64</v>
      </c>
      <c r="I31" s="61" t="s">
        <v>691</v>
      </c>
      <c r="J31" s="61" t="s">
        <v>690</v>
      </c>
      <c r="K31" s="61" t="s">
        <v>695</v>
      </c>
      <c r="L31" s="61" t="s">
        <v>702</v>
      </c>
    </row>
    <row r="32" spans="8:8" ht="16.5" customHeight="1">
      <c r="A32" s="68"/>
      <c r="B32" s="63" t="s">
        <v>701</v>
      </c>
      <c r="C32" s="68">
        <f>SUM(C2:C31)</f>
        <v>1474.0</v>
      </c>
      <c r="D32" s="70">
        <f>SUM(D2:D31)</f>
        <v>371670.0</v>
      </c>
      <c r="E32" s="66">
        <f>SUM(E2:E31)</f>
        <v>1.5442745E7</v>
      </c>
      <c r="F32" s="68"/>
      <c r="G32" s="68"/>
      <c r="I32" s="63" t="s">
        <v>66</v>
      </c>
      <c r="J32" s="66">
        <f>SUM(E2:E5)</f>
        <v>7725760.0</v>
      </c>
      <c r="K32" s="69">
        <f t="shared" si="3" ref="K32:K42">J32/E$32</f>
        <v>0.5002841139965725</v>
      </c>
      <c r="L32" s="69"/>
    </row>
    <row r="33" spans="8:8" ht="16.5" customHeight="1">
      <c r="I33" s="63" t="s">
        <v>29</v>
      </c>
      <c r="J33" s="66">
        <f>SUM(E6:E14)</f>
        <v>455335.0</v>
      </c>
      <c r="K33" s="69">
        <f t="shared" si="3"/>
        <v>0.02948536675312582</v>
      </c>
      <c r="L33" s="69"/>
    </row>
    <row r="34" spans="8:8" ht="16.5" customHeight="1">
      <c r="I34" s="63" t="s">
        <v>40</v>
      </c>
      <c r="J34" s="66">
        <f>E15</f>
        <v>258000.0</v>
      </c>
      <c r="K34" s="69">
        <f t="shared" si="3"/>
        <v>0.016706874328365845</v>
      </c>
      <c r="L34" s="69"/>
    </row>
    <row r="35" spans="8:8" ht="16.5" customHeight="1">
      <c r="I35" s="63" t="s">
        <v>25</v>
      </c>
      <c r="J35" s="66">
        <f>E16</f>
        <v>1000000.0</v>
      </c>
      <c r="K35" s="69">
        <f t="shared" si="3"/>
        <v>0.06475532685413118</v>
      </c>
      <c r="L35" s="69"/>
    </row>
    <row r="36" spans="8:8" ht="16.5" customHeight="1">
      <c r="I36" s="63" t="s">
        <v>75</v>
      </c>
      <c r="J36" s="66">
        <f>E17</f>
        <v>428160.0</v>
      </c>
      <c r="K36" s="69">
        <f t="shared" si="3"/>
        <v>0.027725640745864807</v>
      </c>
      <c r="L36" s="69"/>
    </row>
    <row r="37" spans="8:8" ht="16.5" customHeight="1">
      <c r="I37" s="63" t="s">
        <v>78</v>
      </c>
      <c r="J37" s="66">
        <f>E18</f>
        <v>186900.0</v>
      </c>
      <c r="K37" s="69">
        <f t="shared" si="3"/>
        <v>0.012102770589037118</v>
      </c>
      <c r="L37" s="69"/>
    </row>
    <row r="38" spans="8:8" ht="16.5" customHeight="1">
      <c r="I38" s="63" t="s">
        <v>81</v>
      </c>
      <c r="J38" s="66">
        <f>SUM(E19:E23)</f>
        <v>75000.0</v>
      </c>
      <c r="K38" s="69">
        <f t="shared" si="3"/>
        <v>0.004856649514059838</v>
      </c>
      <c r="L38" s="68"/>
    </row>
    <row r="39" spans="8:8" ht="16.5" customHeight="1">
      <c r="I39" s="63" t="s">
        <v>50</v>
      </c>
      <c r="J39" s="66">
        <f>E27+E28</f>
        <v>1226000.0</v>
      </c>
      <c r="K39" s="69">
        <f t="shared" si="3"/>
        <v>0.07939003072316482</v>
      </c>
      <c r="L39" s="68"/>
    </row>
    <row r="40" spans="8:8" ht="16.5" customHeight="1">
      <c r="I40" s="63" t="s">
        <v>85</v>
      </c>
      <c r="J40" s="66">
        <f>SUM(E24:E26)</f>
        <v>82330.0</v>
      </c>
      <c r="K40" s="69">
        <f t="shared" si="3"/>
        <v>0.00533130605990062</v>
      </c>
      <c r="L40" s="69"/>
    </row>
    <row r="41" spans="8:8" ht="16.5" customHeight="1">
      <c r="I41" s="63" t="s">
        <v>63</v>
      </c>
      <c r="J41" s="66">
        <f>SUM(E29:E31)</f>
        <v>4005260.0</v>
      </c>
      <c r="K41" s="69">
        <f t="shared" si="3"/>
        <v>0.25936192043577744</v>
      </c>
      <c r="L41" s="69"/>
    </row>
    <row r="42" spans="8:8" ht="16.5" customHeight="1">
      <c r="I42" s="80" t="s">
        <v>703</v>
      </c>
      <c r="J42" s="66">
        <f>SUM(J32:J41)</f>
        <v>1.5442745E7</v>
      </c>
      <c r="K42" s="69">
        <f t="shared" si="3"/>
        <v>1.0</v>
      </c>
      <c r="L42" s="68"/>
    </row>
    <row r="45" spans="8:8" ht="25.5" customHeight="1">
      <c r="I45" s="61" t="s">
        <v>692</v>
      </c>
      <c r="J45" s="61" t="s">
        <v>690</v>
      </c>
      <c r="K45" s="61" t="s">
        <v>702</v>
      </c>
    </row>
    <row r="46" spans="8:8" ht="16.5" customHeight="1">
      <c r="I46" s="67" t="s">
        <v>64</v>
      </c>
      <c r="J46" s="92">
        <v>4026260.0</v>
      </c>
      <c r="K46" s="69">
        <v>0.02</v>
      </c>
    </row>
    <row r="47" spans="8:8" ht="16.5" customHeight="1">
      <c r="I47" s="67" t="s">
        <v>67</v>
      </c>
      <c r="J47" s="92">
        <v>8796760.0</v>
      </c>
      <c r="K47" s="69">
        <v>0.02</v>
      </c>
    </row>
    <row r="48" spans="8:8" ht="16.5" customHeight="1">
      <c r="I48" s="67" t="s">
        <v>68</v>
      </c>
      <c r="J48" s="92">
        <v>491680.0</v>
      </c>
      <c r="K48" s="69">
        <v>0.03</v>
      </c>
    </row>
    <row r="49" spans="8:8" ht="16.5" customHeight="1">
      <c r="I49" s="67" t="s">
        <v>72</v>
      </c>
      <c r="J49" s="92">
        <v>303000.0</v>
      </c>
      <c r="K49" s="69">
        <v>0.0</v>
      </c>
    </row>
    <row r="50" spans="8:8" ht="16.5" customHeight="1">
      <c r="I50" s="67" t="s">
        <v>73</v>
      </c>
      <c r="J50" s="92">
        <v>20655.0</v>
      </c>
      <c r="K50" s="69">
        <v>0.07</v>
      </c>
    </row>
    <row r="51" spans="8:8" ht="16.5" customHeight="1">
      <c r="I51" s="67" t="s">
        <v>76</v>
      </c>
      <c r="J51" s="92">
        <v>428160.0</v>
      </c>
      <c r="K51" s="69">
        <v>0.03</v>
      </c>
    </row>
    <row r="52" spans="8:8" ht="16.5" customHeight="1">
      <c r="I52" s="67" t="s">
        <v>79</v>
      </c>
      <c r="J52" s="92">
        <v>216900.0</v>
      </c>
      <c r="K52" s="69">
        <v>0.03</v>
      </c>
    </row>
    <row r="53" spans="8:8" ht="16.5" customHeight="1">
      <c r="I53" s="67" t="s">
        <v>74</v>
      </c>
      <c r="J53" s="92">
        <v>1000000.0</v>
      </c>
      <c r="K53" s="69">
        <v>-0.04</v>
      </c>
    </row>
    <row r="54" spans="8:8" ht="16.5" customHeight="1">
      <c r="I54" s="67" t="s">
        <v>86</v>
      </c>
      <c r="J54" s="92">
        <v>89830.0</v>
      </c>
      <c r="K54" s="69">
        <v>0.08</v>
      </c>
    </row>
    <row r="55" spans="8:8" ht="16.5" customHeight="1">
      <c r="I55" s="67" t="s">
        <v>82</v>
      </c>
      <c r="J55" s="92">
        <v>75000.0</v>
      </c>
      <c r="K55" s="69">
        <v>0.06</v>
      </c>
    </row>
    <row r="56" spans="8:8" ht="16.5" customHeight="1">
      <c r="I56" s="67"/>
      <c r="J56" s="92"/>
      <c r="K56" s="69"/>
    </row>
    <row r="57" spans="8:8" ht="16.5" customHeight="1">
      <c r="I57" s="67" t="s">
        <v>83</v>
      </c>
      <c r="J57" s="92">
        <v>710000.0</v>
      </c>
      <c r="K57" s="69">
        <v>0.04</v>
      </c>
    </row>
    <row r="58" spans="8:8" ht="16.5" customHeight="1">
      <c r="I58" s="67" t="s">
        <v>88</v>
      </c>
      <c r="J58" s="92">
        <v>516000.0</v>
      </c>
      <c r="K58" s="69">
        <v>0.01</v>
      </c>
    </row>
    <row r="59" spans="8:8" ht="16.5" customHeight="1">
      <c r="I59" s="80" t="s">
        <v>703</v>
      </c>
      <c r="J59" s="66">
        <f>SUM(J46:J58)</f>
        <v>1.6674245E7</v>
      </c>
      <c r="K59" s="68"/>
    </row>
  </sheetData>
  <hyperlinks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I46" r:id="rId30"/>
    <hyperlink ref="I47" r:id="rId31"/>
    <hyperlink ref="I48" r:id="rId32"/>
    <hyperlink ref="I49" r:id="rId33"/>
    <hyperlink ref="I50" r:id="rId34"/>
    <hyperlink ref="I51" r:id="rId35"/>
    <hyperlink ref="I52" r:id="rId36"/>
    <hyperlink ref="I53" r:id="rId37"/>
    <hyperlink ref="I54" r:id="rId38"/>
    <hyperlink ref="I55" r:id="rId39"/>
    <hyperlink ref="I57" r:id="rId40"/>
    <hyperlink ref="I58" r:id="rId41"/>
  </hyperlinks>
  <pageMargins left="0.7" right="0.7" top="0.75" bottom="0.75" header="0.511811023622047" footer="0.511811023622047"/>
  <drawing r:id="rId1"/>
  <legacyDrawing r:id="rId2"/>
</worksheet>
</file>

<file path=xl/worksheets/sheet7.xml><?xml version="1.0" encoding="utf-8"?>
<worksheet xmlns:r="http://schemas.openxmlformats.org/officeDocument/2006/relationships" xmlns="http://schemas.openxmlformats.org/spreadsheetml/2006/main">
  <dimension ref="A1:R42"/>
  <sheetViews>
    <sheetView workbookViewId="0" zoomScale="44">
      <selection activeCell="L17" sqref="L17"/>
    </sheetView>
  </sheetViews>
  <sheetFormatPr defaultRowHeight="14.5"/>
  <cols>
    <col min="1" max="1" customWidth="1" width="11.542969" style="60"/>
    <col min="2" max="2" customWidth="1" width="23.089844" style="60"/>
    <col min="3" max="3" customWidth="1" width="11.816406" style="60"/>
    <col min="4" max="4" customWidth="1" width="15.90625" style="60"/>
    <col min="5" max="5" customWidth="1" width="13.363281" style="60"/>
    <col min="6" max="6" customWidth="1" width="20.0" style="60"/>
    <col min="7" max="7" customWidth="1" width="11.90625" style="60"/>
    <col min="9" max="9" customWidth="1" width="23.089844" style="60"/>
    <col min="10" max="10" customWidth="1" width="13.363281" style="60"/>
    <col min="11" max="12" customWidth="1" width="19.089844" style="60"/>
    <col min="13" max="13" customWidth="1" width="9.269531" style="60"/>
    <col min="14" max="14" customWidth="1" width="13.453125" style="60"/>
    <col min="15" max="15" customWidth="1" width="16.632812" style="60"/>
    <col min="16" max="16" customWidth="1" width="16.816406" style="60"/>
    <col min="17" max="17" customWidth="1" width="9.269531" style="60"/>
  </cols>
  <sheetData>
    <row r="1" spans="8:8" ht="25.5" customHeight="1">
      <c r="A1" s="61" t="s">
        <v>686</v>
      </c>
      <c r="B1" s="61" t="s">
        <v>687</v>
      </c>
      <c r="C1" s="61" t="s">
        <v>688</v>
      </c>
      <c r="D1" s="61" t="s">
        <v>689</v>
      </c>
      <c r="E1" s="61" t="s">
        <v>690</v>
      </c>
      <c r="F1" s="61" t="s">
        <v>691</v>
      </c>
      <c r="G1" s="61" t="s">
        <v>692</v>
      </c>
      <c r="I1" s="61" t="s">
        <v>687</v>
      </c>
      <c r="J1" s="61" t="s">
        <v>693</v>
      </c>
      <c r="K1" s="61" t="s">
        <v>694</v>
      </c>
      <c r="L1" s="61" t="s">
        <v>695</v>
      </c>
      <c r="N1" s="61" t="s">
        <v>696</v>
      </c>
      <c r="O1" s="61" t="s">
        <v>697</v>
      </c>
      <c r="P1" s="61" t="s">
        <v>698</v>
      </c>
    </row>
    <row r="2" spans="8:8" ht="16.5" customHeight="1">
      <c r="A2" s="16">
        <v>46207.0</v>
      </c>
      <c r="B2" s="90" t="s">
        <v>21</v>
      </c>
      <c r="C2" s="64">
        <v>3.0</v>
      </c>
      <c r="D2" s="65">
        <v>9000.0</v>
      </c>
      <c r="E2" s="66">
        <f t="shared" si="0" ref="E2:E17">C2*D2</f>
        <v>27000.0</v>
      </c>
      <c r="F2" s="63" t="s">
        <v>15</v>
      </c>
      <c r="G2" s="67" t="s">
        <v>89</v>
      </c>
      <c r="I2" s="90" t="s">
        <v>21</v>
      </c>
      <c r="J2" s="68">
        <f>C2+C10</f>
        <v>53.0</v>
      </c>
      <c r="K2" s="66">
        <f>E2+E10</f>
        <v>442000.0</v>
      </c>
      <c r="L2" s="69">
        <f t="shared" si="1" ref="L2:L12">K2/K$13</f>
        <v>0.06080390465617593</v>
      </c>
      <c r="N2" s="66">
        <f>K13</f>
        <v>7269270.0</v>
      </c>
      <c r="O2" s="70">
        <f>J13</f>
        <v>756.0</v>
      </c>
      <c r="P2" s="68">
        <f>COUNT(I2:I4,J2:J6)</f>
        <v>5.0</v>
      </c>
    </row>
    <row r="3" spans="8:8" ht="16.5" customHeight="1">
      <c r="A3" s="16">
        <v>46207.0</v>
      </c>
      <c r="B3" s="103" t="s">
        <v>24</v>
      </c>
      <c r="C3" s="64">
        <v>30.0</v>
      </c>
      <c r="D3" s="65">
        <v>5000.0</v>
      </c>
      <c r="E3" s="66">
        <f t="shared" si="0"/>
        <v>150000.0</v>
      </c>
      <c r="F3" s="63" t="s">
        <v>15</v>
      </c>
      <c r="G3" s="67" t="s">
        <v>90</v>
      </c>
      <c r="I3" s="103" t="s">
        <v>24</v>
      </c>
      <c r="J3" s="68">
        <f>C3+C4+C16</f>
        <v>283.0</v>
      </c>
      <c r="K3" s="66">
        <f>E3+E4+E16</f>
        <v>1416500.0</v>
      </c>
      <c r="L3" s="69">
        <f t="shared" si="1"/>
        <v>0.19486138222957738</v>
      </c>
    </row>
    <row r="4" spans="8:8" ht="16.5" customHeight="1">
      <c r="A4" s="16">
        <v>46207.0</v>
      </c>
      <c r="B4" s="103" t="s">
        <v>24</v>
      </c>
      <c r="C4" s="64">
        <v>248.0</v>
      </c>
      <c r="D4" s="65">
        <v>5000.0</v>
      </c>
      <c r="E4" s="66">
        <f t="shared" si="0"/>
        <v>1240000.0</v>
      </c>
      <c r="F4" s="63" t="s">
        <v>50</v>
      </c>
      <c r="G4" s="67" t="s">
        <v>91</v>
      </c>
      <c r="I4" s="63" t="s">
        <v>93</v>
      </c>
      <c r="J4" s="68">
        <f>C6</f>
        <v>5.0</v>
      </c>
      <c r="K4" s="66">
        <f>E6</f>
        <v>56150.0</v>
      </c>
      <c r="L4" s="69">
        <f t="shared" si="1"/>
        <v>0.007724296937656739</v>
      </c>
    </row>
    <row r="5" spans="8:8" ht="16.5" customHeight="1">
      <c r="A5" s="16">
        <v>46207.0</v>
      </c>
      <c r="B5" s="71" t="s">
        <v>31</v>
      </c>
      <c r="C5" s="64">
        <v>5.0</v>
      </c>
      <c r="D5" s="65">
        <v>17200.0</v>
      </c>
      <c r="E5" s="66">
        <f t="shared" si="0"/>
        <v>86000.0</v>
      </c>
      <c r="F5" s="63" t="s">
        <v>50</v>
      </c>
      <c r="G5" s="67" t="s">
        <v>91</v>
      </c>
      <c r="I5" s="63" t="s">
        <v>33</v>
      </c>
      <c r="J5" s="68">
        <f>C8</f>
        <v>20.0</v>
      </c>
      <c r="K5" s="66">
        <f>E8</f>
        <v>313100.0</v>
      </c>
      <c r="L5" s="69">
        <f t="shared" si="1"/>
        <v>0.04307172522137711</v>
      </c>
    </row>
    <row r="6" spans="8:8" ht="16.5" customHeight="1">
      <c r="A6" s="16">
        <v>46207.0</v>
      </c>
      <c r="B6" s="63" t="s">
        <v>93</v>
      </c>
      <c r="C6" s="64">
        <v>5.0</v>
      </c>
      <c r="D6" s="65">
        <v>11230.0</v>
      </c>
      <c r="E6" s="66">
        <f t="shared" si="0"/>
        <v>56150.0</v>
      </c>
      <c r="F6" s="63" t="s">
        <v>50</v>
      </c>
      <c r="G6" s="67" t="s">
        <v>92</v>
      </c>
      <c r="I6" s="63" t="s">
        <v>28</v>
      </c>
      <c r="J6" s="68">
        <f>C9</f>
        <v>30.0</v>
      </c>
      <c r="K6" s="66">
        <f>E9</f>
        <v>387000.0</v>
      </c>
      <c r="L6" s="69">
        <f t="shared" si="1"/>
        <v>0.05323780792294137</v>
      </c>
    </row>
    <row r="7" spans="8:8" ht="16.5" customHeight="1">
      <c r="A7" s="16">
        <v>46207.0</v>
      </c>
      <c r="B7" s="71" t="s">
        <v>31</v>
      </c>
      <c r="C7" s="64">
        <v>5.0</v>
      </c>
      <c r="D7" s="65">
        <v>17200.0</v>
      </c>
      <c r="E7" s="66">
        <f t="shared" si="0"/>
        <v>86000.0</v>
      </c>
      <c r="F7" s="63" t="s">
        <v>50</v>
      </c>
      <c r="G7" s="67" t="s">
        <v>92</v>
      </c>
      <c r="I7" s="63" t="s">
        <v>70</v>
      </c>
      <c r="J7" s="68">
        <f>C11</f>
        <v>3.0</v>
      </c>
      <c r="K7" s="66">
        <f>E11</f>
        <v>40380.0</v>
      </c>
      <c r="L7" s="69">
        <f t="shared" si="1"/>
        <v>0.005554890656145665</v>
      </c>
    </row>
    <row r="8" spans="8:8" ht="16.5" customHeight="1">
      <c r="A8" s="16">
        <v>46207.0</v>
      </c>
      <c r="B8" s="63" t="s">
        <v>33</v>
      </c>
      <c r="C8" s="64">
        <v>20.0</v>
      </c>
      <c r="D8" s="65">
        <v>15655.0</v>
      </c>
      <c r="E8" s="66">
        <f t="shared" si="0"/>
        <v>313100.0</v>
      </c>
      <c r="F8" s="63" t="s">
        <v>50</v>
      </c>
      <c r="G8" s="67" t="s">
        <v>92</v>
      </c>
      <c r="I8" s="63" t="s">
        <v>45</v>
      </c>
      <c r="J8" s="68">
        <f>C12</f>
        <v>300.0</v>
      </c>
      <c r="K8" s="66">
        <f>E12</f>
        <v>3849000.0</v>
      </c>
      <c r="L8" s="69">
        <f t="shared" si="1"/>
        <v>0.5294892059312696</v>
      </c>
    </row>
    <row r="9" spans="8:8" ht="16.5" customHeight="1">
      <c r="A9" s="16">
        <v>46207.0</v>
      </c>
      <c r="B9" s="63" t="s">
        <v>28</v>
      </c>
      <c r="C9" s="64">
        <v>30.0</v>
      </c>
      <c r="D9" s="65">
        <v>12900.0</v>
      </c>
      <c r="E9" s="66">
        <f t="shared" si="0"/>
        <v>387000.0</v>
      </c>
      <c r="F9" s="63" t="s">
        <v>50</v>
      </c>
      <c r="G9" s="67" t="s">
        <v>92</v>
      </c>
      <c r="I9" s="63" t="s">
        <v>100</v>
      </c>
      <c r="J9" s="68">
        <f>C13</f>
        <v>40.0</v>
      </c>
      <c r="K9" s="66">
        <f>E13</f>
        <v>436600.0</v>
      </c>
      <c r="L9" s="69">
        <f t="shared" si="1"/>
        <v>0.060061051522367445</v>
      </c>
    </row>
    <row r="10" spans="8:8" ht="16.5" customHeight="1">
      <c r="A10" s="16">
        <v>46207.0</v>
      </c>
      <c r="B10" s="90" t="s">
        <v>21</v>
      </c>
      <c r="C10" s="64">
        <v>50.0</v>
      </c>
      <c r="D10" s="65">
        <v>8300.0</v>
      </c>
      <c r="E10" s="66">
        <f t="shared" si="0"/>
        <v>415000.0</v>
      </c>
      <c r="F10" s="63" t="s">
        <v>25</v>
      </c>
      <c r="G10" s="67" t="s">
        <v>94</v>
      </c>
      <c r="I10" s="63" t="s">
        <v>101</v>
      </c>
      <c r="J10" s="68">
        <f>C14</f>
        <v>10.0</v>
      </c>
      <c r="K10" s="66">
        <f>E14</f>
        <v>129200.0</v>
      </c>
      <c r="L10" s="69">
        <f t="shared" si="1"/>
        <v>0.017773449053343732</v>
      </c>
    </row>
    <row r="11" spans="8:8" ht="16.5" customHeight="1">
      <c r="A11" s="16">
        <v>46207.0</v>
      </c>
      <c r="B11" s="63" t="s">
        <v>70</v>
      </c>
      <c r="C11" s="64">
        <v>3.0</v>
      </c>
      <c r="D11" s="65">
        <v>13460.0</v>
      </c>
      <c r="E11" s="66">
        <f t="shared" si="0"/>
        <v>40380.0</v>
      </c>
      <c r="F11" s="63" t="s">
        <v>95</v>
      </c>
      <c r="G11" s="67" t="s">
        <v>96</v>
      </c>
      <c r="I11" s="63" t="s">
        <v>22</v>
      </c>
      <c r="J11" s="68">
        <f>C15</f>
        <v>1.0</v>
      </c>
      <c r="K11" s="66">
        <f>E15</f>
        <v>9500.0</v>
      </c>
      <c r="L11" s="69">
        <f t="shared" si="1"/>
        <v>0.0013068712539223333</v>
      </c>
    </row>
    <row r="12" spans="8:8" ht="16.5" customHeight="1">
      <c r="A12" s="16">
        <v>46207.0</v>
      </c>
      <c r="B12" s="63" t="s">
        <v>45</v>
      </c>
      <c r="C12" s="64">
        <v>300.0</v>
      </c>
      <c r="D12" s="65">
        <v>12830.0</v>
      </c>
      <c r="E12" s="66">
        <f t="shared" si="0"/>
        <v>3849000.0</v>
      </c>
      <c r="F12" s="63" t="s">
        <v>97</v>
      </c>
      <c r="G12" s="67" t="s">
        <v>98</v>
      </c>
      <c r="I12" s="71" t="s">
        <v>31</v>
      </c>
      <c r="J12" s="68">
        <f>C5+C7+C17</f>
        <v>11.0</v>
      </c>
      <c r="K12" s="66">
        <f>E5+E7+E17</f>
        <v>189840.0</v>
      </c>
      <c r="L12" s="69">
        <f t="shared" si="1"/>
        <v>0.026115414615222713</v>
      </c>
    </row>
    <row r="13" spans="8:8" ht="16.5" customHeight="1">
      <c r="A13" s="16">
        <v>46207.0</v>
      </c>
      <c r="B13" s="63" t="s">
        <v>100</v>
      </c>
      <c r="C13" s="64">
        <v>40.0</v>
      </c>
      <c r="D13" s="65">
        <v>10915.0</v>
      </c>
      <c r="E13" s="66">
        <f t="shared" si="0"/>
        <v>436600.0</v>
      </c>
      <c r="F13" s="63" t="s">
        <v>97</v>
      </c>
      <c r="G13" s="67" t="s">
        <v>98</v>
      </c>
      <c r="I13" s="68" t="s">
        <v>701</v>
      </c>
      <c r="J13" s="70">
        <f>C18</f>
        <v>756.0</v>
      </c>
      <c r="K13" s="66">
        <f>SUM(K2:K12)</f>
        <v>7269270.0</v>
      </c>
      <c r="L13" s="69">
        <f>SUM(L2:L12)</f>
        <v>1.0</v>
      </c>
    </row>
    <row r="14" spans="8:8" ht="16.5" customHeight="1">
      <c r="A14" s="16">
        <v>46207.0</v>
      </c>
      <c r="B14" s="63" t="s">
        <v>101</v>
      </c>
      <c r="C14" s="64">
        <v>10.0</v>
      </c>
      <c r="D14" s="65">
        <v>12920.0</v>
      </c>
      <c r="E14" s="66">
        <f t="shared" si="0"/>
        <v>129200.0</v>
      </c>
      <c r="F14" s="63" t="s">
        <v>97</v>
      </c>
      <c r="G14" s="67" t="s">
        <v>98</v>
      </c>
      <c r="L14" s="79"/>
    </row>
    <row r="15" spans="8:8" ht="16.5" customHeight="1">
      <c r="A15" s="16">
        <v>46207.0</v>
      </c>
      <c r="B15" s="63" t="s">
        <v>22</v>
      </c>
      <c r="C15" s="64">
        <v>1.0</v>
      </c>
      <c r="D15" s="65">
        <v>9500.0</v>
      </c>
      <c r="E15" s="66">
        <f t="shared" si="0"/>
        <v>9500.0</v>
      </c>
      <c r="F15" s="63" t="s">
        <v>102</v>
      </c>
      <c r="G15" s="67" t="s">
        <v>103</v>
      </c>
      <c r="L15" s="79"/>
    </row>
    <row r="16" spans="8:8" ht="16.5" customHeight="1">
      <c r="A16" s="16">
        <v>46207.0</v>
      </c>
      <c r="B16" s="103" t="s">
        <v>24</v>
      </c>
      <c r="C16" s="64">
        <v>5.0</v>
      </c>
      <c r="D16" s="65">
        <v>5300.0</v>
      </c>
      <c r="E16" s="66">
        <f t="shared" si="0"/>
        <v>26500.0</v>
      </c>
      <c r="F16" s="63" t="s">
        <v>104</v>
      </c>
      <c r="G16" s="67" t="s">
        <v>105</v>
      </c>
      <c r="I16" s="6"/>
      <c r="L16" s="79"/>
    </row>
    <row r="17" spans="8:8" ht="16.5" customHeight="1">
      <c r="A17" s="16">
        <v>46207.0</v>
      </c>
      <c r="B17" s="71" t="s">
        <v>31</v>
      </c>
      <c r="C17" s="64">
        <v>1.0</v>
      </c>
      <c r="D17" s="65">
        <v>17840.0</v>
      </c>
      <c r="E17" s="66">
        <f t="shared" si="0"/>
        <v>17840.0</v>
      </c>
      <c r="F17" s="63" t="s">
        <v>104</v>
      </c>
      <c r="G17" s="67" t="s">
        <v>105</v>
      </c>
      <c r="I17" s="6"/>
      <c r="L17" s="79"/>
    </row>
    <row r="18" spans="8:8" ht="16.5" customHeight="1">
      <c r="A18" s="62"/>
      <c r="B18" s="63" t="s">
        <v>701</v>
      </c>
      <c r="C18" s="68">
        <f>SUM(C2:C17)</f>
        <v>756.0</v>
      </c>
      <c r="D18" s="70">
        <f>SUM(D2:D17)</f>
        <v>184250.0</v>
      </c>
      <c r="E18" s="66">
        <f>SUM(E2:E17)</f>
        <v>7269270.0</v>
      </c>
      <c r="F18" s="63"/>
      <c r="G18" s="67"/>
    </row>
    <row r="19" spans="8:8" ht="16.5" customHeight="1">
      <c r="A19" s="16"/>
      <c r="F19" s="6"/>
      <c r="G19" s="7"/>
    </row>
    <row r="20" spans="8:8" ht="25.5" customHeight="1">
      <c r="A20" s="16"/>
      <c r="B20" s="6"/>
      <c r="C20" s="9"/>
      <c r="D20" s="8"/>
      <c r="E20" s="78"/>
      <c r="F20" s="6"/>
      <c r="G20" s="7"/>
      <c r="I20" s="61" t="s">
        <v>691</v>
      </c>
      <c r="J20" s="61" t="s">
        <v>690</v>
      </c>
      <c r="K20" s="61" t="s">
        <v>695</v>
      </c>
    </row>
    <row r="21" spans="8:8" ht="16.5" customHeight="1">
      <c r="A21" s="16"/>
      <c r="B21" s="6"/>
      <c r="C21" s="9"/>
      <c r="D21" s="8"/>
      <c r="E21" s="78"/>
      <c r="F21" s="6"/>
      <c r="G21" s="7"/>
      <c r="I21" s="63" t="s">
        <v>699</v>
      </c>
      <c r="J21" s="66">
        <f>E2</f>
        <v>27000.0</v>
      </c>
      <c r="K21" s="69">
        <f t="shared" si="2" ref="K21:K28">J21/E$18</f>
        <v>0.003714265669042421</v>
      </c>
    </row>
    <row r="22" spans="8:8" ht="16.5" customHeight="1">
      <c r="I22" s="63" t="s">
        <v>700</v>
      </c>
      <c r="J22" s="66">
        <f>E3</f>
        <v>150000.0</v>
      </c>
      <c r="K22" s="69">
        <f t="shared" si="2"/>
        <v>0.020634809272457894</v>
      </c>
    </row>
    <row r="23" spans="8:8" ht="16.5" customHeight="1">
      <c r="I23" s="63" t="s">
        <v>25</v>
      </c>
      <c r="J23" s="66">
        <f>E10</f>
        <v>415000.0</v>
      </c>
      <c r="K23" s="69">
        <f t="shared" si="2"/>
        <v>0.05708963898713351</v>
      </c>
    </row>
    <row r="24" spans="8:8" ht="16.5" customHeight="1">
      <c r="I24" s="63" t="s">
        <v>50</v>
      </c>
      <c r="J24" s="66">
        <f>SUM(E4:E9)</f>
        <v>2168250.0</v>
      </c>
      <c r="K24" s="69">
        <f t="shared" si="2"/>
        <v>0.29827616803337886</v>
      </c>
    </row>
    <row r="25" spans="8:8" ht="16.5" customHeight="1">
      <c r="I25" s="63" t="s">
        <v>95</v>
      </c>
      <c r="J25" s="66">
        <f>E11</f>
        <v>40380.0</v>
      </c>
      <c r="K25" s="69">
        <f t="shared" si="2"/>
        <v>0.005554890656145665</v>
      </c>
    </row>
    <row r="26" spans="8:8" ht="16.5" customHeight="1">
      <c r="I26" s="63" t="s">
        <v>97</v>
      </c>
      <c r="J26" s="66">
        <f>SUM(E12:E14)</f>
        <v>4414800.0</v>
      </c>
      <c r="K26" s="69">
        <f t="shared" si="2"/>
        <v>0.6073237065069808</v>
      </c>
    </row>
    <row r="27" spans="8:8" ht="16.5" customHeight="1">
      <c r="I27" s="63" t="s">
        <v>102</v>
      </c>
      <c r="J27" s="66">
        <f>E15</f>
        <v>9500.0</v>
      </c>
      <c r="K27" s="69">
        <f t="shared" si="2"/>
        <v>0.0013068712539223333</v>
      </c>
    </row>
    <row r="28" spans="8:8" ht="16.5" customHeight="1">
      <c r="I28" s="63" t="s">
        <v>104</v>
      </c>
      <c r="J28" s="66">
        <f>E16+E17</f>
        <v>44340.0</v>
      </c>
      <c r="K28" s="69">
        <f t="shared" si="2"/>
        <v>0.006099649620938554</v>
      </c>
    </row>
    <row r="29" spans="8:8" ht="16.5" customHeight="1">
      <c r="I29" s="80" t="s">
        <v>703</v>
      </c>
      <c r="J29" s="66">
        <f>SUM(J21:J28)</f>
        <v>7269270.0</v>
      </c>
      <c r="K29" s="69">
        <v>1.0</v>
      </c>
    </row>
    <row r="32" spans="8:8" ht="25.5" customHeight="1">
      <c r="I32" s="61" t="s">
        <v>705</v>
      </c>
      <c r="J32" s="61" t="s">
        <v>690</v>
      </c>
      <c r="K32" s="61" t="s">
        <v>702</v>
      </c>
    </row>
    <row r="33" spans="8:8" ht="16.5" customHeight="1">
      <c r="I33" s="67" t="s">
        <v>89</v>
      </c>
      <c r="J33" s="92">
        <v>27000.0</v>
      </c>
      <c r="K33" s="69">
        <v>0.1</v>
      </c>
    </row>
    <row r="34" spans="8:8" ht="16.5" customHeight="1">
      <c r="I34" s="67" t="s">
        <v>90</v>
      </c>
      <c r="J34" s="92">
        <v>150000.0</v>
      </c>
      <c r="K34" s="69">
        <v>-0.04</v>
      </c>
    </row>
    <row r="35" spans="8:8" ht="16.5" customHeight="1">
      <c r="I35" s="67" t="s">
        <v>91</v>
      </c>
      <c r="J35" s="92">
        <v>1326000.0</v>
      </c>
      <c r="K35" s="69">
        <v>-0.04</v>
      </c>
    </row>
    <row r="36" spans="8:8" ht="16.5" customHeight="1">
      <c r="I36" s="67" t="s">
        <v>92</v>
      </c>
      <c r="J36" s="92">
        <v>842250.0</v>
      </c>
      <c r="K36" s="69">
        <v>-0.02</v>
      </c>
    </row>
    <row r="37" spans="8:8" ht="16.5" customHeight="1">
      <c r="I37" s="67" t="s">
        <v>98</v>
      </c>
      <c r="J37" s="92">
        <v>4939800.0</v>
      </c>
      <c r="K37" s="69">
        <v>0.0</v>
      </c>
    </row>
    <row r="38" spans="8:8" ht="16.5" customHeight="1">
      <c r="I38" s="67" t="s">
        <v>94</v>
      </c>
      <c r="J38" s="92">
        <v>495000.0</v>
      </c>
      <c r="K38" s="69">
        <v>0.02</v>
      </c>
    </row>
    <row r="39" spans="8:8" ht="16.5" customHeight="1">
      <c r="I39" s="67" t="s">
        <v>96</v>
      </c>
      <c r="J39" s="92">
        <v>40380.0</v>
      </c>
      <c r="K39" s="69">
        <v>0.04</v>
      </c>
    </row>
    <row r="40" spans="8:8" ht="16.5" customHeight="1">
      <c r="I40" s="67" t="s">
        <v>103</v>
      </c>
      <c r="J40" s="92">
        <v>9500.0</v>
      </c>
      <c r="K40" s="69">
        <v>0.09</v>
      </c>
    </row>
    <row r="41" spans="8:8" ht="16.5" customHeight="1">
      <c r="I41" s="67" t="s">
        <v>105</v>
      </c>
      <c r="J41" s="92">
        <v>44340.0</v>
      </c>
      <c r="K41" s="69">
        <v>0.03</v>
      </c>
    </row>
    <row r="42" spans="8:8" ht="16.5" customHeight="1">
      <c r="I42" s="80" t="s">
        <v>703</v>
      </c>
      <c r="J42" s="66">
        <f>SUM(J33:J41)</f>
        <v>7874270.0</v>
      </c>
      <c r="K42" s="69"/>
    </row>
  </sheetData>
  <hyperlinks>
    <hyperlink ref="G2" r:id="rId3"/>
    <hyperlink ref="G3" r:id="rId4"/>
    <hyperlink ref="G4" r:id="rId5"/>
    <hyperlink ref="G5" r:id="rId6"/>
    <hyperlink ref="G6" r:id="rId7"/>
    <hyperlink ref="G7" r:id="rId8"/>
    <hyperlink ref="G8" r:id="rId9"/>
    <hyperlink ref="G9" r:id="rId10"/>
    <hyperlink ref="G10" r:id="rId11"/>
    <hyperlink ref="G11" r:id="rId12"/>
    <hyperlink ref="G12" r:id="rId13"/>
    <hyperlink ref="G13" r:id="rId14"/>
    <hyperlink ref="G14" r:id="rId15"/>
    <hyperlink ref="G15" r:id="rId16"/>
    <hyperlink ref="G16" r:id="rId17"/>
    <hyperlink ref="G17" r:id="rId18"/>
    <hyperlink ref="I33" r:id="rId19"/>
    <hyperlink ref="I34" r:id="rId20"/>
    <hyperlink ref="I35" r:id="rId21"/>
    <hyperlink ref="I36" r:id="rId22"/>
    <hyperlink ref="I37" r:id="rId23"/>
    <hyperlink ref="I38" r:id="rId24"/>
    <hyperlink ref="I39" r:id="rId25"/>
    <hyperlink ref="I40" r:id="rId26"/>
    <hyperlink ref="I41" r:id="rId27"/>
  </hyperlinks>
  <pageMargins left="0.7" right="0.7" top="0.75" bottom="0.75" header="0.511811023622047" footer="0.511811023622047"/>
  <drawing r:id="rId1"/>
  <legacyDrawing r:id="rId2"/>
</worksheet>
</file>

<file path=xl/worksheets/sheet8.xml><?xml version="1.0" encoding="utf-8"?>
<worksheet xmlns:r="http://schemas.openxmlformats.org/officeDocument/2006/relationships" xmlns="http://schemas.openxmlformats.org/spreadsheetml/2006/main">
  <dimension ref="A1:Q2"/>
  <sheetViews>
    <sheetView workbookViewId="0">
      <selection activeCell="A1" sqref="A1"/>
    </sheetView>
  </sheetViews>
  <sheetFormatPr defaultRowHeight="14.5"/>
  <cols>
    <col min="1" max="1" customWidth="1" width="11.269531" style="60"/>
    <col min="2" max="2" customWidth="1" width="18.089844" style="60"/>
    <col min="3" max="3" customWidth="1" width="10.90625" style="60"/>
    <col min="4" max="4" customWidth="1" width="11.90625" style="60"/>
    <col min="5" max="5" customWidth="1" width="12.453125" style="60"/>
    <col min="6" max="6" customWidth="1" width="21.542969" style="60"/>
    <col min="7" max="7" customWidth="1" width="11.90625" style="60"/>
    <col min="8" max="8" customWidth="1" width="3.0" style="60"/>
    <col min="9" max="9" customWidth="1" width="21.542969" style="60"/>
    <col min="10" max="10" customWidth="1" width="12.453125" style="60"/>
    <col min="11" max="11" customWidth="1" width="17.726562" style="60"/>
    <col min="12" max="12" customWidth="1" width="9.542969" style="60"/>
    <col min="13" max="13" customWidth="1" width="3.0" style="60"/>
    <col min="14" max="16" customWidth="1" width="13.0" style="60"/>
  </cols>
  <sheetData>
    <row r="1" spans="8:8" ht="18.0" customHeight="1">
      <c r="A1" s="104" t="s">
        <v>706</v>
      </c>
    </row>
    <row r="2" spans="8:8" ht="14.25" customHeight="1">
      <c r="A2" s="105" t="s">
        <v>707</v>
      </c>
    </row>
  </sheetData>
  <pageMargins left="0.75" right="0.75" top="1.0" bottom="1.0" header="0.511811023622047" footer="0.511811023622047"/>
</worksheet>
</file>

<file path=xl/worksheets/sheet9.xml><?xml version="1.0" encoding="utf-8"?>
<worksheet xmlns:r="http://schemas.openxmlformats.org/officeDocument/2006/relationships" xmlns="http://schemas.openxmlformats.org/spreadsheetml/2006/main">
  <dimension ref="A1:Q45"/>
  <sheetViews>
    <sheetView workbookViewId="0" topLeftCell="A31" zoomScale="66">
      <selection activeCell="J45" sqref="J45"/>
    </sheetView>
  </sheetViews>
  <sheetFormatPr defaultRowHeight="14.5"/>
  <cols>
    <col min="1" max="1" customWidth="0" width="8.6328125" style="60"/>
    <col min="2" max="2" customWidth="1" width="19.179688" style="60"/>
    <col min="3" max="3" customWidth="1" width="11.269531" style="60"/>
    <col min="4" max="4" customWidth="1" width="15.0" style="60"/>
    <col min="5" max="5" customWidth="1" width="12.816406" style="60"/>
    <col min="6" max="6" customWidth="1" width="15.6328125" style="60"/>
    <col min="7" max="7" customWidth="1" width="12.089844" style="60"/>
    <col min="8" max="8" customWidth="1" width="3.0" style="60"/>
    <col min="9" max="9" customWidth="1" width="19.179688" style="60"/>
    <col min="10" max="10" customWidth="1" width="12.816406" style="60"/>
    <col min="11" max="12" customWidth="1" width="17.90625" style="60"/>
    <col min="13" max="13" customWidth="1" width="3.0" style="60"/>
    <col min="14" max="14" customWidth="1" width="12.363281" style="60"/>
    <col min="15" max="16" customWidth="1" width="15.542969" style="60"/>
  </cols>
  <sheetData>
    <row r="1" spans="8:8" ht="25.5" customHeight="1">
      <c r="A1" s="106" t="s">
        <v>686</v>
      </c>
      <c r="B1" s="106" t="s">
        <v>687</v>
      </c>
      <c r="C1" s="106" t="s">
        <v>688</v>
      </c>
      <c r="D1" s="106" t="s">
        <v>689</v>
      </c>
      <c r="E1" s="106" t="s">
        <v>690</v>
      </c>
      <c r="F1" s="106" t="s">
        <v>691</v>
      </c>
      <c r="G1" s="106" t="s">
        <v>692</v>
      </c>
      <c r="I1" s="106" t="s">
        <v>687</v>
      </c>
      <c r="J1" s="106" t="s">
        <v>693</v>
      </c>
      <c r="K1" s="106" t="s">
        <v>694</v>
      </c>
      <c r="L1" s="106" t="s">
        <v>695</v>
      </c>
      <c r="N1" s="106" t="s">
        <v>696</v>
      </c>
      <c r="O1" s="106" t="s">
        <v>697</v>
      </c>
      <c r="P1" s="106" t="s">
        <v>698</v>
      </c>
    </row>
    <row r="2" spans="8:8" ht="14.25" customHeight="1">
      <c r="A2" s="107">
        <v>46209.0</v>
      </c>
      <c r="B2" s="108" t="s">
        <v>24</v>
      </c>
      <c r="C2" s="109">
        <v>330.0</v>
      </c>
      <c r="D2" s="110">
        <v>4950.0</v>
      </c>
      <c r="E2" s="111">
        <f t="shared" si="0" ref="E2:E31">C2*D2</f>
        <v>1633500.0</v>
      </c>
      <c r="F2" s="109" t="s">
        <v>106</v>
      </c>
      <c r="G2" s="67" t="s">
        <v>107</v>
      </c>
      <c r="I2" s="108" t="s">
        <v>24</v>
      </c>
      <c r="J2" s="109">
        <f>C2+C15+C23</f>
        <v>431.0</v>
      </c>
      <c r="K2" s="111">
        <f>E2+E15+E23</f>
        <v>2133800.0</v>
      </c>
      <c r="L2" s="112">
        <f t="shared" si="1" ref="L2:L15">K2/K$15</f>
        <v>0.31123353527486</v>
      </c>
      <c r="N2" s="111">
        <f>K15</f>
        <v>6855945.0</v>
      </c>
      <c r="O2" s="109">
        <f>J15</f>
        <v>931.0</v>
      </c>
      <c r="P2" s="109">
        <f>COUNT(J2:J14)</f>
        <v>13.0</v>
      </c>
    </row>
    <row r="3" spans="8:8" ht="14.25" customHeight="1">
      <c r="A3" s="107">
        <v>46209.0</v>
      </c>
      <c r="B3" s="109" t="s">
        <v>27</v>
      </c>
      <c r="C3" s="109">
        <v>130.0</v>
      </c>
      <c r="D3" s="110">
        <v>7800.0</v>
      </c>
      <c r="E3" s="111">
        <f t="shared" si="0"/>
        <v>1014000.0</v>
      </c>
      <c r="F3" s="109" t="s">
        <v>106</v>
      </c>
      <c r="G3" s="67" t="s">
        <v>107</v>
      </c>
      <c r="I3" s="109" t="s">
        <v>27</v>
      </c>
      <c r="J3" s="109">
        <f>C3</f>
        <v>130.0</v>
      </c>
      <c r="K3" s="111">
        <f>E3</f>
        <v>1014000.0</v>
      </c>
      <c r="L3" s="112">
        <f t="shared" si="1"/>
        <v>0.1479008364273634</v>
      </c>
    </row>
    <row r="4" spans="8:8" ht="14.25" customHeight="1">
      <c r="A4" s="107">
        <v>46209.0</v>
      </c>
      <c r="B4" s="113" t="s">
        <v>45</v>
      </c>
      <c r="C4" s="109">
        <v>60.0</v>
      </c>
      <c r="D4" s="110">
        <v>13335.0</v>
      </c>
      <c r="E4" s="111">
        <f t="shared" si="0"/>
        <v>800100.0</v>
      </c>
      <c r="F4" s="109" t="s">
        <v>25</v>
      </c>
      <c r="G4" s="67" t="s">
        <v>108</v>
      </c>
      <c r="I4" s="113" t="s">
        <v>45</v>
      </c>
      <c r="J4" s="109">
        <f>C4+C11+C17+C25</f>
        <v>73.0</v>
      </c>
      <c r="K4" s="111">
        <f>E4+E11+E17+E25</f>
        <v>973455.0</v>
      </c>
      <c r="L4" s="112">
        <f t="shared" si="1"/>
        <v>0.14198699085246455</v>
      </c>
    </row>
    <row r="5" spans="8:8" ht="14.25" customHeight="1">
      <c r="A5" s="107">
        <v>46209.0</v>
      </c>
      <c r="B5" s="109" t="s">
        <v>43</v>
      </c>
      <c r="C5" s="109">
        <v>1.0</v>
      </c>
      <c r="D5" s="110">
        <v>18300.0</v>
      </c>
      <c r="E5" s="111">
        <f t="shared" si="0"/>
        <v>18300.0</v>
      </c>
      <c r="F5" s="109" t="s">
        <v>109</v>
      </c>
      <c r="G5" s="67" t="s">
        <v>110</v>
      </c>
      <c r="I5" s="109" t="s">
        <v>43</v>
      </c>
      <c r="J5" s="109">
        <f>C5</f>
        <v>1.0</v>
      </c>
      <c r="K5" s="111">
        <f>E5</f>
        <v>18300.0</v>
      </c>
      <c r="L5" s="112">
        <f t="shared" si="1"/>
        <v>0.0026692162787186886</v>
      </c>
    </row>
    <row r="6" spans="8:8" ht="14.25" customHeight="1">
      <c r="A6" s="107">
        <v>46209.0</v>
      </c>
      <c r="B6" s="114" t="s">
        <v>44</v>
      </c>
      <c r="C6" s="109">
        <v>30.0</v>
      </c>
      <c r="D6" s="110">
        <v>9200.0</v>
      </c>
      <c r="E6" s="111">
        <f t="shared" si="0"/>
        <v>276000.0</v>
      </c>
      <c r="F6" s="109" t="s">
        <v>25</v>
      </c>
      <c r="G6" s="67" t="s">
        <v>111</v>
      </c>
      <c r="I6" s="114" t="s">
        <v>44</v>
      </c>
      <c r="J6" s="109">
        <f>C6+C10+C18+C21+C29</f>
        <v>81.0</v>
      </c>
      <c r="K6" s="111">
        <f>E6+E10+E18+E21+E29</f>
        <v>740040.0</v>
      </c>
      <c r="L6" s="112">
        <f t="shared" si="1"/>
        <v>0.10794135600562724</v>
      </c>
    </row>
    <row r="7" spans="8:8" ht="14.25" customHeight="1">
      <c r="A7" s="107">
        <v>46209.0</v>
      </c>
      <c r="B7" s="115" t="s">
        <v>22</v>
      </c>
      <c r="C7" s="109">
        <v>30.0</v>
      </c>
      <c r="D7" s="110">
        <v>9200.0</v>
      </c>
      <c r="E7" s="111">
        <f t="shared" si="0"/>
        <v>276000.0</v>
      </c>
      <c r="F7" s="109" t="s">
        <v>25</v>
      </c>
      <c r="G7" s="67" t="s">
        <v>111</v>
      </c>
      <c r="I7" s="115" t="s">
        <v>22</v>
      </c>
      <c r="J7" s="109">
        <f>C7+C14+C16+C20+C24+C28+C31</f>
        <v>175.0</v>
      </c>
      <c r="K7" s="111">
        <f>E7+E14+E16+E20+E24+E28+E31</f>
        <v>1593800.0</v>
      </c>
      <c r="L7" s="112">
        <f t="shared" si="1"/>
        <v>0.23246977623070197</v>
      </c>
    </row>
    <row r="8" spans="8:8" ht="14.25" customHeight="1">
      <c r="A8" s="107">
        <v>46209.0</v>
      </c>
      <c r="B8" s="109" t="s">
        <v>21</v>
      </c>
      <c r="C8" s="109">
        <v>20.0</v>
      </c>
      <c r="D8" s="110">
        <v>8300.0</v>
      </c>
      <c r="E8" s="111">
        <f t="shared" si="0"/>
        <v>166000.0</v>
      </c>
      <c r="F8" s="109" t="s">
        <v>25</v>
      </c>
      <c r="G8" s="67" t="s">
        <v>111</v>
      </c>
      <c r="I8" s="109" t="s">
        <v>21</v>
      </c>
      <c r="J8" s="109">
        <f>C8</f>
        <v>20.0</v>
      </c>
      <c r="K8" s="111">
        <f>E8</f>
        <v>166000.0</v>
      </c>
      <c r="L8" s="112">
        <f t="shared" si="1"/>
        <v>0.024212562965426357</v>
      </c>
    </row>
    <row r="9" spans="8:8" ht="14.25" customHeight="1">
      <c r="A9" s="107">
        <v>46209.0</v>
      </c>
      <c r="B9" s="116" t="s">
        <v>37</v>
      </c>
      <c r="C9" s="109">
        <v>12.0</v>
      </c>
      <c r="D9" s="110">
        <v>9200.0</v>
      </c>
      <c r="E9" s="111">
        <f t="shared" si="0"/>
        <v>110400.0</v>
      </c>
      <c r="F9" s="109" t="s">
        <v>25</v>
      </c>
      <c r="G9" s="67" t="s">
        <v>111</v>
      </c>
      <c r="I9" s="116" t="s">
        <v>37</v>
      </c>
      <c r="J9" s="109">
        <f>C9+C26+C30</f>
        <v>14.0</v>
      </c>
      <c r="K9" s="111">
        <f>E9+E26+E30</f>
        <v>128780.0</v>
      </c>
      <c r="L9" s="112">
        <f t="shared" si="1"/>
        <v>0.01878369794390124</v>
      </c>
    </row>
    <row r="10" spans="8:8" ht="14.25" customHeight="1">
      <c r="A10" s="107">
        <v>46209.0</v>
      </c>
      <c r="B10" s="114" t="s">
        <v>44</v>
      </c>
      <c r="C10" s="109">
        <v>21.0</v>
      </c>
      <c r="D10" s="110">
        <v>9200.0</v>
      </c>
      <c r="E10" s="111">
        <f t="shared" si="0"/>
        <v>193200.0</v>
      </c>
      <c r="F10" s="109" t="s">
        <v>29</v>
      </c>
      <c r="G10" s="67" t="s">
        <v>112</v>
      </c>
      <c r="I10" s="109" t="s">
        <v>65</v>
      </c>
      <c r="J10" s="109">
        <f>C12</f>
        <v>1.0</v>
      </c>
      <c r="K10" s="111">
        <f>E12</f>
        <v>11910.0</v>
      </c>
      <c r="L10" s="112">
        <f t="shared" si="1"/>
        <v>0.0017371784633628186</v>
      </c>
    </row>
    <row r="11" spans="8:8" ht="14.25" customHeight="1">
      <c r="A11" s="107">
        <v>46209.0</v>
      </c>
      <c r="B11" s="113" t="s">
        <v>45</v>
      </c>
      <c r="C11" s="109">
        <v>7.0</v>
      </c>
      <c r="D11" s="110">
        <v>13335.0</v>
      </c>
      <c r="E11" s="111">
        <f t="shared" si="0"/>
        <v>93345.0</v>
      </c>
      <c r="F11" s="109" t="s">
        <v>29</v>
      </c>
      <c r="G11" s="67" t="s">
        <v>112</v>
      </c>
      <c r="I11" s="109" t="s">
        <v>113</v>
      </c>
      <c r="J11" s="109">
        <f>C13</f>
        <v>1.0</v>
      </c>
      <c r="K11" s="111">
        <f>E13</f>
        <v>14575.0</v>
      </c>
      <c r="L11" s="112">
        <f t="shared" si="1"/>
        <v>0.002125892200127043</v>
      </c>
    </row>
    <row r="12" spans="8:8" ht="14.25" customHeight="1">
      <c r="A12" s="107">
        <v>46209.0</v>
      </c>
      <c r="B12" s="109" t="s">
        <v>65</v>
      </c>
      <c r="C12" s="109">
        <v>1.0</v>
      </c>
      <c r="D12" s="110">
        <v>11910.0</v>
      </c>
      <c r="E12" s="111">
        <f t="shared" si="0"/>
        <v>11910.0</v>
      </c>
      <c r="F12" s="109" t="s">
        <v>29</v>
      </c>
      <c r="G12" s="67" t="s">
        <v>112</v>
      </c>
      <c r="I12" s="109" t="s">
        <v>101</v>
      </c>
      <c r="J12" s="109">
        <f>C19</f>
        <v>1.0</v>
      </c>
      <c r="K12" s="111">
        <f>E19</f>
        <v>13550.0</v>
      </c>
      <c r="L12" s="112">
        <f t="shared" si="1"/>
        <v>0.0019763869167561876</v>
      </c>
    </row>
    <row r="13" spans="8:8" ht="14.25" customHeight="1">
      <c r="A13" s="107">
        <v>46209.0</v>
      </c>
      <c r="B13" s="109" t="s">
        <v>113</v>
      </c>
      <c r="C13" s="109">
        <v>1.0</v>
      </c>
      <c r="D13" s="110">
        <v>14575.0</v>
      </c>
      <c r="E13" s="111">
        <f t="shared" si="0"/>
        <v>14575.0</v>
      </c>
      <c r="F13" s="109" t="s">
        <v>29</v>
      </c>
      <c r="G13" s="67" t="s">
        <v>112</v>
      </c>
      <c r="I13" s="109" t="s">
        <v>119</v>
      </c>
      <c r="J13" s="109">
        <f>C22</f>
        <v>2.0</v>
      </c>
      <c r="K13" s="111">
        <f>E22</f>
        <v>26250.0</v>
      </c>
      <c r="L13" s="112">
        <f t="shared" si="1"/>
        <v>0.0038287938424243486</v>
      </c>
    </row>
    <row r="14" spans="8:8" ht="14.25" customHeight="1">
      <c r="A14" s="107">
        <v>46209.0</v>
      </c>
      <c r="B14" s="115" t="s">
        <v>22</v>
      </c>
      <c r="C14" s="109">
        <v>4.0</v>
      </c>
      <c r="D14" s="110">
        <v>8600.0</v>
      </c>
      <c r="E14" s="111">
        <f t="shared" si="0"/>
        <v>34400.0</v>
      </c>
      <c r="F14" s="109" t="s">
        <v>40</v>
      </c>
      <c r="G14" s="67" t="s">
        <v>114</v>
      </c>
      <c r="I14" s="109" t="s">
        <v>87</v>
      </c>
      <c r="J14" s="109">
        <f>C27</f>
        <v>1.0</v>
      </c>
      <c r="K14" s="111">
        <f>E27</f>
        <v>21485.0</v>
      </c>
      <c r="L14" s="112">
        <f t="shared" si="1"/>
        <v>0.003133776598266176</v>
      </c>
    </row>
    <row r="15" spans="8:8" ht="14.25" customHeight="1">
      <c r="A15" s="107">
        <v>46209.0</v>
      </c>
      <c r="B15" s="108" t="s">
        <v>24</v>
      </c>
      <c r="C15" s="109">
        <v>100.0</v>
      </c>
      <c r="D15" s="110">
        <v>4950.0</v>
      </c>
      <c r="E15" s="111">
        <f t="shared" si="0"/>
        <v>495000.0</v>
      </c>
      <c r="F15" s="109" t="s">
        <v>106</v>
      </c>
      <c r="G15" s="67" t="s">
        <v>115</v>
      </c>
      <c r="I15" s="109" t="s">
        <v>701</v>
      </c>
      <c r="J15" s="109">
        <f>SUM(J2:J14)</f>
        <v>931.0</v>
      </c>
      <c r="K15" s="111">
        <f>SUM(K2:K14)</f>
        <v>6855945.0</v>
      </c>
      <c r="L15" s="112">
        <f t="shared" si="1"/>
        <v>1.0</v>
      </c>
    </row>
    <row r="16" spans="8:8" ht="14.25" customHeight="1">
      <c r="A16" s="107">
        <v>46209.0</v>
      </c>
      <c r="B16" s="115" t="s">
        <v>22</v>
      </c>
      <c r="C16" s="109">
        <v>4.0</v>
      </c>
      <c r="D16" s="110">
        <v>9200.0</v>
      </c>
      <c r="E16" s="111">
        <f t="shared" si="0"/>
        <v>36800.0</v>
      </c>
      <c r="F16" s="109" t="s">
        <v>95</v>
      </c>
      <c r="G16" s="67" t="s">
        <v>116</v>
      </c>
    </row>
    <row r="17" spans="8:8" ht="25.5" customHeight="1">
      <c r="A17" s="107">
        <v>46209.0</v>
      </c>
      <c r="B17" s="113" t="s">
        <v>45</v>
      </c>
      <c r="C17" s="109">
        <v>2.0</v>
      </c>
      <c r="D17" s="110">
        <v>13335.0</v>
      </c>
      <c r="E17" s="111">
        <f t="shared" si="0"/>
        <v>26670.0</v>
      </c>
      <c r="F17" s="109" t="s">
        <v>95</v>
      </c>
      <c r="G17" s="67" t="s">
        <v>116</v>
      </c>
      <c r="I17" s="106" t="s">
        <v>691</v>
      </c>
      <c r="J17" s="106" t="s">
        <v>690</v>
      </c>
      <c r="K17" s="106" t="s">
        <v>695</v>
      </c>
      <c r="L17" s="106" t="s">
        <v>702</v>
      </c>
    </row>
    <row r="18" spans="8:8" ht="14.25" customHeight="1">
      <c r="A18" s="107">
        <v>46209.0</v>
      </c>
      <c r="B18" s="114" t="s">
        <v>44</v>
      </c>
      <c r="C18" s="109">
        <v>3.0</v>
      </c>
      <c r="D18" s="110">
        <v>9200.0</v>
      </c>
      <c r="E18" s="111">
        <f t="shared" si="0"/>
        <v>27600.0</v>
      </c>
      <c r="F18" s="109" t="s">
        <v>95</v>
      </c>
      <c r="G18" s="67" t="s">
        <v>116</v>
      </c>
      <c r="I18" s="109" t="s">
        <v>106</v>
      </c>
      <c r="J18" s="111">
        <f>E2+E3+E15</f>
        <v>3142500.0</v>
      </c>
      <c r="K18" s="112">
        <f t="shared" si="2" ref="K18:K29">J18/J$29</f>
        <v>0.45836131999308627</v>
      </c>
      <c r="L18" s="112">
        <v>-0.0295</v>
      </c>
    </row>
    <row r="19" spans="8:8" ht="14.25" customHeight="1">
      <c r="A19" s="107">
        <v>46209.0</v>
      </c>
      <c r="B19" s="109" t="s">
        <v>101</v>
      </c>
      <c r="C19" s="109">
        <v>1.0</v>
      </c>
      <c r="D19" s="110">
        <v>13550.0</v>
      </c>
      <c r="E19" s="111">
        <f t="shared" si="0"/>
        <v>13550.0</v>
      </c>
      <c r="F19" s="109" t="s">
        <v>95</v>
      </c>
      <c r="G19" s="67" t="s">
        <v>116</v>
      </c>
      <c r="I19" s="109" t="s">
        <v>25</v>
      </c>
      <c r="J19" s="111">
        <f>E4+E6+E7+E8+E9</f>
        <v>1628500.0</v>
      </c>
      <c r="K19" s="112">
        <f t="shared" si="2"/>
        <v>0.23753107704335436</v>
      </c>
      <c r="L19" s="112">
        <v>0.0377</v>
      </c>
    </row>
    <row r="20" spans="8:8" ht="14.25" customHeight="1">
      <c r="A20" s="107">
        <v>46209.0</v>
      </c>
      <c r="B20" s="115" t="s">
        <v>22</v>
      </c>
      <c r="C20" s="109">
        <v>70.0</v>
      </c>
      <c r="D20" s="110">
        <v>8990.0</v>
      </c>
      <c r="E20" s="111">
        <f t="shared" si="0"/>
        <v>629300.0</v>
      </c>
      <c r="F20" s="109" t="s">
        <v>63</v>
      </c>
      <c r="G20" s="67" t="s">
        <v>117</v>
      </c>
      <c r="I20" s="109" t="s">
        <v>109</v>
      </c>
      <c r="J20" s="111">
        <f>E5</f>
        <v>18300.0</v>
      </c>
      <c r="K20" s="112">
        <f t="shared" si="2"/>
        <v>0.0026692162787186886</v>
      </c>
      <c r="L20" s="112">
        <v>0.0628</v>
      </c>
    </row>
    <row r="21" spans="8:8" ht="14.25" customHeight="1">
      <c r="A21" s="107">
        <v>46209.0</v>
      </c>
      <c r="B21" s="114" t="s">
        <v>44</v>
      </c>
      <c r="C21" s="109">
        <v>26.0</v>
      </c>
      <c r="D21" s="110">
        <v>8990.0</v>
      </c>
      <c r="E21" s="111">
        <f t="shared" si="0"/>
        <v>233740.0</v>
      </c>
      <c r="F21" s="109" t="s">
        <v>63</v>
      </c>
      <c r="G21" s="67" t="s">
        <v>117</v>
      </c>
      <c r="I21" s="109" t="s">
        <v>29</v>
      </c>
      <c r="J21" s="111">
        <f>E10+E11+E12+E13</f>
        <v>313030.0</v>
      </c>
      <c r="K21" s="112">
        <f t="shared" si="2"/>
        <v>0.04565818424739405</v>
      </c>
      <c r="L21" s="112">
        <v>0.0257</v>
      </c>
    </row>
    <row r="22" spans="8:8" ht="14.25" customHeight="1">
      <c r="A22" s="107">
        <v>46209.0</v>
      </c>
      <c r="B22" s="109" t="s">
        <v>119</v>
      </c>
      <c r="C22" s="109">
        <v>2.0</v>
      </c>
      <c r="D22" s="110">
        <v>13125.0</v>
      </c>
      <c r="E22" s="111">
        <f t="shared" si="0"/>
        <v>26250.0</v>
      </c>
      <c r="F22" s="109" t="s">
        <v>104</v>
      </c>
      <c r="G22" s="67" t="s">
        <v>118</v>
      </c>
      <c r="I22" s="109" t="s">
        <v>40</v>
      </c>
      <c r="J22" s="111">
        <f>E14</f>
        <v>34400.0</v>
      </c>
      <c r="K22" s="112">
        <f t="shared" si="2"/>
        <v>0.005017543168738956</v>
      </c>
      <c r="L22" s="112">
        <v>-0.0044</v>
      </c>
    </row>
    <row r="23" spans="8:8" ht="14.25" customHeight="1">
      <c r="A23" s="107">
        <v>46209.0</v>
      </c>
      <c r="B23" s="108" t="s">
        <v>24</v>
      </c>
      <c r="C23" s="109">
        <v>1.0</v>
      </c>
      <c r="D23" s="110">
        <v>5300.0</v>
      </c>
      <c r="E23" s="111">
        <f t="shared" si="0"/>
        <v>5300.0</v>
      </c>
      <c r="F23" s="109" t="s">
        <v>104</v>
      </c>
      <c r="G23" s="67" t="s">
        <v>118</v>
      </c>
      <c r="I23" s="109" t="s">
        <v>95</v>
      </c>
      <c r="J23" s="111">
        <f>E16+E17+E18+E19</f>
        <v>104620.0</v>
      </c>
      <c r="K23" s="112">
        <f t="shared" si="2"/>
        <v>0.015259749020740393</v>
      </c>
      <c r="L23" s="112">
        <v>0.0392</v>
      </c>
    </row>
    <row r="24" spans="8:8" ht="14.25" customHeight="1">
      <c r="A24" s="107">
        <v>46209.0</v>
      </c>
      <c r="B24" s="115" t="s">
        <v>22</v>
      </c>
      <c r="C24" s="109">
        <v>64.0</v>
      </c>
      <c r="D24" s="110">
        <v>9200.0</v>
      </c>
      <c r="E24" s="111">
        <f t="shared" si="0"/>
        <v>588800.0</v>
      </c>
      <c r="F24" s="109" t="s">
        <v>78</v>
      </c>
      <c r="G24" s="67" t="s">
        <v>120</v>
      </c>
      <c r="I24" s="109" t="s">
        <v>63</v>
      </c>
      <c r="J24" s="111">
        <f>E20+E21</f>
        <v>863040.0</v>
      </c>
      <c r="K24" s="112">
        <f t="shared" si="2"/>
        <v>0.1258819900101299</v>
      </c>
      <c r="L24" s="112">
        <v>0.0286</v>
      </c>
    </row>
    <row r="25" spans="8:8" ht="14.25" customHeight="1">
      <c r="A25" s="107">
        <v>46209.0</v>
      </c>
      <c r="B25" s="113" t="s">
        <v>45</v>
      </c>
      <c r="C25" s="109">
        <v>4.0</v>
      </c>
      <c r="D25" s="110">
        <v>13335.0</v>
      </c>
      <c r="E25" s="111">
        <f t="shared" si="0"/>
        <v>53340.0</v>
      </c>
      <c r="F25" s="109" t="s">
        <v>78</v>
      </c>
      <c r="G25" s="67" t="s">
        <v>120</v>
      </c>
      <c r="I25" s="109" t="s">
        <v>104</v>
      </c>
      <c r="J25" s="111">
        <f>E22+E23</f>
        <v>31550.0</v>
      </c>
      <c r="K25" s="112">
        <f t="shared" si="2"/>
        <v>0.004601845551561455</v>
      </c>
      <c r="L25" s="112">
        <v>0.0498</v>
      </c>
    </row>
    <row r="26" spans="8:8" ht="14.25" customHeight="1">
      <c r="A26" s="107">
        <v>46209.0</v>
      </c>
      <c r="B26" s="116" t="s">
        <v>37</v>
      </c>
      <c r="C26" s="109">
        <v>1.0</v>
      </c>
      <c r="D26" s="110">
        <v>8880.0</v>
      </c>
      <c r="E26" s="111">
        <f t="shared" si="0"/>
        <v>8880.0</v>
      </c>
      <c r="F26" s="109" t="s">
        <v>78</v>
      </c>
      <c r="G26" s="67" t="s">
        <v>120</v>
      </c>
      <c r="I26" s="109" t="s">
        <v>78</v>
      </c>
      <c r="J26" s="111">
        <f>E24+E25+E26+E27</f>
        <v>672505.0</v>
      </c>
      <c r="K26" s="112">
        <f t="shared" si="2"/>
        <v>0.09809078106665091</v>
      </c>
      <c r="L26" s="112">
        <v>0.0511</v>
      </c>
    </row>
    <row r="27" spans="8:8" ht="14.25" customHeight="1">
      <c r="A27" s="107">
        <v>46209.0</v>
      </c>
      <c r="B27" s="109" t="s">
        <v>87</v>
      </c>
      <c r="C27" s="109">
        <v>1.0</v>
      </c>
      <c r="D27" s="110">
        <v>21485.0</v>
      </c>
      <c r="E27" s="111">
        <f t="shared" si="0"/>
        <v>21485.0</v>
      </c>
      <c r="F27" s="109" t="s">
        <v>78</v>
      </c>
      <c r="G27" s="67" t="s">
        <v>120</v>
      </c>
      <c r="I27" s="109" t="s">
        <v>15</v>
      </c>
      <c r="J27" s="111">
        <f>E28+E29+E30</f>
        <v>28500.0</v>
      </c>
      <c r="K27" s="112">
        <f t="shared" si="2"/>
        <v>0.004156976171775007</v>
      </c>
      <c r="L27" s="112">
        <v>0.0824</v>
      </c>
    </row>
    <row r="28" spans="8:8" ht="14.25" customHeight="1">
      <c r="A28" s="107">
        <v>46209.0</v>
      </c>
      <c r="B28" s="115" t="s">
        <v>22</v>
      </c>
      <c r="C28" s="109">
        <v>1.0</v>
      </c>
      <c r="D28" s="110">
        <v>9500.0</v>
      </c>
      <c r="E28" s="111">
        <f t="shared" si="0"/>
        <v>9500.0</v>
      </c>
      <c r="F28" s="109" t="s">
        <v>15</v>
      </c>
      <c r="G28" s="67" t="s">
        <v>121</v>
      </c>
      <c r="I28" s="109" t="s">
        <v>122</v>
      </c>
      <c r="J28" s="111">
        <f>E31</f>
        <v>19000.0</v>
      </c>
      <c r="K28" s="112">
        <f t="shared" si="2"/>
        <v>0.0027713174478500046</v>
      </c>
      <c r="L28" s="112">
        <v>0.0908</v>
      </c>
    </row>
    <row r="29" spans="8:8" ht="14.25" customHeight="1">
      <c r="A29" s="107">
        <v>46209.0</v>
      </c>
      <c r="B29" s="114" t="s">
        <v>44</v>
      </c>
      <c r="C29" s="109">
        <v>1.0</v>
      </c>
      <c r="D29" s="110">
        <v>9500.0</v>
      </c>
      <c r="E29" s="111">
        <f t="shared" si="0"/>
        <v>9500.0</v>
      </c>
      <c r="F29" s="109" t="s">
        <v>15</v>
      </c>
      <c r="G29" s="67" t="s">
        <v>121</v>
      </c>
      <c r="I29" s="109" t="s">
        <v>703</v>
      </c>
      <c r="J29" s="111">
        <f>SUM(J18:J28)</f>
        <v>6855945.0</v>
      </c>
      <c r="K29" s="112">
        <f t="shared" si="2"/>
        <v>1.0</v>
      </c>
      <c r="L29" s="68"/>
    </row>
    <row r="30" spans="8:8" ht="14.25" customHeight="1">
      <c r="A30" s="107">
        <v>46209.0</v>
      </c>
      <c r="B30" s="116" t="s">
        <v>37</v>
      </c>
      <c r="C30" s="109">
        <v>1.0</v>
      </c>
      <c r="D30" s="110">
        <v>9500.0</v>
      </c>
      <c r="E30" s="111">
        <f t="shared" si="0"/>
        <v>9500.0</v>
      </c>
      <c r="F30" s="109" t="s">
        <v>15</v>
      </c>
      <c r="G30" s="67" t="s">
        <v>121</v>
      </c>
    </row>
    <row r="31" spans="8:8" ht="25.5" customHeight="1">
      <c r="A31" s="107">
        <v>46209.0</v>
      </c>
      <c r="B31" s="115" t="s">
        <v>22</v>
      </c>
      <c r="C31" s="109">
        <v>2.0</v>
      </c>
      <c r="D31" s="110">
        <v>9500.0</v>
      </c>
      <c r="E31" s="111">
        <f t="shared" si="0"/>
        <v>19000.0</v>
      </c>
      <c r="F31" s="109" t="s">
        <v>122</v>
      </c>
      <c r="G31" s="67" t="s">
        <v>123</v>
      </c>
      <c r="I31" s="106" t="s">
        <v>692</v>
      </c>
      <c r="J31" s="106" t="s">
        <v>690</v>
      </c>
      <c r="K31" s="106" t="s">
        <v>702</v>
      </c>
    </row>
    <row r="32" spans="8:8" ht="14.25" customHeight="1">
      <c r="A32" s="68"/>
      <c r="B32" s="109" t="s">
        <v>701</v>
      </c>
      <c r="C32" s="109">
        <f>SUM(C2:C31)</f>
        <v>931.0</v>
      </c>
      <c r="D32" s="109">
        <f>SUM(D2:D31)</f>
        <v>315445.0</v>
      </c>
      <c r="E32" s="111">
        <f>SUM(E2:E31)</f>
        <v>6855945.0</v>
      </c>
      <c r="F32" s="68"/>
      <c r="G32" s="68"/>
      <c r="I32" s="117" t="s">
        <v>107</v>
      </c>
      <c r="J32" s="111">
        <v>2647500.0</v>
      </c>
      <c r="K32" s="112">
        <v>-0.03</v>
      </c>
    </row>
    <row r="33" spans="8:8" ht="14.25" customHeight="1">
      <c r="I33" s="117" t="s">
        <v>108</v>
      </c>
      <c r="J33" s="111">
        <v>890100.0</v>
      </c>
      <c r="K33" s="112">
        <v>0.04</v>
      </c>
    </row>
    <row r="34" spans="8:8" ht="14.25" customHeight="1">
      <c r="I34" s="117" t="s">
        <v>110</v>
      </c>
      <c r="J34" s="111">
        <v>18300.0</v>
      </c>
      <c r="K34" s="112">
        <v>0.06</v>
      </c>
    </row>
    <row r="35" spans="8:8" ht="14.25" customHeight="1">
      <c r="E35" s="78"/>
      <c r="I35" s="117" t="s">
        <v>111</v>
      </c>
      <c r="J35" s="111">
        <v>968400.0</v>
      </c>
      <c r="K35" s="112">
        <v>0.04</v>
      </c>
    </row>
    <row r="36" spans="8:8" ht="14.25" customHeight="1">
      <c r="I36" s="117" t="s">
        <v>112</v>
      </c>
      <c r="J36" s="111">
        <v>358030.0</v>
      </c>
      <c r="K36" s="112">
        <v>0.03</v>
      </c>
    </row>
    <row r="37" spans="8:8" ht="14.25" customHeight="1">
      <c r="I37" s="117" t="s">
        <v>114</v>
      </c>
      <c r="J37" s="111">
        <v>34400.0</v>
      </c>
      <c r="K37" s="112">
        <v>0.0</v>
      </c>
    </row>
    <row r="38" spans="8:8" ht="14.25" customHeight="1">
      <c r="I38" s="117" t="s">
        <v>115</v>
      </c>
      <c r="J38" s="111">
        <v>495000.0</v>
      </c>
      <c r="K38" s="112">
        <v>-0.05</v>
      </c>
    </row>
    <row r="39" spans="8:8" ht="14.25" customHeight="1">
      <c r="I39" s="117" t="s">
        <v>116</v>
      </c>
      <c r="J39" s="111">
        <v>119620.0</v>
      </c>
      <c r="K39" s="112">
        <v>0.04</v>
      </c>
    </row>
    <row r="40" spans="8:8" ht="14.25" customHeight="1">
      <c r="I40" s="117" t="s">
        <v>117</v>
      </c>
      <c r="J40" s="111">
        <v>863040.0</v>
      </c>
      <c r="K40" s="112">
        <v>0.03</v>
      </c>
    </row>
    <row r="41" spans="8:8" ht="14.25" customHeight="1">
      <c r="I41" s="117" t="s">
        <v>118</v>
      </c>
      <c r="J41" s="111">
        <v>31550.0</v>
      </c>
      <c r="K41" s="112">
        <v>0.05</v>
      </c>
    </row>
    <row r="42" spans="8:8" ht="14.25" customHeight="1">
      <c r="I42" s="117" t="s">
        <v>120</v>
      </c>
      <c r="J42" s="111">
        <v>777505.0</v>
      </c>
      <c r="K42" s="112">
        <v>0.05</v>
      </c>
    </row>
    <row r="43" spans="8:8" ht="14.25" customHeight="1">
      <c r="I43" s="117" t="s">
        <v>121</v>
      </c>
      <c r="J43" s="111">
        <v>28500.0</v>
      </c>
      <c r="K43" s="112">
        <v>0.08</v>
      </c>
    </row>
    <row r="44" spans="8:8" ht="14.25" customHeight="1">
      <c r="I44" s="117" t="s">
        <v>123</v>
      </c>
      <c r="J44" s="111">
        <v>19000.0</v>
      </c>
      <c r="K44" s="112">
        <v>0.09</v>
      </c>
    </row>
    <row r="45" spans="8:8" ht="14.25" customHeight="1">
      <c r="I45" s="109" t="s">
        <v>703</v>
      </c>
      <c r="J45" s="111">
        <f>SUM(J32:J44)</f>
        <v>7250945.0</v>
      </c>
      <c r="K45" s="68"/>
    </row>
  </sheetData>
  <hyperlinks>
    <hyperlink ref="G2" r:id="rId2"/>
    <hyperlink ref="G3" r:id="rId3"/>
    <hyperlink ref="G4" r:id="rId4"/>
    <hyperlink ref="G5" r:id="rId5"/>
    <hyperlink ref="G6" r:id="rId6"/>
    <hyperlink ref="G7" r:id="rId7"/>
    <hyperlink ref="G8" r:id="rId8"/>
    <hyperlink ref="G9" r:id="rId9"/>
    <hyperlink ref="G10" r:id="rId10"/>
    <hyperlink ref="G11" r:id="rId11"/>
    <hyperlink ref="G12" r:id="rId12"/>
    <hyperlink ref="G13" r:id="rId13"/>
    <hyperlink ref="G14" r:id="rId14"/>
    <hyperlink ref="G15" r:id="rId15"/>
    <hyperlink ref="G16" r:id="rId16"/>
    <hyperlink ref="G17" r:id="rId17"/>
    <hyperlink ref="G18" r:id="rId18"/>
    <hyperlink ref="G19" r:id="rId19"/>
    <hyperlink ref="G20" r:id="rId20"/>
    <hyperlink ref="G21" r:id="rId21"/>
    <hyperlink ref="G22" r:id="rId22"/>
    <hyperlink ref="G23" r:id="rId23"/>
    <hyperlink ref="G24" r:id="rId24"/>
    <hyperlink ref="G25" r:id="rId25"/>
    <hyperlink ref="G26" r:id="rId26"/>
    <hyperlink ref="G27" r:id="rId27"/>
    <hyperlink ref="G28" r:id="rId28"/>
    <hyperlink ref="G29" r:id="rId29"/>
    <hyperlink ref="G30" r:id="rId30"/>
    <hyperlink ref="G31" r:id="rId31"/>
    <hyperlink ref="I32" r:id="rId32"/>
    <hyperlink ref="I33" r:id="rId33"/>
    <hyperlink ref="I34" r:id="rId34"/>
    <hyperlink ref="I35" r:id="rId35"/>
    <hyperlink ref="I36" r:id="rId36"/>
    <hyperlink ref="I37" r:id="rId37"/>
    <hyperlink ref="I38" r:id="rId38"/>
    <hyperlink ref="I39" r:id="rId39"/>
    <hyperlink ref="I40" r:id="rId40"/>
    <hyperlink ref="I41" r:id="rId41"/>
    <hyperlink ref="I42" r:id="rId42"/>
    <hyperlink ref="I43" r:id="rId43"/>
    <hyperlink ref="I44" r:id="rId44"/>
  </hyperlinks>
  <pageMargins left="0.75" right="0.75" top="1.0" bottom="1.0" header="0.511811023622047" footer="0.511811023622047"/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dimension ref="A1:Q49"/>
  <sheetViews>
    <sheetView workbookViewId="0" topLeftCell="A27" zoomScale="62">
      <selection activeCell="N8" sqref="N8"/>
    </sheetView>
  </sheetViews>
  <sheetFormatPr defaultRowHeight="14.5"/>
  <cols>
    <col min="1" max="1" customWidth="1" width="9.1796875" style="60"/>
    <col min="2" max="2" customWidth="1" width="19.726562" style="60"/>
    <col min="3" max="3" customWidth="1" width="10.90625" style="60"/>
    <col min="4" max="4" customWidth="1" width="14.816406" style="60"/>
    <col min="5" max="5" customWidth="1" width="12.453125" style="60"/>
    <col min="6" max="6" customWidth="1" width="16.0" style="60"/>
    <col min="7" max="7" customWidth="1" width="12.269531" style="60"/>
    <col min="8" max="8" customWidth="1" width="3.0" style="60"/>
    <col min="9" max="9" customWidth="1" width="19.726562" style="60"/>
    <col min="10" max="10" customWidth="1" width="12.453125" style="60"/>
    <col min="11" max="12" customWidth="1" width="17.726562" style="60"/>
    <col min="13" max="13" customWidth="1" width="3.0" style="60"/>
    <col min="14" max="14" customWidth="1" width="12.269531" style="60"/>
    <col min="15" max="15" customWidth="1" width="15.453125" style="60"/>
    <col min="16" max="16" customWidth="1" width="15.542969" style="60"/>
  </cols>
  <sheetData>
    <row r="1" spans="8:8" ht="25.5" customHeight="1">
      <c r="A1" s="106" t="s">
        <v>686</v>
      </c>
      <c r="B1" s="106" t="s">
        <v>687</v>
      </c>
      <c r="C1" s="106" t="s">
        <v>688</v>
      </c>
      <c r="D1" s="106" t="s">
        <v>689</v>
      </c>
      <c r="E1" s="106" t="s">
        <v>690</v>
      </c>
      <c r="F1" s="106" t="s">
        <v>691</v>
      </c>
      <c r="G1" s="106" t="s">
        <v>692</v>
      </c>
      <c r="I1" s="106" t="s">
        <v>687</v>
      </c>
      <c r="J1" s="106" t="s">
        <v>693</v>
      </c>
      <c r="K1" s="106" t="s">
        <v>694</v>
      </c>
      <c r="L1" s="106" t="s">
        <v>695</v>
      </c>
      <c r="N1" s="106" t="s">
        <v>696</v>
      </c>
      <c r="O1" s="106" t="s">
        <v>697</v>
      </c>
      <c r="P1" s="106" t="s">
        <v>698</v>
      </c>
    </row>
    <row r="2" spans="8:8" ht="14.25" customHeight="1">
      <c r="A2" s="107">
        <v>46210.0</v>
      </c>
      <c r="B2" s="118" t="s">
        <v>22</v>
      </c>
      <c r="C2" s="109">
        <v>140.0</v>
      </c>
      <c r="D2" s="110">
        <v>8990.0</v>
      </c>
      <c r="E2" s="111">
        <f t="shared" si="0" ref="E2:E38">C2*D2</f>
        <v>1258600.0</v>
      </c>
      <c r="F2" s="109" t="s">
        <v>63</v>
      </c>
      <c r="G2" s="67" t="s">
        <v>124</v>
      </c>
      <c r="I2" s="118" t="s">
        <v>22</v>
      </c>
      <c r="J2" s="109">
        <f>C2+C7+C12+C13+C27</f>
        <v>403.0</v>
      </c>
      <c r="K2" s="111">
        <f>E2+E7+E12+E13+E27</f>
        <v>3540800.0</v>
      </c>
      <c r="L2" s="112">
        <f t="shared" si="1" ref="L2:L16">K2/K$16</f>
        <v>0.25325047572080506</v>
      </c>
      <c r="N2" s="111">
        <f>K16</f>
        <v>1.3981415E7</v>
      </c>
      <c r="O2" s="109">
        <f>J16</f>
        <v>1685.0</v>
      </c>
      <c r="P2" s="109">
        <f>COUNT(J2:J15)</f>
        <v>14.0</v>
      </c>
    </row>
    <row r="3" spans="8:8" ht="14.25" customHeight="1">
      <c r="A3" s="107">
        <v>46210.0</v>
      </c>
      <c r="B3" s="119" t="s">
        <v>44</v>
      </c>
      <c r="C3" s="109">
        <v>44.0</v>
      </c>
      <c r="D3" s="110">
        <v>8990.0</v>
      </c>
      <c r="E3" s="111">
        <f t="shared" si="0"/>
        <v>395560.0</v>
      </c>
      <c r="F3" s="109" t="s">
        <v>63</v>
      </c>
      <c r="G3" s="67" t="s">
        <v>124</v>
      </c>
      <c r="I3" s="119" t="s">
        <v>44</v>
      </c>
      <c r="J3" s="109">
        <f>C3+C11+C15+C26+C32</f>
        <v>224.0</v>
      </c>
      <c r="K3" s="111">
        <f>E3+E11+E15+E26+E32</f>
        <v>2032510.0</v>
      </c>
      <c r="L3" s="112">
        <f t="shared" si="1"/>
        <v>0.14537226739925824</v>
      </c>
    </row>
    <row r="4" spans="8:8" ht="14.25" customHeight="1">
      <c r="A4" s="107">
        <v>46210.0</v>
      </c>
      <c r="B4" s="120" t="s">
        <v>24</v>
      </c>
      <c r="C4" s="109">
        <v>120.0</v>
      </c>
      <c r="D4" s="110">
        <v>5100.0</v>
      </c>
      <c r="E4" s="111">
        <f t="shared" si="0"/>
        <v>612000.0</v>
      </c>
      <c r="F4" s="109" t="s">
        <v>125</v>
      </c>
      <c r="G4" s="67" t="s">
        <v>126</v>
      </c>
      <c r="I4" s="120" t="s">
        <v>24</v>
      </c>
      <c r="J4" s="109">
        <f>C4+C5+C17+C22+C38</f>
        <v>603.0</v>
      </c>
      <c r="K4" s="111">
        <f>E4+E5+E17+E22+E38</f>
        <v>3011800.0</v>
      </c>
      <c r="L4" s="112">
        <f t="shared" si="1"/>
        <v>0.21541453422275214</v>
      </c>
    </row>
    <row r="5" spans="8:8" ht="14.25" customHeight="1">
      <c r="A5" s="107">
        <v>46210.0</v>
      </c>
      <c r="B5" s="120" t="s">
        <v>24</v>
      </c>
      <c r="C5" s="109">
        <v>250.0</v>
      </c>
      <c r="D5" s="110">
        <v>4950.0</v>
      </c>
      <c r="E5" s="111">
        <f t="shared" si="0"/>
        <v>1237500.0</v>
      </c>
      <c r="F5" s="109" t="s">
        <v>127</v>
      </c>
      <c r="G5" s="67" t="s">
        <v>128</v>
      </c>
      <c r="I5" s="121" t="s">
        <v>31</v>
      </c>
      <c r="J5" s="109">
        <f>C6+C20</f>
        <v>11.0</v>
      </c>
      <c r="K5" s="111">
        <f>E6+E20</f>
        <v>189100.0</v>
      </c>
      <c r="L5" s="112">
        <f t="shared" si="1"/>
        <v>0.013525097423973181</v>
      </c>
    </row>
    <row r="6" spans="8:8" ht="14.25" customHeight="1">
      <c r="A6" s="107">
        <v>46210.0</v>
      </c>
      <c r="B6" s="121" t="s">
        <v>31</v>
      </c>
      <c r="C6" s="109">
        <v>10.0</v>
      </c>
      <c r="D6" s="110">
        <v>17200.0</v>
      </c>
      <c r="E6" s="111">
        <f t="shared" si="0"/>
        <v>172000.0</v>
      </c>
      <c r="F6" s="109" t="s">
        <v>50</v>
      </c>
      <c r="G6" s="67" t="s">
        <v>130</v>
      </c>
      <c r="I6" s="114" t="s">
        <v>45</v>
      </c>
      <c r="J6" s="109">
        <f>C8+C10+C24+C34</f>
        <v>262.0</v>
      </c>
      <c r="K6" s="111">
        <f>E8+E10+E24+E34</f>
        <v>3394545.0</v>
      </c>
      <c r="L6" s="112">
        <f t="shared" si="1"/>
        <v>0.2427898034640986</v>
      </c>
    </row>
    <row r="7" spans="8:8" ht="14.25" customHeight="1">
      <c r="A7" s="107">
        <v>46210.0</v>
      </c>
      <c r="B7" s="118" t="s">
        <v>22</v>
      </c>
      <c r="C7" s="109">
        <v>25.0</v>
      </c>
      <c r="D7" s="110">
        <v>9200.0</v>
      </c>
      <c r="E7" s="111">
        <f t="shared" si="0"/>
        <v>230000.0</v>
      </c>
      <c r="F7" s="109" t="s">
        <v>25</v>
      </c>
      <c r="G7" s="67" t="s">
        <v>131</v>
      </c>
      <c r="I7" s="113" t="s">
        <v>37</v>
      </c>
      <c r="J7" s="109">
        <f>C9+C16+C25+C28+C36</f>
        <v>67.0</v>
      </c>
      <c r="K7" s="111">
        <f>E9+E16+E25+E28+E36</f>
        <v>594160.0</v>
      </c>
      <c r="L7" s="112">
        <f t="shared" si="1"/>
        <v>0.04249641398957116</v>
      </c>
    </row>
    <row r="8" spans="8:8" ht="14.25" customHeight="1">
      <c r="A8" s="107">
        <v>46210.0</v>
      </c>
      <c r="B8" s="114" t="s">
        <v>45</v>
      </c>
      <c r="C8" s="109">
        <v>17.0</v>
      </c>
      <c r="D8" s="110">
        <v>13335.0</v>
      </c>
      <c r="E8" s="111">
        <f t="shared" si="0"/>
        <v>226695.0</v>
      </c>
      <c r="F8" s="109" t="s">
        <v>25</v>
      </c>
      <c r="G8" s="67" t="s">
        <v>131</v>
      </c>
      <c r="I8" s="109" t="s">
        <v>113</v>
      </c>
      <c r="J8" s="109">
        <f>C14</f>
        <v>2.0</v>
      </c>
      <c r="K8" s="111">
        <f>E14</f>
        <v>29150.0</v>
      </c>
      <c r="L8" s="112">
        <f t="shared" si="1"/>
        <v>0.0020849105759324074</v>
      </c>
    </row>
    <row r="9" spans="8:8" ht="14.25" customHeight="1">
      <c r="A9" s="107">
        <v>46210.0</v>
      </c>
      <c r="B9" s="113" t="s">
        <v>37</v>
      </c>
      <c r="C9" s="109">
        <v>10.0</v>
      </c>
      <c r="D9" s="110">
        <v>9200.0</v>
      </c>
      <c r="E9" s="111">
        <f t="shared" si="0"/>
        <v>92000.0</v>
      </c>
      <c r="F9" s="109" t="s">
        <v>25</v>
      </c>
      <c r="G9" s="67" t="s">
        <v>131</v>
      </c>
      <c r="I9" s="115" t="s">
        <v>27</v>
      </c>
      <c r="J9" s="109">
        <f>C18+C23+C37</f>
        <v>55.0</v>
      </c>
      <c r="K9" s="111">
        <f>E18+E23+E37</f>
        <v>441100.0</v>
      </c>
      <c r="L9" s="112">
        <f t="shared" si="1"/>
        <v>0.03154902418675077</v>
      </c>
    </row>
    <row r="10" spans="8:8" ht="14.25" customHeight="1">
      <c r="A10" s="107">
        <v>46210.0</v>
      </c>
      <c r="B10" s="114" t="s">
        <v>45</v>
      </c>
      <c r="C10" s="109">
        <v>210.0</v>
      </c>
      <c r="D10" s="110">
        <v>12930.0</v>
      </c>
      <c r="E10" s="111">
        <f t="shared" si="0"/>
        <v>2715300.0</v>
      </c>
      <c r="F10" s="109" t="s">
        <v>132</v>
      </c>
      <c r="G10" s="67" t="s">
        <v>133</v>
      </c>
      <c r="I10" s="116" t="s">
        <v>65</v>
      </c>
      <c r="J10" s="109">
        <f>C19+C31</f>
        <v>23.0</v>
      </c>
      <c r="K10" s="111">
        <f>E19+E31</f>
        <v>264030.0</v>
      </c>
      <c r="L10" s="112">
        <f t="shared" si="1"/>
        <v>0.018884354695143518</v>
      </c>
    </row>
    <row r="11" spans="8:8" ht="14.25" customHeight="1">
      <c r="A11" s="107">
        <v>46210.0</v>
      </c>
      <c r="B11" s="119" t="s">
        <v>44</v>
      </c>
      <c r="C11" s="109">
        <v>140.0</v>
      </c>
      <c r="D11" s="110">
        <v>9090.0</v>
      </c>
      <c r="E11" s="111">
        <f t="shared" si="0"/>
        <v>1272600.0</v>
      </c>
      <c r="F11" s="109" t="s">
        <v>132</v>
      </c>
      <c r="G11" s="67" t="s">
        <v>133</v>
      </c>
      <c r="I11" s="109" t="s">
        <v>32</v>
      </c>
      <c r="J11" s="109">
        <f>C21</f>
        <v>1.0</v>
      </c>
      <c r="K11" s="111">
        <f>E21</f>
        <v>16145.0</v>
      </c>
      <c r="L11" s="112">
        <f t="shared" si="1"/>
        <v>0.0011547472126390641</v>
      </c>
    </row>
    <row r="12" spans="8:8" ht="14.25" customHeight="1">
      <c r="A12" s="107">
        <v>46210.0</v>
      </c>
      <c r="B12" s="118" t="s">
        <v>22</v>
      </c>
      <c r="C12" s="109">
        <v>11.0</v>
      </c>
      <c r="D12" s="110">
        <v>8600.0</v>
      </c>
      <c r="E12" s="111">
        <f t="shared" si="0"/>
        <v>94600.0</v>
      </c>
      <c r="F12" s="109" t="s">
        <v>40</v>
      </c>
      <c r="G12" s="67" t="s">
        <v>135</v>
      </c>
      <c r="I12" s="109" t="s">
        <v>87</v>
      </c>
      <c r="J12" s="109">
        <f>C29</f>
        <v>6.0</v>
      </c>
      <c r="K12" s="111">
        <f>E29</f>
        <v>123240.0</v>
      </c>
      <c r="L12" s="112">
        <f t="shared" si="1"/>
        <v>0.00881455846922504</v>
      </c>
    </row>
    <row r="13" spans="8:8" ht="14.25" customHeight="1">
      <c r="A13" s="107">
        <v>46210.0</v>
      </c>
      <c r="B13" s="118" t="s">
        <v>22</v>
      </c>
      <c r="C13" s="109">
        <v>27.0</v>
      </c>
      <c r="D13" s="110">
        <v>8800.0</v>
      </c>
      <c r="E13" s="111">
        <f t="shared" si="0"/>
        <v>237600.0</v>
      </c>
      <c r="F13" s="109" t="s">
        <v>29</v>
      </c>
      <c r="G13" s="67" t="s">
        <v>136</v>
      </c>
      <c r="I13" s="109" t="s">
        <v>100</v>
      </c>
      <c r="J13" s="109">
        <f>C30</f>
        <v>15.0</v>
      </c>
      <c r="K13" s="111">
        <f>E30</f>
        <v>172200.0</v>
      </c>
      <c r="L13" s="112">
        <f t="shared" si="1"/>
        <v>0.012316349954564685</v>
      </c>
    </row>
    <row r="14" spans="8:8" ht="14.25" customHeight="1">
      <c r="A14" s="107">
        <v>46210.0</v>
      </c>
      <c r="B14" s="109" t="s">
        <v>113</v>
      </c>
      <c r="C14" s="109">
        <v>2.0</v>
      </c>
      <c r="D14" s="110">
        <v>14575.0</v>
      </c>
      <c r="E14" s="111">
        <f t="shared" si="0"/>
        <v>29150.0</v>
      </c>
      <c r="F14" s="109" t="s">
        <v>29</v>
      </c>
      <c r="G14" s="67" t="s">
        <v>136</v>
      </c>
      <c r="I14" s="109" t="s">
        <v>101</v>
      </c>
      <c r="J14" s="109">
        <f>C33</f>
        <v>10.0</v>
      </c>
      <c r="K14" s="111">
        <f>E33</f>
        <v>130200.0</v>
      </c>
      <c r="L14" s="112">
        <f t="shared" si="1"/>
        <v>0.00931236216076842</v>
      </c>
    </row>
    <row r="15" spans="8:8" ht="14.25" customHeight="1">
      <c r="A15" s="107">
        <v>46210.0</v>
      </c>
      <c r="B15" s="119" t="s">
        <v>44</v>
      </c>
      <c r="C15" s="109">
        <v>5.0</v>
      </c>
      <c r="D15" s="110">
        <v>9200.0</v>
      </c>
      <c r="E15" s="111">
        <f t="shared" si="0"/>
        <v>46000.0</v>
      </c>
      <c r="F15" s="109" t="s">
        <v>29</v>
      </c>
      <c r="G15" s="67" t="s">
        <v>136</v>
      </c>
      <c r="I15" s="109" t="s">
        <v>141</v>
      </c>
      <c r="J15" s="109">
        <f>C35</f>
        <v>3.0</v>
      </c>
      <c r="K15" s="111">
        <f>E35</f>
        <v>42435.0</v>
      </c>
      <c r="L15" s="112">
        <f t="shared" si="1"/>
        <v>0.003035100524517726</v>
      </c>
    </row>
    <row r="16" spans="8:8" ht="14.25" customHeight="1">
      <c r="A16" s="107">
        <v>46210.0</v>
      </c>
      <c r="B16" s="113" t="s">
        <v>37</v>
      </c>
      <c r="C16" s="109">
        <v>5.0</v>
      </c>
      <c r="D16" s="110">
        <v>8880.0</v>
      </c>
      <c r="E16" s="111">
        <f t="shared" si="0"/>
        <v>44400.0</v>
      </c>
      <c r="F16" s="109" t="s">
        <v>29</v>
      </c>
      <c r="G16" s="67" t="s">
        <v>136</v>
      </c>
      <c r="I16" s="109" t="s">
        <v>701</v>
      </c>
      <c r="J16" s="109">
        <f>SUM(J2:J15)</f>
        <v>1685.0</v>
      </c>
      <c r="K16" s="111">
        <f>SUM(K2:K15)</f>
        <v>1.3981415E7</v>
      </c>
      <c r="L16" s="112">
        <f t="shared" si="1"/>
        <v>1.0</v>
      </c>
    </row>
    <row r="17" spans="8:8" ht="14.25" customHeight="1">
      <c r="A17" s="107">
        <v>46210.0</v>
      </c>
      <c r="B17" s="120" t="s">
        <v>24</v>
      </c>
      <c r="C17" s="109">
        <v>30.0</v>
      </c>
      <c r="D17" s="110">
        <v>4900.0</v>
      </c>
      <c r="E17" s="111">
        <f t="shared" si="0"/>
        <v>147000.0</v>
      </c>
      <c r="F17" s="109" t="s">
        <v>29</v>
      </c>
      <c r="G17" s="67" t="s">
        <v>136</v>
      </c>
    </row>
    <row r="18" spans="8:8" ht="25.5" customHeight="1">
      <c r="A18" s="107">
        <v>46210.0</v>
      </c>
      <c r="B18" s="115" t="s">
        <v>27</v>
      </c>
      <c r="C18" s="109">
        <v>15.0</v>
      </c>
      <c r="D18" s="110">
        <v>8020.0</v>
      </c>
      <c r="E18" s="111">
        <f t="shared" si="0"/>
        <v>120300.0</v>
      </c>
      <c r="F18" s="109" t="s">
        <v>29</v>
      </c>
      <c r="G18" s="67" t="s">
        <v>136</v>
      </c>
      <c r="I18" s="106" t="s">
        <v>691</v>
      </c>
      <c r="J18" s="106" t="s">
        <v>690</v>
      </c>
      <c r="K18" s="106" t="s">
        <v>695</v>
      </c>
      <c r="L18" s="106" t="s">
        <v>702</v>
      </c>
    </row>
    <row r="19" spans="8:8" ht="14.25" customHeight="1">
      <c r="A19" s="107">
        <v>46210.0</v>
      </c>
      <c r="B19" s="116" t="s">
        <v>65</v>
      </c>
      <c r="C19" s="109">
        <v>3.0</v>
      </c>
      <c r="D19" s="110">
        <v>11910.0</v>
      </c>
      <c r="E19" s="111">
        <f t="shared" si="0"/>
        <v>35730.0</v>
      </c>
      <c r="F19" s="109" t="s">
        <v>29</v>
      </c>
      <c r="G19" s="67" t="s">
        <v>136</v>
      </c>
      <c r="I19" s="109" t="s">
        <v>63</v>
      </c>
      <c r="J19" s="111">
        <f>E2+E3</f>
        <v>1654160.0</v>
      </c>
      <c r="K19" s="112">
        <f t="shared" si="2" ref="K19:K32">J19/J$32</f>
        <v>0.11831134402347689</v>
      </c>
      <c r="L19" s="112">
        <v>0.0256</v>
      </c>
    </row>
    <row r="20" spans="8:8" ht="14.25" customHeight="1">
      <c r="A20" s="107">
        <v>46210.0</v>
      </c>
      <c r="B20" s="121" t="s">
        <v>31</v>
      </c>
      <c r="C20" s="109">
        <v>1.0</v>
      </c>
      <c r="D20" s="110">
        <v>17100.0</v>
      </c>
      <c r="E20" s="111">
        <f t="shared" si="0"/>
        <v>17100.0</v>
      </c>
      <c r="F20" s="109" t="s">
        <v>29</v>
      </c>
      <c r="G20" s="67" t="s">
        <v>136</v>
      </c>
      <c r="I20" s="109" t="s">
        <v>125</v>
      </c>
      <c r="J20" s="111">
        <f>E4</f>
        <v>612000.0</v>
      </c>
      <c r="K20" s="112">
        <f t="shared" si="2"/>
        <v>0.04377239356674557</v>
      </c>
      <c r="L20" s="112">
        <v>-0.0196</v>
      </c>
    </row>
    <row r="21" spans="8:8" ht="14.25" customHeight="1">
      <c r="A21" s="107">
        <v>46210.0</v>
      </c>
      <c r="B21" s="109" t="s">
        <v>32</v>
      </c>
      <c r="C21" s="109">
        <v>1.0</v>
      </c>
      <c r="D21" s="110">
        <v>16145.0</v>
      </c>
      <c r="E21" s="111">
        <f t="shared" si="0"/>
        <v>16145.0</v>
      </c>
      <c r="F21" s="109" t="s">
        <v>29</v>
      </c>
      <c r="G21" s="67" t="s">
        <v>136</v>
      </c>
      <c r="I21" s="109" t="s">
        <v>127</v>
      </c>
      <c r="J21" s="111">
        <f>E5</f>
        <v>1237500.0</v>
      </c>
      <c r="K21" s="112">
        <f t="shared" si="2"/>
        <v>0.08851035463863993</v>
      </c>
      <c r="L21" s="112">
        <v>-0.0505</v>
      </c>
    </row>
    <row r="22" spans="8:8" ht="14.25" customHeight="1">
      <c r="A22" s="107">
        <v>46210.0</v>
      </c>
      <c r="B22" s="120" t="s">
        <v>24</v>
      </c>
      <c r="C22" s="109">
        <v>202.0</v>
      </c>
      <c r="D22" s="110">
        <v>5000.0</v>
      </c>
      <c r="E22" s="111">
        <f t="shared" si="0"/>
        <v>1010000.0</v>
      </c>
      <c r="F22" s="109" t="s">
        <v>59</v>
      </c>
      <c r="G22" s="67" t="s">
        <v>137</v>
      </c>
      <c r="I22" s="109" t="s">
        <v>50</v>
      </c>
      <c r="J22" s="111">
        <f>E6</f>
        <v>172000.0</v>
      </c>
      <c r="K22" s="112">
        <f t="shared" si="2"/>
        <v>0.012302045250784703</v>
      </c>
      <c r="L22" s="112">
        <v>0.0058</v>
      </c>
    </row>
    <row r="23" spans="8:8" ht="14.25" customHeight="1">
      <c r="A23" s="107">
        <v>46210.0</v>
      </c>
      <c r="B23" s="115" t="s">
        <v>27</v>
      </c>
      <c r="C23" s="109">
        <v>20.0</v>
      </c>
      <c r="D23" s="110">
        <v>8020.0</v>
      </c>
      <c r="E23" s="111">
        <f t="shared" si="0"/>
        <v>160400.0</v>
      </c>
      <c r="F23" s="109" t="s">
        <v>59</v>
      </c>
      <c r="G23" s="67" t="s">
        <v>137</v>
      </c>
      <c r="I23" s="109" t="s">
        <v>25</v>
      </c>
      <c r="J23" s="111">
        <f>E7+E8+E9</f>
        <v>548695.0</v>
      </c>
      <c r="K23" s="112">
        <f t="shared" si="2"/>
        <v>0.039244597202786696</v>
      </c>
      <c r="L23" s="112">
        <v>0.0491</v>
      </c>
    </row>
    <row r="24" spans="8:8" ht="14.25" customHeight="1">
      <c r="A24" s="107">
        <v>46210.0</v>
      </c>
      <c r="B24" s="114" t="s">
        <v>45</v>
      </c>
      <c r="C24" s="109">
        <v>30.0</v>
      </c>
      <c r="D24" s="110">
        <v>12930.0</v>
      </c>
      <c r="E24" s="111">
        <f t="shared" si="0"/>
        <v>387900.0</v>
      </c>
      <c r="F24" s="109" t="s">
        <v>78</v>
      </c>
      <c r="G24" s="67" t="s">
        <v>138</v>
      </c>
      <c r="I24" s="109" t="s">
        <v>132</v>
      </c>
      <c r="J24" s="111">
        <f>E10+E11</f>
        <v>3987900.0</v>
      </c>
      <c r="K24" s="112">
        <f t="shared" si="2"/>
        <v>0.2852286410209553</v>
      </c>
      <c r="L24" s="112">
        <v>0.0116</v>
      </c>
    </row>
    <row r="25" spans="8:8" ht="14.25" customHeight="1">
      <c r="A25" s="107">
        <v>46210.0</v>
      </c>
      <c r="B25" s="113" t="s">
        <v>37</v>
      </c>
      <c r="C25" s="109">
        <v>10.0</v>
      </c>
      <c r="D25" s="110">
        <v>8800.0</v>
      </c>
      <c r="E25" s="111">
        <f t="shared" si="0"/>
        <v>88000.0</v>
      </c>
      <c r="F25" s="109" t="s">
        <v>78</v>
      </c>
      <c r="G25" s="67" t="s">
        <v>138</v>
      </c>
      <c r="I25" s="109" t="s">
        <v>40</v>
      </c>
      <c r="J25" s="111">
        <f>E12</f>
        <v>94600.0</v>
      </c>
      <c r="K25" s="112">
        <f t="shared" si="2"/>
        <v>0.006766124887931586</v>
      </c>
      <c r="L25" s="112">
        <v>-0.0037</v>
      </c>
    </row>
    <row r="26" spans="8:8" ht="14.25" customHeight="1">
      <c r="A26" s="107">
        <v>46210.0</v>
      </c>
      <c r="B26" s="119" t="s">
        <v>44</v>
      </c>
      <c r="C26" s="109">
        <v>20.0</v>
      </c>
      <c r="D26" s="110">
        <v>9100.0</v>
      </c>
      <c r="E26" s="111">
        <f t="shared" si="0"/>
        <v>182000.0</v>
      </c>
      <c r="F26" s="109" t="s">
        <v>78</v>
      </c>
      <c r="G26" s="67" t="s">
        <v>138</v>
      </c>
      <c r="I26" s="109" t="s">
        <v>29</v>
      </c>
      <c r="J26" s="111">
        <f>E13+E14+E15+E16+E17+E18+E19+E20+E21+E36</f>
        <v>711185.0</v>
      </c>
      <c r="K26" s="112">
        <f t="shared" si="2"/>
        <v>0.05086645378883325</v>
      </c>
      <c r="L26" s="112">
        <v>0.0088</v>
      </c>
    </row>
    <row r="27" spans="8:8" ht="14.25" customHeight="1">
      <c r="A27" s="107">
        <v>46210.0</v>
      </c>
      <c r="B27" s="118" t="s">
        <v>22</v>
      </c>
      <c r="C27" s="109">
        <v>200.0</v>
      </c>
      <c r="D27" s="110">
        <v>8600.0</v>
      </c>
      <c r="E27" s="111">
        <f t="shared" si="0"/>
        <v>1720000.0</v>
      </c>
      <c r="F27" s="109" t="s">
        <v>139</v>
      </c>
      <c r="G27" s="67" t="s">
        <v>140</v>
      </c>
      <c r="I27" s="109" t="s">
        <v>59</v>
      </c>
      <c r="J27" s="111">
        <f>E22+E23</f>
        <v>1170400.0</v>
      </c>
      <c r="K27" s="112">
        <f t="shared" si="2"/>
        <v>0.08371112652045591</v>
      </c>
      <c r="L27" s="112">
        <v>-0.0288</v>
      </c>
    </row>
    <row r="28" spans="8:8" ht="14.25" customHeight="1">
      <c r="A28" s="107">
        <v>46210.0</v>
      </c>
      <c r="B28" s="113" t="s">
        <v>37</v>
      </c>
      <c r="C28" s="109">
        <v>40.0</v>
      </c>
      <c r="D28" s="110">
        <v>8800.0</v>
      </c>
      <c r="E28" s="111">
        <f t="shared" si="0"/>
        <v>352000.0</v>
      </c>
      <c r="F28" s="109" t="s">
        <v>139</v>
      </c>
      <c r="G28" s="67" t="s">
        <v>140</v>
      </c>
      <c r="I28" s="109" t="s">
        <v>78</v>
      </c>
      <c r="J28" s="111">
        <f>E24+E25+E26</f>
        <v>657900.0</v>
      </c>
      <c r="K28" s="112">
        <f t="shared" si="2"/>
        <v>0.047055323084251484</v>
      </c>
      <c r="L28" s="112">
        <v>0.0139</v>
      </c>
    </row>
    <row r="29" spans="8:8" ht="14.25" customHeight="1">
      <c r="A29" s="107">
        <v>46210.0</v>
      </c>
      <c r="B29" s="109" t="s">
        <v>87</v>
      </c>
      <c r="C29" s="109">
        <v>6.0</v>
      </c>
      <c r="D29" s="110">
        <v>20540.0</v>
      </c>
      <c r="E29" s="111">
        <f t="shared" si="0"/>
        <v>123240.0</v>
      </c>
      <c r="F29" s="109" t="s">
        <v>139</v>
      </c>
      <c r="G29" s="67" t="s">
        <v>140</v>
      </c>
      <c r="I29" s="109" t="s">
        <v>139</v>
      </c>
      <c r="J29" s="111">
        <f>E27+E28+E29+E30+E31+E32+E33+E34+E35</f>
        <v>2969375.0</v>
      </c>
      <c r="K29" s="112">
        <f t="shared" si="2"/>
        <v>0.2123801489334234</v>
      </c>
      <c r="L29" s="112">
        <v>0.0492</v>
      </c>
    </row>
    <row r="30" spans="8:8" ht="14.25" customHeight="1">
      <c r="A30" s="107">
        <v>46210.0</v>
      </c>
      <c r="B30" s="109" t="s">
        <v>100</v>
      </c>
      <c r="C30" s="109">
        <v>15.0</v>
      </c>
      <c r="D30" s="110">
        <v>11480.0</v>
      </c>
      <c r="E30" s="111">
        <f t="shared" si="0"/>
        <v>172200.0</v>
      </c>
      <c r="F30" s="109" t="s">
        <v>139</v>
      </c>
      <c r="G30" s="67" t="s">
        <v>140</v>
      </c>
      <c r="I30" s="109" t="s">
        <v>95</v>
      </c>
      <c r="J30" s="111">
        <f>E37</f>
        <v>160400.0</v>
      </c>
      <c r="K30" s="112">
        <f t="shared" si="2"/>
        <v>0.011472372431545735</v>
      </c>
      <c r="L30" s="112">
        <v>0.0418</v>
      </c>
    </row>
    <row r="31" spans="8:8" ht="14.25" customHeight="1">
      <c r="A31" s="107">
        <v>46210.0</v>
      </c>
      <c r="B31" s="116" t="s">
        <v>65</v>
      </c>
      <c r="C31" s="109">
        <v>20.0</v>
      </c>
      <c r="D31" s="110">
        <v>11415.0</v>
      </c>
      <c r="E31" s="111">
        <f t="shared" si="0"/>
        <v>228300.0</v>
      </c>
      <c r="F31" s="109" t="s">
        <v>139</v>
      </c>
      <c r="G31" s="67" t="s">
        <v>140</v>
      </c>
      <c r="I31" s="109" t="s">
        <v>15</v>
      </c>
      <c r="J31" s="111">
        <f>E38</f>
        <v>5300.0</v>
      </c>
      <c r="K31" s="112">
        <f t="shared" si="2"/>
        <v>3.7907465016952864E-4</v>
      </c>
      <c r="L31" s="112">
        <v>0.0189</v>
      </c>
    </row>
    <row r="32" spans="8:8" ht="14.25" customHeight="1">
      <c r="A32" s="107">
        <v>46210.0</v>
      </c>
      <c r="B32" s="119" t="s">
        <v>44</v>
      </c>
      <c r="C32" s="109">
        <v>15.0</v>
      </c>
      <c r="D32" s="110">
        <v>9090.0</v>
      </c>
      <c r="E32" s="111">
        <f t="shared" si="0"/>
        <v>136350.0</v>
      </c>
      <c r="F32" s="109" t="s">
        <v>139</v>
      </c>
      <c r="G32" s="67" t="s">
        <v>140</v>
      </c>
      <c r="I32" s="109" t="s">
        <v>703</v>
      </c>
      <c r="J32" s="111">
        <f>SUM(J19:J31)</f>
        <v>1.3981415E7</v>
      </c>
      <c r="K32" s="112">
        <f t="shared" si="2"/>
        <v>1.0</v>
      </c>
      <c r="L32" s="68"/>
    </row>
    <row r="33" spans="8:8" ht="14.25" customHeight="1">
      <c r="A33" s="107">
        <v>46210.0</v>
      </c>
      <c r="B33" s="109" t="s">
        <v>101</v>
      </c>
      <c r="C33" s="109">
        <v>10.0</v>
      </c>
      <c r="D33" s="110">
        <v>13020.0</v>
      </c>
      <c r="E33" s="111">
        <f t="shared" si="0"/>
        <v>130200.0</v>
      </c>
      <c r="F33" s="109" t="s">
        <v>139</v>
      </c>
      <c r="G33" s="67" t="s">
        <v>140</v>
      </c>
    </row>
    <row r="34" spans="8:8" ht="25.5" customHeight="1">
      <c r="A34" s="107">
        <v>46210.0</v>
      </c>
      <c r="B34" s="114" t="s">
        <v>45</v>
      </c>
      <c r="C34" s="109">
        <v>5.0</v>
      </c>
      <c r="D34" s="110">
        <v>12930.0</v>
      </c>
      <c r="E34" s="111">
        <f t="shared" si="0"/>
        <v>64650.0</v>
      </c>
      <c r="F34" s="109" t="s">
        <v>139</v>
      </c>
      <c r="G34" s="67" t="s">
        <v>140</v>
      </c>
      <c r="I34" s="106" t="s">
        <v>692</v>
      </c>
      <c r="J34" s="106" t="s">
        <v>690</v>
      </c>
      <c r="K34" s="106" t="s">
        <v>702</v>
      </c>
    </row>
    <row r="35" spans="8:8" ht="14.25" customHeight="1">
      <c r="A35" s="107">
        <v>46210.0</v>
      </c>
      <c r="B35" s="109" t="s">
        <v>141</v>
      </c>
      <c r="C35" s="109">
        <v>3.0</v>
      </c>
      <c r="D35" s="110">
        <v>14145.0</v>
      </c>
      <c r="E35" s="111">
        <f t="shared" si="0"/>
        <v>42435.0</v>
      </c>
      <c r="F35" s="109" t="s">
        <v>139</v>
      </c>
      <c r="G35" s="67" t="s">
        <v>140</v>
      </c>
      <c r="I35" s="117" t="s">
        <v>124</v>
      </c>
      <c r="J35" s="111">
        <v>1930160.0</v>
      </c>
      <c r="K35" s="112">
        <v>0.03</v>
      </c>
    </row>
    <row r="36" spans="8:8" ht="14.25" customHeight="1">
      <c r="A36" s="107">
        <v>46210.0</v>
      </c>
      <c r="B36" s="113" t="s">
        <v>37</v>
      </c>
      <c r="C36" s="109">
        <v>2.0</v>
      </c>
      <c r="D36" s="110">
        <v>8880.0</v>
      </c>
      <c r="E36" s="111">
        <f t="shared" si="0"/>
        <v>17760.0</v>
      </c>
      <c r="F36" s="109" t="s">
        <v>29</v>
      </c>
      <c r="G36" s="67" t="s">
        <v>142</v>
      </c>
      <c r="I36" s="117" t="s">
        <v>126</v>
      </c>
      <c r="J36" s="111">
        <v>612000.0</v>
      </c>
      <c r="K36" s="112">
        <v>-0.02</v>
      </c>
    </row>
    <row r="37" spans="8:8" ht="14.25" customHeight="1">
      <c r="A37" s="107">
        <v>46210.0</v>
      </c>
      <c r="B37" s="115" t="s">
        <v>27</v>
      </c>
      <c r="C37" s="109">
        <v>20.0</v>
      </c>
      <c r="D37" s="110">
        <v>8020.0</v>
      </c>
      <c r="E37" s="111">
        <f t="shared" si="0"/>
        <v>160400.0</v>
      </c>
      <c r="F37" s="109" t="s">
        <v>95</v>
      </c>
      <c r="G37" s="67" t="s">
        <v>143</v>
      </c>
      <c r="I37" s="117" t="s">
        <v>128</v>
      </c>
      <c r="J37" s="111">
        <v>1237500.0</v>
      </c>
      <c r="K37" s="112">
        <v>-0.05</v>
      </c>
    </row>
    <row r="38" spans="8:8" ht="14.25" customHeight="1">
      <c r="A38" s="107">
        <v>46210.0</v>
      </c>
      <c r="B38" s="120" t="s">
        <v>24</v>
      </c>
      <c r="C38" s="109">
        <v>1.0</v>
      </c>
      <c r="D38" s="110">
        <v>5300.0</v>
      </c>
      <c r="E38" s="111">
        <f t="shared" si="0"/>
        <v>5300.0</v>
      </c>
      <c r="F38" s="109" t="s">
        <v>15</v>
      </c>
      <c r="G38" s="67" t="s">
        <v>144</v>
      </c>
      <c r="I38" s="117" t="s">
        <v>130</v>
      </c>
      <c r="J38" s="111">
        <v>172000.0</v>
      </c>
      <c r="K38" s="112">
        <v>0.01</v>
      </c>
    </row>
    <row r="39" spans="8:8" ht="14.25" customHeight="1">
      <c r="A39" s="68"/>
      <c r="B39" s="109" t="s">
        <v>701</v>
      </c>
      <c r="C39" s="109">
        <f>SUM(C2:C38)</f>
        <v>1685.0</v>
      </c>
      <c r="D39" s="109">
        <f>SUM(D2:D38)</f>
        <v>383185.0</v>
      </c>
      <c r="E39" s="111">
        <f>SUM(E2:E38)</f>
        <v>1.3981415E7</v>
      </c>
      <c r="F39" s="68"/>
      <c r="G39" s="68"/>
      <c r="I39" s="117" t="s">
        <v>131</v>
      </c>
      <c r="J39" s="111">
        <v>626695.0</v>
      </c>
      <c r="K39" s="112">
        <v>0.05</v>
      </c>
    </row>
    <row r="40" spans="8:8" ht="14.25" customHeight="1">
      <c r="I40" s="117" t="s">
        <v>133</v>
      </c>
      <c r="J40" s="111">
        <v>4512900.0</v>
      </c>
      <c r="K40" s="112">
        <v>0.01</v>
      </c>
    </row>
    <row r="41" spans="8:8" ht="14.25" customHeight="1">
      <c r="I41" s="117" t="s">
        <v>135</v>
      </c>
      <c r="J41" s="111">
        <v>111100.0</v>
      </c>
      <c r="K41" s="112">
        <v>0.0</v>
      </c>
    </row>
    <row r="42" spans="8:8" ht="14.25" customHeight="1">
      <c r="I42" s="117" t="s">
        <v>136</v>
      </c>
      <c r="J42" s="111">
        <v>756425.0</v>
      </c>
      <c r="K42" s="112">
        <v>0.01</v>
      </c>
    </row>
    <row r="43" spans="8:8" ht="14.25" customHeight="1">
      <c r="I43" s="117" t="s">
        <v>137</v>
      </c>
      <c r="J43" s="111">
        <v>1170400.0</v>
      </c>
      <c r="K43" s="112">
        <v>-0.03</v>
      </c>
    </row>
    <row r="44" spans="8:8" ht="14.25" customHeight="1">
      <c r="I44" s="117" t="s">
        <v>138</v>
      </c>
      <c r="J44" s="111">
        <v>747900.0</v>
      </c>
      <c r="K44" s="112">
        <v>0.01</v>
      </c>
    </row>
    <row r="45" spans="8:8" ht="14.25" customHeight="1">
      <c r="I45" s="117" t="s">
        <v>140</v>
      </c>
      <c r="J45" s="111">
        <v>3597375.0</v>
      </c>
      <c r="K45" s="112">
        <v>0.05</v>
      </c>
    </row>
    <row r="46" spans="8:8" ht="14.25" customHeight="1">
      <c r="I46" s="117" t="s">
        <v>142</v>
      </c>
      <c r="J46" s="111">
        <v>17760.0</v>
      </c>
      <c r="K46" s="112">
        <v>0.04</v>
      </c>
    </row>
    <row r="47" spans="8:8" ht="14.25" customHeight="1">
      <c r="I47" s="117" t="s">
        <v>143</v>
      </c>
      <c r="J47" s="111">
        <v>160400.0</v>
      </c>
      <c r="K47" s="112">
        <v>0.04</v>
      </c>
    </row>
    <row r="48" spans="8:8" ht="14.25" customHeight="1">
      <c r="I48" s="117" t="s">
        <v>144</v>
      </c>
      <c r="J48" s="111">
        <v>5300.0</v>
      </c>
      <c r="K48" s="112">
        <v>0.02</v>
      </c>
    </row>
    <row r="49" spans="8:8" ht="14.25" customHeight="1">
      <c r="I49" s="109" t="s">
        <v>703</v>
      </c>
      <c r="J49" s="111">
        <f>SUM(J35:J48)</f>
        <v>1.5657915E7</v>
      </c>
      <c r="K49" s="68"/>
    </row>
  </sheetData>
  <hyperlinks>
    <hyperlink ref="G2" r:id="rId2"/>
    <hyperlink ref="G3" r:id="rId3"/>
    <hyperlink ref="G4" r:id="rId4"/>
    <hyperlink ref="G5" r:id="rId5"/>
    <hyperlink ref="G6" r:id="rId6"/>
    <hyperlink ref="G7" r:id="rId7"/>
    <hyperlink ref="G8" r:id="rId8"/>
    <hyperlink ref="G9" r:id="rId9"/>
    <hyperlink ref="G10" r:id="rId10"/>
    <hyperlink ref="G11" r:id="rId11"/>
    <hyperlink ref="G12" r:id="rId12"/>
    <hyperlink ref="G13" r:id="rId13"/>
    <hyperlink ref="G14" r:id="rId14"/>
    <hyperlink ref="G15" r:id="rId15"/>
    <hyperlink ref="G16" r:id="rId16"/>
    <hyperlink ref="G17" r:id="rId17"/>
    <hyperlink ref="G18" r:id="rId18"/>
    <hyperlink ref="G19" r:id="rId19"/>
    <hyperlink ref="G20" r:id="rId20"/>
    <hyperlink ref="G21" r:id="rId21"/>
    <hyperlink ref="G22" r:id="rId22"/>
    <hyperlink ref="G23" r:id="rId23"/>
    <hyperlink ref="G24" r:id="rId24"/>
    <hyperlink ref="G25" r:id="rId25"/>
    <hyperlink ref="G26" r:id="rId26"/>
    <hyperlink ref="G27" r:id="rId27"/>
    <hyperlink ref="G28" r:id="rId28"/>
    <hyperlink ref="G29" r:id="rId29"/>
    <hyperlink ref="G30" r:id="rId30"/>
    <hyperlink ref="G31" r:id="rId31"/>
    <hyperlink ref="G32" r:id="rId32"/>
    <hyperlink ref="G33" r:id="rId33"/>
    <hyperlink ref="G34" r:id="rId34"/>
    <hyperlink ref="G35" r:id="rId35"/>
    <hyperlink ref="I35" r:id="rId36"/>
    <hyperlink ref="G36" r:id="rId37"/>
    <hyperlink ref="I36" r:id="rId38"/>
    <hyperlink ref="G37" r:id="rId39"/>
    <hyperlink ref="I37" r:id="rId40"/>
    <hyperlink ref="G38" r:id="rId41"/>
    <hyperlink ref="I38" r:id="rId42"/>
    <hyperlink ref="I39" r:id="rId43"/>
    <hyperlink ref="I40" r:id="rId44"/>
    <hyperlink ref="I41" r:id="rId45"/>
    <hyperlink ref="I42" r:id="rId46"/>
    <hyperlink ref="I43" r:id="rId47"/>
    <hyperlink ref="I44" r:id="rId48"/>
    <hyperlink ref="I45" r:id="rId49"/>
    <hyperlink ref="I46" r:id="rId50"/>
    <hyperlink ref="I47" r:id="rId51"/>
    <hyperlink ref="I48" r:id="rId52"/>
  </hyperlinks>
  <pageMargins left="0.75" right="0.75" top="1.0" bottom="1.0" header="0.511811023622047" footer="0.511811023622047"/>
  <drawing r:id="rId1"/>
</worksheet>
</file>

<file path=xl/worksheets/sheet11.xml><?xml version="1.0" encoding="utf-8"?>
<worksheet xmlns:r="http://schemas.openxmlformats.org/officeDocument/2006/relationships" xmlns="http://schemas.openxmlformats.org/spreadsheetml/2006/main">
  <dimension ref="A1:Q58"/>
  <sheetViews>
    <sheetView workbookViewId="0">
      <selection activeCell="A1" sqref="A1"/>
    </sheetView>
  </sheetViews>
  <sheetFormatPr defaultRowHeight="14.5"/>
  <cols>
    <col min="1" max="1" customWidth="1" width="11.269531" style="0"/>
    <col min="2" max="2" customWidth="1" width="18.089844" style="0"/>
    <col min="3" max="3" customWidth="1" width="10.90625" style="0"/>
    <col min="4" max="4" customWidth="1" width="11.90625" style="0"/>
    <col min="5" max="5" customWidth="1" width="12.453125" style="0"/>
    <col min="6" max="6" customWidth="1" width="21.542969" style="0"/>
    <col min="7" max="7" customWidth="1" width="11.90625" style="0"/>
    <col min="8" max="8" customWidth="1" width="3.0" style="0"/>
    <col min="9" max="9" customWidth="1" width="21.542969" style="0"/>
    <col min="10" max="10" customWidth="1" width="12.453125" style="0"/>
    <col min="11" max="11" customWidth="1" width="17.726562" style="0"/>
    <col min="12" max="12" customWidth="1" width="9.542969" style="0"/>
    <col min="13" max="13" customWidth="1" width="3.0" style="0"/>
    <col min="14" max="16" customWidth="1" width="13.0" style="0"/>
  </cols>
  <sheetData>
    <row r="1" spans="8:8" ht="25.5" customHeight="1">
      <c r="A1" s="106" t="s">
        <v>686</v>
      </c>
      <c r="B1" s="106" t="s">
        <v>687</v>
      </c>
      <c r="C1" s="106" t="s">
        <v>688</v>
      </c>
      <c r="D1" s="106" t="s">
        <v>689</v>
      </c>
      <c r="E1" s="106" t="s">
        <v>690</v>
      </c>
      <c r="F1" s="106" t="s">
        <v>691</v>
      </c>
      <c r="G1" s="106" t="s">
        <v>692</v>
      </c>
      <c r="I1" s="106" t="s">
        <v>687</v>
      </c>
      <c r="J1" s="106" t="s">
        <v>693</v>
      </c>
      <c r="K1" s="106" t="s">
        <v>694</v>
      </c>
      <c r="L1" s="106" t="s">
        <v>695</v>
      </c>
      <c r="N1" s="106" t="s">
        <v>696</v>
      </c>
      <c r="O1" s="106" t="s">
        <v>697</v>
      </c>
      <c r="P1" s="106" t="s">
        <v>698</v>
      </c>
    </row>
    <row r="2" spans="8:8">
      <c r="A2" s="122">
        <v>46211.0</v>
      </c>
      <c r="B2" s="123" t="s">
        <v>45</v>
      </c>
      <c r="C2" s="123">
        <v>5.0</v>
      </c>
      <c r="D2" s="123">
        <v>13335.0</v>
      </c>
      <c r="E2" s="124">
        <f t="shared" si="0" ref="E2:E43">C2*D2</f>
        <v>66675.0</v>
      </c>
      <c r="F2" s="123" t="s">
        <v>145</v>
      </c>
      <c r="G2" s="123" t="s">
        <v>146</v>
      </c>
      <c r="I2" s="123" t="s">
        <v>45</v>
      </c>
      <c r="J2" s="123">
        <f>C2+C12+C16+C24+C37</f>
        <v>137.0</v>
      </c>
      <c r="K2" s="124">
        <f>E2+E12+E16+E24+E37</f>
        <v>1774245.0</v>
      </c>
      <c r="L2" s="125">
        <f t="shared" si="1" ref="L2:L22">K2/K$22</f>
        <v>0.22243067865837912</v>
      </c>
      <c r="N2" s="124">
        <f>K22</f>
        <v>7976620.0</v>
      </c>
      <c r="O2" s="123">
        <f>J22</f>
        <v>844.0</v>
      </c>
      <c r="P2" s="123">
        <f>COUNT(J2:J21)</f>
        <v>20.0</v>
      </c>
    </row>
    <row r="3" spans="8:8">
      <c r="A3" s="122">
        <v>46211.0</v>
      </c>
      <c r="B3" s="123" t="s">
        <v>87</v>
      </c>
      <c r="C3" s="123">
        <v>5.0</v>
      </c>
      <c r="D3" s="123">
        <v>21485.0</v>
      </c>
      <c r="E3" s="124">
        <f t="shared" si="0"/>
        <v>107425.0</v>
      </c>
      <c r="F3" s="123" t="s">
        <v>145</v>
      </c>
      <c r="G3" s="123" t="s">
        <v>146</v>
      </c>
      <c r="I3" s="123" t="s">
        <v>87</v>
      </c>
      <c r="J3" s="123">
        <f>C3</f>
        <v>5.0</v>
      </c>
      <c r="K3" s="124">
        <f>E3</f>
        <v>107425.0</v>
      </c>
      <c r="L3" s="125">
        <f t="shared" si="1"/>
        <v>0.013467483721175134</v>
      </c>
    </row>
    <row r="4" spans="8:8">
      <c r="A4" s="122">
        <v>46211.0</v>
      </c>
      <c r="B4" s="123" t="s">
        <v>65</v>
      </c>
      <c r="C4" s="123">
        <v>5.0</v>
      </c>
      <c r="D4" s="123">
        <v>11910.0</v>
      </c>
      <c r="E4" s="124">
        <f t="shared" si="0"/>
        <v>59550.0</v>
      </c>
      <c r="F4" s="123" t="s">
        <v>145</v>
      </c>
      <c r="G4" s="123" t="s">
        <v>146</v>
      </c>
      <c r="I4" s="123" t="s">
        <v>65</v>
      </c>
      <c r="J4" s="123">
        <f>C4+C14+C25+C38</f>
        <v>19.0</v>
      </c>
      <c r="K4" s="124">
        <f>E4+E14+E25+E38</f>
        <v>226290.0</v>
      </c>
      <c r="L4" s="125">
        <f t="shared" si="1"/>
        <v>0.02836915886678819</v>
      </c>
    </row>
    <row r="5" spans="8:8">
      <c r="A5" s="122">
        <v>46211.0</v>
      </c>
      <c r="B5" s="123" t="s">
        <v>101</v>
      </c>
      <c r="C5" s="123">
        <v>5.0</v>
      </c>
      <c r="D5" s="123">
        <v>13550.0</v>
      </c>
      <c r="E5" s="124">
        <f t="shared" si="0"/>
        <v>67750.0</v>
      </c>
      <c r="F5" s="123" t="s">
        <v>145</v>
      </c>
      <c r="G5" s="123" t="s">
        <v>146</v>
      </c>
      <c r="I5" s="123" t="s">
        <v>101</v>
      </c>
      <c r="J5" s="123">
        <f>C5+C27</f>
        <v>10.0</v>
      </c>
      <c r="K5" s="124">
        <f>E5+E27</f>
        <v>135500.0</v>
      </c>
      <c r="L5" s="125">
        <f t="shared" si="1"/>
        <v>0.016987144931061026</v>
      </c>
    </row>
    <row r="6" spans="8:8">
      <c r="A6" s="122">
        <v>46211.0</v>
      </c>
      <c r="B6" s="123" t="s">
        <v>150</v>
      </c>
      <c r="C6" s="123">
        <v>2.0</v>
      </c>
      <c r="D6" s="123">
        <v>10315.0</v>
      </c>
      <c r="E6" s="124">
        <f t="shared" si="0"/>
        <v>20630.0</v>
      </c>
      <c r="F6" s="123" t="s">
        <v>29</v>
      </c>
      <c r="G6" s="123" t="s">
        <v>149</v>
      </c>
      <c r="I6" s="123" t="s">
        <v>150</v>
      </c>
      <c r="J6" s="123">
        <f>C6+C31</f>
        <v>4.0</v>
      </c>
      <c r="K6" s="124">
        <f>E6+E31</f>
        <v>41260.0</v>
      </c>
      <c r="L6" s="125">
        <f t="shared" si="1"/>
        <v>0.005172616973103896</v>
      </c>
    </row>
    <row r="7" spans="8:8">
      <c r="A7" s="122">
        <v>46211.0</v>
      </c>
      <c r="B7" s="123" t="s">
        <v>36</v>
      </c>
      <c r="C7" s="123">
        <v>1.0</v>
      </c>
      <c r="D7" s="123">
        <v>15525.0</v>
      </c>
      <c r="E7" s="124">
        <f t="shared" si="0"/>
        <v>15525.0</v>
      </c>
      <c r="F7" s="123" t="s">
        <v>29</v>
      </c>
      <c r="G7" s="123" t="s">
        <v>149</v>
      </c>
      <c r="I7" s="123" t="s">
        <v>36</v>
      </c>
      <c r="J7" s="123">
        <f>C7+C41</f>
        <v>7.0</v>
      </c>
      <c r="K7" s="124">
        <f>E7+E41</f>
        <v>108675.0</v>
      </c>
      <c r="L7" s="125">
        <f t="shared" si="1"/>
        <v>0.013624191700243963</v>
      </c>
    </row>
    <row r="8" spans="8:8">
      <c r="A8" s="122">
        <v>46211.0</v>
      </c>
      <c r="B8" s="123" t="s">
        <v>69</v>
      </c>
      <c r="C8" s="123">
        <v>1.0</v>
      </c>
      <c r="D8" s="123">
        <v>14450.0</v>
      </c>
      <c r="E8" s="124">
        <f t="shared" si="0"/>
        <v>14450.0</v>
      </c>
      <c r="F8" s="123" t="s">
        <v>29</v>
      </c>
      <c r="G8" s="123" t="s">
        <v>149</v>
      </c>
      <c r="I8" s="123" t="s">
        <v>69</v>
      </c>
      <c r="J8" s="123">
        <f>C8+C26+C34</f>
        <v>5.0</v>
      </c>
      <c r="K8" s="124">
        <f>E8+E26+E34</f>
        <v>72250.0</v>
      </c>
      <c r="L8" s="125">
        <f t="shared" si="1"/>
        <v>0.009057721190178296</v>
      </c>
    </row>
    <row r="9" spans="8:8">
      <c r="A9" s="122">
        <v>46211.0</v>
      </c>
      <c r="B9" s="123" t="s">
        <v>100</v>
      </c>
      <c r="C9" s="123">
        <v>2.0</v>
      </c>
      <c r="D9" s="123">
        <v>11480.0</v>
      </c>
      <c r="E9" s="124">
        <f t="shared" si="0"/>
        <v>22960.0</v>
      </c>
      <c r="F9" s="123" t="s">
        <v>29</v>
      </c>
      <c r="G9" s="123" t="s">
        <v>149</v>
      </c>
      <c r="I9" s="123" t="s">
        <v>100</v>
      </c>
      <c r="J9" s="123">
        <f>C9</f>
        <v>2.0</v>
      </c>
      <c r="K9" s="124">
        <f>E9</f>
        <v>22960.0</v>
      </c>
      <c r="L9" s="125">
        <f t="shared" si="1"/>
        <v>0.002878412159536245</v>
      </c>
    </row>
    <row r="10" spans="8:8">
      <c r="A10" s="122">
        <v>46211.0</v>
      </c>
      <c r="B10" s="123" t="s">
        <v>31</v>
      </c>
      <c r="C10" s="123">
        <v>20.0</v>
      </c>
      <c r="D10" s="123">
        <v>17100.0</v>
      </c>
      <c r="E10" s="124">
        <f t="shared" si="0"/>
        <v>342000.0</v>
      </c>
      <c r="F10" s="123" t="s">
        <v>29</v>
      </c>
      <c r="G10" s="123" t="s">
        <v>151</v>
      </c>
      <c r="I10" s="123" t="s">
        <v>31</v>
      </c>
      <c r="J10" s="123">
        <f>C10+C29</f>
        <v>25.0</v>
      </c>
      <c r="K10" s="124">
        <f>E10+E29</f>
        <v>431225.0</v>
      </c>
      <c r="L10" s="125">
        <f t="shared" si="1"/>
        <v>0.05406111861916451</v>
      </c>
    </row>
    <row r="11" spans="8:8">
      <c r="A11" s="122">
        <v>46211.0</v>
      </c>
      <c r="B11" s="123" t="s">
        <v>32</v>
      </c>
      <c r="C11" s="123">
        <v>25.0</v>
      </c>
      <c r="D11" s="123">
        <v>16145.0</v>
      </c>
      <c r="E11" s="124">
        <f t="shared" si="0"/>
        <v>403625.0</v>
      </c>
      <c r="F11" s="123" t="s">
        <v>29</v>
      </c>
      <c r="G11" s="123" t="s">
        <v>151</v>
      </c>
      <c r="I11" s="123" t="s">
        <v>32</v>
      </c>
      <c r="J11" s="123">
        <f>C11</f>
        <v>25.0</v>
      </c>
      <c r="K11" s="124">
        <f>E11</f>
        <v>403625.0</v>
      </c>
      <c r="L11" s="125">
        <f t="shared" si="1"/>
        <v>0.05060100644132477</v>
      </c>
    </row>
    <row r="12" spans="8:8">
      <c r="A12" s="122">
        <v>46211.0</v>
      </c>
      <c r="B12" s="123" t="s">
        <v>45</v>
      </c>
      <c r="C12" s="123">
        <v>10.0</v>
      </c>
      <c r="D12" s="123">
        <v>12930.0</v>
      </c>
      <c r="E12" s="124">
        <f t="shared" si="0"/>
        <v>129300.0</v>
      </c>
      <c r="F12" s="123" t="s">
        <v>152</v>
      </c>
      <c r="G12" s="123" t="s">
        <v>153</v>
      </c>
      <c r="I12" s="123" t="s">
        <v>44</v>
      </c>
      <c r="J12" s="123">
        <f>C13</f>
        <v>4.0</v>
      </c>
      <c r="K12" s="124">
        <f>E13</f>
        <v>36800.0</v>
      </c>
      <c r="L12" s="125">
        <f t="shared" si="1"/>
        <v>0.004613482903786315</v>
      </c>
    </row>
    <row r="13" spans="8:8">
      <c r="A13" s="122">
        <v>46211.0</v>
      </c>
      <c r="B13" s="123" t="s">
        <v>44</v>
      </c>
      <c r="C13" s="123">
        <v>4.0</v>
      </c>
      <c r="D13" s="123">
        <v>9200.0</v>
      </c>
      <c r="E13" s="124">
        <f t="shared" si="0"/>
        <v>36800.0</v>
      </c>
      <c r="F13" s="123" t="s">
        <v>154</v>
      </c>
      <c r="G13" s="123" t="s">
        <v>155</v>
      </c>
      <c r="I13" s="123" t="s">
        <v>37</v>
      </c>
      <c r="J13" s="123">
        <f>C15+C22+C36</f>
        <v>55.0</v>
      </c>
      <c r="K13" s="124">
        <f>E15+E22+E36</f>
        <v>490000.0</v>
      </c>
      <c r="L13" s="125">
        <f t="shared" si="1"/>
        <v>0.06142952779498083</v>
      </c>
    </row>
    <row r="14" spans="8:8">
      <c r="A14" s="122">
        <v>46211.0</v>
      </c>
      <c r="B14" s="123" t="s">
        <v>65</v>
      </c>
      <c r="C14" s="123">
        <v>2.0</v>
      </c>
      <c r="D14" s="123">
        <v>11910.0</v>
      </c>
      <c r="E14" s="124">
        <f t="shared" si="0"/>
        <v>23820.0</v>
      </c>
      <c r="F14" s="123" t="s">
        <v>154</v>
      </c>
      <c r="G14" s="123" t="s">
        <v>155</v>
      </c>
      <c r="I14" s="123" t="s">
        <v>27</v>
      </c>
      <c r="J14" s="123">
        <f>C17+C20</f>
        <v>20.0</v>
      </c>
      <c r="K14" s="124">
        <f>E17+E20</f>
        <v>160400.0</v>
      </c>
      <c r="L14" s="125">
        <f t="shared" si="1"/>
        <v>0.02010876787411209</v>
      </c>
    </row>
    <row r="15" spans="8:8">
      <c r="A15" s="122">
        <v>46211.0</v>
      </c>
      <c r="B15" s="123" t="s">
        <v>37</v>
      </c>
      <c r="C15" s="123">
        <v>4.0</v>
      </c>
      <c r="D15" s="123">
        <v>9200.0</v>
      </c>
      <c r="E15" s="124">
        <f t="shared" si="0"/>
        <v>36800.0</v>
      </c>
      <c r="F15" s="123" t="s">
        <v>154</v>
      </c>
      <c r="G15" s="123" t="s">
        <v>155</v>
      </c>
      <c r="I15" s="123" t="s">
        <v>22</v>
      </c>
      <c r="J15" s="123">
        <f>C18+C21+C30+C35</f>
        <v>310.0</v>
      </c>
      <c r="K15" s="124">
        <f>E18+E21+E30+E35</f>
        <v>2672300.0</v>
      </c>
      <c r="L15" s="125">
        <f t="shared" si="1"/>
        <v>0.33501658597250467</v>
      </c>
    </row>
    <row r="16" spans="8:8">
      <c r="A16" s="122">
        <v>46211.0</v>
      </c>
      <c r="B16" s="123" t="s">
        <v>45</v>
      </c>
      <c r="C16" s="123">
        <v>2.0</v>
      </c>
      <c r="D16" s="123">
        <v>13335.0</v>
      </c>
      <c r="E16" s="124">
        <f t="shared" si="0"/>
        <v>26670.0</v>
      </c>
      <c r="F16" s="123" t="s">
        <v>154</v>
      </c>
      <c r="G16" s="123" t="s">
        <v>155</v>
      </c>
      <c r="I16" s="123" t="s">
        <v>24</v>
      </c>
      <c r="J16" s="123">
        <f>C19+C28+C43</f>
        <v>190.0</v>
      </c>
      <c r="K16" s="124">
        <f>E19+E28+E43</f>
        <v>950000.0</v>
      </c>
      <c r="L16" s="125">
        <f t="shared" si="1"/>
        <v>0.11909806409230977</v>
      </c>
    </row>
    <row r="17" spans="8:8">
      <c r="A17" s="122">
        <v>46211.0</v>
      </c>
      <c r="B17" s="123" t="s">
        <v>27</v>
      </c>
      <c r="C17" s="123">
        <v>10.0</v>
      </c>
      <c r="D17" s="123">
        <v>8020.0</v>
      </c>
      <c r="E17" s="124">
        <f t="shared" si="0"/>
        <v>80200.0</v>
      </c>
      <c r="F17" s="123" t="s">
        <v>154</v>
      </c>
      <c r="G17" s="123" t="s">
        <v>155</v>
      </c>
      <c r="I17" s="123" t="s">
        <v>119</v>
      </c>
      <c r="J17" s="123">
        <f>C23</f>
        <v>1.0</v>
      </c>
      <c r="K17" s="124">
        <f>E23</f>
        <v>13125.0</v>
      </c>
      <c r="L17" s="125">
        <f t="shared" si="1"/>
        <v>0.0016454337802227009</v>
      </c>
    </row>
    <row r="18" spans="8:8">
      <c r="A18" s="122">
        <v>46211.0</v>
      </c>
      <c r="B18" s="123" t="s">
        <v>22</v>
      </c>
      <c r="C18" s="123">
        <v>1.0</v>
      </c>
      <c r="D18" s="123">
        <v>9500.0</v>
      </c>
      <c r="E18" s="124">
        <f t="shared" si="0"/>
        <v>9500.0</v>
      </c>
      <c r="F18" s="123" t="s">
        <v>102</v>
      </c>
      <c r="G18" s="123" t="s">
        <v>156</v>
      </c>
      <c r="I18" s="123" t="s">
        <v>93</v>
      </c>
      <c r="J18" s="123">
        <f>C32</f>
        <v>3.0</v>
      </c>
      <c r="K18" s="124">
        <f>E32</f>
        <v>34800.0</v>
      </c>
      <c r="L18" s="125">
        <f t="shared" si="1"/>
        <v>0.00436275013727619</v>
      </c>
    </row>
    <row r="19" spans="8:8">
      <c r="A19" s="122">
        <v>46211.0</v>
      </c>
      <c r="B19" s="123" t="s">
        <v>24</v>
      </c>
      <c r="C19" s="123">
        <v>30.0</v>
      </c>
      <c r="D19" s="123">
        <v>5000.0</v>
      </c>
      <c r="E19" s="124">
        <f t="shared" si="0"/>
        <v>150000.0</v>
      </c>
      <c r="F19" s="123" t="s">
        <v>157</v>
      </c>
      <c r="G19" s="123" t="s">
        <v>158</v>
      </c>
      <c r="I19" s="123" t="s">
        <v>141</v>
      </c>
      <c r="J19" s="123">
        <f>C33+C40</f>
        <v>7.0</v>
      </c>
      <c r="K19" s="124">
        <f>E33+E40</f>
        <v>99015.0</v>
      </c>
      <c r="L19" s="125">
        <f t="shared" si="1"/>
        <v>0.012413152438000055</v>
      </c>
    </row>
    <row r="20" spans="8:8">
      <c r="A20" s="122">
        <v>46211.0</v>
      </c>
      <c r="B20" s="123" t="s">
        <v>27</v>
      </c>
      <c r="C20" s="123">
        <v>10.0</v>
      </c>
      <c r="D20" s="123">
        <v>8020.0</v>
      </c>
      <c r="E20" s="124">
        <f t="shared" si="0"/>
        <v>80200.0</v>
      </c>
      <c r="F20" s="123" t="s">
        <v>157</v>
      </c>
      <c r="G20" s="123" t="s">
        <v>158</v>
      </c>
      <c r="I20" s="123" t="s">
        <v>80</v>
      </c>
      <c r="J20" s="123">
        <f>C39</f>
        <v>10.0</v>
      </c>
      <c r="K20" s="124">
        <f>E39</f>
        <v>93450.0</v>
      </c>
      <c r="L20" s="125">
        <f t="shared" si="1"/>
        <v>0.01171548851518563</v>
      </c>
    </row>
    <row r="21" spans="8:8">
      <c r="A21" s="122">
        <v>46211.0</v>
      </c>
      <c r="B21" s="123" t="s">
        <v>22</v>
      </c>
      <c r="C21" s="123">
        <v>4.0</v>
      </c>
      <c r="D21" s="123">
        <v>9200.0</v>
      </c>
      <c r="E21" s="124">
        <f t="shared" si="0"/>
        <v>36800.0</v>
      </c>
      <c r="F21" s="123" t="s">
        <v>15</v>
      </c>
      <c r="G21" s="123" t="s">
        <v>159</v>
      </c>
      <c r="I21" s="123" t="s">
        <v>62</v>
      </c>
      <c r="J21" s="123">
        <f>C42</f>
        <v>5.0</v>
      </c>
      <c r="K21" s="124">
        <f>E42</f>
        <v>103275.0</v>
      </c>
      <c r="L21" s="125">
        <f t="shared" si="1"/>
        <v>0.012947213230666624</v>
      </c>
    </row>
    <row r="22" spans="8:8">
      <c r="A22" s="122">
        <v>46211.0</v>
      </c>
      <c r="B22" s="123" t="s">
        <v>37</v>
      </c>
      <c r="C22" s="123">
        <v>1.0</v>
      </c>
      <c r="D22" s="123">
        <v>9200.0</v>
      </c>
      <c r="E22" s="124">
        <f t="shared" si="0"/>
        <v>9200.0</v>
      </c>
      <c r="F22" s="123" t="s">
        <v>15</v>
      </c>
      <c r="G22" s="123" t="s">
        <v>159</v>
      </c>
      <c r="I22" s="123" t="s">
        <v>701</v>
      </c>
      <c r="J22" s="123">
        <f>SUM(J2:J21)</f>
        <v>844.0</v>
      </c>
      <c r="K22" s="124">
        <f>SUM(K2:K21)</f>
        <v>7976620.0</v>
      </c>
      <c r="L22" s="125">
        <f t="shared" si="1"/>
        <v>1.0</v>
      </c>
    </row>
    <row r="23" spans="8:8">
      <c r="A23" s="122">
        <v>46211.0</v>
      </c>
      <c r="B23" s="123" t="s">
        <v>119</v>
      </c>
      <c r="C23" s="123">
        <v>1.0</v>
      </c>
      <c r="D23" s="123">
        <v>13125.0</v>
      </c>
      <c r="E23" s="124">
        <f t="shared" si="0"/>
        <v>13125.0</v>
      </c>
      <c r="F23" s="123" t="s">
        <v>104</v>
      </c>
      <c r="G23" s="123" t="s">
        <v>160</v>
      </c>
    </row>
    <row r="24" spans="8:8" ht="25.5" customHeight="1">
      <c r="A24" s="122">
        <v>46211.0</v>
      </c>
      <c r="B24" s="123" t="s">
        <v>45</v>
      </c>
      <c r="C24" s="123">
        <v>60.0</v>
      </c>
      <c r="D24" s="123">
        <v>12930.0</v>
      </c>
      <c r="E24" s="124">
        <f t="shared" si="0"/>
        <v>775800.0</v>
      </c>
      <c r="F24" s="123" t="s">
        <v>78</v>
      </c>
      <c r="G24" s="123" t="s">
        <v>161</v>
      </c>
      <c r="I24" s="106" t="s">
        <v>691</v>
      </c>
      <c r="J24" s="106" t="s">
        <v>690</v>
      </c>
      <c r="K24" s="106" t="s">
        <v>695</v>
      </c>
      <c r="L24" s="106" t="s">
        <v>702</v>
      </c>
    </row>
    <row r="25" spans="8:8">
      <c r="A25" s="122">
        <v>46211.0</v>
      </c>
      <c r="B25" s="123" t="s">
        <v>65</v>
      </c>
      <c r="C25" s="123">
        <v>2.0</v>
      </c>
      <c r="D25" s="123">
        <v>11910.0</v>
      </c>
      <c r="E25" s="124">
        <f t="shared" si="0"/>
        <v>23820.0</v>
      </c>
      <c r="F25" s="123" t="s">
        <v>78</v>
      </c>
      <c r="G25" s="123" t="s">
        <v>161</v>
      </c>
      <c r="I25" s="123" t="s">
        <v>145</v>
      </c>
      <c r="J25" s="124">
        <f>E2+E3+E4+E5</f>
        <v>301400.0</v>
      </c>
      <c r="K25" s="125">
        <f t="shared" si="2" ref="K25:K39">J25/J$39</f>
        <v>0.037785427913075965</v>
      </c>
      <c r="L25" s="125">
        <v>0.1058</v>
      </c>
    </row>
    <row r="26" spans="8:8">
      <c r="A26" s="122">
        <v>46211.0</v>
      </c>
      <c r="B26" s="123" t="s">
        <v>69</v>
      </c>
      <c r="C26" s="123">
        <v>3.0</v>
      </c>
      <c r="D26" s="123">
        <v>14450.0</v>
      </c>
      <c r="E26" s="124">
        <f t="shared" si="0"/>
        <v>43350.0</v>
      </c>
      <c r="F26" s="123" t="s">
        <v>78</v>
      </c>
      <c r="G26" s="123" t="s">
        <v>161</v>
      </c>
      <c r="I26" s="123" t="s">
        <v>29</v>
      </c>
      <c r="J26" s="124">
        <f>E6+E7+E8+E9+E10+E11</f>
        <v>819190.0</v>
      </c>
      <c r="K26" s="125">
        <f t="shared" si="2"/>
        <v>0.10269888749871499</v>
      </c>
      <c r="L26" s="125">
        <v>0.0331</v>
      </c>
    </row>
    <row r="27" spans="8:8">
      <c r="A27" s="122">
        <v>46211.0</v>
      </c>
      <c r="B27" s="123" t="s">
        <v>101</v>
      </c>
      <c r="C27" s="123">
        <v>5.0</v>
      </c>
      <c r="D27" s="123">
        <v>13550.0</v>
      </c>
      <c r="E27" s="124">
        <f t="shared" si="0"/>
        <v>67750.0</v>
      </c>
      <c r="F27" s="123" t="s">
        <v>78</v>
      </c>
      <c r="G27" s="123" t="s">
        <v>161</v>
      </c>
      <c r="I27" s="123" t="s">
        <v>152</v>
      </c>
      <c r="J27" s="124">
        <f>E12</f>
        <v>129300.0</v>
      </c>
      <c r="K27" s="125">
        <f t="shared" si="2"/>
        <v>0.016209873354879636</v>
      </c>
      <c r="L27" s="125">
        <v>0.137</v>
      </c>
    </row>
    <row r="28" spans="8:8">
      <c r="A28" s="122">
        <v>46211.0</v>
      </c>
      <c r="B28" s="123" t="s">
        <v>24</v>
      </c>
      <c r="C28" s="123">
        <v>150.0</v>
      </c>
      <c r="D28" s="123">
        <v>5000.0</v>
      </c>
      <c r="E28" s="124">
        <f t="shared" si="0"/>
        <v>750000.0</v>
      </c>
      <c r="F28" s="123" t="s">
        <v>25</v>
      </c>
      <c r="G28" s="123" t="s">
        <v>162</v>
      </c>
      <c r="I28" s="123" t="s">
        <v>154</v>
      </c>
      <c r="J28" s="124">
        <f>E13+E14+E15+E16+E17</f>
        <v>204290.0</v>
      </c>
      <c r="K28" s="125">
        <f t="shared" si="2"/>
        <v>0.025611098435176803</v>
      </c>
      <c r="L28" s="125">
        <v>0.0706</v>
      </c>
    </row>
    <row r="29" spans="8:8">
      <c r="A29" s="122">
        <v>46211.0</v>
      </c>
      <c r="B29" s="123" t="s">
        <v>31</v>
      </c>
      <c r="C29" s="123">
        <v>5.0</v>
      </c>
      <c r="D29" s="123">
        <v>17845.0</v>
      </c>
      <c r="E29" s="124">
        <f t="shared" si="0"/>
        <v>89225.0</v>
      </c>
      <c r="F29" s="123" t="s">
        <v>25</v>
      </c>
      <c r="G29" s="123" t="s">
        <v>162</v>
      </c>
      <c r="I29" s="123" t="s">
        <v>102</v>
      </c>
      <c r="J29" s="124">
        <f>E18</f>
        <v>9500.0</v>
      </c>
      <c r="K29" s="125">
        <f t="shared" si="2"/>
        <v>0.0011909806409230977</v>
      </c>
      <c r="L29" s="125">
        <v>0.0908</v>
      </c>
    </row>
    <row r="30" spans="8:8">
      <c r="A30" s="122">
        <v>46211.0</v>
      </c>
      <c r="B30" s="123" t="s">
        <v>22</v>
      </c>
      <c r="C30" s="123">
        <v>5.0</v>
      </c>
      <c r="D30" s="123">
        <v>9200.0</v>
      </c>
      <c r="E30" s="124">
        <f t="shared" si="0"/>
        <v>46000.0</v>
      </c>
      <c r="F30" s="123" t="s">
        <v>163</v>
      </c>
      <c r="G30" s="123" t="s">
        <v>164</v>
      </c>
      <c r="I30" s="123" t="s">
        <v>157</v>
      </c>
      <c r="J30" s="124">
        <f>E19+E20+E43</f>
        <v>280200.0</v>
      </c>
      <c r="K30" s="125">
        <f t="shared" si="2"/>
        <v>0.035127660588068634</v>
      </c>
      <c r="L30" s="125">
        <v>-0.0166</v>
      </c>
    </row>
    <row r="31" spans="8:8">
      <c r="A31" s="122">
        <v>46211.0</v>
      </c>
      <c r="B31" s="123" t="s">
        <v>150</v>
      </c>
      <c r="C31" s="123">
        <v>2.0</v>
      </c>
      <c r="D31" s="123">
        <v>10315.0</v>
      </c>
      <c r="E31" s="124">
        <f t="shared" si="0"/>
        <v>20630.0</v>
      </c>
      <c r="F31" s="123" t="s">
        <v>163</v>
      </c>
      <c r="G31" s="123" t="s">
        <v>164</v>
      </c>
      <c r="I31" s="123" t="s">
        <v>15</v>
      </c>
      <c r="J31" s="124">
        <f>E21+E22</f>
        <v>46000.0</v>
      </c>
      <c r="K31" s="125">
        <f t="shared" si="2"/>
        <v>0.005766853629732894</v>
      </c>
      <c r="L31" s="125">
        <v>0.0805</v>
      </c>
    </row>
    <row r="32" spans="8:8">
      <c r="A32" s="122">
        <v>46211.0</v>
      </c>
      <c r="B32" s="123" t="s">
        <v>93</v>
      </c>
      <c r="C32" s="123">
        <v>3.0</v>
      </c>
      <c r="D32" s="123">
        <v>11600.0</v>
      </c>
      <c r="E32" s="124">
        <f t="shared" si="0"/>
        <v>34800.0</v>
      </c>
      <c r="F32" s="123" t="s">
        <v>163</v>
      </c>
      <c r="G32" s="123" t="s">
        <v>164</v>
      </c>
      <c r="I32" s="123" t="s">
        <v>104</v>
      </c>
      <c r="J32" s="124">
        <f>E23</f>
        <v>13125.0</v>
      </c>
      <c r="K32" s="125">
        <f t="shared" si="2"/>
        <v>0.0016454337802227009</v>
      </c>
      <c r="L32" s="125">
        <v>0.0817</v>
      </c>
    </row>
    <row r="33" spans="8:8">
      <c r="A33" s="122">
        <v>46211.0</v>
      </c>
      <c r="B33" s="123" t="s">
        <v>141</v>
      </c>
      <c r="C33" s="123">
        <v>2.0</v>
      </c>
      <c r="D33" s="123">
        <v>14145.0</v>
      </c>
      <c r="E33" s="124">
        <f t="shared" si="0"/>
        <v>28290.0</v>
      </c>
      <c r="F33" s="123" t="s">
        <v>163</v>
      </c>
      <c r="G33" s="123" t="s">
        <v>164</v>
      </c>
      <c r="I33" s="123" t="s">
        <v>78</v>
      </c>
      <c r="J33" s="124">
        <f>E24+E25+E26+E27</f>
        <v>910720.0</v>
      </c>
      <c r="K33" s="125">
        <f t="shared" si="2"/>
        <v>0.1141736725580509</v>
      </c>
      <c r="L33" s="125">
        <v>0.1259</v>
      </c>
    </row>
    <row r="34" spans="8:8">
      <c r="A34" s="122">
        <v>46211.0</v>
      </c>
      <c r="B34" s="123" t="s">
        <v>69</v>
      </c>
      <c r="C34" s="123">
        <v>1.0</v>
      </c>
      <c r="D34" s="123">
        <v>14450.0</v>
      </c>
      <c r="E34" s="124">
        <f t="shared" si="0"/>
        <v>14450.0</v>
      </c>
      <c r="F34" s="123" t="s">
        <v>163</v>
      </c>
      <c r="G34" s="123" t="s">
        <v>164</v>
      </c>
      <c r="I34" s="123" t="s">
        <v>25</v>
      </c>
      <c r="J34" s="124">
        <f>E28+E29</f>
        <v>839225.0</v>
      </c>
      <c r="K34" s="125">
        <f t="shared" si="2"/>
        <v>0.10521060298723019</v>
      </c>
      <c r="L34" s="125">
        <v>-0.0313</v>
      </c>
    </row>
    <row r="35" spans="8:8">
      <c r="A35" s="122">
        <v>46211.0</v>
      </c>
      <c r="B35" s="123" t="s">
        <v>22</v>
      </c>
      <c r="C35" s="123">
        <v>300.0</v>
      </c>
      <c r="D35" s="123">
        <v>8600.0</v>
      </c>
      <c r="E35" s="124">
        <f t="shared" si="0"/>
        <v>2580000.0</v>
      </c>
      <c r="F35" s="123" t="s">
        <v>165</v>
      </c>
      <c r="G35" s="123" t="s">
        <v>166</v>
      </c>
      <c r="I35" s="123" t="s">
        <v>163</v>
      </c>
      <c r="J35" s="124">
        <f>E30+E31+E32+E33+E34</f>
        <v>144170.0</v>
      </c>
      <c r="K35" s="125">
        <f t="shared" si="2"/>
        <v>0.01807407147388242</v>
      </c>
      <c r="L35" s="125">
        <v>0.0646</v>
      </c>
    </row>
    <row r="36" spans="8:8">
      <c r="A36" s="122">
        <v>46211.0</v>
      </c>
      <c r="B36" s="123" t="s">
        <v>37</v>
      </c>
      <c r="C36" s="123">
        <v>50.0</v>
      </c>
      <c r="D36" s="123">
        <v>8880.0</v>
      </c>
      <c r="E36" s="124">
        <f t="shared" si="0"/>
        <v>444000.0</v>
      </c>
      <c r="F36" s="123" t="s">
        <v>165</v>
      </c>
      <c r="G36" s="123" t="s">
        <v>166</v>
      </c>
      <c r="I36" s="123" t="s">
        <v>165</v>
      </c>
      <c r="J36" s="124">
        <f>E35+E36</f>
        <v>3024000.0</v>
      </c>
      <c r="K36" s="125">
        <f t="shared" si="2"/>
        <v>0.3791079429633103</v>
      </c>
      <c r="L36" s="125">
        <v>0.0487</v>
      </c>
    </row>
    <row r="37" spans="8:8">
      <c r="A37" s="122">
        <v>46211.0</v>
      </c>
      <c r="B37" s="123" t="s">
        <v>45</v>
      </c>
      <c r="C37" s="123">
        <v>60.0</v>
      </c>
      <c r="D37" s="123">
        <v>12930.0</v>
      </c>
      <c r="E37" s="124">
        <f t="shared" si="0"/>
        <v>775800.0</v>
      </c>
      <c r="F37" s="123" t="s">
        <v>168</v>
      </c>
      <c r="G37" s="123" t="s">
        <v>169</v>
      </c>
      <c r="I37" s="123" t="s">
        <v>168</v>
      </c>
      <c r="J37" s="124">
        <f>E37</f>
        <v>775800.0</v>
      </c>
      <c r="K37" s="125">
        <f t="shared" si="2"/>
        <v>0.09725924012927781</v>
      </c>
      <c r="L37" s="125">
        <v>0.0142</v>
      </c>
    </row>
    <row r="38" spans="8:8">
      <c r="A38" s="122">
        <v>46211.0</v>
      </c>
      <c r="B38" s="123" t="s">
        <v>65</v>
      </c>
      <c r="C38" s="123">
        <v>10.0</v>
      </c>
      <c r="D38" s="123">
        <v>11910.0</v>
      </c>
      <c r="E38" s="124">
        <f t="shared" si="0"/>
        <v>119100.0</v>
      </c>
      <c r="F38" s="123" t="s">
        <v>59</v>
      </c>
      <c r="G38" s="123" t="s">
        <v>171</v>
      </c>
      <c r="I38" s="123" t="s">
        <v>59</v>
      </c>
      <c r="J38" s="124">
        <f>E38+E39+E40+E41+E42</f>
        <v>479700.0</v>
      </c>
      <c r="K38" s="125">
        <f t="shared" si="2"/>
        <v>0.06013825404745368</v>
      </c>
      <c r="L38" s="125">
        <v>0.0609</v>
      </c>
    </row>
    <row r="39" spans="8:8">
      <c r="A39" s="122">
        <v>46211.0</v>
      </c>
      <c r="B39" s="123" t="s">
        <v>80</v>
      </c>
      <c r="C39" s="123">
        <v>10.0</v>
      </c>
      <c r="D39" s="123">
        <v>9345.0</v>
      </c>
      <c r="E39" s="124">
        <f t="shared" si="0"/>
        <v>93450.0</v>
      </c>
      <c r="F39" s="123" t="s">
        <v>59</v>
      </c>
      <c r="G39" s="123" t="s">
        <v>171</v>
      </c>
      <c r="I39" s="123" t="s">
        <v>703</v>
      </c>
      <c r="J39" s="124">
        <f>SUM(J25:J38)</f>
        <v>7976620.0</v>
      </c>
      <c r="K39" s="125">
        <f t="shared" si="2"/>
        <v>1.0</v>
      </c>
    </row>
    <row r="40" spans="8:8">
      <c r="A40" s="122">
        <v>46211.0</v>
      </c>
      <c r="B40" s="123" t="s">
        <v>141</v>
      </c>
      <c r="C40" s="123">
        <v>5.0</v>
      </c>
      <c r="D40" s="123">
        <v>14145.0</v>
      </c>
      <c r="E40" s="124">
        <f t="shared" si="0"/>
        <v>70725.0</v>
      </c>
      <c r="F40" s="123" t="s">
        <v>59</v>
      </c>
      <c r="G40" s="123" t="s">
        <v>171</v>
      </c>
    </row>
    <row r="41" spans="8:8" ht="25.5" customHeight="1">
      <c r="A41" s="122">
        <v>46211.0</v>
      </c>
      <c r="B41" s="123" t="s">
        <v>36</v>
      </c>
      <c r="C41" s="123">
        <v>6.0</v>
      </c>
      <c r="D41" s="123">
        <v>15525.0</v>
      </c>
      <c r="E41" s="124">
        <f t="shared" si="0"/>
        <v>93150.0</v>
      </c>
      <c r="F41" s="123" t="s">
        <v>59</v>
      </c>
      <c r="G41" s="123" t="s">
        <v>171</v>
      </c>
      <c r="I41" s="106" t="s">
        <v>692</v>
      </c>
      <c r="J41" s="106" t="s">
        <v>690</v>
      </c>
      <c r="K41" s="106" t="s">
        <v>702</v>
      </c>
    </row>
    <row r="42" spans="8:8">
      <c r="A42" s="122">
        <v>46211.0</v>
      </c>
      <c r="B42" s="123" t="s">
        <v>62</v>
      </c>
      <c r="C42" s="123">
        <v>5.0</v>
      </c>
      <c r="D42" s="123">
        <v>20655.0</v>
      </c>
      <c r="E42" s="124">
        <f t="shared" si="0"/>
        <v>103275.0</v>
      </c>
      <c r="F42" s="123" t="s">
        <v>59</v>
      </c>
      <c r="G42" s="123" t="s">
        <v>171</v>
      </c>
      <c r="I42" s="123" t="s">
        <v>146</v>
      </c>
      <c r="J42" s="124">
        <v>339400.0</v>
      </c>
      <c r="K42" s="125">
        <v>0.11</v>
      </c>
    </row>
    <row r="43" spans="8:8">
      <c r="A43" s="122">
        <v>46211.0</v>
      </c>
      <c r="B43" s="123" t="s">
        <v>24</v>
      </c>
      <c r="C43" s="123">
        <v>10.0</v>
      </c>
      <c r="D43" s="123">
        <v>5000.0</v>
      </c>
      <c r="E43" s="124">
        <f t="shared" si="0"/>
        <v>50000.0</v>
      </c>
      <c r="F43" s="123" t="s">
        <v>157</v>
      </c>
      <c r="G43" s="123" t="s">
        <v>172</v>
      </c>
      <c r="I43" s="123" t="s">
        <v>149</v>
      </c>
      <c r="J43" s="124">
        <v>84365.0</v>
      </c>
      <c r="K43" s="125">
        <v>0.06</v>
      </c>
    </row>
    <row r="44" spans="8:8">
      <c r="B44" s="123" t="s">
        <v>701</v>
      </c>
      <c r="C44" s="123">
        <f>SUM(C2:C43)</f>
        <v>844.0</v>
      </c>
      <c r="D44" s="123">
        <f>SUM(D2:D43)</f>
        <v>506320.0</v>
      </c>
      <c r="E44" s="124">
        <f>SUM(E2:E43)</f>
        <v>7976620.0</v>
      </c>
      <c r="I44" s="123" t="s">
        <v>151</v>
      </c>
      <c r="J44" s="124">
        <v>745625.0</v>
      </c>
      <c r="K44" s="125">
        <v>0.03</v>
      </c>
    </row>
    <row r="45" spans="8:8">
      <c r="I45" s="123" t="s">
        <v>153</v>
      </c>
      <c r="J45" s="124">
        <v>149300.0</v>
      </c>
      <c r="K45" s="125">
        <v>0.14</v>
      </c>
    </row>
    <row r="46" spans="8:8">
      <c r="I46" s="123" t="s">
        <v>155</v>
      </c>
      <c r="J46" s="124">
        <v>226290.0</v>
      </c>
      <c r="K46" s="125">
        <v>0.07</v>
      </c>
    </row>
    <row r="47" spans="8:8">
      <c r="I47" s="123" t="s">
        <v>156</v>
      </c>
      <c r="J47" s="124">
        <v>9500.0</v>
      </c>
      <c r="K47" s="125">
        <v>0.09</v>
      </c>
    </row>
    <row r="48" spans="8:8">
      <c r="I48" s="123" t="s">
        <v>158</v>
      </c>
      <c r="J48" s="124">
        <v>230200.0</v>
      </c>
      <c r="K48" s="125">
        <v>-0.01</v>
      </c>
    </row>
    <row r="49" spans="8:8">
      <c r="I49" s="123" t="s">
        <v>159</v>
      </c>
      <c r="J49" s="124">
        <v>55000.0</v>
      </c>
      <c r="K49" s="125">
        <v>0.08</v>
      </c>
    </row>
    <row r="50" spans="8:8">
      <c r="I50" s="123" t="s">
        <v>160</v>
      </c>
      <c r="J50" s="124">
        <v>15125.0</v>
      </c>
      <c r="K50" s="125">
        <v>0.08</v>
      </c>
    </row>
    <row r="51" spans="8:8">
      <c r="I51" s="123" t="s">
        <v>161</v>
      </c>
      <c r="J51" s="124">
        <v>1048720.0</v>
      </c>
      <c r="K51" s="125">
        <v>0.13</v>
      </c>
    </row>
    <row r="52" spans="8:8">
      <c r="I52" s="123" t="s">
        <v>162</v>
      </c>
      <c r="J52" s="124">
        <v>839225.0</v>
      </c>
      <c r="K52" s="125">
        <v>-0.03</v>
      </c>
    </row>
    <row r="53" spans="8:8">
      <c r="I53" s="123" t="s">
        <v>164</v>
      </c>
      <c r="J53" s="124">
        <v>167570.0</v>
      </c>
      <c r="K53" s="125">
        <v>0.06</v>
      </c>
    </row>
    <row r="54" spans="8:8">
      <c r="I54" s="123" t="s">
        <v>166</v>
      </c>
      <c r="J54" s="124">
        <v>3724000.0</v>
      </c>
      <c r="K54" s="125">
        <v>0.05</v>
      </c>
    </row>
    <row r="55" spans="8:8">
      <c r="I55" s="123" t="s">
        <v>169</v>
      </c>
      <c r="J55" s="124">
        <v>775800.0</v>
      </c>
      <c r="K55" s="125">
        <v>0.01</v>
      </c>
    </row>
    <row r="56" spans="8:8">
      <c r="I56" s="123" t="s">
        <v>171</v>
      </c>
      <c r="J56" s="124">
        <v>535500.0</v>
      </c>
      <c r="K56" s="125">
        <v>0.06</v>
      </c>
    </row>
    <row r="57" spans="8:8">
      <c r="I57" s="123" t="s">
        <v>172</v>
      </c>
      <c r="J57" s="124">
        <v>50000.0</v>
      </c>
      <c r="K57" s="125">
        <v>-0.04</v>
      </c>
    </row>
    <row r="58" spans="8:8">
      <c r="I58" s="123" t="s">
        <v>703</v>
      </c>
      <c r="J58" s="124">
        <f>SUM(J42:J57)</f>
        <v>8995620.0</v>
      </c>
    </row>
  </sheetData>
  <pageMargins left="0.75" right="0.75" top="1.0" bottom="1.0" header="0.511811023622047" footer="0.511811023622047"/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dimension ref="A1:Q52"/>
  <sheetViews>
    <sheetView workbookViewId="0" topLeftCell="F22" zoomScale="96">
      <selection activeCell="K40" sqref="K40"/>
    </sheetView>
  </sheetViews>
  <sheetFormatPr defaultRowHeight="14.5"/>
  <cols>
    <col min="1" max="1" customWidth="1" width="11.269531" style="60"/>
    <col min="2" max="2" customWidth="1" width="18.089844" style="60"/>
    <col min="3" max="3" customWidth="1" width="10.90625" style="60"/>
    <col min="4" max="4" customWidth="1" width="11.90625" style="60"/>
    <col min="5" max="5" customWidth="1" width="12.453125" style="60"/>
    <col min="6" max="6" customWidth="1" width="21.542969" style="60"/>
    <col min="7" max="7" customWidth="1" width="11.90625" style="60"/>
    <col min="8" max="8" customWidth="1" width="3.0" style="60"/>
    <col min="9" max="9" customWidth="1" width="21.542969" style="60"/>
    <col min="10" max="10" customWidth="1" width="12.453125" style="60"/>
    <col min="11" max="11" customWidth="1" width="17.726562" style="60"/>
    <col min="12" max="12" customWidth="1" width="9.542969" style="60"/>
    <col min="13" max="13" customWidth="1" width="3.0" style="60"/>
    <col min="14" max="16" customWidth="1" width="13.0" style="60"/>
  </cols>
  <sheetData>
    <row r="1" spans="8:8" ht="25.5" customHeight="1">
      <c r="A1" s="106" t="s">
        <v>686</v>
      </c>
      <c r="B1" s="106" t="s">
        <v>687</v>
      </c>
      <c r="C1" s="106" t="s">
        <v>688</v>
      </c>
      <c r="D1" s="106" t="s">
        <v>689</v>
      </c>
      <c r="E1" s="106" t="s">
        <v>690</v>
      </c>
      <c r="F1" s="106" t="s">
        <v>691</v>
      </c>
      <c r="G1" s="106" t="s">
        <v>692</v>
      </c>
      <c r="I1" s="106" t="s">
        <v>687</v>
      </c>
      <c r="J1" s="106" t="s">
        <v>693</v>
      </c>
      <c r="K1" s="106" t="s">
        <v>694</v>
      </c>
      <c r="L1" s="106" t="s">
        <v>695</v>
      </c>
      <c r="N1" s="106" t="s">
        <v>696</v>
      </c>
      <c r="O1" s="106" t="s">
        <v>697</v>
      </c>
      <c r="P1" s="106" t="s">
        <v>698</v>
      </c>
    </row>
    <row r="2" spans="8:8" ht="14.25" customHeight="1">
      <c r="A2" s="107">
        <v>46212.0</v>
      </c>
      <c r="B2" s="118" t="s">
        <v>45</v>
      </c>
      <c r="C2" s="109">
        <v>60.0</v>
      </c>
      <c r="D2" s="110">
        <v>12930.0</v>
      </c>
      <c r="E2" s="111">
        <f t="shared" si="0" ref="E2:E33">C2*D2</f>
        <v>775800.0</v>
      </c>
      <c r="F2" s="109" t="s">
        <v>152</v>
      </c>
      <c r="G2" s="67" t="s">
        <v>175</v>
      </c>
      <c r="I2" s="118" t="s">
        <v>45</v>
      </c>
      <c r="J2" s="109">
        <f>C2+C36+C42+C46</f>
        <v>69.0</v>
      </c>
      <c r="K2" s="111">
        <f>E2+E36+E42+E46</f>
        <v>895815.0</v>
      </c>
      <c r="L2" s="112">
        <f t="shared" si="1" ref="L2:L24">K2/K$24</f>
        <v>0.2877080573286764</v>
      </c>
      <c r="N2" s="111">
        <f>K24</f>
        <v>3113625.0</v>
      </c>
      <c r="O2" s="109">
        <f>J24</f>
        <v>236.0</v>
      </c>
      <c r="P2" s="109">
        <f>COUNT(J2:J23)</f>
        <v>22.0</v>
      </c>
    </row>
    <row r="3" spans="8:8" ht="14.25" customHeight="1">
      <c r="A3" s="107">
        <v>46212.0</v>
      </c>
      <c r="B3" s="109" t="s">
        <v>34</v>
      </c>
      <c r="C3" s="109">
        <v>10.0</v>
      </c>
      <c r="D3" s="110">
        <v>21695.0</v>
      </c>
      <c r="E3" s="111">
        <f t="shared" si="0"/>
        <v>216950.0</v>
      </c>
      <c r="F3" s="109" t="s">
        <v>29</v>
      </c>
      <c r="G3" s="67" t="s">
        <v>176</v>
      </c>
      <c r="I3" s="109" t="s">
        <v>34</v>
      </c>
      <c r="J3" s="109">
        <f>C3</f>
        <v>10.0</v>
      </c>
      <c r="K3" s="111">
        <f>E3</f>
        <v>216950.0</v>
      </c>
      <c r="L3" s="112">
        <f t="shared" si="1"/>
        <v>0.06967762656068088</v>
      </c>
    </row>
    <row r="4" spans="8:8" ht="14.25" customHeight="1">
      <c r="A4" s="107">
        <v>46212.0</v>
      </c>
      <c r="B4" s="119" t="s">
        <v>69</v>
      </c>
      <c r="C4" s="109">
        <v>2.0</v>
      </c>
      <c r="D4" s="110">
        <v>14450.0</v>
      </c>
      <c r="E4" s="111">
        <f t="shared" si="0"/>
        <v>28900.0</v>
      </c>
      <c r="F4" s="109" t="s">
        <v>50</v>
      </c>
      <c r="G4" s="67" t="s">
        <v>177</v>
      </c>
      <c r="I4" s="119" t="s">
        <v>69</v>
      </c>
      <c r="J4" s="109">
        <f>C4+C41</f>
        <v>3.0</v>
      </c>
      <c r="K4" s="111">
        <f>E4+E41</f>
        <v>43350.0</v>
      </c>
      <c r="L4" s="112">
        <f t="shared" si="1"/>
        <v>0.013922678549921715</v>
      </c>
    </row>
    <row r="5" spans="8:8" ht="14.25" customHeight="1">
      <c r="A5" s="107">
        <v>46212.0</v>
      </c>
      <c r="B5" s="109" t="s">
        <v>150</v>
      </c>
      <c r="C5" s="109">
        <v>2.0</v>
      </c>
      <c r="D5" s="110">
        <v>10315.0</v>
      </c>
      <c r="E5" s="111">
        <f t="shared" si="0"/>
        <v>20630.0</v>
      </c>
      <c r="F5" s="109" t="s">
        <v>50</v>
      </c>
      <c r="G5" s="67" t="s">
        <v>177</v>
      </c>
      <c r="I5" s="109" t="s">
        <v>150</v>
      </c>
      <c r="J5" s="109">
        <f>C5</f>
        <v>2.0</v>
      </c>
      <c r="K5" s="111">
        <f>E5</f>
        <v>20630.0</v>
      </c>
      <c r="L5" s="112">
        <f t="shared" si="1"/>
        <v>0.006625717612108073</v>
      </c>
    </row>
    <row r="6" spans="8:8" ht="14.25" customHeight="1">
      <c r="A6" s="107">
        <v>46212.0</v>
      </c>
      <c r="B6" s="120" t="s">
        <v>70</v>
      </c>
      <c r="C6" s="109">
        <v>3.0</v>
      </c>
      <c r="D6" s="110">
        <v>13350.0</v>
      </c>
      <c r="E6" s="111">
        <f t="shared" si="0"/>
        <v>40050.0</v>
      </c>
      <c r="F6" s="109" t="s">
        <v>50</v>
      </c>
      <c r="G6" s="67" t="s">
        <v>177</v>
      </c>
      <c r="I6" s="120" t="s">
        <v>70</v>
      </c>
      <c r="J6" s="109">
        <f>C6+C38</f>
        <v>4.0</v>
      </c>
      <c r="K6" s="111">
        <f>E6+E38</f>
        <v>53510.0</v>
      </c>
      <c r="L6" s="112">
        <f t="shared" si="1"/>
        <v>0.01718575615239472</v>
      </c>
    </row>
    <row r="7" spans="8:8" ht="14.25" customHeight="1">
      <c r="A7" s="107">
        <v>46212.0</v>
      </c>
      <c r="B7" s="109" t="s">
        <v>62</v>
      </c>
      <c r="C7" s="109">
        <v>3.0</v>
      </c>
      <c r="D7" s="110">
        <v>20655.0</v>
      </c>
      <c r="E7" s="111">
        <f t="shared" si="0"/>
        <v>61965.0</v>
      </c>
      <c r="F7" s="109" t="s">
        <v>50</v>
      </c>
      <c r="G7" s="67" t="s">
        <v>177</v>
      </c>
      <c r="I7" s="109" t="s">
        <v>62</v>
      </c>
      <c r="J7" s="109">
        <f>C7</f>
        <v>3.0</v>
      </c>
      <c r="K7" s="111">
        <f>E7</f>
        <v>61965.0</v>
      </c>
      <c r="L7" s="112">
        <f t="shared" si="1"/>
        <v>0.019901240515476332</v>
      </c>
    </row>
    <row r="8" spans="8:8" ht="14.25" customHeight="1">
      <c r="A8" s="107">
        <v>46212.0</v>
      </c>
      <c r="B8" s="114" t="s">
        <v>65</v>
      </c>
      <c r="C8" s="109">
        <v>10.0</v>
      </c>
      <c r="D8" s="110">
        <v>11910.0</v>
      </c>
      <c r="E8" s="111">
        <f t="shared" si="0"/>
        <v>119100.0</v>
      </c>
      <c r="F8" s="109" t="s">
        <v>50</v>
      </c>
      <c r="G8" s="67" t="s">
        <v>177</v>
      </c>
      <c r="I8" s="114" t="s">
        <v>65</v>
      </c>
      <c r="J8" s="109">
        <f>C8+C15+C23+C29+C35+C43</f>
        <v>24.0</v>
      </c>
      <c r="K8" s="111">
        <f>E8+E15+E23+E29+E35+E43</f>
        <v>285840.0</v>
      </c>
      <c r="L8" s="112">
        <f t="shared" si="1"/>
        <v>0.09180296278453572</v>
      </c>
    </row>
    <row r="9" spans="8:8" ht="14.25" customHeight="1">
      <c r="A9" s="107">
        <v>46212.0</v>
      </c>
      <c r="B9" s="113" t="s">
        <v>36</v>
      </c>
      <c r="C9" s="109">
        <v>4.0</v>
      </c>
      <c r="D9" s="110">
        <v>15525.0</v>
      </c>
      <c r="E9" s="111">
        <f t="shared" si="0"/>
        <v>62100.0</v>
      </c>
      <c r="F9" s="109" t="s">
        <v>50</v>
      </c>
      <c r="G9" s="67" t="s">
        <v>177</v>
      </c>
      <c r="I9" s="113" t="s">
        <v>36</v>
      </c>
      <c r="J9" s="109">
        <f>C9+C17+C25+C30+C34</f>
        <v>11.0</v>
      </c>
      <c r="K9" s="111">
        <f>E9+E17+E25+E30+E34</f>
        <v>170775.0</v>
      </c>
      <c r="L9" s="112">
        <f t="shared" si="1"/>
        <v>0.05484764542936288</v>
      </c>
    </row>
    <row r="10" spans="8:8" ht="14.25" customHeight="1">
      <c r="A10" s="107">
        <v>46212.0</v>
      </c>
      <c r="B10" s="115" t="s">
        <v>44</v>
      </c>
      <c r="C10" s="109">
        <v>2.0</v>
      </c>
      <c r="D10" s="110">
        <v>9200.0</v>
      </c>
      <c r="E10" s="111">
        <f t="shared" si="0"/>
        <v>18400.0</v>
      </c>
      <c r="F10" s="109" t="s">
        <v>50</v>
      </c>
      <c r="G10" s="67" t="s">
        <v>177</v>
      </c>
      <c r="I10" s="115" t="s">
        <v>44</v>
      </c>
      <c r="J10" s="109">
        <f>C10+C26+C32+C45</f>
        <v>15.0</v>
      </c>
      <c r="K10" s="111">
        <f>E10+E26+E32+E45</f>
        <v>138000.0</v>
      </c>
      <c r="L10" s="112">
        <f t="shared" si="1"/>
        <v>0.0443213296398892</v>
      </c>
    </row>
    <row r="11" spans="8:8" ht="14.25" customHeight="1">
      <c r="A11" s="107">
        <v>46212.0</v>
      </c>
      <c r="B11" s="109" t="s">
        <v>27</v>
      </c>
      <c r="C11" s="109">
        <v>30.0</v>
      </c>
      <c r="D11" s="110">
        <v>8020.0</v>
      </c>
      <c r="E11" s="111">
        <f t="shared" si="0"/>
        <v>240600.0</v>
      </c>
      <c r="F11" s="109" t="s">
        <v>50</v>
      </c>
      <c r="G11" s="67" t="s">
        <v>177</v>
      </c>
      <c r="I11" s="109" t="s">
        <v>27</v>
      </c>
      <c r="J11" s="109">
        <f>C11</f>
        <v>30.0</v>
      </c>
      <c r="K11" s="111">
        <f>E11</f>
        <v>240600.0</v>
      </c>
      <c r="L11" s="112">
        <f t="shared" si="1"/>
        <v>0.07727327471998073</v>
      </c>
    </row>
    <row r="12" spans="8:8" ht="14.25" customHeight="1">
      <c r="A12" s="107">
        <v>46212.0</v>
      </c>
      <c r="B12" s="109" t="s">
        <v>178</v>
      </c>
      <c r="C12" s="109">
        <v>20.0</v>
      </c>
      <c r="D12" s="110">
        <v>23770.0</v>
      </c>
      <c r="E12" s="111">
        <f t="shared" si="0"/>
        <v>475400.0</v>
      </c>
      <c r="F12" s="109" t="s">
        <v>50</v>
      </c>
      <c r="G12" s="67" t="s">
        <v>177</v>
      </c>
      <c r="I12" s="109" t="s">
        <v>178</v>
      </c>
      <c r="J12" s="109">
        <f>C12</f>
        <v>20.0</v>
      </c>
      <c r="K12" s="111">
        <f>E12</f>
        <v>475400.0</v>
      </c>
      <c r="L12" s="112">
        <f t="shared" si="1"/>
        <v>0.15268376891886468</v>
      </c>
    </row>
    <row r="13" spans="8:8" ht="14.25" customHeight="1">
      <c r="A13" s="107">
        <v>46212.0</v>
      </c>
      <c r="B13" s="116" t="s">
        <v>80</v>
      </c>
      <c r="C13" s="109">
        <v>2.0</v>
      </c>
      <c r="D13" s="110">
        <v>9345.0</v>
      </c>
      <c r="E13" s="111">
        <f t="shared" si="0"/>
        <v>18690.0</v>
      </c>
      <c r="F13" s="109" t="s">
        <v>50</v>
      </c>
      <c r="G13" s="67" t="s">
        <v>177</v>
      </c>
      <c r="I13" s="116" t="s">
        <v>80</v>
      </c>
      <c r="J13" s="109">
        <f>C13+C16+C24+C28</f>
        <v>9.0</v>
      </c>
      <c r="K13" s="111">
        <f>E13+E16+E24+E28</f>
        <v>84105.0</v>
      </c>
      <c r="L13" s="112">
        <f t="shared" si="1"/>
        <v>0.027011923401180297</v>
      </c>
    </row>
    <row r="14" spans="8:8" ht="14.25" customHeight="1">
      <c r="A14" s="107">
        <v>46212.0</v>
      </c>
      <c r="B14" s="109" t="s">
        <v>35</v>
      </c>
      <c r="C14" s="109">
        <v>5.0</v>
      </c>
      <c r="D14" s="110">
        <v>21170.0</v>
      </c>
      <c r="E14" s="111">
        <f t="shared" si="0"/>
        <v>105850.0</v>
      </c>
      <c r="F14" s="109" t="s">
        <v>50</v>
      </c>
      <c r="G14" s="67" t="s">
        <v>177</v>
      </c>
      <c r="I14" s="109" t="s">
        <v>35</v>
      </c>
      <c r="J14" s="109">
        <f>C14</f>
        <v>5.0</v>
      </c>
      <c r="K14" s="111">
        <f>E14</f>
        <v>105850.0</v>
      </c>
      <c r="L14" s="112">
        <f t="shared" si="1"/>
        <v>0.03399574451001646</v>
      </c>
    </row>
    <row r="15" spans="8:8" ht="14.25" customHeight="1">
      <c r="A15" s="107">
        <v>46212.0</v>
      </c>
      <c r="B15" s="114" t="s">
        <v>65</v>
      </c>
      <c r="C15" s="109">
        <v>3.0</v>
      </c>
      <c r="D15" s="110">
        <v>11910.0</v>
      </c>
      <c r="E15" s="111">
        <f t="shared" si="0"/>
        <v>35730.0</v>
      </c>
      <c r="F15" s="109" t="s">
        <v>157</v>
      </c>
      <c r="G15" s="67" t="s">
        <v>179</v>
      </c>
      <c r="I15" s="126" t="s">
        <v>37</v>
      </c>
      <c r="J15" s="109">
        <f>C18+C37+C44</f>
        <v>6.0</v>
      </c>
      <c r="K15" s="111">
        <f>E18+E37+E44</f>
        <v>53280.0</v>
      </c>
      <c r="L15" s="112">
        <f t="shared" si="1"/>
        <v>0.017111887269661567</v>
      </c>
    </row>
    <row r="16" spans="8:8" ht="14.25" customHeight="1">
      <c r="A16" s="107">
        <v>46212.0</v>
      </c>
      <c r="B16" s="116" t="s">
        <v>80</v>
      </c>
      <c r="C16" s="109">
        <v>3.0</v>
      </c>
      <c r="D16" s="110">
        <v>9345.0</v>
      </c>
      <c r="E16" s="111">
        <f t="shared" si="0"/>
        <v>28035.0</v>
      </c>
      <c r="F16" s="109" t="s">
        <v>157</v>
      </c>
      <c r="G16" s="67" t="s">
        <v>179</v>
      </c>
      <c r="I16" s="127" t="s">
        <v>21</v>
      </c>
      <c r="J16" s="109">
        <f>C19+C50</f>
        <v>5.0</v>
      </c>
      <c r="K16" s="111">
        <f>E19+E50</f>
        <v>43000.0</v>
      </c>
      <c r="L16" s="112">
        <f t="shared" si="1"/>
        <v>0.013810269380545184</v>
      </c>
    </row>
    <row r="17" spans="8:8" ht="14.25" customHeight="1">
      <c r="A17" s="107">
        <v>46212.0</v>
      </c>
      <c r="B17" s="113" t="s">
        <v>36</v>
      </c>
      <c r="C17" s="109">
        <v>2.0</v>
      </c>
      <c r="D17" s="110">
        <v>15525.0</v>
      </c>
      <c r="E17" s="111">
        <f t="shared" si="0"/>
        <v>31050.0</v>
      </c>
      <c r="F17" s="109" t="s">
        <v>157</v>
      </c>
      <c r="G17" s="67" t="s">
        <v>179</v>
      </c>
      <c r="I17" s="128" t="s">
        <v>22</v>
      </c>
      <c r="J17" s="109">
        <f>C20+C27+C31+C47+C49</f>
        <v>11.0</v>
      </c>
      <c r="K17" s="111">
        <f>E20+E27+E31+E47+E49</f>
        <v>98700.0</v>
      </c>
      <c r="L17" s="112">
        <f t="shared" si="1"/>
        <v>0.031699385764181624</v>
      </c>
    </row>
    <row r="18" spans="8:8" ht="14.25" customHeight="1">
      <c r="A18" s="107">
        <v>46212.0</v>
      </c>
      <c r="B18" s="126" t="s">
        <v>37</v>
      </c>
      <c r="C18" s="109">
        <v>3.0</v>
      </c>
      <c r="D18" s="110">
        <v>8880.0</v>
      </c>
      <c r="E18" s="111">
        <f t="shared" si="0"/>
        <v>26640.0</v>
      </c>
      <c r="F18" s="109" t="s">
        <v>157</v>
      </c>
      <c r="G18" s="67" t="s">
        <v>179</v>
      </c>
      <c r="I18" s="109" t="s">
        <v>181</v>
      </c>
      <c r="J18" s="109">
        <f>C21</f>
        <v>1.0</v>
      </c>
      <c r="K18" s="111">
        <f>E21</f>
        <v>17000.0</v>
      </c>
      <c r="L18" s="112">
        <f t="shared" si="1"/>
        <v>0.00545987394114577</v>
      </c>
    </row>
    <row r="19" spans="8:8" ht="14.25" customHeight="1">
      <c r="A19" s="107">
        <v>46212.0</v>
      </c>
      <c r="B19" s="127" t="s">
        <v>21</v>
      </c>
      <c r="C19" s="109">
        <v>4.0</v>
      </c>
      <c r="D19" s="110">
        <v>8500.0</v>
      </c>
      <c r="E19" s="111">
        <f t="shared" si="0"/>
        <v>34000.0</v>
      </c>
      <c r="F19" s="109" t="s">
        <v>81</v>
      </c>
      <c r="G19" s="67" t="s">
        <v>180</v>
      </c>
      <c r="I19" s="109" t="s">
        <v>43</v>
      </c>
      <c r="J19" s="109">
        <f>C22</f>
        <v>1.0</v>
      </c>
      <c r="K19" s="111">
        <f>E22</f>
        <v>18300.0</v>
      </c>
      <c r="L19" s="112">
        <f t="shared" si="1"/>
        <v>0.005877393713115742</v>
      </c>
    </row>
    <row r="20" spans="8:8" ht="14.25" customHeight="1">
      <c r="A20" s="107">
        <v>46212.0</v>
      </c>
      <c r="B20" s="128" t="s">
        <v>22</v>
      </c>
      <c r="C20" s="109">
        <v>2.0</v>
      </c>
      <c r="D20" s="110">
        <v>9200.0</v>
      </c>
      <c r="E20" s="111">
        <f t="shared" si="0"/>
        <v>18400.0</v>
      </c>
      <c r="F20" s="109" t="s">
        <v>81</v>
      </c>
      <c r="G20" s="67" t="s">
        <v>180</v>
      </c>
      <c r="I20" s="109" t="s">
        <v>87</v>
      </c>
      <c r="J20" s="109">
        <f>C33</f>
        <v>2.0</v>
      </c>
      <c r="K20" s="111">
        <f>E33</f>
        <v>42800.0</v>
      </c>
      <c r="L20" s="112">
        <f t="shared" si="1"/>
        <v>0.01374603556947288</v>
      </c>
    </row>
    <row r="21" spans="8:8" ht="14.25" customHeight="1">
      <c r="A21" s="107">
        <v>46212.0</v>
      </c>
      <c r="B21" s="109" t="s">
        <v>181</v>
      </c>
      <c r="C21" s="109">
        <v>1.0</v>
      </c>
      <c r="D21" s="110">
        <v>17000.0</v>
      </c>
      <c r="E21" s="111">
        <f t="shared" si="0"/>
        <v>17000.0</v>
      </c>
      <c r="F21" s="109" t="s">
        <v>81</v>
      </c>
      <c r="G21" s="67" t="s">
        <v>180</v>
      </c>
      <c r="I21" s="109" t="s">
        <v>93</v>
      </c>
      <c r="J21" s="109">
        <f>C39</f>
        <v>1.0</v>
      </c>
      <c r="K21" s="111">
        <f>E39</f>
        <v>11415.0</v>
      </c>
      <c r="L21" s="112">
        <f t="shared" si="1"/>
        <v>0.003666144766951704</v>
      </c>
    </row>
    <row r="22" spans="8:8" ht="14.25" customHeight="1">
      <c r="A22" s="107">
        <v>46212.0</v>
      </c>
      <c r="B22" s="109" t="s">
        <v>43</v>
      </c>
      <c r="C22" s="109">
        <v>1.0</v>
      </c>
      <c r="D22" s="110">
        <v>18300.0</v>
      </c>
      <c r="E22" s="111">
        <f t="shared" si="0"/>
        <v>18300.0</v>
      </c>
      <c r="F22" s="109" t="s">
        <v>81</v>
      </c>
      <c r="G22" s="67" t="s">
        <v>180</v>
      </c>
      <c r="I22" s="109" t="s">
        <v>101</v>
      </c>
      <c r="J22" s="109">
        <f>C40</f>
        <v>2.0</v>
      </c>
      <c r="K22" s="111">
        <f>E40</f>
        <v>26040.0</v>
      </c>
      <c r="L22" s="112">
        <f t="shared" si="1"/>
        <v>0.008363242201613875</v>
      </c>
    </row>
    <row r="23" spans="8:8" ht="14.25" customHeight="1">
      <c r="A23" s="107">
        <v>46212.0</v>
      </c>
      <c r="B23" s="114" t="s">
        <v>65</v>
      </c>
      <c r="C23" s="109">
        <v>4.0</v>
      </c>
      <c r="D23" s="110">
        <v>11910.0</v>
      </c>
      <c r="E23" s="111">
        <f t="shared" si="0"/>
        <v>47640.0</v>
      </c>
      <c r="F23" s="109" t="s">
        <v>154</v>
      </c>
      <c r="G23" s="67" t="s">
        <v>182</v>
      </c>
      <c r="I23" s="129" t="s">
        <v>24</v>
      </c>
      <c r="J23" s="109">
        <f>C48+C51</f>
        <v>2.0</v>
      </c>
      <c r="K23" s="111">
        <f>E48+E51</f>
        <v>10300.0</v>
      </c>
      <c r="L23" s="112">
        <f t="shared" si="1"/>
        <v>0.003308041270223614</v>
      </c>
    </row>
    <row r="24" spans="8:8" ht="14.25" customHeight="1">
      <c r="A24" s="107">
        <v>46212.0</v>
      </c>
      <c r="B24" s="116" t="s">
        <v>80</v>
      </c>
      <c r="C24" s="109">
        <v>2.0</v>
      </c>
      <c r="D24" s="110">
        <v>9345.0</v>
      </c>
      <c r="E24" s="111">
        <f t="shared" si="0"/>
        <v>18690.0</v>
      </c>
      <c r="F24" s="109" t="s">
        <v>154</v>
      </c>
      <c r="G24" s="67" t="s">
        <v>182</v>
      </c>
      <c r="I24" s="109" t="s">
        <v>701</v>
      </c>
      <c r="J24" s="109">
        <f>SUM(J2:J23)</f>
        <v>236.0</v>
      </c>
      <c r="K24" s="111">
        <f>SUM(K2:K23)</f>
        <v>3113625.0</v>
      </c>
      <c r="L24" s="112">
        <f t="shared" si="1"/>
        <v>1.0</v>
      </c>
    </row>
    <row r="25" spans="8:8" ht="14.25" customHeight="1">
      <c r="A25" s="107">
        <v>46212.0</v>
      </c>
      <c r="B25" s="113" t="s">
        <v>36</v>
      </c>
      <c r="C25" s="109">
        <v>1.0</v>
      </c>
      <c r="D25" s="110">
        <v>15525.0</v>
      </c>
      <c r="E25" s="111">
        <f t="shared" si="0"/>
        <v>15525.0</v>
      </c>
      <c r="F25" s="109" t="s">
        <v>154</v>
      </c>
      <c r="G25" s="67" t="s">
        <v>182</v>
      </c>
    </row>
    <row r="26" spans="8:8" ht="25.5" customHeight="1">
      <c r="A26" s="107">
        <v>46212.0</v>
      </c>
      <c r="B26" s="115" t="s">
        <v>44</v>
      </c>
      <c r="C26" s="109">
        <v>1.0</v>
      </c>
      <c r="D26" s="110">
        <v>9200.0</v>
      </c>
      <c r="E26" s="111">
        <f t="shared" si="0"/>
        <v>9200.0</v>
      </c>
      <c r="F26" s="109" t="s">
        <v>15</v>
      </c>
      <c r="G26" s="67" t="s">
        <v>183</v>
      </c>
      <c r="I26" s="106" t="s">
        <v>691</v>
      </c>
      <c r="J26" s="106" t="s">
        <v>690</v>
      </c>
      <c r="K26" s="106" t="s">
        <v>695</v>
      </c>
      <c r="L26" s="106" t="s">
        <v>702</v>
      </c>
    </row>
    <row r="27" spans="8:8" ht="14.25" customHeight="1">
      <c r="A27" s="107">
        <v>46212.0</v>
      </c>
      <c r="B27" s="128" t="s">
        <v>22</v>
      </c>
      <c r="C27" s="109">
        <v>1.0</v>
      </c>
      <c r="D27" s="110">
        <v>9200.0</v>
      </c>
      <c r="E27" s="111">
        <f t="shared" si="0"/>
        <v>9200.0</v>
      </c>
      <c r="F27" s="109" t="s">
        <v>15</v>
      </c>
      <c r="G27" s="67" t="s">
        <v>183</v>
      </c>
      <c r="I27" s="109" t="s">
        <v>152</v>
      </c>
      <c r="J27" s="111">
        <f>E2</f>
        <v>775800.0</v>
      </c>
      <c r="K27" s="112">
        <f t="shared" si="2" ref="K27:K36">J27/J$36</f>
        <v>0.24916295314946404</v>
      </c>
      <c r="L27" s="112">
        <v>0.137</v>
      </c>
    </row>
    <row r="28" spans="8:8" ht="14.25" customHeight="1">
      <c r="A28" s="107">
        <v>46212.0</v>
      </c>
      <c r="B28" s="116" t="s">
        <v>80</v>
      </c>
      <c r="C28" s="109">
        <v>2.0</v>
      </c>
      <c r="D28" s="110">
        <v>9345.0</v>
      </c>
      <c r="E28" s="111">
        <f t="shared" si="0"/>
        <v>18690.0</v>
      </c>
      <c r="F28" s="109" t="s">
        <v>95</v>
      </c>
      <c r="G28" s="67" t="s">
        <v>184</v>
      </c>
      <c r="I28" s="109" t="s">
        <v>29</v>
      </c>
      <c r="J28" s="111">
        <f>E3+E31+E32+E33+E34+E35+E36+E37+E38+E39+E40+E41+E42+E43+E44+E45+E46+E47+E48</f>
        <v>727460.0</v>
      </c>
      <c r="K28" s="112">
        <f t="shared" si="2"/>
        <v>0.23363764101328838</v>
      </c>
      <c r="L28" s="112">
        <v>0.0597</v>
      </c>
    </row>
    <row r="29" spans="8:8" ht="14.25" customHeight="1">
      <c r="A29" s="107">
        <v>46212.0</v>
      </c>
      <c r="B29" s="114" t="s">
        <v>65</v>
      </c>
      <c r="C29" s="109">
        <v>3.0</v>
      </c>
      <c r="D29" s="110">
        <v>11910.0</v>
      </c>
      <c r="E29" s="111">
        <f t="shared" si="0"/>
        <v>35730.0</v>
      </c>
      <c r="F29" s="109" t="s">
        <v>95</v>
      </c>
      <c r="G29" s="67" t="s">
        <v>184</v>
      </c>
      <c r="I29" s="109" t="s">
        <v>50</v>
      </c>
      <c r="J29" s="111">
        <f>E4+E5+E6+E7+E8+E9+E10+E11+E12+E13+E14</f>
        <v>1191685.0</v>
      </c>
      <c r="K29" s="112">
        <f t="shared" si="2"/>
        <v>0.3827323457384881</v>
      </c>
      <c r="L29" s="112">
        <v>0.0417</v>
      </c>
    </row>
    <row r="30" spans="8:8" ht="14.25" customHeight="1">
      <c r="A30" s="107">
        <v>46212.0</v>
      </c>
      <c r="B30" s="113" t="s">
        <v>36</v>
      </c>
      <c r="C30" s="109">
        <v>2.0</v>
      </c>
      <c r="D30" s="110">
        <v>15525.0</v>
      </c>
      <c r="E30" s="111">
        <f t="shared" si="0"/>
        <v>31050.0</v>
      </c>
      <c r="F30" s="109" t="s">
        <v>95</v>
      </c>
      <c r="G30" s="67" t="s">
        <v>184</v>
      </c>
      <c r="I30" s="109" t="s">
        <v>157</v>
      </c>
      <c r="J30" s="111">
        <f>E15+E16+E17+E18</f>
        <v>121455.0</v>
      </c>
      <c r="K30" s="112">
        <f t="shared" si="2"/>
        <v>0.039007587618932915</v>
      </c>
      <c r="L30" s="112">
        <v>0.0604</v>
      </c>
    </row>
    <row r="31" spans="8:8" ht="14.25" customHeight="1">
      <c r="A31" s="107">
        <v>46212.0</v>
      </c>
      <c r="B31" s="128" t="s">
        <v>22</v>
      </c>
      <c r="C31" s="109">
        <v>5.0</v>
      </c>
      <c r="D31" s="110">
        <v>8800.0</v>
      </c>
      <c r="E31" s="111">
        <f t="shared" si="0"/>
        <v>44000.0</v>
      </c>
      <c r="F31" s="109" t="s">
        <v>29</v>
      </c>
      <c r="G31" s="67" t="s">
        <v>185</v>
      </c>
      <c r="I31" s="109" t="s">
        <v>81</v>
      </c>
      <c r="J31" s="111">
        <f>E19+E20+E21+E22</f>
        <v>87700.0</v>
      </c>
      <c r="K31" s="112">
        <f t="shared" si="2"/>
        <v>0.028166526155204947</v>
      </c>
      <c r="L31" s="112">
        <v>0.0506</v>
      </c>
    </row>
    <row r="32" spans="8:8" ht="14.25" customHeight="1">
      <c r="A32" s="107">
        <v>46212.0</v>
      </c>
      <c r="B32" s="115" t="s">
        <v>44</v>
      </c>
      <c r="C32" s="109">
        <v>10.0</v>
      </c>
      <c r="D32" s="110">
        <v>9200.0</v>
      </c>
      <c r="E32" s="111">
        <f t="shared" si="0"/>
        <v>92000.0</v>
      </c>
      <c r="F32" s="109" t="s">
        <v>29</v>
      </c>
      <c r="G32" s="67" t="s">
        <v>185</v>
      </c>
      <c r="I32" s="109" t="s">
        <v>154</v>
      </c>
      <c r="J32" s="111">
        <f>E23+E24+E25</f>
        <v>81855.0</v>
      </c>
      <c r="K32" s="112">
        <f t="shared" si="2"/>
        <v>0.026289293026616884</v>
      </c>
      <c r="L32" s="112">
        <v>0.062</v>
      </c>
    </row>
    <row r="33" spans="8:8" ht="14.25" customHeight="1">
      <c r="A33" s="107">
        <v>46212.0</v>
      </c>
      <c r="B33" s="109" t="s">
        <v>87</v>
      </c>
      <c r="C33" s="109">
        <v>2.0</v>
      </c>
      <c r="D33" s="110">
        <v>21400.0</v>
      </c>
      <c r="E33" s="111">
        <f t="shared" si="0"/>
        <v>42800.0</v>
      </c>
      <c r="F33" s="109" t="s">
        <v>29</v>
      </c>
      <c r="G33" s="67" t="s">
        <v>185</v>
      </c>
      <c r="I33" s="109" t="s">
        <v>15</v>
      </c>
      <c r="J33" s="111">
        <f>E26+E27</f>
        <v>18400.0</v>
      </c>
      <c r="K33" s="112">
        <f t="shared" si="2"/>
        <v>0.0059095106186518925</v>
      </c>
      <c r="L33" s="112">
        <v>0.042</v>
      </c>
    </row>
    <row r="34" spans="8:8" ht="14.25" customHeight="1">
      <c r="A34" s="107">
        <v>46212.0</v>
      </c>
      <c r="B34" s="113" t="s">
        <v>36</v>
      </c>
      <c r="C34" s="109">
        <v>2.0</v>
      </c>
      <c r="D34" s="110">
        <v>15525.0</v>
      </c>
      <c r="E34" s="111">
        <f t="shared" si="3" ref="E34:E65">C34*D34</f>
        <v>31050.0</v>
      </c>
      <c r="F34" s="109" t="s">
        <v>29</v>
      </c>
      <c r="G34" s="67" t="s">
        <v>185</v>
      </c>
      <c r="I34" s="109" t="s">
        <v>95</v>
      </c>
      <c r="J34" s="111">
        <f>E28+E29+E30</f>
        <v>85470.0</v>
      </c>
      <c r="K34" s="112">
        <f t="shared" si="2"/>
        <v>0.027450319161748764</v>
      </c>
      <c r="L34" s="112">
        <v>0.0394</v>
      </c>
    </row>
    <row r="35" spans="8:8" ht="14.25" customHeight="1">
      <c r="A35" s="107">
        <v>46212.0</v>
      </c>
      <c r="B35" s="114" t="s">
        <v>65</v>
      </c>
      <c r="C35" s="109">
        <v>2.0</v>
      </c>
      <c r="D35" s="110">
        <v>11910.0</v>
      </c>
      <c r="E35" s="111">
        <f t="shared" si="3"/>
        <v>23820.0</v>
      </c>
      <c r="F35" s="109" t="s">
        <v>29</v>
      </c>
      <c r="G35" s="67" t="s">
        <v>185</v>
      </c>
      <c r="I35" s="109" t="s">
        <v>122</v>
      </c>
      <c r="J35" s="111">
        <f>E49+E50+E51</f>
        <v>23800.0</v>
      </c>
      <c r="K35" s="112">
        <f t="shared" si="2"/>
        <v>0.007643823517604079</v>
      </c>
      <c r="L35" s="112">
        <v>0.0774</v>
      </c>
    </row>
    <row r="36" spans="8:8" ht="14.25" customHeight="1">
      <c r="A36" s="107">
        <v>46212.0</v>
      </c>
      <c r="B36" s="118" t="s">
        <v>45</v>
      </c>
      <c r="C36" s="109">
        <v>3.0</v>
      </c>
      <c r="D36" s="110">
        <v>13335.0</v>
      </c>
      <c r="E36" s="111">
        <f t="shared" si="3"/>
        <v>40005.0</v>
      </c>
      <c r="F36" s="109" t="s">
        <v>29</v>
      </c>
      <c r="G36" s="67" t="s">
        <v>185</v>
      </c>
      <c r="I36" s="109" t="s">
        <v>703</v>
      </c>
      <c r="J36" s="111">
        <f>SUM(J27:J35)</f>
        <v>3113625.0</v>
      </c>
      <c r="K36" s="112">
        <f t="shared" si="2"/>
        <v>1.0</v>
      </c>
      <c r="L36" s="68"/>
    </row>
    <row r="37" spans="8:8" ht="14.25" customHeight="1">
      <c r="A37" s="107">
        <v>46212.0</v>
      </c>
      <c r="B37" s="126" t="s">
        <v>37</v>
      </c>
      <c r="C37" s="109">
        <v>2.0</v>
      </c>
      <c r="D37" s="110">
        <v>8880.0</v>
      </c>
      <c r="E37" s="111">
        <f t="shared" si="3"/>
        <v>17760.0</v>
      </c>
      <c r="F37" s="109" t="s">
        <v>29</v>
      </c>
      <c r="G37" s="67" t="s">
        <v>185</v>
      </c>
    </row>
    <row r="38" spans="8:8" ht="25.5" customHeight="1">
      <c r="A38" s="107">
        <v>46212.0</v>
      </c>
      <c r="B38" s="120" t="s">
        <v>70</v>
      </c>
      <c r="C38" s="109">
        <v>1.0</v>
      </c>
      <c r="D38" s="110">
        <v>13460.0</v>
      </c>
      <c r="E38" s="111">
        <f t="shared" si="3"/>
        <v>13460.0</v>
      </c>
      <c r="F38" s="109" t="s">
        <v>29</v>
      </c>
      <c r="G38" s="67" t="s">
        <v>185</v>
      </c>
      <c r="I38" s="106" t="s">
        <v>692</v>
      </c>
      <c r="J38" s="106" t="s">
        <v>690</v>
      </c>
      <c r="K38" s="106" t="s">
        <v>702</v>
      </c>
    </row>
    <row r="39" spans="8:8" ht="14.25" customHeight="1">
      <c r="A39" s="107">
        <v>46212.0</v>
      </c>
      <c r="B39" s="109" t="s">
        <v>93</v>
      </c>
      <c r="C39" s="109">
        <v>1.0</v>
      </c>
      <c r="D39" s="110">
        <v>11415.0</v>
      </c>
      <c r="E39" s="111">
        <f t="shared" si="3"/>
        <v>11415.0</v>
      </c>
      <c r="F39" s="109" t="s">
        <v>29</v>
      </c>
      <c r="G39" s="67" t="s">
        <v>185</v>
      </c>
      <c r="I39" s="117" t="s">
        <v>175</v>
      </c>
      <c r="J39" s="111">
        <v>895800.0</v>
      </c>
      <c r="K39" s="112">
        <v>0.14</v>
      </c>
    </row>
    <row r="40" spans="8:8" ht="14.25" customHeight="1">
      <c r="A40" s="107">
        <v>46212.0</v>
      </c>
      <c r="B40" s="109" t="s">
        <v>101</v>
      </c>
      <c r="C40" s="109">
        <v>2.0</v>
      </c>
      <c r="D40" s="110">
        <v>13020.0</v>
      </c>
      <c r="E40" s="111">
        <f t="shared" si="3"/>
        <v>26040.0</v>
      </c>
      <c r="F40" s="109" t="s">
        <v>29</v>
      </c>
      <c r="G40" s="67" t="s">
        <v>185</v>
      </c>
      <c r="I40" s="117" t="s">
        <v>176</v>
      </c>
      <c r="J40" s="111">
        <v>216950.0</v>
      </c>
      <c r="K40" s="112">
        <v>0.0</v>
      </c>
    </row>
    <row r="41" spans="8:8" ht="14.25" customHeight="1">
      <c r="A41" s="107">
        <v>46212.0</v>
      </c>
      <c r="B41" s="119" t="s">
        <v>69</v>
      </c>
      <c r="C41" s="109">
        <v>1.0</v>
      </c>
      <c r="D41" s="110">
        <v>14450.0</v>
      </c>
      <c r="E41" s="111">
        <f t="shared" si="3"/>
        <v>14450.0</v>
      </c>
      <c r="F41" s="109" t="s">
        <v>29</v>
      </c>
      <c r="G41" s="67" t="s">
        <v>185</v>
      </c>
      <c r="I41" s="117" t="s">
        <v>177</v>
      </c>
      <c r="J41" s="111">
        <v>1224685.0</v>
      </c>
      <c r="K41" s="112">
        <v>0.04</v>
      </c>
    </row>
    <row r="42" spans="8:8" ht="14.25" customHeight="1">
      <c r="A42" s="107">
        <v>46212.0</v>
      </c>
      <c r="B42" s="118" t="s">
        <v>45</v>
      </c>
      <c r="C42" s="109">
        <v>5.0</v>
      </c>
      <c r="D42" s="110">
        <v>13335.0</v>
      </c>
      <c r="E42" s="111">
        <f t="shared" si="3"/>
        <v>66675.0</v>
      </c>
      <c r="F42" s="109" t="s">
        <v>29</v>
      </c>
      <c r="G42" s="67" t="s">
        <v>186</v>
      </c>
      <c r="I42" s="117" t="s">
        <v>179</v>
      </c>
      <c r="J42" s="111">
        <v>141255.0</v>
      </c>
      <c r="K42" s="112">
        <v>0.06</v>
      </c>
    </row>
    <row r="43" spans="8:8" ht="14.25" customHeight="1">
      <c r="A43" s="107">
        <v>46212.0</v>
      </c>
      <c r="B43" s="114" t="s">
        <v>65</v>
      </c>
      <c r="C43" s="109">
        <v>2.0</v>
      </c>
      <c r="D43" s="110">
        <v>11910.0</v>
      </c>
      <c r="E43" s="111">
        <f t="shared" si="3"/>
        <v>23820.0</v>
      </c>
      <c r="F43" s="109" t="s">
        <v>29</v>
      </c>
      <c r="G43" s="67" t="s">
        <v>187</v>
      </c>
      <c r="I43" s="117" t="s">
        <v>180</v>
      </c>
      <c r="J43" s="111">
        <v>87700.0</v>
      </c>
      <c r="K43" s="112">
        <v>0.05</v>
      </c>
    </row>
    <row r="44" spans="8:8" ht="14.25" customHeight="1">
      <c r="A44" s="107">
        <v>46212.0</v>
      </c>
      <c r="B44" s="126" t="s">
        <v>37</v>
      </c>
      <c r="C44" s="109">
        <v>1.0</v>
      </c>
      <c r="D44" s="110">
        <v>8880.0</v>
      </c>
      <c r="E44" s="111">
        <f t="shared" si="3"/>
        <v>8880.0</v>
      </c>
      <c r="F44" s="109" t="s">
        <v>29</v>
      </c>
      <c r="G44" s="67" t="s">
        <v>187</v>
      </c>
      <c r="I44" s="117" t="s">
        <v>182</v>
      </c>
      <c r="J44" s="111">
        <v>94455.0</v>
      </c>
      <c r="K44" s="112">
        <v>0.06</v>
      </c>
    </row>
    <row r="45" spans="8:8" ht="14.25" customHeight="1">
      <c r="A45" s="107">
        <v>46212.0</v>
      </c>
      <c r="B45" s="115" t="s">
        <v>44</v>
      </c>
      <c r="C45" s="109">
        <v>2.0</v>
      </c>
      <c r="D45" s="110">
        <v>9200.0</v>
      </c>
      <c r="E45" s="111">
        <f t="shared" si="3"/>
        <v>18400.0</v>
      </c>
      <c r="F45" s="109" t="s">
        <v>29</v>
      </c>
      <c r="G45" s="67" t="s">
        <v>187</v>
      </c>
      <c r="I45" s="117" t="s">
        <v>183</v>
      </c>
      <c r="J45" s="111">
        <v>18400.0</v>
      </c>
      <c r="K45" s="112">
        <v>0.04</v>
      </c>
    </row>
    <row r="46" spans="8:8" ht="14.25" customHeight="1">
      <c r="A46" s="107">
        <v>46212.0</v>
      </c>
      <c r="B46" s="118" t="s">
        <v>45</v>
      </c>
      <c r="C46" s="109">
        <v>1.0</v>
      </c>
      <c r="D46" s="110">
        <v>13335.0</v>
      </c>
      <c r="E46" s="111">
        <f t="shared" si="3"/>
        <v>13335.0</v>
      </c>
      <c r="F46" s="109" t="s">
        <v>29</v>
      </c>
      <c r="G46" s="67" t="s">
        <v>187</v>
      </c>
      <c r="I46" s="117" t="s">
        <v>184</v>
      </c>
      <c r="J46" s="111">
        <v>95970.0</v>
      </c>
      <c r="K46" s="112">
        <v>0.04</v>
      </c>
    </row>
    <row r="47" spans="8:8" ht="14.25" customHeight="1">
      <c r="A47" s="107">
        <v>46212.0</v>
      </c>
      <c r="B47" s="128" t="s">
        <v>22</v>
      </c>
      <c r="C47" s="109">
        <v>2.0</v>
      </c>
      <c r="D47" s="110">
        <v>8800.0</v>
      </c>
      <c r="E47" s="111">
        <f t="shared" si="3"/>
        <v>17600.0</v>
      </c>
      <c r="F47" s="109" t="s">
        <v>29</v>
      </c>
      <c r="G47" s="67" t="s">
        <v>187</v>
      </c>
      <c r="I47" s="117" t="s">
        <v>185</v>
      </c>
      <c r="J47" s="111">
        <v>411800.0</v>
      </c>
      <c r="K47" s="112">
        <v>0.07</v>
      </c>
    </row>
    <row r="48" spans="8:8" ht="14.25" customHeight="1">
      <c r="A48" s="107">
        <v>46212.0</v>
      </c>
      <c r="B48" s="129" t="s">
        <v>24</v>
      </c>
      <c r="C48" s="109">
        <v>1.0</v>
      </c>
      <c r="D48" s="110">
        <v>5000.0</v>
      </c>
      <c r="E48" s="111">
        <f t="shared" si="3"/>
        <v>5000.0</v>
      </c>
      <c r="F48" s="109" t="s">
        <v>29</v>
      </c>
      <c r="G48" s="67" t="s">
        <v>187</v>
      </c>
      <c r="I48" s="117" t="s">
        <v>186</v>
      </c>
      <c r="J48" s="111">
        <v>76675.0</v>
      </c>
      <c r="K48" s="112">
        <v>0.16</v>
      </c>
    </row>
    <row r="49" spans="8:8" ht="14.25" customHeight="1">
      <c r="A49" s="107">
        <v>46212.0</v>
      </c>
      <c r="B49" s="128" t="s">
        <v>22</v>
      </c>
      <c r="C49" s="109">
        <v>1.0</v>
      </c>
      <c r="D49" s="110">
        <v>9500.0</v>
      </c>
      <c r="E49" s="111">
        <f t="shared" si="3"/>
        <v>9500.0</v>
      </c>
      <c r="F49" s="109" t="s">
        <v>122</v>
      </c>
      <c r="G49" s="67" t="s">
        <v>188</v>
      </c>
      <c r="I49" s="117" t="s">
        <v>187</v>
      </c>
      <c r="J49" s="111">
        <v>101635.0</v>
      </c>
      <c r="K49" s="112">
        <v>0.07</v>
      </c>
    </row>
    <row r="50" spans="8:8" ht="14.25" customHeight="1">
      <c r="A50" s="107">
        <v>46212.0</v>
      </c>
      <c r="B50" s="127" t="s">
        <v>21</v>
      </c>
      <c r="C50" s="109">
        <v>1.0</v>
      </c>
      <c r="D50" s="110">
        <v>9000.0</v>
      </c>
      <c r="E50" s="111">
        <f t="shared" si="3"/>
        <v>9000.0</v>
      </c>
      <c r="F50" s="109" t="s">
        <v>122</v>
      </c>
      <c r="G50" s="67" t="s">
        <v>188</v>
      </c>
      <c r="I50" s="117" t="s">
        <v>188</v>
      </c>
      <c r="J50" s="111">
        <v>23800.0</v>
      </c>
      <c r="K50" s="112">
        <v>0.08</v>
      </c>
    </row>
    <row r="51" spans="8:8" ht="14.25" customHeight="1">
      <c r="A51" s="107">
        <v>46212.0</v>
      </c>
      <c r="B51" s="129" t="s">
        <v>24</v>
      </c>
      <c r="C51" s="109">
        <v>1.0</v>
      </c>
      <c r="D51" s="110">
        <v>5300.0</v>
      </c>
      <c r="E51" s="111">
        <f t="shared" si="3"/>
        <v>5300.0</v>
      </c>
      <c r="F51" s="109" t="s">
        <v>122</v>
      </c>
      <c r="G51" s="67" t="s">
        <v>188</v>
      </c>
      <c r="I51" s="109" t="s">
        <v>703</v>
      </c>
      <c r="J51" s="111">
        <f>SUM(J39:J50)</f>
        <v>3389125.0</v>
      </c>
      <c r="K51" s="68"/>
    </row>
    <row r="52" spans="8:8" ht="14.25" customHeight="1">
      <c r="A52" s="68"/>
      <c r="B52" s="109" t="s">
        <v>701</v>
      </c>
      <c r="C52" s="109">
        <f>SUM(C2:C51)</f>
        <v>236.0</v>
      </c>
      <c r="D52" s="109">
        <f>SUM(D2:D51)</f>
        <v>618610.0</v>
      </c>
      <c r="E52" s="111">
        <f>SUM(E2:E51)</f>
        <v>3113625.0</v>
      </c>
      <c r="F52" s="68"/>
      <c r="G52" s="68"/>
    </row>
  </sheetData>
  <hyperlinks>
    <hyperlink ref="G2" r:id="rId2"/>
    <hyperlink ref="G3" r:id="rId3"/>
    <hyperlink ref="G4" r:id="rId4"/>
    <hyperlink ref="G5" r:id="rId5"/>
    <hyperlink ref="G6" r:id="rId6"/>
    <hyperlink ref="G7" r:id="rId7"/>
    <hyperlink ref="G8" r:id="rId8"/>
    <hyperlink ref="G9" r:id="rId9"/>
    <hyperlink ref="G10" r:id="rId10"/>
    <hyperlink ref="G11" r:id="rId11"/>
    <hyperlink ref="G12" r:id="rId12"/>
    <hyperlink ref="G13" r:id="rId13"/>
    <hyperlink ref="G14" r:id="rId14"/>
    <hyperlink ref="G15" r:id="rId15"/>
    <hyperlink ref="G16" r:id="rId16"/>
    <hyperlink ref="G17" r:id="rId17"/>
    <hyperlink ref="G18" r:id="rId18"/>
    <hyperlink ref="G19" r:id="rId19"/>
    <hyperlink ref="G20" r:id="rId20"/>
    <hyperlink ref="G21" r:id="rId21"/>
    <hyperlink ref="G22" r:id="rId22"/>
    <hyperlink ref="G23" r:id="rId23"/>
    <hyperlink ref="G24" r:id="rId24"/>
    <hyperlink ref="G25" r:id="rId25"/>
    <hyperlink ref="G26" r:id="rId26"/>
    <hyperlink ref="G27" r:id="rId27"/>
    <hyperlink ref="G28" r:id="rId28"/>
    <hyperlink ref="G29" r:id="rId29"/>
    <hyperlink ref="G30" r:id="rId30"/>
    <hyperlink ref="G31" r:id="rId31"/>
    <hyperlink ref="G32" r:id="rId32"/>
    <hyperlink ref="G33" r:id="rId33"/>
    <hyperlink ref="G34" r:id="rId34"/>
    <hyperlink ref="G35" r:id="rId35"/>
    <hyperlink ref="G36" r:id="rId36"/>
    <hyperlink ref="G37" r:id="rId37"/>
    <hyperlink ref="G38" r:id="rId38"/>
    <hyperlink ref="G39" r:id="rId39"/>
    <hyperlink ref="I39" r:id="rId40"/>
    <hyperlink ref="G40" r:id="rId41"/>
    <hyperlink ref="I40" r:id="rId42"/>
    <hyperlink ref="G41" r:id="rId43"/>
    <hyperlink ref="I41" r:id="rId44"/>
    <hyperlink ref="G42" r:id="rId45"/>
    <hyperlink ref="I42" r:id="rId46"/>
    <hyperlink ref="G43" r:id="rId47"/>
    <hyperlink ref="I43" r:id="rId48"/>
    <hyperlink ref="G44" r:id="rId49"/>
    <hyperlink ref="I44" r:id="rId50"/>
    <hyperlink ref="G45" r:id="rId51"/>
    <hyperlink ref="I45" r:id="rId52"/>
    <hyperlink ref="G46" r:id="rId53"/>
    <hyperlink ref="I46" r:id="rId54"/>
    <hyperlink ref="G47" r:id="rId55"/>
    <hyperlink ref="I47" r:id="rId56"/>
    <hyperlink ref="G48" r:id="rId57"/>
    <hyperlink ref="I48" r:id="rId58"/>
    <hyperlink ref="G49" r:id="rId59"/>
    <hyperlink ref="I49" r:id="rId60"/>
    <hyperlink ref="G50" r:id="rId61"/>
    <hyperlink ref="I50" r:id="rId62"/>
    <hyperlink ref="G51" r:id="rId63"/>
  </hyperlinks>
  <pageMargins left="0.75" right="0.75" top="1.0" bottom="1.0" header="0.511811023622047" footer="0.511811023622047"/>
  <drawing r:id="rId1"/>
</worksheet>
</file>

<file path=xl/worksheets/sheet13.xml><?xml version="1.0" encoding="utf-8"?>
<worksheet xmlns:r="http://schemas.openxmlformats.org/officeDocument/2006/relationships" xmlns="http://schemas.openxmlformats.org/spreadsheetml/2006/main">
  <dimension ref="A1:Q31"/>
  <sheetViews>
    <sheetView workbookViewId="0" topLeftCell="A2" zoomScale="63">
      <selection activeCell="P23" sqref="P23"/>
    </sheetView>
  </sheetViews>
  <sheetFormatPr defaultRowHeight="14.5"/>
  <cols>
    <col min="1" max="1" customWidth="1" width="9.453125" style="60"/>
    <col min="2" max="2" customWidth="1" width="17.90625" style="60"/>
    <col min="3" max="3" customWidth="1" width="10.90625" style="60"/>
    <col min="4" max="4" customWidth="1" width="14.7265625" style="60"/>
    <col min="5" max="5" customWidth="1" width="12.453125" style="60"/>
    <col min="6" max="6" customWidth="1" width="15.6328125" style="60"/>
    <col min="7" max="7" customWidth="1" width="11.90625" style="60"/>
    <col min="8" max="8" customWidth="1" width="3.0" style="60"/>
    <col min="9" max="9" customWidth="1" width="17.90625" style="60"/>
    <col min="10" max="10" customWidth="1" width="12.453125" style="60"/>
    <col min="11" max="12" customWidth="1" width="17.726562" style="60"/>
    <col min="13" max="13" customWidth="1" width="3.0" style="60"/>
    <col min="14" max="14" customWidth="1" width="12.1796875" style="60"/>
    <col min="15" max="15" customWidth="1" width="15.453125" style="60"/>
    <col min="16" max="16" customWidth="1" width="15.542969" style="60"/>
  </cols>
  <sheetData>
    <row r="1" spans="8:8" ht="25.5" customHeight="1">
      <c r="A1" s="106" t="s">
        <v>686</v>
      </c>
      <c r="B1" s="106" t="s">
        <v>687</v>
      </c>
      <c r="C1" s="106" t="s">
        <v>688</v>
      </c>
      <c r="D1" s="106" t="s">
        <v>689</v>
      </c>
      <c r="E1" s="106" t="s">
        <v>690</v>
      </c>
      <c r="F1" s="106" t="s">
        <v>691</v>
      </c>
      <c r="G1" s="106" t="s">
        <v>692</v>
      </c>
      <c r="I1" s="106" t="s">
        <v>687</v>
      </c>
      <c r="J1" s="106" t="s">
        <v>693</v>
      </c>
      <c r="K1" s="106" t="s">
        <v>694</v>
      </c>
      <c r="L1" s="106" t="s">
        <v>695</v>
      </c>
      <c r="N1" s="106" t="s">
        <v>696</v>
      </c>
      <c r="O1" s="106" t="s">
        <v>697</v>
      </c>
      <c r="P1" s="106" t="s">
        <v>698</v>
      </c>
    </row>
    <row r="2" spans="8:8" ht="14.25" customHeight="1">
      <c r="A2" s="107">
        <v>46213.0</v>
      </c>
      <c r="B2" s="109" t="s">
        <v>190</v>
      </c>
      <c r="C2" s="109">
        <v>10.0</v>
      </c>
      <c r="D2" s="110">
        <v>28445.0</v>
      </c>
      <c r="E2" s="111">
        <f t="shared" si="0" ref="E2:E13">C2*D2</f>
        <v>284450.0</v>
      </c>
      <c r="F2" s="109" t="s">
        <v>104</v>
      </c>
      <c r="G2" s="67" t="s">
        <v>189</v>
      </c>
      <c r="I2" s="109" t="s">
        <v>190</v>
      </c>
      <c r="J2" s="109">
        <f>C2</f>
        <v>10.0</v>
      </c>
      <c r="K2" s="111">
        <f>E2</f>
        <v>284450.0</v>
      </c>
      <c r="L2" s="112">
        <f t="shared" si="1" ref="L2:L12">K2/K$12</f>
        <v>0.18600742852658836</v>
      </c>
      <c r="N2" s="111">
        <f>K12</f>
        <v>1529240.0</v>
      </c>
      <c r="O2" s="109">
        <f>J12</f>
        <v>231.0</v>
      </c>
      <c r="P2" s="109">
        <f>COUNT(J2:J11)</f>
        <v>10.0</v>
      </c>
    </row>
    <row r="3" spans="8:8" ht="14.25" customHeight="1">
      <c r="A3" s="107">
        <v>46213.0</v>
      </c>
      <c r="B3" s="109" t="s">
        <v>24</v>
      </c>
      <c r="C3" s="109">
        <v>200.0</v>
      </c>
      <c r="D3" s="110">
        <v>5000.0</v>
      </c>
      <c r="E3" s="111">
        <f t="shared" si="0"/>
        <v>1000000.0</v>
      </c>
      <c r="F3" s="109" t="s">
        <v>25</v>
      </c>
      <c r="G3" s="67" t="s">
        <v>191</v>
      </c>
      <c r="I3" s="109" t="s">
        <v>24</v>
      </c>
      <c r="J3" s="109">
        <f>C3</f>
        <v>200.0</v>
      </c>
      <c r="K3" s="111">
        <f>E3</f>
        <v>1000000.0</v>
      </c>
      <c r="L3" s="112">
        <f t="shared" si="1"/>
        <v>0.6539195940467161</v>
      </c>
    </row>
    <row r="4" spans="8:8" ht="14.25" customHeight="1">
      <c r="A4" s="107">
        <v>46213.0</v>
      </c>
      <c r="B4" s="109" t="s">
        <v>150</v>
      </c>
      <c r="C4" s="109">
        <v>5.0</v>
      </c>
      <c r="D4" s="110">
        <v>10315.0</v>
      </c>
      <c r="E4" s="111">
        <f t="shared" si="0"/>
        <v>51575.0</v>
      </c>
      <c r="F4" s="109" t="s">
        <v>29</v>
      </c>
      <c r="G4" s="67" t="s">
        <v>192</v>
      </c>
      <c r="I4" s="109" t="s">
        <v>150</v>
      </c>
      <c r="J4" s="109">
        <f>C4</f>
        <v>5.0</v>
      </c>
      <c r="K4" s="111">
        <f>E4</f>
        <v>51575.0</v>
      </c>
      <c r="L4" s="112">
        <f t="shared" si="1"/>
        <v>0.033725903062959375</v>
      </c>
    </row>
    <row r="5" spans="8:8" ht="14.25" customHeight="1">
      <c r="A5" s="107">
        <v>46213.0</v>
      </c>
      <c r="B5" s="109" t="s">
        <v>65</v>
      </c>
      <c r="C5" s="109">
        <v>4.0</v>
      </c>
      <c r="D5" s="110">
        <v>11910.0</v>
      </c>
      <c r="E5" s="111">
        <f t="shared" si="0"/>
        <v>47640.0</v>
      </c>
      <c r="F5" s="109" t="s">
        <v>29</v>
      </c>
      <c r="G5" s="67" t="s">
        <v>192</v>
      </c>
      <c r="I5" s="109" t="s">
        <v>65</v>
      </c>
      <c r="J5" s="109">
        <f>C5</f>
        <v>4.0</v>
      </c>
      <c r="K5" s="111">
        <f>E5</f>
        <v>47640.0</v>
      </c>
      <c r="L5" s="112">
        <f t="shared" si="1"/>
        <v>0.03115272946038555</v>
      </c>
    </row>
    <row r="6" spans="8:8" ht="14.25" customHeight="1">
      <c r="A6" s="107">
        <v>46213.0</v>
      </c>
      <c r="B6" s="109" t="s">
        <v>45</v>
      </c>
      <c r="C6" s="109">
        <v>1.0</v>
      </c>
      <c r="D6" s="110">
        <v>13335.0</v>
      </c>
      <c r="E6" s="111">
        <f t="shared" si="0"/>
        <v>13335.0</v>
      </c>
      <c r="F6" s="109" t="s">
        <v>81</v>
      </c>
      <c r="G6" s="67" t="s">
        <v>193</v>
      </c>
      <c r="I6" s="109" t="s">
        <v>45</v>
      </c>
      <c r="J6" s="109">
        <f>C6</f>
        <v>1.0</v>
      </c>
      <c r="K6" s="111">
        <f>E6</f>
        <v>13335.0</v>
      </c>
      <c r="L6" s="112">
        <f t="shared" si="1"/>
        <v>0.008720017786612959</v>
      </c>
    </row>
    <row r="7" spans="8:8" ht="14.25" customHeight="1">
      <c r="A7" s="107">
        <v>46213.0</v>
      </c>
      <c r="B7" s="119" t="s">
        <v>22</v>
      </c>
      <c r="C7" s="109">
        <v>1.0</v>
      </c>
      <c r="D7" s="110">
        <v>9200.0</v>
      </c>
      <c r="E7" s="111">
        <f t="shared" si="0"/>
        <v>9200.0</v>
      </c>
      <c r="F7" s="109" t="s">
        <v>81</v>
      </c>
      <c r="G7" s="67" t="s">
        <v>193</v>
      </c>
      <c r="I7" s="119" t="s">
        <v>22</v>
      </c>
      <c r="J7" s="109">
        <f>C7+C12+C13</f>
        <v>4.0</v>
      </c>
      <c r="K7" s="111">
        <f>E7+E12+E13</f>
        <v>37700.0</v>
      </c>
      <c r="L7" s="112">
        <f t="shared" si="1"/>
        <v>0.024652768695561194</v>
      </c>
    </row>
    <row r="8" spans="8:8" ht="14.25" customHeight="1">
      <c r="A8" s="107">
        <v>46213.0</v>
      </c>
      <c r="B8" s="109" t="s">
        <v>43</v>
      </c>
      <c r="C8" s="109">
        <v>1.0</v>
      </c>
      <c r="D8" s="110">
        <v>18300.0</v>
      </c>
      <c r="E8" s="111">
        <f t="shared" si="0"/>
        <v>18300.0</v>
      </c>
      <c r="F8" s="109" t="s">
        <v>81</v>
      </c>
      <c r="G8" s="67" t="s">
        <v>193</v>
      </c>
      <c r="I8" s="109" t="s">
        <v>43</v>
      </c>
      <c r="J8" s="109">
        <f>C8</f>
        <v>1.0</v>
      </c>
      <c r="K8" s="111">
        <f>E8</f>
        <v>18300.0</v>
      </c>
      <c r="L8" s="112">
        <f t="shared" si="1"/>
        <v>0.011966728571054902</v>
      </c>
    </row>
    <row r="9" spans="8:8" ht="14.25" customHeight="1">
      <c r="A9" s="107">
        <v>46213.0</v>
      </c>
      <c r="B9" s="109" t="s">
        <v>113</v>
      </c>
      <c r="C9" s="109">
        <v>1.0</v>
      </c>
      <c r="D9" s="110">
        <v>15115.0</v>
      </c>
      <c r="E9" s="111">
        <f t="shared" si="0"/>
        <v>15115.0</v>
      </c>
      <c r="F9" s="109" t="s">
        <v>81</v>
      </c>
      <c r="G9" s="67" t="s">
        <v>193</v>
      </c>
      <c r="I9" s="109" t="s">
        <v>113</v>
      </c>
      <c r="J9" s="109">
        <f>C9</f>
        <v>1.0</v>
      </c>
      <c r="K9" s="111">
        <f>E9</f>
        <v>15115.0</v>
      </c>
      <c r="L9" s="112">
        <f t="shared" si="1"/>
        <v>0.009883994664016113</v>
      </c>
    </row>
    <row r="10" spans="8:8" ht="14.25" customHeight="1">
      <c r="A10" s="107">
        <v>46213.0</v>
      </c>
      <c r="B10" s="109" t="s">
        <v>141</v>
      </c>
      <c r="C10" s="109">
        <v>3.0</v>
      </c>
      <c r="D10" s="110">
        <v>14145.0</v>
      </c>
      <c r="E10" s="111">
        <f t="shared" si="0"/>
        <v>42435.0</v>
      </c>
      <c r="F10" s="109" t="s">
        <v>163</v>
      </c>
      <c r="G10" s="67" t="s">
        <v>194</v>
      </c>
      <c r="I10" s="109" t="s">
        <v>141</v>
      </c>
      <c r="J10" s="109">
        <f>C10</f>
        <v>3.0</v>
      </c>
      <c r="K10" s="111">
        <f>E10</f>
        <v>42435.0</v>
      </c>
      <c r="L10" s="112">
        <f t="shared" si="1"/>
        <v>0.027749077973372394</v>
      </c>
    </row>
    <row r="11" spans="8:8" ht="14.25" customHeight="1">
      <c r="A11" s="107">
        <v>46213.0</v>
      </c>
      <c r="B11" s="109" t="s">
        <v>80</v>
      </c>
      <c r="C11" s="109">
        <v>2.0</v>
      </c>
      <c r="D11" s="110">
        <v>9345.0</v>
      </c>
      <c r="E11" s="111">
        <f t="shared" si="0"/>
        <v>18690.0</v>
      </c>
      <c r="F11" s="109" t="s">
        <v>163</v>
      </c>
      <c r="G11" s="67" t="s">
        <v>194</v>
      </c>
      <c r="I11" s="109" t="s">
        <v>80</v>
      </c>
      <c r="J11" s="109">
        <f>C11</f>
        <v>2.0</v>
      </c>
      <c r="K11" s="111">
        <f>E11</f>
        <v>18690.0</v>
      </c>
      <c r="L11" s="112">
        <f t="shared" si="1"/>
        <v>0.012221757212733123</v>
      </c>
    </row>
    <row r="12" spans="8:8" ht="14.25" customHeight="1">
      <c r="A12" s="107">
        <v>46213.0</v>
      </c>
      <c r="B12" s="119" t="s">
        <v>22</v>
      </c>
      <c r="C12" s="109">
        <v>2.0</v>
      </c>
      <c r="D12" s="110">
        <v>9500.0</v>
      </c>
      <c r="E12" s="111">
        <f t="shared" si="0"/>
        <v>19000.0</v>
      </c>
      <c r="F12" s="109" t="s">
        <v>15</v>
      </c>
      <c r="G12" s="67" t="s">
        <v>195</v>
      </c>
      <c r="I12" s="109" t="s">
        <v>701</v>
      </c>
      <c r="J12" s="109">
        <f>SUM(J2:J11)</f>
        <v>231.0</v>
      </c>
      <c r="K12" s="111">
        <f>SUM(K2:K11)</f>
        <v>1529240.0</v>
      </c>
      <c r="L12" s="112">
        <f t="shared" si="1"/>
        <v>1.0</v>
      </c>
    </row>
    <row r="13" spans="8:8" ht="14.25" customHeight="1">
      <c r="A13" s="107">
        <v>46213.0</v>
      </c>
      <c r="B13" s="119" t="s">
        <v>22</v>
      </c>
      <c r="C13" s="109">
        <v>1.0</v>
      </c>
      <c r="D13" s="110">
        <v>9500.0</v>
      </c>
      <c r="E13" s="111">
        <f t="shared" si="0"/>
        <v>9500.0</v>
      </c>
      <c r="F13" s="109" t="s">
        <v>15</v>
      </c>
      <c r="G13" s="67" t="s">
        <v>197</v>
      </c>
    </row>
    <row r="14" spans="8:8" ht="25.5" customHeight="1">
      <c r="A14" s="68"/>
      <c r="B14" s="109" t="s">
        <v>701</v>
      </c>
      <c r="C14" s="109">
        <f>SUM(C2:C13)</f>
        <v>231.0</v>
      </c>
      <c r="D14" s="109">
        <f>SUM(D2:D13)</f>
        <v>154110.0</v>
      </c>
      <c r="E14" s="111">
        <f>SUM(E2:E13)</f>
        <v>1529240.0</v>
      </c>
      <c r="F14" s="68"/>
      <c r="G14" s="68"/>
      <c r="I14" s="106" t="s">
        <v>691</v>
      </c>
      <c r="J14" s="106" t="s">
        <v>690</v>
      </c>
      <c r="K14" s="106" t="s">
        <v>695</v>
      </c>
      <c r="L14" s="106" t="s">
        <v>702</v>
      </c>
    </row>
    <row r="15" spans="8:8" ht="14.25" customHeight="1">
      <c r="I15" s="109" t="s">
        <v>104</v>
      </c>
      <c r="J15" s="111">
        <f>E2</f>
        <v>284450.0</v>
      </c>
      <c r="K15" s="112">
        <f t="shared" si="2" ref="K15:K21">J15/J$21</f>
        <v>0.18600742852658836</v>
      </c>
      <c r="L15" s="112">
        <v>0.0884</v>
      </c>
    </row>
    <row r="16" spans="8:8" ht="14.25" customHeight="1">
      <c r="I16" s="109" t="s">
        <v>25</v>
      </c>
      <c r="J16" s="111">
        <f>E3</f>
        <v>1000000.0</v>
      </c>
      <c r="K16" s="112">
        <f t="shared" si="2"/>
        <v>0.6539195940467161</v>
      </c>
      <c r="L16" s="112">
        <v>-0.04</v>
      </c>
    </row>
    <row r="17" spans="8:8" ht="14.25" customHeight="1">
      <c r="I17" s="109" t="s">
        <v>29</v>
      </c>
      <c r="J17" s="111">
        <f>E4+E5</f>
        <v>99215.0</v>
      </c>
      <c r="K17" s="112">
        <f t="shared" si="2"/>
        <v>0.06487863252334493</v>
      </c>
      <c r="L17" s="112">
        <v>0.0607</v>
      </c>
    </row>
    <row r="18" spans="8:8" ht="14.25" customHeight="1">
      <c r="I18" s="109" t="s">
        <v>81</v>
      </c>
      <c r="J18" s="111">
        <f>E6+E7+E8+E9</f>
        <v>55950.0</v>
      </c>
      <c r="K18" s="112">
        <f t="shared" si="2"/>
        <v>0.03658680128691376</v>
      </c>
      <c r="L18" s="112">
        <v>0.0526</v>
      </c>
    </row>
    <row r="19" spans="8:8" ht="14.25" customHeight="1">
      <c r="I19" s="109" t="s">
        <v>163</v>
      </c>
      <c r="J19" s="111">
        <f>E10+E11</f>
        <v>61125.0</v>
      </c>
      <c r="K19" s="112">
        <f t="shared" si="2"/>
        <v>0.039970835186105516</v>
      </c>
      <c r="L19" s="112">
        <v>0.0429</v>
      </c>
    </row>
    <row r="20" spans="8:8" ht="14.25" customHeight="1">
      <c r="I20" s="109" t="s">
        <v>15</v>
      </c>
      <c r="J20" s="111">
        <f>E12+E13</f>
        <v>28500.0</v>
      </c>
      <c r="K20" s="112">
        <f t="shared" si="2"/>
        <v>0.018636708430331408</v>
      </c>
      <c r="L20" s="112">
        <v>0.0992</v>
      </c>
    </row>
    <row r="21" spans="8:8" ht="14.25" customHeight="1">
      <c r="I21" s="109" t="s">
        <v>703</v>
      </c>
      <c r="J21" s="111">
        <f>SUM(J15:J20)</f>
        <v>1529240.0</v>
      </c>
      <c r="K21" s="112">
        <f t="shared" si="2"/>
        <v>1.0</v>
      </c>
      <c r="L21" s="68"/>
    </row>
    <row r="23" spans="8:8" ht="25.5" customHeight="1">
      <c r="I23" s="106" t="s">
        <v>692</v>
      </c>
      <c r="J23" s="106" t="s">
        <v>690</v>
      </c>
      <c r="K23" s="106" t="s">
        <v>702</v>
      </c>
    </row>
    <row r="24" spans="8:8" ht="14.25" customHeight="1">
      <c r="I24" s="117" t="s">
        <v>189</v>
      </c>
      <c r="J24" s="111">
        <v>284450.0</v>
      </c>
      <c r="K24" s="112">
        <v>0.09</v>
      </c>
    </row>
    <row r="25" spans="8:8" ht="14.25" customHeight="1">
      <c r="I25" s="117" t="s">
        <v>191</v>
      </c>
      <c r="J25" s="111">
        <v>1000000.0</v>
      </c>
      <c r="K25" s="112">
        <v>-0.04</v>
      </c>
    </row>
    <row r="26" spans="8:8" ht="14.25" customHeight="1">
      <c r="I26" s="117" t="s">
        <v>192</v>
      </c>
      <c r="J26" s="111">
        <v>115415.0</v>
      </c>
      <c r="K26" s="112">
        <v>0.06</v>
      </c>
    </row>
    <row r="27" spans="8:8" ht="14.25" customHeight="1">
      <c r="I27" s="117" t="s">
        <v>193</v>
      </c>
      <c r="J27" s="111">
        <v>55950.0</v>
      </c>
      <c r="K27" s="112">
        <v>0.05</v>
      </c>
    </row>
    <row r="28" spans="8:8" ht="14.25" customHeight="1">
      <c r="I28" s="117" t="s">
        <v>194</v>
      </c>
      <c r="J28" s="111">
        <v>61125.0</v>
      </c>
      <c r="K28" s="112">
        <v>0.04</v>
      </c>
    </row>
    <row r="29" spans="8:8" ht="14.25" customHeight="1">
      <c r="I29" s="67" t="s">
        <v>195</v>
      </c>
      <c r="J29" s="111">
        <v>22600.0</v>
      </c>
      <c r="K29" s="112">
        <v>0.1</v>
      </c>
    </row>
    <row r="30" spans="8:8" ht="14.25" customHeight="1">
      <c r="I30" s="67" t="s">
        <v>197</v>
      </c>
      <c r="J30" s="111">
        <v>9500.0</v>
      </c>
      <c r="K30" s="112">
        <v>0.09</v>
      </c>
    </row>
    <row r="31" spans="8:8" ht="14.25" customHeight="1">
      <c r="I31" s="109" t="s">
        <v>703</v>
      </c>
      <c r="J31" s="111">
        <f>SUM(J24:J30)</f>
        <v>1549040.0</v>
      </c>
      <c r="K31" s="68"/>
    </row>
  </sheetData>
  <hyperlinks>
    <hyperlink ref="G2" r:id="rId2"/>
    <hyperlink ref="G3" r:id="rId3"/>
    <hyperlink ref="G4" r:id="rId4"/>
    <hyperlink ref="G5" r:id="rId5"/>
    <hyperlink ref="G6" r:id="rId6"/>
    <hyperlink ref="G7" r:id="rId7"/>
    <hyperlink ref="G8" r:id="rId8"/>
    <hyperlink ref="G9" r:id="rId9"/>
    <hyperlink ref="G10" r:id="rId10"/>
    <hyperlink ref="G11" r:id="rId11"/>
    <hyperlink ref="G12" r:id="rId12"/>
    <hyperlink ref="G13" r:id="rId13"/>
    <hyperlink ref="I24" r:id="rId14"/>
    <hyperlink ref="I25" r:id="rId15"/>
    <hyperlink ref="I26" r:id="rId16"/>
    <hyperlink ref="I27" r:id="rId17"/>
    <hyperlink ref="I28" r:id="rId18"/>
    <hyperlink ref="I29" r:id="rId19"/>
    <hyperlink ref="I30" r:id="rId20"/>
  </hyperlinks>
  <pageMargins left="0.75" right="0.75" top="1.0" bottom="1.0" header="0.511811023622047" footer="0.511811023622047"/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dimension ref="A1:Q46"/>
  <sheetViews>
    <sheetView workbookViewId="0" topLeftCell="A14" zoomScale="62">
      <selection activeCell="P2" sqref="P2"/>
    </sheetView>
  </sheetViews>
  <sheetFormatPr defaultRowHeight="14.5"/>
  <cols>
    <col min="1" max="1" customWidth="1" width="9.453125" style="60"/>
    <col min="2" max="2" customWidth="1" width="19.0" style="60"/>
    <col min="3" max="3" customWidth="1" width="10.90625" style="60"/>
    <col min="4" max="4" customWidth="1" width="14.7265625" style="60"/>
    <col min="5" max="5" customWidth="1" width="12.453125" style="60"/>
    <col min="6" max="6" customWidth="1" width="15.6328125" style="60"/>
    <col min="7" max="7" customWidth="1" width="11.90625" style="60"/>
    <col min="8" max="8" customWidth="1" width="3.0" style="60"/>
    <col min="9" max="9" customWidth="1" width="19.0" style="60"/>
    <col min="10" max="10" customWidth="1" width="12.453125" style="60"/>
    <col min="11" max="12" customWidth="1" width="17.726562" style="60"/>
    <col min="13" max="13" customWidth="1" width="3.0" style="60"/>
    <col min="14" max="14" customWidth="1" width="12.1796875" style="60"/>
    <col min="15" max="15" customWidth="1" width="15.453125" style="60"/>
    <col min="16" max="16" customWidth="1" width="15.542969" style="60"/>
  </cols>
  <sheetData>
    <row r="1" spans="8:8" ht="25.5" customHeight="1">
      <c r="A1" s="106" t="s">
        <v>686</v>
      </c>
      <c r="B1" s="106" t="s">
        <v>687</v>
      </c>
      <c r="C1" s="106" t="s">
        <v>688</v>
      </c>
      <c r="D1" s="106" t="s">
        <v>689</v>
      </c>
      <c r="E1" s="106" t="s">
        <v>690</v>
      </c>
      <c r="F1" s="106" t="s">
        <v>691</v>
      </c>
      <c r="G1" s="106" t="s">
        <v>692</v>
      </c>
      <c r="I1" s="106" t="s">
        <v>687</v>
      </c>
      <c r="J1" s="106" t="s">
        <v>693</v>
      </c>
      <c r="K1" s="106" t="s">
        <v>694</v>
      </c>
      <c r="L1" s="106" t="s">
        <v>695</v>
      </c>
      <c r="N1" s="106" t="s">
        <v>696</v>
      </c>
      <c r="O1" s="106" t="s">
        <v>697</v>
      </c>
      <c r="P1" s="106" t="s">
        <v>698</v>
      </c>
    </row>
    <row r="2" spans="8:8" ht="14.25" customHeight="1">
      <c r="A2" s="107">
        <v>46214.0</v>
      </c>
      <c r="B2" s="118" t="s">
        <v>21</v>
      </c>
      <c r="C2" s="109">
        <v>2.0</v>
      </c>
      <c r="D2" s="109">
        <v>9000.0</v>
      </c>
      <c r="E2" s="111">
        <f t="shared" si="0" ref="E2:E39">C2*D2</f>
        <v>18000.0</v>
      </c>
      <c r="F2" s="109" t="s">
        <v>102</v>
      </c>
      <c r="G2" s="67" t="s">
        <v>198</v>
      </c>
      <c r="I2" s="118" t="s">
        <v>21</v>
      </c>
      <c r="J2" s="109">
        <f>C2+C30</f>
        <v>3.0</v>
      </c>
      <c r="K2" s="111">
        <f>E2+E30</f>
        <v>27000.0</v>
      </c>
      <c r="L2" s="112">
        <f t="shared" si="1" ref="L2:L18">K2/K$18</f>
        <v>0.008172741485592517</v>
      </c>
      <c r="N2" s="111">
        <f>K18</f>
        <v>3303665.0</v>
      </c>
      <c r="O2" s="109">
        <f>J18</f>
        <v>410.0</v>
      </c>
      <c r="P2" s="109">
        <f>COUNT(J2:J17)</f>
        <v>16.0</v>
      </c>
    </row>
    <row r="3" spans="8:8" ht="14.25" customHeight="1">
      <c r="A3" s="107">
        <v>46214.0</v>
      </c>
      <c r="B3" s="119" t="s">
        <v>22</v>
      </c>
      <c r="C3" s="109">
        <v>3.0</v>
      </c>
      <c r="D3" s="109">
        <v>9500.0</v>
      </c>
      <c r="E3" s="111">
        <f t="shared" si="0"/>
        <v>28500.0</v>
      </c>
      <c r="F3" s="109" t="s">
        <v>102</v>
      </c>
      <c r="G3" s="67" t="s">
        <v>198</v>
      </c>
      <c r="I3" s="119" t="s">
        <v>22</v>
      </c>
      <c r="J3" s="109">
        <f>C3+C11+C14+C23+C29</f>
        <v>43.0</v>
      </c>
      <c r="K3" s="111">
        <f>E3+E11+E14+E23+E29</f>
        <v>395000.0</v>
      </c>
      <c r="L3" s="112">
        <f t="shared" si="1"/>
        <v>0.11956418099292755</v>
      </c>
    </row>
    <row r="4" spans="8:8" ht="14.25" customHeight="1">
      <c r="A4" s="107">
        <v>46214.0</v>
      </c>
      <c r="B4" s="120" t="s">
        <v>44</v>
      </c>
      <c r="C4" s="109">
        <v>1.0</v>
      </c>
      <c r="D4" s="109">
        <v>9500.0</v>
      </c>
      <c r="E4" s="111">
        <f t="shared" si="0"/>
        <v>9500.0</v>
      </c>
      <c r="F4" s="109" t="s">
        <v>102</v>
      </c>
      <c r="G4" s="67" t="s">
        <v>198</v>
      </c>
      <c r="I4" s="120" t="s">
        <v>44</v>
      </c>
      <c r="J4" s="109">
        <f>C4+C12+C24+C31</f>
        <v>22.0</v>
      </c>
      <c r="K4" s="111">
        <f>E4+E12+E24+E31</f>
        <v>202700.0</v>
      </c>
      <c r="L4" s="112">
        <f t="shared" si="1"/>
        <v>0.061356099967763075</v>
      </c>
    </row>
    <row r="5" spans="8:8" ht="14.25" customHeight="1">
      <c r="A5" s="107">
        <v>46214.0</v>
      </c>
      <c r="B5" s="114" t="s">
        <v>36</v>
      </c>
      <c r="C5" s="109">
        <v>1.0</v>
      </c>
      <c r="D5" s="109">
        <v>16140.0</v>
      </c>
      <c r="E5" s="111">
        <f t="shared" si="0"/>
        <v>16140.0</v>
      </c>
      <c r="F5" s="109" t="s">
        <v>15</v>
      </c>
      <c r="G5" s="67" t="s">
        <v>199</v>
      </c>
      <c r="I5" s="114" t="s">
        <v>36</v>
      </c>
      <c r="J5" s="109">
        <f>C5+C16</f>
        <v>4.0</v>
      </c>
      <c r="K5" s="111">
        <f>E5+E16</f>
        <v>62715.0</v>
      </c>
      <c r="L5" s="112">
        <f t="shared" si="1"/>
        <v>0.01898346230625684</v>
      </c>
    </row>
    <row r="6" spans="8:8" ht="14.25" customHeight="1">
      <c r="A6" s="107">
        <v>46214.0</v>
      </c>
      <c r="B6" s="113" t="s">
        <v>24</v>
      </c>
      <c r="C6" s="109">
        <v>30.0</v>
      </c>
      <c r="D6" s="109">
        <v>5000.0</v>
      </c>
      <c r="E6" s="111">
        <f t="shared" si="0"/>
        <v>150000.0</v>
      </c>
      <c r="F6" s="109" t="s">
        <v>95</v>
      </c>
      <c r="G6" s="67" t="s">
        <v>200</v>
      </c>
      <c r="I6" s="113" t="s">
        <v>24</v>
      </c>
      <c r="J6" s="109">
        <f>C6+C8+C21</f>
        <v>230.0</v>
      </c>
      <c r="K6" s="111">
        <f>E6+E8+E21</f>
        <v>1150000.0</v>
      </c>
      <c r="L6" s="112">
        <f t="shared" si="1"/>
        <v>0.348098248460422</v>
      </c>
    </row>
    <row r="7" spans="8:8" ht="14.25" customHeight="1">
      <c r="A7" s="107">
        <v>46214.0</v>
      </c>
      <c r="B7" s="115" t="s">
        <v>45</v>
      </c>
      <c r="C7" s="109">
        <v>1.0</v>
      </c>
      <c r="D7" s="109">
        <v>13950.0</v>
      </c>
      <c r="E7" s="111">
        <f t="shared" si="0"/>
        <v>13950.0</v>
      </c>
      <c r="F7" s="109" t="s">
        <v>15</v>
      </c>
      <c r="G7" s="67" t="s">
        <v>201</v>
      </c>
      <c r="I7" s="115" t="s">
        <v>45</v>
      </c>
      <c r="J7" s="109">
        <f>C7+C9+C15+C25+C34</f>
        <v>37.0</v>
      </c>
      <c r="K7" s="111">
        <f>E7+E9+E15+E25+E34</f>
        <v>500775.0</v>
      </c>
      <c r="L7" s="112">
        <f t="shared" si="1"/>
        <v>0.15158165249805897</v>
      </c>
    </row>
    <row r="8" spans="8:8" ht="14.25" customHeight="1">
      <c r="A8" s="107">
        <v>46214.0</v>
      </c>
      <c r="B8" s="113" t="s">
        <v>24</v>
      </c>
      <c r="C8" s="109">
        <v>100.0</v>
      </c>
      <c r="D8" s="109">
        <v>5000.0</v>
      </c>
      <c r="E8" s="111">
        <f t="shared" si="0"/>
        <v>500000.0</v>
      </c>
      <c r="F8" s="109" t="s">
        <v>106</v>
      </c>
      <c r="G8" s="67" t="s">
        <v>202</v>
      </c>
      <c r="I8" s="116" t="s">
        <v>87</v>
      </c>
      <c r="J8" s="109">
        <f>C10+C28+C37</f>
        <v>16.0</v>
      </c>
      <c r="K8" s="111">
        <f>E10+E28+E37</f>
        <v>348225.0</v>
      </c>
      <c r="L8" s="112">
        <f t="shared" si="1"/>
        <v>0.10540566310446126</v>
      </c>
    </row>
    <row r="9" spans="8:8" ht="14.25" customHeight="1">
      <c r="A9" s="107">
        <v>46214.0</v>
      </c>
      <c r="B9" s="115" t="s">
        <v>45</v>
      </c>
      <c r="C9" s="109">
        <v>10.0</v>
      </c>
      <c r="D9" s="109">
        <v>13950.0</v>
      </c>
      <c r="E9" s="111">
        <f t="shared" si="0"/>
        <v>139500.0</v>
      </c>
      <c r="F9" s="109" t="s">
        <v>85</v>
      </c>
      <c r="G9" s="67" t="s">
        <v>203</v>
      </c>
      <c r="I9" s="110" t="s">
        <v>65</v>
      </c>
      <c r="J9" s="109">
        <f>C13+C26+C33</f>
        <v>15.0</v>
      </c>
      <c r="K9" s="111">
        <f>E13+E26+E33</f>
        <v>178650.0</v>
      </c>
      <c r="L9" s="112">
        <f t="shared" si="1"/>
        <v>0.054076306163003816</v>
      </c>
    </row>
    <row r="10" spans="8:8" ht="14.25" customHeight="1">
      <c r="A10" s="107">
        <v>46214.0</v>
      </c>
      <c r="B10" s="116" t="s">
        <v>87</v>
      </c>
      <c r="C10" s="109">
        <v>5.0</v>
      </c>
      <c r="D10" s="109">
        <v>22565.0</v>
      </c>
      <c r="E10" s="111">
        <f t="shared" si="0"/>
        <v>112825.0</v>
      </c>
      <c r="F10" s="109" t="s">
        <v>85</v>
      </c>
      <c r="G10" s="67" t="s">
        <v>203</v>
      </c>
      <c r="I10" s="130" t="s">
        <v>93</v>
      </c>
      <c r="J10" s="109">
        <f>C17+C35</f>
        <v>3.0</v>
      </c>
      <c r="K10" s="111">
        <f>E17+E35</f>
        <v>34430.0</v>
      </c>
      <c r="L10" s="112">
        <f t="shared" si="1"/>
        <v>0.010421758864775938</v>
      </c>
    </row>
    <row r="11" spans="8:8" ht="14.25" customHeight="1">
      <c r="A11" s="107">
        <v>46214.0</v>
      </c>
      <c r="B11" s="119" t="s">
        <v>22</v>
      </c>
      <c r="C11" s="109">
        <v>5.0</v>
      </c>
      <c r="D11" s="109">
        <v>9300.0</v>
      </c>
      <c r="E11" s="111">
        <f t="shared" si="0"/>
        <v>46500.0</v>
      </c>
      <c r="F11" s="109" t="s">
        <v>85</v>
      </c>
      <c r="G11" s="67" t="s">
        <v>203</v>
      </c>
      <c r="I11" s="109" t="s">
        <v>32</v>
      </c>
      <c r="J11" s="109">
        <f>C18</f>
        <v>1.0</v>
      </c>
      <c r="K11" s="111">
        <f>E18</f>
        <v>16145.0</v>
      </c>
      <c r="L11" s="112">
        <f t="shared" si="1"/>
        <v>0.004886996714255229</v>
      </c>
    </row>
    <row r="12" spans="8:8" ht="14.25" customHeight="1">
      <c r="A12" s="107">
        <v>46214.0</v>
      </c>
      <c r="B12" s="120" t="s">
        <v>44</v>
      </c>
      <c r="C12" s="109">
        <v>10.0</v>
      </c>
      <c r="D12" s="109">
        <v>9200.0</v>
      </c>
      <c r="E12" s="111">
        <f t="shared" si="0"/>
        <v>92000.0</v>
      </c>
      <c r="F12" s="109" t="s">
        <v>29</v>
      </c>
      <c r="G12" s="67" t="s">
        <v>204</v>
      </c>
      <c r="I12" s="131" t="s">
        <v>113</v>
      </c>
      <c r="J12" s="109">
        <f>C19+C27</f>
        <v>11.0</v>
      </c>
      <c r="K12" s="111">
        <f>E19+E27</f>
        <v>159325.0</v>
      </c>
      <c r="L12" s="112">
        <f t="shared" si="1"/>
        <v>0.04822674211822325</v>
      </c>
    </row>
    <row r="13" spans="8:8" ht="14.25" customHeight="1">
      <c r="A13" s="107">
        <v>46214.0</v>
      </c>
      <c r="B13" s="110" t="s">
        <v>65</v>
      </c>
      <c r="C13" s="109">
        <v>5.0</v>
      </c>
      <c r="D13" s="109">
        <v>11910.0</v>
      </c>
      <c r="E13" s="111">
        <f t="shared" si="0"/>
        <v>59550.0</v>
      </c>
      <c r="F13" s="109" t="s">
        <v>29</v>
      </c>
      <c r="G13" s="67" t="s">
        <v>204</v>
      </c>
      <c r="I13" s="109" t="s">
        <v>77</v>
      </c>
      <c r="J13" s="109">
        <f>C20</f>
        <v>1.0</v>
      </c>
      <c r="K13" s="111">
        <f>E20</f>
        <v>17840.0</v>
      </c>
      <c r="L13" s="112">
        <f t="shared" si="1"/>
        <v>0.005400063263072981</v>
      </c>
    </row>
    <row r="14" spans="8:8" ht="14.25" customHeight="1">
      <c r="A14" s="107">
        <v>46214.0</v>
      </c>
      <c r="B14" s="119" t="s">
        <v>22</v>
      </c>
      <c r="C14" s="109">
        <v>5.0</v>
      </c>
      <c r="D14" s="109">
        <v>8800.0</v>
      </c>
      <c r="E14" s="111">
        <f t="shared" si="0"/>
        <v>44000.0</v>
      </c>
      <c r="F14" s="109" t="s">
        <v>29</v>
      </c>
      <c r="G14" s="67" t="s">
        <v>204</v>
      </c>
      <c r="I14" s="109" t="s">
        <v>27</v>
      </c>
      <c r="J14" s="109">
        <f>C22</f>
        <v>20.0</v>
      </c>
      <c r="K14" s="111">
        <f>E22</f>
        <v>160400.0</v>
      </c>
      <c r="L14" s="112">
        <f t="shared" si="1"/>
        <v>0.04855213830700147</v>
      </c>
    </row>
    <row r="15" spans="8:8" ht="14.25" customHeight="1">
      <c r="A15" s="107">
        <v>46214.0</v>
      </c>
      <c r="B15" s="115" t="s">
        <v>45</v>
      </c>
      <c r="C15" s="109">
        <v>5.0</v>
      </c>
      <c r="D15" s="109">
        <v>13335.0</v>
      </c>
      <c r="E15" s="111">
        <f t="shared" si="0"/>
        <v>66675.0</v>
      </c>
      <c r="F15" s="109" t="s">
        <v>29</v>
      </c>
      <c r="G15" s="67" t="s">
        <v>204</v>
      </c>
      <c r="I15" s="127" t="s">
        <v>37</v>
      </c>
      <c r="J15" s="109">
        <f>C32+C39</f>
        <v>2.0</v>
      </c>
      <c r="K15" s="111">
        <f>E32+E39</f>
        <v>18700.0</v>
      </c>
      <c r="L15" s="112">
        <f t="shared" si="1"/>
        <v>0.005660380214095558</v>
      </c>
    </row>
    <row r="16" spans="8:8" ht="14.25" customHeight="1">
      <c r="A16" s="107">
        <v>46214.0</v>
      </c>
      <c r="B16" s="114" t="s">
        <v>36</v>
      </c>
      <c r="C16" s="109">
        <v>3.0</v>
      </c>
      <c r="D16" s="109">
        <v>15525.0</v>
      </c>
      <c r="E16" s="111">
        <f t="shared" si="0"/>
        <v>46575.0</v>
      </c>
      <c r="F16" s="109" t="s">
        <v>29</v>
      </c>
      <c r="G16" s="67" t="s">
        <v>204</v>
      </c>
      <c r="I16" s="109" t="s">
        <v>43</v>
      </c>
      <c r="J16" s="109">
        <f>C36</f>
        <v>1.0</v>
      </c>
      <c r="K16" s="111">
        <f>E36</f>
        <v>18300.0</v>
      </c>
      <c r="L16" s="112">
        <f t="shared" si="1"/>
        <v>0.00553930256245715</v>
      </c>
    </row>
    <row r="17" spans="8:8" ht="14.25" customHeight="1">
      <c r="A17" s="107">
        <v>46214.0</v>
      </c>
      <c r="B17" s="130" t="s">
        <v>93</v>
      </c>
      <c r="C17" s="109">
        <v>2.0</v>
      </c>
      <c r="D17" s="109">
        <v>11415.0</v>
      </c>
      <c r="E17" s="111">
        <f t="shared" si="0"/>
        <v>22830.0</v>
      </c>
      <c r="F17" s="109" t="s">
        <v>29</v>
      </c>
      <c r="G17" s="67" t="s">
        <v>204</v>
      </c>
      <c r="I17" s="109" t="s">
        <v>70</v>
      </c>
      <c r="J17" s="109">
        <f>C38</f>
        <v>1.0</v>
      </c>
      <c r="K17" s="111">
        <f>E38</f>
        <v>13460.0</v>
      </c>
      <c r="L17" s="112">
        <f t="shared" si="1"/>
        <v>0.004074262977632417</v>
      </c>
    </row>
    <row r="18" spans="8:8" ht="14.25" customHeight="1">
      <c r="A18" s="107">
        <v>46214.0</v>
      </c>
      <c r="B18" s="109" t="s">
        <v>32</v>
      </c>
      <c r="C18" s="109">
        <v>1.0</v>
      </c>
      <c r="D18" s="109">
        <v>16145.0</v>
      </c>
      <c r="E18" s="111">
        <f t="shared" si="0"/>
        <v>16145.0</v>
      </c>
      <c r="F18" s="109" t="s">
        <v>29</v>
      </c>
      <c r="G18" s="67" t="s">
        <v>204</v>
      </c>
      <c r="I18" s="109" t="s">
        <v>701</v>
      </c>
      <c r="J18" s="109">
        <f>SUM(J2:J17)</f>
        <v>410.0</v>
      </c>
      <c r="K18" s="111">
        <f>SUM(K2:K17)</f>
        <v>3303665.0</v>
      </c>
      <c r="L18" s="112">
        <f t="shared" si="1"/>
        <v>1.0</v>
      </c>
    </row>
    <row r="19" spans="8:8" ht="14.25" customHeight="1">
      <c r="A19" s="107">
        <v>46214.0</v>
      </c>
      <c r="B19" s="131" t="s">
        <v>113</v>
      </c>
      <c r="C19" s="109">
        <v>1.0</v>
      </c>
      <c r="D19" s="109">
        <v>14575.0</v>
      </c>
      <c r="E19" s="111">
        <f t="shared" si="0"/>
        <v>14575.0</v>
      </c>
      <c r="F19" s="109" t="s">
        <v>29</v>
      </c>
      <c r="G19" s="67" t="s">
        <v>204</v>
      </c>
    </row>
    <row r="20" spans="8:8" ht="25.5" customHeight="1">
      <c r="A20" s="107">
        <v>46214.0</v>
      </c>
      <c r="B20" s="109" t="s">
        <v>77</v>
      </c>
      <c r="C20" s="109">
        <v>1.0</v>
      </c>
      <c r="D20" s="109">
        <v>17840.0</v>
      </c>
      <c r="E20" s="111">
        <f t="shared" si="0"/>
        <v>17840.0</v>
      </c>
      <c r="F20" s="109" t="s">
        <v>29</v>
      </c>
      <c r="G20" s="67" t="s">
        <v>204</v>
      </c>
      <c r="I20" s="106" t="s">
        <v>691</v>
      </c>
      <c r="J20" s="106" t="s">
        <v>690</v>
      </c>
      <c r="K20" s="106" t="s">
        <v>695</v>
      </c>
      <c r="L20" s="106" t="s">
        <v>702</v>
      </c>
    </row>
    <row r="21" spans="8:8" ht="14.25" customHeight="1">
      <c r="A21" s="107">
        <v>46214.0</v>
      </c>
      <c r="B21" s="113" t="s">
        <v>24</v>
      </c>
      <c r="C21" s="109">
        <v>100.0</v>
      </c>
      <c r="D21" s="109">
        <v>5000.0</v>
      </c>
      <c r="E21" s="111">
        <f t="shared" si="0"/>
        <v>500000.0</v>
      </c>
      <c r="F21" s="109" t="s">
        <v>25</v>
      </c>
      <c r="G21" s="67" t="s">
        <v>205</v>
      </c>
      <c r="I21" s="109" t="s">
        <v>102</v>
      </c>
      <c r="J21" s="111">
        <f>E2+E3+E4+E39</f>
        <v>65500.0</v>
      </c>
      <c r="K21" s="112">
        <f t="shared" si="2" ref="K21:K31">J21/J$31</f>
        <v>0.01982646545578925</v>
      </c>
      <c r="L21" s="112">
        <v>0.089</v>
      </c>
    </row>
    <row r="22" spans="8:8" ht="14.25" customHeight="1">
      <c r="A22" s="107">
        <v>46214.0</v>
      </c>
      <c r="B22" s="109" t="s">
        <v>27</v>
      </c>
      <c r="C22" s="109">
        <v>20.0</v>
      </c>
      <c r="D22" s="109">
        <v>8020.0</v>
      </c>
      <c r="E22" s="111">
        <f t="shared" si="0"/>
        <v>160400.0</v>
      </c>
      <c r="F22" s="109" t="s">
        <v>25</v>
      </c>
      <c r="G22" s="67" t="s">
        <v>205</v>
      </c>
      <c r="I22" s="109" t="s">
        <v>15</v>
      </c>
      <c r="J22" s="111">
        <f>E5+E7</f>
        <v>30090.0</v>
      </c>
      <c r="K22" s="112">
        <f t="shared" si="2"/>
        <v>0.009108066344499215</v>
      </c>
      <c r="L22" s="112">
        <v>0.1341</v>
      </c>
    </row>
    <row r="23" spans="8:8" ht="14.25" customHeight="1">
      <c r="A23" s="107">
        <v>46214.0</v>
      </c>
      <c r="B23" s="119" t="s">
        <v>22</v>
      </c>
      <c r="C23" s="109">
        <v>28.0</v>
      </c>
      <c r="D23" s="109">
        <v>9200.0</v>
      </c>
      <c r="E23" s="111">
        <f t="shared" si="0"/>
        <v>257600.0</v>
      </c>
      <c r="F23" s="109" t="s">
        <v>75</v>
      </c>
      <c r="G23" s="67" t="s">
        <v>206</v>
      </c>
      <c r="I23" s="109" t="s">
        <v>95</v>
      </c>
      <c r="J23" s="111">
        <f>E6</f>
        <v>150000.0</v>
      </c>
      <c r="K23" s="112">
        <f t="shared" si="2"/>
        <v>0.04540411936440287</v>
      </c>
      <c r="L23" s="112">
        <v>-0.04</v>
      </c>
    </row>
    <row r="24" spans="8:8" ht="14.25" customHeight="1">
      <c r="A24" s="107">
        <v>46214.0</v>
      </c>
      <c r="B24" s="120" t="s">
        <v>44</v>
      </c>
      <c r="C24" s="109">
        <v>10.0</v>
      </c>
      <c r="D24" s="109">
        <v>9200.0</v>
      </c>
      <c r="E24" s="111">
        <f t="shared" si="0"/>
        <v>92000.0</v>
      </c>
      <c r="F24" s="109" t="s">
        <v>50</v>
      </c>
      <c r="G24" s="67" t="s">
        <v>207</v>
      </c>
      <c r="I24" s="109" t="s">
        <v>106</v>
      </c>
      <c r="J24" s="111">
        <f>E8</f>
        <v>500000.0</v>
      </c>
      <c r="K24" s="112">
        <f t="shared" si="2"/>
        <v>0.15134706454800956</v>
      </c>
      <c r="L24" s="112">
        <v>-0.04</v>
      </c>
    </row>
    <row r="25" spans="8:8" ht="14.25" customHeight="1">
      <c r="A25" s="107">
        <v>46214.0</v>
      </c>
      <c r="B25" s="115" t="s">
        <v>45</v>
      </c>
      <c r="C25" s="109">
        <v>20.0</v>
      </c>
      <c r="D25" s="109">
        <v>13335.0</v>
      </c>
      <c r="E25" s="111">
        <f t="shared" si="0"/>
        <v>266700.0</v>
      </c>
      <c r="F25" s="109" t="s">
        <v>50</v>
      </c>
      <c r="G25" s="67" t="s">
        <v>207</v>
      </c>
      <c r="I25" s="109" t="s">
        <v>85</v>
      </c>
      <c r="J25" s="111">
        <f>E9+E10+E11</f>
        <v>298825.0</v>
      </c>
      <c r="K25" s="112">
        <f t="shared" si="2"/>
        <v>0.09045257312711791</v>
      </c>
      <c r="L25" s="112">
        <v>0.1638</v>
      </c>
    </row>
    <row r="26" spans="8:8" ht="14.25" customHeight="1">
      <c r="A26" s="107">
        <v>46214.0</v>
      </c>
      <c r="B26" s="110" t="s">
        <v>65</v>
      </c>
      <c r="C26" s="109">
        <v>9.0</v>
      </c>
      <c r="D26" s="109">
        <v>11910.0</v>
      </c>
      <c r="E26" s="111">
        <f t="shared" si="0"/>
        <v>107190.0</v>
      </c>
      <c r="F26" s="109" t="s">
        <v>50</v>
      </c>
      <c r="G26" s="67" t="s">
        <v>207</v>
      </c>
      <c r="I26" s="109" t="s">
        <v>29</v>
      </c>
      <c r="J26" s="111">
        <f>E12+E13+E14+E15+E16+E17+E18+E19+E20</f>
        <v>380190.0</v>
      </c>
      <c r="K26" s="112">
        <f t="shared" si="2"/>
        <v>0.11508128094101551</v>
      </c>
      <c r="L26" s="112">
        <v>0.0722</v>
      </c>
    </row>
    <row r="27" spans="8:8" ht="14.25" customHeight="1">
      <c r="A27" s="107">
        <v>46214.0</v>
      </c>
      <c r="B27" s="131" t="s">
        <v>113</v>
      </c>
      <c r="C27" s="109">
        <v>10.0</v>
      </c>
      <c r="D27" s="109">
        <v>14475.0</v>
      </c>
      <c r="E27" s="111">
        <f t="shared" si="0"/>
        <v>144750.0</v>
      </c>
      <c r="F27" s="109" t="s">
        <v>50</v>
      </c>
      <c r="G27" s="67" t="s">
        <v>207</v>
      </c>
      <c r="I27" s="109" t="s">
        <v>25</v>
      </c>
      <c r="J27" s="111">
        <f>E21+E22</f>
        <v>660400.0</v>
      </c>
      <c r="K27" s="112">
        <f t="shared" si="2"/>
        <v>0.19989920285501103</v>
      </c>
      <c r="L27" s="112">
        <v>-0.0201</v>
      </c>
    </row>
    <row r="28" spans="8:8" ht="14.25" customHeight="1">
      <c r="A28" s="107">
        <v>46214.0</v>
      </c>
      <c r="B28" s="116" t="s">
        <v>87</v>
      </c>
      <c r="C28" s="109">
        <v>10.0</v>
      </c>
      <c r="D28" s="109">
        <v>21400.0</v>
      </c>
      <c r="E28" s="111">
        <f t="shared" si="0"/>
        <v>214000.0</v>
      </c>
      <c r="F28" s="109" t="s">
        <v>50</v>
      </c>
      <c r="G28" s="67" t="s">
        <v>207</v>
      </c>
      <c r="I28" s="109" t="s">
        <v>75</v>
      </c>
      <c r="J28" s="111">
        <f>E23</f>
        <v>257600.0</v>
      </c>
      <c r="K28" s="112">
        <f t="shared" si="2"/>
        <v>0.07797400765513453</v>
      </c>
      <c r="L28" s="112">
        <v>0.0781</v>
      </c>
    </row>
    <row r="29" spans="8:8" ht="14.25" customHeight="1">
      <c r="A29" s="107">
        <v>46214.0</v>
      </c>
      <c r="B29" s="119" t="s">
        <v>22</v>
      </c>
      <c r="C29" s="109">
        <v>2.0</v>
      </c>
      <c r="D29" s="109">
        <v>9200.0</v>
      </c>
      <c r="E29" s="111">
        <f t="shared" si="0"/>
        <v>18400.0</v>
      </c>
      <c r="F29" s="109" t="s">
        <v>122</v>
      </c>
      <c r="G29" s="67" t="s">
        <v>208</v>
      </c>
      <c r="I29" s="109" t="s">
        <v>50</v>
      </c>
      <c r="J29" s="111">
        <f>E24+E25+E26+E27+E28</f>
        <v>824640.0</v>
      </c>
      <c r="K29" s="112">
        <f t="shared" si="2"/>
        <v>0.2496136866177412</v>
      </c>
      <c r="L29" s="112">
        <v>0.0995</v>
      </c>
    </row>
    <row r="30" spans="8:8" ht="14.25" customHeight="1">
      <c r="A30" s="107">
        <v>46214.0</v>
      </c>
      <c r="B30" s="118" t="s">
        <v>21</v>
      </c>
      <c r="C30" s="109">
        <v>1.0</v>
      </c>
      <c r="D30" s="109">
        <v>9000.0</v>
      </c>
      <c r="E30" s="111">
        <f t="shared" si="0"/>
        <v>9000.0</v>
      </c>
      <c r="F30" s="109" t="s">
        <v>122</v>
      </c>
      <c r="G30" s="67" t="s">
        <v>208</v>
      </c>
      <c r="I30" s="109" t="s">
        <v>122</v>
      </c>
      <c r="J30" s="111">
        <f>E29+E30+E31+E32+E33+E34+E35+E36+E37+E38</f>
        <v>136420.0</v>
      </c>
      <c r="K30" s="112">
        <f t="shared" si="2"/>
        <v>0.04129353309127893</v>
      </c>
      <c r="L30" s="112">
        <v>0.0577</v>
      </c>
    </row>
    <row r="31" spans="8:8" ht="14.25" customHeight="1">
      <c r="A31" s="107">
        <v>46214.0</v>
      </c>
      <c r="B31" s="120" t="s">
        <v>44</v>
      </c>
      <c r="C31" s="109">
        <v>1.0</v>
      </c>
      <c r="D31" s="109">
        <v>9200.0</v>
      </c>
      <c r="E31" s="111">
        <f t="shared" si="0"/>
        <v>9200.0</v>
      </c>
      <c r="F31" s="109" t="s">
        <v>122</v>
      </c>
      <c r="G31" s="67" t="s">
        <v>208</v>
      </c>
      <c r="I31" s="109" t="s">
        <v>703</v>
      </c>
      <c r="J31" s="111">
        <f>SUM(J21:J30)</f>
        <v>3303665.0</v>
      </c>
      <c r="K31" s="112">
        <f t="shared" si="2"/>
        <v>1.0</v>
      </c>
      <c r="L31" s="68"/>
    </row>
    <row r="32" spans="8:8" ht="14.25" customHeight="1">
      <c r="A32" s="107">
        <v>46214.0</v>
      </c>
      <c r="B32" s="127" t="s">
        <v>37</v>
      </c>
      <c r="C32" s="109">
        <v>1.0</v>
      </c>
      <c r="D32" s="109">
        <v>9200.0</v>
      </c>
      <c r="E32" s="111">
        <f t="shared" si="0"/>
        <v>9200.0</v>
      </c>
      <c r="F32" s="109" t="s">
        <v>122</v>
      </c>
      <c r="G32" s="67" t="s">
        <v>208</v>
      </c>
    </row>
    <row r="33" spans="8:8" ht="25.5" customHeight="1">
      <c r="A33" s="107">
        <v>46214.0</v>
      </c>
      <c r="B33" s="110" t="s">
        <v>65</v>
      </c>
      <c r="C33" s="109">
        <v>1.0</v>
      </c>
      <c r="D33" s="109">
        <v>11910.0</v>
      </c>
      <c r="E33" s="111">
        <f t="shared" si="0"/>
        <v>11910.0</v>
      </c>
      <c r="F33" s="109" t="s">
        <v>122</v>
      </c>
      <c r="G33" s="67" t="s">
        <v>208</v>
      </c>
      <c r="I33" s="106" t="s">
        <v>692</v>
      </c>
      <c r="J33" s="106" t="s">
        <v>690</v>
      </c>
      <c r="K33" s="106" t="s">
        <v>702</v>
      </c>
    </row>
    <row r="34" spans="8:8" ht="14.25" customHeight="1">
      <c r="A34" s="107">
        <v>46214.0</v>
      </c>
      <c r="B34" s="115" t="s">
        <v>45</v>
      </c>
      <c r="C34" s="109">
        <v>1.0</v>
      </c>
      <c r="D34" s="109">
        <v>13950.0</v>
      </c>
      <c r="E34" s="111">
        <f t="shared" si="0"/>
        <v>13950.0</v>
      </c>
      <c r="F34" s="109" t="s">
        <v>122</v>
      </c>
      <c r="G34" s="67" t="s">
        <v>208</v>
      </c>
      <c r="I34" s="117" t="s">
        <v>198</v>
      </c>
      <c r="J34" s="111">
        <v>56000.0</v>
      </c>
      <c r="K34" s="112">
        <v>0.09</v>
      </c>
    </row>
    <row r="35" spans="8:8" ht="14.25" customHeight="1">
      <c r="A35" s="107">
        <v>46214.0</v>
      </c>
      <c r="B35" s="130" t="s">
        <v>93</v>
      </c>
      <c r="C35" s="109">
        <v>1.0</v>
      </c>
      <c r="D35" s="109">
        <v>11600.0</v>
      </c>
      <c r="E35" s="111">
        <f t="shared" si="0"/>
        <v>11600.0</v>
      </c>
      <c r="F35" s="109" t="s">
        <v>122</v>
      </c>
      <c r="G35" s="67" t="s">
        <v>208</v>
      </c>
      <c r="I35" s="117" t="s">
        <v>199</v>
      </c>
      <c r="J35" s="111">
        <v>16140.0</v>
      </c>
      <c r="K35" s="112">
        <v>0.08</v>
      </c>
    </row>
    <row r="36" spans="8:8" ht="14.25" customHeight="1">
      <c r="A36" s="107">
        <v>46214.0</v>
      </c>
      <c r="B36" s="109" t="s">
        <v>43</v>
      </c>
      <c r="C36" s="109">
        <v>1.0</v>
      </c>
      <c r="D36" s="109">
        <v>18300.0</v>
      </c>
      <c r="E36" s="111">
        <f t="shared" si="0"/>
        <v>18300.0</v>
      </c>
      <c r="F36" s="109" t="s">
        <v>122</v>
      </c>
      <c r="G36" s="67" t="s">
        <v>208</v>
      </c>
      <c r="I36" s="117" t="s">
        <v>200</v>
      </c>
      <c r="J36" s="111">
        <v>150000.0</v>
      </c>
      <c r="K36" s="112">
        <v>-0.04</v>
      </c>
    </row>
    <row r="37" spans="8:8" ht="14.25" customHeight="1">
      <c r="A37" s="107">
        <v>46214.0</v>
      </c>
      <c r="B37" s="116" t="s">
        <v>87</v>
      </c>
      <c r="C37" s="109">
        <v>1.0</v>
      </c>
      <c r="D37" s="109">
        <v>21400.0</v>
      </c>
      <c r="E37" s="111">
        <f t="shared" si="0"/>
        <v>21400.0</v>
      </c>
      <c r="F37" s="109" t="s">
        <v>122</v>
      </c>
      <c r="G37" s="67" t="s">
        <v>208</v>
      </c>
      <c r="I37" s="117" t="s">
        <v>201</v>
      </c>
      <c r="J37" s="111">
        <v>15950.0</v>
      </c>
      <c r="K37" s="112">
        <v>0.19</v>
      </c>
    </row>
    <row r="38" spans="8:8" ht="14.25" customHeight="1">
      <c r="A38" s="107">
        <v>46214.0</v>
      </c>
      <c r="B38" s="109" t="s">
        <v>70</v>
      </c>
      <c r="C38" s="109">
        <v>1.0</v>
      </c>
      <c r="D38" s="109">
        <v>13460.0</v>
      </c>
      <c r="E38" s="111">
        <f t="shared" si="0"/>
        <v>13460.0</v>
      </c>
      <c r="F38" s="109" t="s">
        <v>122</v>
      </c>
      <c r="G38" s="67" t="s">
        <v>208</v>
      </c>
      <c r="I38" s="117" t="s">
        <v>202</v>
      </c>
      <c r="J38" s="111">
        <v>500000.0</v>
      </c>
      <c r="K38" s="112">
        <v>-0.04</v>
      </c>
    </row>
    <row r="39" spans="8:8" ht="14.25" customHeight="1">
      <c r="A39" s="107">
        <v>46214.0</v>
      </c>
      <c r="B39" s="127" t="s">
        <v>37</v>
      </c>
      <c r="C39" s="109">
        <v>1.0</v>
      </c>
      <c r="D39" s="109">
        <v>9500.0</v>
      </c>
      <c r="E39" s="111">
        <f t="shared" si="0"/>
        <v>9500.0</v>
      </c>
      <c r="F39" s="109" t="s">
        <v>102</v>
      </c>
      <c r="G39" s="67" t="s">
        <v>209</v>
      </c>
      <c r="I39" s="117" t="s">
        <v>203</v>
      </c>
      <c r="J39" s="111">
        <v>337825.0</v>
      </c>
      <c r="K39" s="112">
        <v>0.16</v>
      </c>
    </row>
    <row r="40" spans="8:8" ht="14.25" customHeight="1">
      <c r="A40" s="68"/>
      <c r="B40" s="109" t="s">
        <v>701</v>
      </c>
      <c r="C40" s="109">
        <f>SUM(C2:C39)</f>
        <v>410.0</v>
      </c>
      <c r="D40" s="109">
        <f>SUM(D2:D39)</f>
        <v>461910.0</v>
      </c>
      <c r="E40" s="111">
        <f>SUM(E2:E39)</f>
        <v>3303665.0</v>
      </c>
      <c r="F40" s="68"/>
      <c r="G40" s="68"/>
      <c r="I40" s="117" t="s">
        <v>204</v>
      </c>
      <c r="J40" s="111">
        <v>438990.0</v>
      </c>
      <c r="K40" s="112">
        <v>0.07</v>
      </c>
    </row>
    <row r="41" spans="8:8" ht="14.25" customHeight="1">
      <c r="I41" s="117" t="s">
        <v>205</v>
      </c>
      <c r="J41" s="111">
        <v>660400.0</v>
      </c>
      <c r="K41" s="112">
        <v>-0.02</v>
      </c>
    </row>
    <row r="42" spans="8:8" ht="14.25" customHeight="1">
      <c r="I42" s="117" t="s">
        <v>206</v>
      </c>
      <c r="J42" s="111">
        <v>308000.0</v>
      </c>
      <c r="K42" s="112">
        <v>0.08</v>
      </c>
    </row>
    <row r="43" spans="8:8" ht="14.25" customHeight="1">
      <c r="I43" s="117" t="s">
        <v>207</v>
      </c>
      <c r="J43" s="111">
        <v>936840.0</v>
      </c>
      <c r="K43" s="112">
        <v>0.1</v>
      </c>
    </row>
    <row r="44" spans="8:8" ht="14.25" customHeight="1">
      <c r="I44" s="117" t="s">
        <v>208</v>
      </c>
      <c r="J44" s="111">
        <v>136420.0</v>
      </c>
      <c r="K44" s="112">
        <v>0.06</v>
      </c>
    </row>
    <row r="45" spans="8:8" ht="14.25" customHeight="1">
      <c r="I45" s="117" t="s">
        <v>209</v>
      </c>
      <c r="J45" s="111">
        <v>9500.0</v>
      </c>
      <c r="K45" s="112">
        <v>0.1</v>
      </c>
    </row>
    <row r="46" spans="8:8" ht="14.25" customHeight="1">
      <c r="I46" s="109" t="s">
        <v>703</v>
      </c>
      <c r="J46" s="111">
        <f>SUM(J34:J45)</f>
        <v>3566065.0</v>
      </c>
      <c r="K46" s="68"/>
    </row>
  </sheetData>
  <hyperlinks>
    <hyperlink ref="G2" r:id="rId2"/>
    <hyperlink ref="G3" r:id="rId3"/>
    <hyperlink ref="G4" r:id="rId4"/>
    <hyperlink ref="G5" r:id="rId5"/>
    <hyperlink ref="G6" r:id="rId6"/>
    <hyperlink ref="G7" r:id="rId7"/>
    <hyperlink ref="G8" r:id="rId8"/>
    <hyperlink ref="G9" r:id="rId9"/>
    <hyperlink ref="G10" r:id="rId10"/>
    <hyperlink ref="G11" r:id="rId11"/>
    <hyperlink ref="G12" r:id="rId12"/>
    <hyperlink ref="G13" r:id="rId13"/>
    <hyperlink ref="G14" r:id="rId14"/>
    <hyperlink ref="G15" r:id="rId15"/>
    <hyperlink ref="G16" r:id="rId16"/>
    <hyperlink ref="G17" r:id="rId17"/>
    <hyperlink ref="G18" r:id="rId18"/>
    <hyperlink ref="G19" r:id="rId19"/>
    <hyperlink ref="G20" r:id="rId20"/>
    <hyperlink ref="G21" r:id="rId21"/>
    <hyperlink ref="G22" r:id="rId22"/>
    <hyperlink ref="G23" r:id="rId23"/>
    <hyperlink ref="G24" r:id="rId24"/>
    <hyperlink ref="G25" r:id="rId25"/>
    <hyperlink ref="G26" r:id="rId26"/>
    <hyperlink ref="G27" r:id="rId27"/>
    <hyperlink ref="G28" r:id="rId28"/>
    <hyperlink ref="G29" r:id="rId29"/>
    <hyperlink ref="G30" r:id="rId30"/>
    <hyperlink ref="G31" r:id="rId31"/>
    <hyperlink ref="G32" r:id="rId32"/>
    <hyperlink ref="G33" r:id="rId33"/>
    <hyperlink ref="G34" r:id="rId34"/>
    <hyperlink ref="I34" r:id="rId35"/>
    <hyperlink ref="G35" r:id="rId36"/>
    <hyperlink ref="I35" r:id="rId37"/>
    <hyperlink ref="G36" r:id="rId38"/>
    <hyperlink ref="I36" r:id="rId39"/>
    <hyperlink ref="G37" r:id="rId40"/>
    <hyperlink ref="I37" r:id="rId41"/>
    <hyperlink ref="G38" r:id="rId42"/>
    <hyperlink ref="I38" r:id="rId43"/>
    <hyperlink ref="G39" r:id="rId44"/>
    <hyperlink ref="I39" r:id="rId45"/>
    <hyperlink ref="I40" r:id="rId46"/>
    <hyperlink ref="I41" r:id="rId47"/>
    <hyperlink ref="I42" r:id="rId48"/>
    <hyperlink ref="I43" r:id="rId49"/>
    <hyperlink ref="I44" r:id="rId50"/>
    <hyperlink ref="I45" r:id="rId51"/>
  </hyperlinks>
  <pageMargins left="0.75" right="0.75" top="1.0" bottom="1.0" header="0.511811023622047" footer="0.511811023622047"/>
  <drawing r:id="rId1"/>
</worksheet>
</file>

<file path=xl/worksheets/sheet15.xml><?xml version="1.0" encoding="utf-8"?>
<worksheet xmlns:r="http://schemas.openxmlformats.org/officeDocument/2006/relationships" xmlns="http://schemas.openxmlformats.org/spreadsheetml/2006/main">
  <dimension ref="A1:Q2"/>
  <sheetViews>
    <sheetView workbookViewId="0" topLeftCell="A2">
      <selection activeCell="A1" sqref="A1"/>
    </sheetView>
  </sheetViews>
  <sheetFormatPr defaultRowHeight="14.5"/>
  <cols>
    <col min="1" max="1" customWidth="1" width="11.269531" style="60"/>
    <col min="2" max="2" customWidth="1" width="18.089844" style="60"/>
    <col min="3" max="3" customWidth="1" width="10.90625" style="60"/>
    <col min="4" max="4" customWidth="1" width="11.90625" style="60"/>
    <col min="5" max="5" customWidth="1" width="12.453125" style="60"/>
    <col min="6" max="6" customWidth="1" width="21.542969" style="60"/>
    <col min="7" max="7" customWidth="1" width="11.90625" style="60"/>
    <col min="8" max="8" customWidth="1" width="3.0" style="60"/>
    <col min="9" max="9" customWidth="1" width="21.542969" style="60"/>
    <col min="10" max="10" customWidth="1" width="12.453125" style="60"/>
    <col min="11" max="11" customWidth="1" width="17.726562" style="60"/>
    <col min="12" max="12" customWidth="1" width="9.542969" style="60"/>
    <col min="13" max="13" customWidth="1" width="3.0" style="60"/>
    <col min="14" max="16" customWidth="1" width="13.0" style="60"/>
  </cols>
  <sheetData>
    <row r="1" spans="8:8" ht="18.0" customHeight="1">
      <c r="A1" s="104" t="s">
        <v>708</v>
      </c>
    </row>
    <row r="2" spans="8:8" ht="14.25" customHeight="1">
      <c r="A2" s="105" t="s">
        <v>707</v>
      </c>
    </row>
  </sheetData>
  <pageMargins left="0.75" right="0.75" top="1.0" bottom="1.0" header="0.511811023622047" footer="0.511811023622047"/>
</worksheet>
</file>

<file path=xl/worksheets/sheet16.xml><?xml version="1.0" encoding="utf-8"?>
<worksheet xmlns:r="http://schemas.openxmlformats.org/officeDocument/2006/relationships" xmlns="http://schemas.openxmlformats.org/spreadsheetml/2006/main">
  <dimension ref="A1:Q37"/>
  <sheetViews>
    <sheetView workbookViewId="0" zoomScale="56">
      <selection activeCell="C29" sqref="C29"/>
    </sheetView>
  </sheetViews>
  <sheetFormatPr defaultRowHeight="14.5"/>
  <cols>
    <col min="1" max="1" customWidth="1" width="9.542969" style="60"/>
    <col min="2" max="2" customWidth="1" width="20.363281" style="60"/>
    <col min="3" max="3" customWidth="1" width="11.6328125" style="60"/>
    <col min="4" max="4" customWidth="1" width="14.7265625" style="60"/>
    <col min="5" max="5" customWidth="1" width="12.90625" style="60"/>
    <col min="6" max="6" customWidth="1" width="15.363281" style="60"/>
    <col min="7" max="7" customWidth="1" width="12.453125" style="60"/>
    <col min="8" max="8" customWidth="1" width="3.0" style="60"/>
    <col min="9" max="9" customWidth="1" width="20.363281" style="60"/>
    <col min="10" max="10" customWidth="1" width="12.90625" style="60"/>
    <col min="11" max="12" customWidth="1" width="18.269531" style="60"/>
    <col min="13" max="13" customWidth="1" width="3.0" style="60"/>
    <col min="14" max="14" customWidth="1" width="12.6328125" style="60"/>
    <col min="15" max="16" customWidth="1" width="16.179688" style="60"/>
  </cols>
  <sheetData>
    <row r="1" spans="8:8" ht="25.5" customHeight="1">
      <c r="A1" s="106" t="s">
        <v>686</v>
      </c>
      <c r="B1" s="106" t="s">
        <v>687</v>
      </c>
      <c r="C1" s="106" t="s">
        <v>688</v>
      </c>
      <c r="D1" s="106" t="s">
        <v>689</v>
      </c>
      <c r="E1" s="106" t="s">
        <v>690</v>
      </c>
      <c r="F1" s="106" t="s">
        <v>691</v>
      </c>
      <c r="G1" s="106" t="s">
        <v>692</v>
      </c>
      <c r="I1" s="106" t="s">
        <v>687</v>
      </c>
      <c r="J1" s="106" t="s">
        <v>693</v>
      </c>
      <c r="K1" s="106" t="s">
        <v>694</v>
      </c>
      <c r="L1" s="106" t="s">
        <v>695</v>
      </c>
      <c r="N1" s="106" t="s">
        <v>696</v>
      </c>
      <c r="O1" s="106" t="s">
        <v>697</v>
      </c>
      <c r="P1" s="106" t="s">
        <v>698</v>
      </c>
    </row>
    <row r="2" spans="8:8" ht="14.25" customHeight="1">
      <c r="A2" s="107">
        <v>46216.0</v>
      </c>
      <c r="B2" s="119" t="s">
        <v>24</v>
      </c>
      <c r="C2" s="109">
        <v>1240.0</v>
      </c>
      <c r="D2" s="110">
        <v>4950.0</v>
      </c>
      <c r="E2" s="111">
        <f t="shared" si="0" ref="E2:E21">C2*D2</f>
        <v>6138000.0</v>
      </c>
      <c r="F2" s="109" t="s">
        <v>210</v>
      </c>
      <c r="G2" s="67" t="s">
        <v>211</v>
      </c>
      <c r="I2" s="119" t="s">
        <v>24</v>
      </c>
      <c r="J2" s="109">
        <f>C2+C15</f>
        <v>1390.0</v>
      </c>
      <c r="K2" s="111">
        <f>E2+E15</f>
        <v>6888000.0</v>
      </c>
      <c r="L2" s="112">
        <f t="shared" si="1" ref="L2:L18">K2/K$18</f>
        <v>0.71994631759165</v>
      </c>
      <c r="N2" s="132">
        <f>K18</f>
        <v>9567380.0</v>
      </c>
      <c r="O2" s="133">
        <f>J18</f>
        <v>1675.0</v>
      </c>
      <c r="P2" s="133">
        <f>COUNT(J2:J17)</f>
        <v>16.0</v>
      </c>
    </row>
    <row r="3" spans="8:8" ht="14.25" customHeight="1">
      <c r="A3" s="107">
        <v>46216.0</v>
      </c>
      <c r="B3" s="108" t="s">
        <v>22</v>
      </c>
      <c r="C3" s="109">
        <v>5.0</v>
      </c>
      <c r="D3" s="110">
        <v>9200.0</v>
      </c>
      <c r="E3" s="111">
        <f t="shared" si="0"/>
        <v>46000.0</v>
      </c>
      <c r="F3" s="109" t="s">
        <v>212</v>
      </c>
      <c r="G3" s="67" t="s">
        <v>213</v>
      </c>
      <c r="I3" s="108" t="s">
        <v>22</v>
      </c>
      <c r="J3" s="109">
        <f>C3+C4</f>
        <v>22.0</v>
      </c>
      <c r="K3" s="111">
        <f>E3+E4</f>
        <v>195600.0</v>
      </c>
      <c r="L3" s="112">
        <f t="shared" si="1"/>
        <v>0.02044446860059912</v>
      </c>
    </row>
    <row r="4" spans="8:8" ht="14.25" customHeight="1">
      <c r="A4" s="107">
        <v>46216.0</v>
      </c>
      <c r="B4" s="108" t="s">
        <v>22</v>
      </c>
      <c r="C4" s="109">
        <v>17.0</v>
      </c>
      <c r="D4" s="110">
        <v>8800.0</v>
      </c>
      <c r="E4" s="111">
        <f t="shared" si="0"/>
        <v>149600.0</v>
      </c>
      <c r="F4" s="109" t="s">
        <v>29</v>
      </c>
      <c r="G4" s="67" t="s">
        <v>214</v>
      </c>
      <c r="I4" s="120" t="s">
        <v>45</v>
      </c>
      <c r="J4" s="109">
        <f>C5+C17</f>
        <v>17.0</v>
      </c>
      <c r="K4" s="111">
        <f>E5+E17</f>
        <v>232845.0</v>
      </c>
      <c r="L4" s="112">
        <f t="shared" si="1"/>
        <v>0.02433738390238498</v>
      </c>
    </row>
    <row r="5" spans="8:8" ht="14.25" customHeight="1">
      <c r="A5" s="107">
        <v>46216.0</v>
      </c>
      <c r="B5" s="120" t="s">
        <v>45</v>
      </c>
      <c r="C5" s="109">
        <v>7.0</v>
      </c>
      <c r="D5" s="110">
        <v>13335.0</v>
      </c>
      <c r="E5" s="111">
        <f t="shared" si="0"/>
        <v>93345.0</v>
      </c>
      <c r="F5" s="109" t="s">
        <v>29</v>
      </c>
      <c r="G5" s="67" t="s">
        <v>214</v>
      </c>
      <c r="I5" s="109" t="s">
        <v>65</v>
      </c>
      <c r="J5" s="109">
        <f>C6</f>
        <v>3.0</v>
      </c>
      <c r="K5" s="111">
        <f>E6</f>
        <v>35730.0</v>
      </c>
      <c r="L5" s="112">
        <f t="shared" si="1"/>
        <v>0.003734564739772017</v>
      </c>
    </row>
    <row r="6" spans="8:8" ht="14.25" customHeight="1">
      <c r="A6" s="107">
        <v>46216.0</v>
      </c>
      <c r="B6" s="109" t="s">
        <v>65</v>
      </c>
      <c r="C6" s="109">
        <v>3.0</v>
      </c>
      <c r="D6" s="110">
        <v>11910.0</v>
      </c>
      <c r="E6" s="111">
        <f t="shared" si="0"/>
        <v>35730.0</v>
      </c>
      <c r="F6" s="109" t="s">
        <v>29</v>
      </c>
      <c r="G6" s="67" t="s">
        <v>214</v>
      </c>
      <c r="I6" s="109" t="s">
        <v>113</v>
      </c>
      <c r="J6" s="109">
        <f>C7</f>
        <v>2.0</v>
      </c>
      <c r="K6" s="111">
        <f>E7</f>
        <v>29150.0</v>
      </c>
      <c r="L6" s="112">
        <f t="shared" si="1"/>
        <v>0.0030468111436986927</v>
      </c>
    </row>
    <row r="7" spans="8:8" ht="14.25" customHeight="1">
      <c r="A7" s="107">
        <v>46216.0</v>
      </c>
      <c r="B7" s="109" t="s">
        <v>113</v>
      </c>
      <c r="C7" s="109">
        <v>2.0</v>
      </c>
      <c r="D7" s="110">
        <v>14575.0</v>
      </c>
      <c r="E7" s="111">
        <f t="shared" si="0"/>
        <v>29150.0</v>
      </c>
      <c r="F7" s="109" t="s">
        <v>29</v>
      </c>
      <c r="G7" s="67" t="s">
        <v>214</v>
      </c>
      <c r="I7" s="109" t="s">
        <v>37</v>
      </c>
      <c r="J7" s="109">
        <f>C8</f>
        <v>3.0</v>
      </c>
      <c r="K7" s="111">
        <f>E8</f>
        <v>26640.0</v>
      </c>
      <c r="L7" s="112">
        <f t="shared" si="1"/>
        <v>0.00278446136768896</v>
      </c>
    </row>
    <row r="8" spans="8:8" ht="14.25" customHeight="1">
      <c r="A8" s="107">
        <v>46216.0</v>
      </c>
      <c r="B8" s="109" t="s">
        <v>37</v>
      </c>
      <c r="C8" s="109">
        <v>3.0</v>
      </c>
      <c r="D8" s="110">
        <v>8880.0</v>
      </c>
      <c r="E8" s="111">
        <f t="shared" si="0"/>
        <v>26640.0</v>
      </c>
      <c r="F8" s="109" t="s">
        <v>29</v>
      </c>
      <c r="G8" s="67" t="s">
        <v>214</v>
      </c>
      <c r="I8" s="109" t="s">
        <v>36</v>
      </c>
      <c r="J8" s="109">
        <f>C9</f>
        <v>2.0</v>
      </c>
      <c r="K8" s="111">
        <f>E9</f>
        <v>31050.0</v>
      </c>
      <c r="L8" s="112">
        <f t="shared" si="1"/>
        <v>0.003245402607610443</v>
      </c>
    </row>
    <row r="9" spans="8:8" ht="14.25" customHeight="1">
      <c r="A9" s="107">
        <v>46216.0</v>
      </c>
      <c r="B9" s="109" t="s">
        <v>36</v>
      </c>
      <c r="C9" s="109">
        <v>2.0</v>
      </c>
      <c r="D9" s="110">
        <v>15525.0</v>
      </c>
      <c r="E9" s="111">
        <f t="shared" si="0"/>
        <v>31050.0</v>
      </c>
      <c r="F9" s="109" t="s">
        <v>29</v>
      </c>
      <c r="G9" s="67" t="s">
        <v>214</v>
      </c>
      <c r="I9" s="109" t="s">
        <v>87</v>
      </c>
      <c r="J9" s="109">
        <f>C10</f>
        <v>1.0</v>
      </c>
      <c r="K9" s="111">
        <f>E10</f>
        <v>21400.0</v>
      </c>
      <c r="L9" s="112">
        <f t="shared" si="1"/>
        <v>0.0022367670145849753</v>
      </c>
    </row>
    <row r="10" spans="8:8" ht="14.25" customHeight="1">
      <c r="A10" s="107">
        <v>46216.0</v>
      </c>
      <c r="B10" s="109" t="s">
        <v>87</v>
      </c>
      <c r="C10" s="109">
        <v>1.0</v>
      </c>
      <c r="D10" s="110">
        <v>21400.0</v>
      </c>
      <c r="E10" s="111">
        <f t="shared" si="0"/>
        <v>21400.0</v>
      </c>
      <c r="F10" s="109" t="s">
        <v>29</v>
      </c>
      <c r="G10" s="67" t="s">
        <v>214</v>
      </c>
      <c r="I10" s="109" t="s">
        <v>150</v>
      </c>
      <c r="J10" s="109">
        <f>C11+C19</f>
        <v>6.0</v>
      </c>
      <c r="K10" s="111">
        <f>E11+E19</f>
        <v>61890.0</v>
      </c>
      <c r="L10" s="112">
        <f t="shared" si="1"/>
        <v>0.006468855632367482</v>
      </c>
    </row>
    <row r="11" spans="8:8" ht="14.25" customHeight="1">
      <c r="A11" s="107">
        <v>46216.0</v>
      </c>
      <c r="B11" s="114" t="s">
        <v>150</v>
      </c>
      <c r="C11" s="109">
        <v>1.0</v>
      </c>
      <c r="D11" s="110">
        <v>10315.0</v>
      </c>
      <c r="E11" s="111">
        <f t="shared" si="0"/>
        <v>10315.0</v>
      </c>
      <c r="F11" s="109" t="s">
        <v>29</v>
      </c>
      <c r="G11" s="67" t="s">
        <v>214</v>
      </c>
      <c r="I11" s="109" t="s">
        <v>93</v>
      </c>
      <c r="J11" s="109">
        <f>C12</f>
        <v>1.0</v>
      </c>
      <c r="K11" s="111">
        <f>E12</f>
        <v>11415.0</v>
      </c>
      <c r="L11" s="112">
        <f t="shared" si="1"/>
        <v>0.0011931166108171726</v>
      </c>
    </row>
    <row r="12" spans="8:8" ht="14.25" customHeight="1">
      <c r="A12" s="107">
        <v>46216.0</v>
      </c>
      <c r="B12" s="109" t="s">
        <v>93</v>
      </c>
      <c r="C12" s="109">
        <v>1.0</v>
      </c>
      <c r="D12" s="110">
        <v>11415.0</v>
      </c>
      <c r="E12" s="111">
        <f t="shared" si="0"/>
        <v>11415.0</v>
      </c>
      <c r="F12" s="109" t="s">
        <v>29</v>
      </c>
      <c r="G12" s="67" t="s">
        <v>214</v>
      </c>
      <c r="I12" s="109" t="s">
        <v>44</v>
      </c>
      <c r="J12" s="109">
        <f>C13</f>
        <v>21.0</v>
      </c>
      <c r="K12" s="111">
        <f>E13</f>
        <v>193200.0</v>
      </c>
      <c r="L12" s="112">
        <f t="shared" si="1"/>
        <v>0.020193616225131644</v>
      </c>
    </row>
    <row r="13" spans="8:8" ht="14.25" customHeight="1">
      <c r="A13" s="107">
        <v>46216.0</v>
      </c>
      <c r="B13" s="109" t="s">
        <v>44</v>
      </c>
      <c r="C13" s="109">
        <v>21.0</v>
      </c>
      <c r="D13" s="110">
        <v>9200.0</v>
      </c>
      <c r="E13" s="111">
        <f t="shared" si="0"/>
        <v>193200.0</v>
      </c>
      <c r="F13" s="109" t="s">
        <v>29</v>
      </c>
      <c r="G13" s="67" t="s">
        <v>214</v>
      </c>
      <c r="I13" s="109" t="s">
        <v>80</v>
      </c>
      <c r="J13" s="109">
        <f>C14</f>
        <v>1.0</v>
      </c>
      <c r="K13" s="111">
        <f>E14</f>
        <v>9345.0</v>
      </c>
      <c r="L13" s="112">
        <f t="shared" si="1"/>
        <v>9.767564369764763E-4</v>
      </c>
    </row>
    <row r="14" spans="8:8" ht="14.25" customHeight="1">
      <c r="A14" s="107">
        <v>46216.0</v>
      </c>
      <c r="B14" s="109" t="s">
        <v>80</v>
      </c>
      <c r="C14" s="109">
        <v>1.0</v>
      </c>
      <c r="D14" s="110">
        <v>9345.0</v>
      </c>
      <c r="E14" s="111">
        <f t="shared" si="0"/>
        <v>9345.0</v>
      </c>
      <c r="F14" s="109" t="s">
        <v>29</v>
      </c>
      <c r="G14" s="67" t="s">
        <v>215</v>
      </c>
      <c r="I14" s="109" t="s">
        <v>28</v>
      </c>
      <c r="J14" s="109">
        <f>C16</f>
        <v>5.0</v>
      </c>
      <c r="K14" s="111">
        <f>E16</f>
        <v>65750.0</v>
      </c>
      <c r="L14" s="112">
        <f t="shared" si="1"/>
        <v>0.0068723098695776695</v>
      </c>
    </row>
    <row r="15" spans="8:8" ht="14.25" customHeight="1">
      <c r="A15" s="107">
        <v>46216.0</v>
      </c>
      <c r="B15" s="119" t="s">
        <v>24</v>
      </c>
      <c r="C15" s="109">
        <v>150.0</v>
      </c>
      <c r="D15" s="110">
        <v>5000.0</v>
      </c>
      <c r="E15" s="111">
        <f t="shared" si="0"/>
        <v>750000.0</v>
      </c>
      <c r="F15" s="109" t="s">
        <v>25</v>
      </c>
      <c r="G15" s="67" t="s">
        <v>216</v>
      </c>
      <c r="I15" s="109" t="s">
        <v>101</v>
      </c>
      <c r="J15" s="109">
        <f>C18</f>
        <v>3.0</v>
      </c>
      <c r="K15" s="111">
        <f>E18</f>
        <v>43365.0</v>
      </c>
      <c r="L15" s="112">
        <f t="shared" si="1"/>
        <v>0.004532588859227919</v>
      </c>
    </row>
    <row r="16" spans="8:8" ht="14.25" customHeight="1">
      <c r="A16" s="107">
        <v>46216.0</v>
      </c>
      <c r="B16" s="109" t="s">
        <v>28</v>
      </c>
      <c r="C16" s="109">
        <v>5.0</v>
      </c>
      <c r="D16" s="110">
        <v>13150.0</v>
      </c>
      <c r="E16" s="111">
        <f t="shared" si="0"/>
        <v>65750.0</v>
      </c>
      <c r="F16" s="109" t="s">
        <v>25</v>
      </c>
      <c r="G16" s="67" t="s">
        <v>216</v>
      </c>
      <c r="I16" s="109" t="s">
        <v>190</v>
      </c>
      <c r="J16" s="109">
        <f>C20</f>
        <v>6.0</v>
      </c>
      <c r="K16" s="111">
        <f>E20</f>
        <v>234000.0</v>
      </c>
      <c r="L16" s="112">
        <f t="shared" si="1"/>
        <v>0.024458106608078702</v>
      </c>
    </row>
    <row r="17" spans="8:8" ht="14.25" customHeight="1">
      <c r="A17" s="107">
        <v>46216.0</v>
      </c>
      <c r="B17" s="120" t="s">
        <v>45</v>
      </c>
      <c r="C17" s="109">
        <v>10.0</v>
      </c>
      <c r="D17" s="110">
        <v>13950.0</v>
      </c>
      <c r="E17" s="111">
        <f t="shared" si="0"/>
        <v>139500.0</v>
      </c>
      <c r="F17" s="109" t="s">
        <v>85</v>
      </c>
      <c r="G17" s="67" t="s">
        <v>217</v>
      </c>
      <c r="I17" s="109" t="s">
        <v>27</v>
      </c>
      <c r="J17" s="109">
        <f>C21</f>
        <v>192.0</v>
      </c>
      <c r="K17" s="111">
        <f>E21</f>
        <v>1488000.0</v>
      </c>
      <c r="L17" s="112">
        <f t="shared" si="1"/>
        <v>0.15552847278983378</v>
      </c>
    </row>
    <row r="18" spans="8:8" ht="14.25" customHeight="1">
      <c r="A18" s="107">
        <v>46216.0</v>
      </c>
      <c r="B18" s="109" t="s">
        <v>101</v>
      </c>
      <c r="C18" s="109">
        <v>3.0</v>
      </c>
      <c r="D18" s="110">
        <v>14455.0</v>
      </c>
      <c r="E18" s="111">
        <f t="shared" si="0"/>
        <v>43365.0</v>
      </c>
      <c r="F18" s="109" t="s">
        <v>85</v>
      </c>
      <c r="G18" s="67" t="s">
        <v>217</v>
      </c>
      <c r="I18" s="109" t="s">
        <v>701</v>
      </c>
      <c r="J18" s="109">
        <f>SUM(J2:J17)</f>
        <v>1675.0</v>
      </c>
      <c r="K18" s="111">
        <f>SUM(K2:K17)</f>
        <v>9567380.0</v>
      </c>
      <c r="L18" s="112">
        <f t="shared" si="1"/>
        <v>1.0</v>
      </c>
    </row>
    <row r="19" spans="8:8" ht="14.25" customHeight="1">
      <c r="A19" s="107">
        <v>46216.0</v>
      </c>
      <c r="B19" s="114" t="s">
        <v>150</v>
      </c>
      <c r="C19" s="109">
        <v>5.0</v>
      </c>
      <c r="D19" s="110">
        <v>10315.0</v>
      </c>
      <c r="E19" s="111">
        <f t="shared" si="0"/>
        <v>51575.0</v>
      </c>
      <c r="F19" s="109" t="s">
        <v>85</v>
      </c>
      <c r="G19" s="67" t="s">
        <v>217</v>
      </c>
    </row>
    <row r="20" spans="8:8" ht="25.5" customHeight="1">
      <c r="A20" s="107">
        <v>46216.0</v>
      </c>
      <c r="B20" s="109" t="s">
        <v>190</v>
      </c>
      <c r="C20" s="109">
        <v>6.0</v>
      </c>
      <c r="D20" s="110">
        <v>39000.0</v>
      </c>
      <c r="E20" s="111">
        <f t="shared" si="0"/>
        <v>234000.0</v>
      </c>
      <c r="F20" s="109" t="s">
        <v>85</v>
      </c>
      <c r="G20" s="67" t="s">
        <v>217</v>
      </c>
      <c r="I20" s="106" t="s">
        <v>691</v>
      </c>
      <c r="J20" s="106" t="s">
        <v>690</v>
      </c>
      <c r="K20" s="106" t="s">
        <v>695</v>
      </c>
      <c r="L20" s="106" t="s">
        <v>702</v>
      </c>
    </row>
    <row r="21" spans="8:8" ht="14.25" customHeight="1">
      <c r="A21" s="107">
        <v>46216.0</v>
      </c>
      <c r="B21" s="109" t="s">
        <v>27</v>
      </c>
      <c r="C21" s="109">
        <v>192.0</v>
      </c>
      <c r="D21" s="110">
        <v>7750.0</v>
      </c>
      <c r="E21" s="111">
        <f t="shared" si="0"/>
        <v>1488000.0</v>
      </c>
      <c r="F21" s="109" t="s">
        <v>127</v>
      </c>
      <c r="G21" s="67" t="s">
        <v>218</v>
      </c>
      <c r="I21" s="109" t="s">
        <v>210</v>
      </c>
      <c r="J21" s="111">
        <f>E2</f>
        <v>6138000.0</v>
      </c>
      <c r="K21" s="112">
        <f t="shared" si="2" ref="K21:K27">J21/J$27</f>
        <v>0.6415549502580644</v>
      </c>
      <c r="L21" s="112">
        <v>-0.0505</v>
      </c>
    </row>
    <row r="22" spans="8:8" ht="14.25" customHeight="1">
      <c r="A22" s="68"/>
      <c r="B22" s="109" t="s">
        <v>701</v>
      </c>
      <c r="C22" s="109">
        <f>SUM(C2:C21)</f>
        <v>1675.0</v>
      </c>
      <c r="D22" s="109">
        <f>SUM(D2:D21)</f>
        <v>252470.0</v>
      </c>
      <c r="E22" s="111">
        <f>SUM(E2:E21)</f>
        <v>9567380.0</v>
      </c>
      <c r="F22" s="68"/>
      <c r="G22" s="68"/>
      <c r="I22" s="109" t="s">
        <v>212</v>
      </c>
      <c r="J22" s="111">
        <f>E3</f>
        <v>46000.0</v>
      </c>
      <c r="K22" s="112">
        <f t="shared" si="2"/>
        <v>0.004808003863126582</v>
      </c>
      <c r="L22" s="112">
        <v>0.059</v>
      </c>
    </row>
    <row r="23" spans="8:8" ht="14.25" customHeight="1">
      <c r="I23" s="109" t="s">
        <v>29</v>
      </c>
      <c r="J23" s="111">
        <f>E4+E5+E6+E7+E8+E9+E10+E11+E12+E13+E14</f>
        <v>611190.0</v>
      </c>
      <c r="K23" s="112">
        <f t="shared" si="2"/>
        <v>0.06388269306748556</v>
      </c>
      <c r="L23" s="112">
        <v>0.0658</v>
      </c>
    </row>
    <row r="24" spans="8:8" ht="14.25" customHeight="1">
      <c r="I24" s="109" t="s">
        <v>25</v>
      </c>
      <c r="J24" s="111">
        <f>E15+E16</f>
        <v>815750.0</v>
      </c>
      <c r="K24" s="112">
        <f t="shared" si="2"/>
        <v>0.08526367720316325</v>
      </c>
      <c r="L24" s="112">
        <v>-0.0389</v>
      </c>
    </row>
    <row r="25" spans="8:8" ht="14.25" customHeight="1">
      <c r="I25" s="109" t="s">
        <v>85</v>
      </c>
      <c r="J25" s="111">
        <f>E17+E18+E19+E20</f>
        <v>468440.0</v>
      </c>
      <c r="K25" s="112">
        <f t="shared" si="2"/>
        <v>0.04896220281832644</v>
      </c>
      <c r="L25" s="112">
        <v>0.2346</v>
      </c>
    </row>
    <row r="26" spans="8:8" ht="14.25" customHeight="1">
      <c r="I26" s="109" t="s">
        <v>127</v>
      </c>
      <c r="J26" s="111">
        <f>E21</f>
        <v>1488000.0</v>
      </c>
      <c r="K26" s="112">
        <f t="shared" si="2"/>
        <v>0.15552847278983378</v>
      </c>
      <c r="L26" s="112">
        <v>0.0084</v>
      </c>
    </row>
    <row r="27" spans="8:8" ht="14.25" customHeight="1">
      <c r="I27" s="109" t="s">
        <v>703</v>
      </c>
      <c r="J27" s="111">
        <f>SUM(J21:J26)</f>
        <v>9567380.0</v>
      </c>
      <c r="K27" s="112">
        <f t="shared" si="2"/>
        <v>1.0</v>
      </c>
      <c r="L27" s="68"/>
    </row>
    <row r="29" spans="8:8" ht="25.5" customHeight="1">
      <c r="I29" s="106" t="s">
        <v>692</v>
      </c>
      <c r="J29" s="106" t="s">
        <v>690</v>
      </c>
      <c r="K29" s="106" t="s">
        <v>702</v>
      </c>
    </row>
    <row r="30" spans="8:8" ht="14.25" customHeight="1">
      <c r="I30" s="117" t="s">
        <v>211</v>
      </c>
      <c r="J30" s="111">
        <v>6138000.0</v>
      </c>
      <c r="K30" s="112">
        <v>-0.05</v>
      </c>
    </row>
    <row r="31" spans="8:8" ht="14.25" customHeight="1">
      <c r="I31" s="117" t="s">
        <v>213</v>
      </c>
      <c r="J31" s="111">
        <v>46000.0</v>
      </c>
      <c r="K31" s="112">
        <v>0.06</v>
      </c>
    </row>
    <row r="32" spans="8:8" ht="14.25" customHeight="1">
      <c r="I32" s="117" t="s">
        <v>214</v>
      </c>
      <c r="J32" s="111">
        <v>707845.0</v>
      </c>
      <c r="K32" s="112">
        <v>0.07</v>
      </c>
    </row>
    <row r="33" spans="8:8" ht="14.25" customHeight="1">
      <c r="I33" s="117" t="s">
        <v>215</v>
      </c>
      <c r="J33" s="111">
        <v>11145.0</v>
      </c>
      <c r="K33" s="112">
        <v>0.06</v>
      </c>
    </row>
    <row r="34" spans="8:8" ht="14.25" customHeight="1">
      <c r="I34" s="117" t="s">
        <v>216</v>
      </c>
      <c r="J34" s="111">
        <v>815750.0</v>
      </c>
      <c r="K34" s="112">
        <v>-0.04</v>
      </c>
    </row>
    <row r="35" spans="8:8" ht="14.25" customHeight="1">
      <c r="I35" s="117" t="s">
        <v>217</v>
      </c>
      <c r="J35" s="111">
        <v>502840.0</v>
      </c>
      <c r="K35" s="112">
        <v>0.23</v>
      </c>
    </row>
    <row r="36" spans="8:8" ht="14.25" customHeight="1">
      <c r="I36" s="117" t="s">
        <v>218</v>
      </c>
      <c r="J36" s="111">
        <v>1488000.0</v>
      </c>
      <c r="K36" s="112">
        <v>0.01</v>
      </c>
    </row>
    <row r="37" spans="8:8" ht="14.25" customHeight="1">
      <c r="I37" s="109" t="s">
        <v>703</v>
      </c>
      <c r="J37" s="111">
        <f>SUM(J30:J36)</f>
        <v>9709580.0</v>
      </c>
      <c r="K37" s="68"/>
    </row>
  </sheetData>
  <hyperlinks>
    <hyperlink ref="G2" r:id="rId2"/>
    <hyperlink ref="G3" r:id="rId3"/>
    <hyperlink ref="G4" r:id="rId4"/>
    <hyperlink ref="G5" r:id="rId5"/>
    <hyperlink ref="G6" r:id="rId6"/>
    <hyperlink ref="G7" r:id="rId7"/>
    <hyperlink ref="G8" r:id="rId8"/>
    <hyperlink ref="G9" r:id="rId9"/>
    <hyperlink ref="G10" r:id="rId10"/>
    <hyperlink ref="G11" r:id="rId11"/>
    <hyperlink ref="G12" r:id="rId12"/>
    <hyperlink ref="G13" r:id="rId13"/>
    <hyperlink ref="G14" r:id="rId14"/>
    <hyperlink ref="G15" r:id="rId15"/>
    <hyperlink ref="G16" r:id="rId16"/>
    <hyperlink ref="G17" r:id="rId17"/>
    <hyperlink ref="G18" r:id="rId18"/>
    <hyperlink ref="G19" r:id="rId19"/>
    <hyperlink ref="G20" r:id="rId20"/>
    <hyperlink ref="G21" r:id="rId21"/>
    <hyperlink ref="I30" r:id="rId22"/>
    <hyperlink ref="I31" r:id="rId23"/>
    <hyperlink ref="I32" r:id="rId24"/>
    <hyperlink ref="I33" r:id="rId25"/>
    <hyperlink ref="I34" r:id="rId26"/>
    <hyperlink ref="I35" r:id="rId27"/>
    <hyperlink ref="I36" r:id="rId28"/>
  </hyperlinks>
  <pageMargins left="0.75" right="0.75" top="1.0" bottom="1.0" header="0.511811023622047" footer="0.511811023622047"/>
  <drawing r:id="rId1"/>
</worksheet>
</file>

<file path=xl/worksheets/sheet17.xml><?xml version="1.0" encoding="utf-8"?>
<worksheet xmlns:r="http://schemas.openxmlformats.org/officeDocument/2006/relationships" xmlns="http://schemas.openxmlformats.org/spreadsheetml/2006/main">
  <dimension ref="A1:Q54"/>
  <sheetViews>
    <sheetView workbookViewId="0" topLeftCell="B1" zoomScale="37">
      <selection activeCell="Y38" sqref="Y38"/>
    </sheetView>
  </sheetViews>
  <sheetFormatPr defaultRowHeight="14.5"/>
  <cols>
    <col min="1" max="1" customWidth="1" width="9.453125" style="60"/>
    <col min="2" max="2" customWidth="1" width="19.0" style="60"/>
    <col min="3" max="3" customWidth="1" width="10.90625" style="60"/>
    <col min="4" max="4" customWidth="1" width="14.7265625" style="60"/>
    <col min="5" max="5" customWidth="1" width="12.453125" style="60"/>
    <col min="6" max="6" customWidth="1" width="15.6328125" style="60"/>
    <col min="7" max="7" customWidth="1" width="12.7265625" style="60"/>
    <col min="8" max="8" customWidth="1" width="3.0" style="60"/>
    <col min="9" max="9" customWidth="1" width="19.0" style="60"/>
    <col min="10" max="10" customWidth="1" width="12.453125" style="60"/>
    <col min="11" max="12" customWidth="1" width="17.726562" style="60"/>
    <col min="13" max="13" customWidth="1" width="3.0" style="60"/>
    <col min="14" max="14" customWidth="1" width="12.1796875" style="60"/>
    <col min="15" max="15" customWidth="1" width="15.453125" style="60"/>
    <col min="16" max="16" customWidth="1" width="15.542969" style="60"/>
  </cols>
  <sheetData>
    <row r="1" spans="8:8" ht="25.5" customHeight="1">
      <c r="A1" s="106" t="s">
        <v>686</v>
      </c>
      <c r="B1" s="106" t="s">
        <v>687</v>
      </c>
      <c r="C1" s="106" t="s">
        <v>688</v>
      </c>
      <c r="D1" s="106" t="s">
        <v>689</v>
      </c>
      <c r="E1" s="106" t="s">
        <v>690</v>
      </c>
      <c r="F1" s="106" t="s">
        <v>691</v>
      </c>
      <c r="G1" s="106" t="s">
        <v>692</v>
      </c>
      <c r="I1" s="106" t="s">
        <v>687</v>
      </c>
      <c r="J1" s="106" t="s">
        <v>693</v>
      </c>
      <c r="K1" s="106" t="s">
        <v>694</v>
      </c>
      <c r="L1" s="106" t="s">
        <v>695</v>
      </c>
      <c r="N1" s="106" t="s">
        <v>696</v>
      </c>
      <c r="O1" s="106" t="s">
        <v>697</v>
      </c>
      <c r="P1" s="106" t="s">
        <v>698</v>
      </c>
    </row>
    <row r="2" spans="8:8" ht="14.25" customHeight="1">
      <c r="A2" s="107">
        <v>46217.0</v>
      </c>
      <c r="B2" s="119" t="s">
        <v>22</v>
      </c>
      <c r="C2" s="109">
        <v>1.0</v>
      </c>
      <c r="D2" s="110">
        <v>9200.0</v>
      </c>
      <c r="E2" s="111">
        <f t="shared" si="0" ref="E2:E46">C2*D2</f>
        <v>9200.0</v>
      </c>
      <c r="F2" s="109" t="s">
        <v>219</v>
      </c>
      <c r="G2" s="67" t="s">
        <v>220</v>
      </c>
      <c r="I2" s="119" t="s">
        <v>22</v>
      </c>
      <c r="J2" s="109">
        <f>C2+C9+C13+C24+C32+C37</f>
        <v>189.0</v>
      </c>
      <c r="K2" s="111">
        <f>E2+E9+E13+E24+E32+E37</f>
        <v>1691400.0</v>
      </c>
      <c r="L2" s="112">
        <f t="shared" si="1" ref="L2:L24">K2/K$24</f>
        <v>0.1880816043314146</v>
      </c>
      <c r="N2" s="111">
        <f>K24</f>
        <v>8992905.0</v>
      </c>
      <c r="O2" s="109">
        <f>J24</f>
        <v>1093.0</v>
      </c>
      <c r="P2" s="109">
        <f>COUNT(J2:J23)</f>
        <v>22.0</v>
      </c>
    </row>
    <row r="3" spans="8:8" ht="14.25" customHeight="1">
      <c r="A3" s="107">
        <v>46217.0</v>
      </c>
      <c r="B3" s="108" t="s">
        <v>24</v>
      </c>
      <c r="C3" s="109">
        <v>253.0</v>
      </c>
      <c r="D3" s="110">
        <v>5000.0</v>
      </c>
      <c r="E3" s="111">
        <f t="shared" si="0"/>
        <v>1265000.0</v>
      </c>
      <c r="F3" s="109" t="s">
        <v>50</v>
      </c>
      <c r="G3" s="67" t="s">
        <v>222</v>
      </c>
      <c r="I3" s="108" t="s">
        <v>24</v>
      </c>
      <c r="J3" s="109">
        <f>C3+C14+C16+C17+C22+C23+C44</f>
        <v>518.0</v>
      </c>
      <c r="K3" s="111">
        <f>E3+E14+E16+E17+E22+E23+E44</f>
        <v>2596000.0</v>
      </c>
      <c r="L3" s="112">
        <f t="shared" si="1"/>
        <v>0.28867201421565114</v>
      </c>
    </row>
    <row r="4" spans="8:8" ht="14.25" customHeight="1">
      <c r="A4" s="107">
        <v>46217.0</v>
      </c>
      <c r="B4" s="109" t="s">
        <v>31</v>
      </c>
      <c r="C4" s="109">
        <v>15.0</v>
      </c>
      <c r="D4" s="110">
        <v>17100.0</v>
      </c>
      <c r="E4" s="111">
        <f t="shared" si="0"/>
        <v>256500.0</v>
      </c>
      <c r="F4" s="109" t="s">
        <v>29</v>
      </c>
      <c r="G4" s="67" t="s">
        <v>223</v>
      </c>
      <c r="I4" s="109" t="s">
        <v>31</v>
      </c>
      <c r="J4" s="109">
        <f>C4</f>
        <v>15.0</v>
      </c>
      <c r="K4" s="111">
        <f>E4</f>
        <v>256500.0</v>
      </c>
      <c r="L4" s="112">
        <f t="shared" si="1"/>
        <v>0.02852248522585305</v>
      </c>
    </row>
    <row r="5" spans="8:8" ht="14.25" customHeight="1">
      <c r="A5" s="107">
        <v>46217.0</v>
      </c>
      <c r="B5" s="109" t="s">
        <v>224</v>
      </c>
      <c r="C5" s="109">
        <v>2.0</v>
      </c>
      <c r="D5" s="110">
        <v>14430.0</v>
      </c>
      <c r="E5" s="111">
        <f t="shared" si="0"/>
        <v>28860.0</v>
      </c>
      <c r="F5" s="109" t="s">
        <v>29</v>
      </c>
      <c r="G5" s="67" t="s">
        <v>223</v>
      </c>
      <c r="I5" s="109" t="s">
        <v>224</v>
      </c>
      <c r="J5" s="109">
        <f>C5</f>
        <v>2.0</v>
      </c>
      <c r="K5" s="111">
        <f>E5</f>
        <v>28860.0</v>
      </c>
      <c r="L5" s="112">
        <f t="shared" si="1"/>
        <v>0.0032091965833065065</v>
      </c>
    </row>
    <row r="6" spans="8:8" ht="14.25" customHeight="1">
      <c r="A6" s="107">
        <v>46217.0</v>
      </c>
      <c r="B6" s="109" t="s">
        <v>62</v>
      </c>
      <c r="C6" s="109">
        <v>1.0</v>
      </c>
      <c r="D6" s="110">
        <v>20655.0</v>
      </c>
      <c r="E6" s="111">
        <f t="shared" si="0"/>
        <v>20655.0</v>
      </c>
      <c r="F6" s="109" t="s">
        <v>29</v>
      </c>
      <c r="G6" s="67" t="s">
        <v>223</v>
      </c>
      <c r="I6" s="109" t="s">
        <v>62</v>
      </c>
      <c r="J6" s="109">
        <f>C6</f>
        <v>1.0</v>
      </c>
      <c r="K6" s="111">
        <f>E6</f>
        <v>20655.0</v>
      </c>
      <c r="L6" s="112">
        <f t="shared" si="1"/>
        <v>0.00229681065239764</v>
      </c>
    </row>
    <row r="7" spans="8:8" ht="14.25" customHeight="1">
      <c r="A7" s="107">
        <v>46217.0</v>
      </c>
      <c r="B7" s="109" t="s">
        <v>28</v>
      </c>
      <c r="C7" s="109">
        <v>2.0</v>
      </c>
      <c r="D7" s="110">
        <v>13200.0</v>
      </c>
      <c r="E7" s="111">
        <f t="shared" si="0"/>
        <v>26400.0</v>
      </c>
      <c r="F7" s="109" t="s">
        <v>29</v>
      </c>
      <c r="G7" s="67" t="s">
        <v>223</v>
      </c>
      <c r="I7" s="109" t="s">
        <v>28</v>
      </c>
      <c r="J7" s="109">
        <f>C7</f>
        <v>2.0</v>
      </c>
      <c r="K7" s="111">
        <f>E7</f>
        <v>26400.0</v>
      </c>
      <c r="L7" s="112">
        <f t="shared" si="1"/>
        <v>0.0029356476021930623</v>
      </c>
    </row>
    <row r="8" spans="8:8" ht="14.25" customHeight="1">
      <c r="A8" s="107">
        <v>46217.0</v>
      </c>
      <c r="B8" s="120" t="s">
        <v>44</v>
      </c>
      <c r="C8" s="109">
        <v>2.0</v>
      </c>
      <c r="D8" s="110">
        <v>9200.0</v>
      </c>
      <c r="E8" s="111">
        <f t="shared" si="0"/>
        <v>18400.0</v>
      </c>
      <c r="F8" s="109" t="s">
        <v>29</v>
      </c>
      <c r="G8" s="67" t="s">
        <v>223</v>
      </c>
      <c r="I8" s="120" t="s">
        <v>44</v>
      </c>
      <c r="J8" s="109">
        <f>C8+C10+C25+C36+C42</f>
        <v>88.0</v>
      </c>
      <c r="K8" s="111">
        <f>E8+E10+E25+E36+E42</f>
        <v>794900.0</v>
      </c>
      <c r="L8" s="112">
        <f t="shared" si="1"/>
        <v>0.08839190450694186</v>
      </c>
    </row>
    <row r="9" spans="8:8" ht="14.25" customHeight="1">
      <c r="A9" s="107">
        <v>46217.0</v>
      </c>
      <c r="B9" s="119" t="s">
        <v>22</v>
      </c>
      <c r="C9" s="109">
        <v>5.0</v>
      </c>
      <c r="D9" s="110">
        <v>8800.0</v>
      </c>
      <c r="E9" s="111">
        <f t="shared" si="0"/>
        <v>44000.0</v>
      </c>
      <c r="F9" s="109" t="s">
        <v>29</v>
      </c>
      <c r="G9" s="67" t="s">
        <v>223</v>
      </c>
      <c r="I9" s="113" t="s">
        <v>45</v>
      </c>
      <c r="J9" s="109">
        <f>C11+C26+C33+C43</f>
        <v>81.0</v>
      </c>
      <c r="K9" s="111">
        <f>E11+E26+E33+E43</f>
        <v>1079985.0</v>
      </c>
      <c r="L9" s="112">
        <f t="shared" si="1"/>
        <v>0.12009300665357857</v>
      </c>
    </row>
    <row r="10" spans="8:8" ht="14.25" customHeight="1">
      <c r="A10" s="107">
        <v>46217.0</v>
      </c>
      <c r="B10" s="120" t="s">
        <v>44</v>
      </c>
      <c r="C10" s="109">
        <v>9.0</v>
      </c>
      <c r="D10" s="110">
        <v>9200.0</v>
      </c>
      <c r="E10" s="111">
        <f t="shared" si="0"/>
        <v>82800.0</v>
      </c>
      <c r="F10" s="109" t="s">
        <v>29</v>
      </c>
      <c r="G10" s="67" t="s">
        <v>225</v>
      </c>
      <c r="I10" s="115" t="s">
        <v>37</v>
      </c>
      <c r="J10" s="109">
        <f>C12+C27+C31+C38</f>
        <v>79.0</v>
      </c>
      <c r="K10" s="111">
        <f>E12+E27+E31+E38</f>
        <v>703560.0</v>
      </c>
      <c r="L10" s="112">
        <f t="shared" si="1"/>
        <v>0.07823500859844511</v>
      </c>
    </row>
    <row r="11" spans="8:8" ht="14.25" customHeight="1">
      <c r="A11" s="107">
        <v>46217.0</v>
      </c>
      <c r="B11" s="113" t="s">
        <v>45</v>
      </c>
      <c r="C11" s="109">
        <v>5.0</v>
      </c>
      <c r="D11" s="110">
        <v>13335.0</v>
      </c>
      <c r="E11" s="111">
        <f t="shared" si="0"/>
        <v>66675.0</v>
      </c>
      <c r="F11" s="109" t="s">
        <v>29</v>
      </c>
      <c r="G11" s="67" t="s">
        <v>225</v>
      </c>
      <c r="I11" s="116" t="s">
        <v>27</v>
      </c>
      <c r="J11" s="109">
        <f>C15+C45</f>
        <v>12.0</v>
      </c>
      <c r="K11" s="111">
        <f>E15+E45</f>
        <v>96240.0</v>
      </c>
      <c r="L11" s="112">
        <f t="shared" si="1"/>
        <v>0.010701769895267436</v>
      </c>
    </row>
    <row r="12" spans="8:8" ht="14.25" customHeight="1">
      <c r="A12" s="107">
        <v>46217.0</v>
      </c>
      <c r="B12" s="115" t="s">
        <v>37</v>
      </c>
      <c r="C12" s="109">
        <v>2.0</v>
      </c>
      <c r="D12" s="110">
        <v>8880.0</v>
      </c>
      <c r="E12" s="111">
        <f t="shared" si="0"/>
        <v>17760.0</v>
      </c>
      <c r="F12" s="109" t="s">
        <v>29</v>
      </c>
      <c r="G12" s="67" t="s">
        <v>225</v>
      </c>
      <c r="I12" s="109" t="s">
        <v>32</v>
      </c>
      <c r="J12" s="109">
        <f>C18</f>
        <v>5.0</v>
      </c>
      <c r="K12" s="111">
        <f>E18</f>
        <v>80725.0</v>
      </c>
      <c r="L12" s="112">
        <f t="shared" si="1"/>
        <v>0.00897652093511496</v>
      </c>
    </row>
    <row r="13" spans="8:8" ht="14.25" customHeight="1">
      <c r="A13" s="107">
        <v>46217.0</v>
      </c>
      <c r="B13" s="119" t="s">
        <v>22</v>
      </c>
      <c r="C13" s="109">
        <v>10.0</v>
      </c>
      <c r="D13" s="110">
        <v>8800.0</v>
      </c>
      <c r="E13" s="111">
        <f t="shared" si="0"/>
        <v>88000.0</v>
      </c>
      <c r="F13" s="109" t="s">
        <v>29</v>
      </c>
      <c r="G13" s="67" t="s">
        <v>225</v>
      </c>
      <c r="I13" s="109" t="s">
        <v>35</v>
      </c>
      <c r="J13" s="109">
        <f>C19</f>
        <v>3.0</v>
      </c>
      <c r="K13" s="111">
        <f>E19</f>
        <v>63510.0</v>
      </c>
      <c r="L13" s="112">
        <f t="shared" si="1"/>
        <v>0.007062234061184901</v>
      </c>
    </row>
    <row r="14" spans="8:8" ht="14.25" customHeight="1">
      <c r="A14" s="107">
        <v>46217.0</v>
      </c>
      <c r="B14" s="108" t="s">
        <v>24</v>
      </c>
      <c r="C14" s="109">
        <v>15.0</v>
      </c>
      <c r="D14" s="110">
        <v>5000.0</v>
      </c>
      <c r="E14" s="111">
        <f t="shared" si="0"/>
        <v>75000.0</v>
      </c>
      <c r="F14" s="109" t="s">
        <v>29</v>
      </c>
      <c r="G14" s="67" t="s">
        <v>225</v>
      </c>
      <c r="I14" s="109" t="s">
        <v>229</v>
      </c>
      <c r="J14" s="109">
        <f>C20</f>
        <v>5.0</v>
      </c>
      <c r="K14" s="111">
        <f>E20</f>
        <v>77450.0</v>
      </c>
      <c r="L14" s="112">
        <f t="shared" si="1"/>
        <v>0.008612344954161086</v>
      </c>
    </row>
    <row r="15" spans="8:8" ht="14.25" customHeight="1">
      <c r="A15" s="107">
        <v>46217.0</v>
      </c>
      <c r="B15" s="116" t="s">
        <v>27</v>
      </c>
      <c r="C15" s="109">
        <v>2.0</v>
      </c>
      <c r="D15" s="110">
        <v>8020.0</v>
      </c>
      <c r="E15" s="111">
        <f t="shared" si="0"/>
        <v>16040.0</v>
      </c>
      <c r="F15" s="109" t="s">
        <v>29</v>
      </c>
      <c r="G15" s="67" t="s">
        <v>225</v>
      </c>
      <c r="I15" s="126" t="s">
        <v>34</v>
      </c>
      <c r="J15" s="109">
        <f>C21+C40</f>
        <v>6.0</v>
      </c>
      <c r="K15" s="111">
        <f>E21+E40</f>
        <v>136440.0</v>
      </c>
      <c r="L15" s="112">
        <f t="shared" si="1"/>
        <v>0.015171960562243235</v>
      </c>
    </row>
    <row r="16" spans="8:8" ht="14.25" customHeight="1">
      <c r="A16" s="107">
        <v>46217.0</v>
      </c>
      <c r="B16" s="108" t="s">
        <v>24</v>
      </c>
      <c r="C16" s="109">
        <v>20.0</v>
      </c>
      <c r="D16" s="110">
        <v>5000.0</v>
      </c>
      <c r="E16" s="111">
        <f t="shared" si="0"/>
        <v>100000.0</v>
      </c>
      <c r="F16" s="109" t="s">
        <v>154</v>
      </c>
      <c r="G16" s="67" t="s">
        <v>226</v>
      </c>
      <c r="I16" s="109" t="s">
        <v>181</v>
      </c>
      <c r="J16" s="109">
        <f>C28</f>
        <v>60.0</v>
      </c>
      <c r="K16" s="111">
        <f>E28</f>
        <v>1014000.0</v>
      </c>
      <c r="L16" s="112">
        <f t="shared" si="1"/>
        <v>0.11275555562968807</v>
      </c>
    </row>
    <row r="17" spans="8:8" ht="14.25" customHeight="1">
      <c r="A17" s="107">
        <v>46217.0</v>
      </c>
      <c r="B17" s="108" t="s">
        <v>24</v>
      </c>
      <c r="C17" s="109">
        <v>20.0</v>
      </c>
      <c r="D17" s="110">
        <v>5300.0</v>
      </c>
      <c r="E17" s="111">
        <f t="shared" si="0"/>
        <v>106000.0</v>
      </c>
      <c r="F17" s="109" t="s">
        <v>104</v>
      </c>
      <c r="G17" s="67" t="s">
        <v>227</v>
      </c>
      <c r="I17" s="109" t="s">
        <v>21</v>
      </c>
      <c r="J17" s="109">
        <f>C29</f>
        <v>3.0</v>
      </c>
      <c r="K17" s="111">
        <f>E29</f>
        <v>27000.0</v>
      </c>
      <c r="L17" s="112">
        <f t="shared" si="1"/>
        <v>0.0030023668658792683</v>
      </c>
    </row>
    <row r="18" spans="8:8" ht="14.25" customHeight="1">
      <c r="A18" s="107">
        <v>46217.0</v>
      </c>
      <c r="B18" s="109" t="s">
        <v>32</v>
      </c>
      <c r="C18" s="109">
        <v>5.0</v>
      </c>
      <c r="D18" s="110">
        <v>16145.0</v>
      </c>
      <c r="E18" s="111">
        <f t="shared" si="0"/>
        <v>80725.0</v>
      </c>
      <c r="F18" s="109" t="s">
        <v>25</v>
      </c>
      <c r="G18" s="67" t="s">
        <v>228</v>
      </c>
      <c r="I18" s="109" t="s">
        <v>235</v>
      </c>
      <c r="J18" s="109">
        <f>C30</f>
        <v>8.0</v>
      </c>
      <c r="K18" s="111">
        <f>E30</f>
        <v>77600.0</v>
      </c>
      <c r="L18" s="112">
        <f t="shared" si="1"/>
        <v>0.008629024770082637</v>
      </c>
    </row>
    <row r="19" spans="8:8" ht="14.25" customHeight="1">
      <c r="A19" s="107">
        <v>46217.0</v>
      </c>
      <c r="B19" s="109" t="s">
        <v>35</v>
      </c>
      <c r="C19" s="109">
        <v>3.0</v>
      </c>
      <c r="D19" s="110">
        <v>21170.0</v>
      </c>
      <c r="E19" s="111">
        <f t="shared" si="0"/>
        <v>63510.0</v>
      </c>
      <c r="F19" s="109" t="s">
        <v>25</v>
      </c>
      <c r="G19" s="67" t="s">
        <v>228</v>
      </c>
      <c r="I19" s="109" t="s">
        <v>36</v>
      </c>
      <c r="J19" s="109">
        <f>C34</f>
        <v>3.0</v>
      </c>
      <c r="K19" s="111">
        <f>E34</f>
        <v>46500.0</v>
      </c>
      <c r="L19" s="112">
        <f t="shared" si="1"/>
        <v>0.005170742935680961</v>
      </c>
    </row>
    <row r="20" spans="8:8" ht="14.25" customHeight="1">
      <c r="A20" s="107">
        <v>46217.0</v>
      </c>
      <c r="B20" s="109" t="s">
        <v>229</v>
      </c>
      <c r="C20" s="109">
        <v>5.0</v>
      </c>
      <c r="D20" s="110">
        <v>15490.0</v>
      </c>
      <c r="E20" s="111">
        <f t="shared" si="0"/>
        <v>77450.0</v>
      </c>
      <c r="F20" s="109" t="s">
        <v>25</v>
      </c>
      <c r="G20" s="67" t="s">
        <v>228</v>
      </c>
      <c r="I20" s="109" t="s">
        <v>43</v>
      </c>
      <c r="J20" s="109">
        <f>C35</f>
        <v>1.0</v>
      </c>
      <c r="K20" s="111">
        <f>E35</f>
        <v>18100.0</v>
      </c>
      <c r="L20" s="112">
        <f t="shared" si="1"/>
        <v>0.0020126977878672132</v>
      </c>
    </row>
    <row r="21" spans="8:8" ht="14.25" customHeight="1">
      <c r="A21" s="107">
        <v>46217.0</v>
      </c>
      <c r="B21" s="126" t="s">
        <v>34</v>
      </c>
      <c r="C21" s="109">
        <v>5.0</v>
      </c>
      <c r="D21" s="110">
        <v>22740.0</v>
      </c>
      <c r="E21" s="111">
        <f t="shared" si="0"/>
        <v>113700.0</v>
      </c>
      <c r="F21" s="109" t="s">
        <v>25</v>
      </c>
      <c r="G21" s="67" t="s">
        <v>228</v>
      </c>
      <c r="I21" s="109" t="s">
        <v>65</v>
      </c>
      <c r="J21" s="109">
        <f>C39</f>
        <v>5.0</v>
      </c>
      <c r="K21" s="111">
        <f>E39</f>
        <v>59550.0</v>
      </c>
      <c r="L21" s="112">
        <f t="shared" si="1"/>
        <v>0.006621886920855941</v>
      </c>
    </row>
    <row r="22" spans="8:8" ht="14.25" customHeight="1">
      <c r="A22" s="107">
        <v>46217.0</v>
      </c>
      <c r="B22" s="108" t="s">
        <v>24</v>
      </c>
      <c r="C22" s="109">
        <v>100.0</v>
      </c>
      <c r="D22" s="110">
        <v>5000.0</v>
      </c>
      <c r="E22" s="111">
        <f t="shared" si="0"/>
        <v>500000.0</v>
      </c>
      <c r="F22" s="109" t="s">
        <v>25</v>
      </c>
      <c r="G22" s="67" t="s">
        <v>228</v>
      </c>
      <c r="I22" s="109" t="s">
        <v>113</v>
      </c>
      <c r="J22" s="109">
        <f>C41</f>
        <v>2.0</v>
      </c>
      <c r="K22" s="111">
        <f>E41</f>
        <v>30230.0</v>
      </c>
      <c r="L22" s="112">
        <f t="shared" si="1"/>
        <v>0.003361538902056677</v>
      </c>
    </row>
    <row r="23" spans="8:8" ht="14.25" customHeight="1">
      <c r="A23" s="107">
        <v>46217.0</v>
      </c>
      <c r="B23" s="108" t="s">
        <v>24</v>
      </c>
      <c r="C23" s="109">
        <v>50.0</v>
      </c>
      <c r="D23" s="110">
        <v>5000.0</v>
      </c>
      <c r="E23" s="111">
        <f t="shared" si="0"/>
        <v>250000.0</v>
      </c>
      <c r="F23" s="109" t="s">
        <v>95</v>
      </c>
      <c r="G23" s="67" t="s">
        <v>230</v>
      </c>
      <c r="I23" s="109" t="s">
        <v>70</v>
      </c>
      <c r="J23" s="109">
        <f>C46</f>
        <v>5.0</v>
      </c>
      <c r="K23" s="111">
        <f>E46</f>
        <v>67300.0</v>
      </c>
      <c r="L23" s="112">
        <f t="shared" si="1"/>
        <v>0.0074836774101361015</v>
      </c>
    </row>
    <row r="24" spans="8:8" ht="14.25" customHeight="1">
      <c r="A24" s="107">
        <v>46217.0</v>
      </c>
      <c r="B24" s="119" t="s">
        <v>22</v>
      </c>
      <c r="C24" s="109">
        <v>140.0</v>
      </c>
      <c r="D24" s="110">
        <v>8990.0</v>
      </c>
      <c r="E24" s="111">
        <f t="shared" si="0"/>
        <v>1258600.0</v>
      </c>
      <c r="F24" s="109" t="s">
        <v>231</v>
      </c>
      <c r="G24" s="67" t="s">
        <v>232</v>
      </c>
      <c r="I24" s="109" t="s">
        <v>701</v>
      </c>
      <c r="J24" s="109">
        <f>SUM(J2:J23)</f>
        <v>1093.0</v>
      </c>
      <c r="K24" s="111">
        <f>SUM(K2:K23)</f>
        <v>8992905.0</v>
      </c>
      <c r="L24" s="112">
        <f t="shared" si="1"/>
        <v>1.0</v>
      </c>
    </row>
    <row r="25" spans="8:8" ht="14.25" customHeight="1">
      <c r="A25" s="107">
        <v>46217.0</v>
      </c>
      <c r="B25" s="120" t="s">
        <v>44</v>
      </c>
      <c r="C25" s="109">
        <v>70.0</v>
      </c>
      <c r="D25" s="110">
        <v>8990.0</v>
      </c>
      <c r="E25" s="111">
        <f t="shared" si="0"/>
        <v>629300.0</v>
      </c>
      <c r="F25" s="109" t="s">
        <v>231</v>
      </c>
      <c r="G25" s="67" t="s">
        <v>232</v>
      </c>
    </row>
    <row r="26" spans="8:8" ht="25.5" customHeight="1">
      <c r="A26" s="107">
        <v>46217.0</v>
      </c>
      <c r="B26" s="113" t="s">
        <v>45</v>
      </c>
      <c r="C26" s="109">
        <v>70.0</v>
      </c>
      <c r="D26" s="110">
        <v>13332.0</v>
      </c>
      <c r="E26" s="111">
        <f t="shared" si="0"/>
        <v>933240.0</v>
      </c>
      <c r="F26" s="109" t="s">
        <v>231</v>
      </c>
      <c r="G26" s="67" t="s">
        <v>232</v>
      </c>
      <c r="I26" s="106" t="s">
        <v>691</v>
      </c>
      <c r="J26" s="106" t="s">
        <v>690</v>
      </c>
      <c r="K26" s="106" t="s">
        <v>695</v>
      </c>
      <c r="L26" s="106" t="s">
        <v>702</v>
      </c>
    </row>
    <row r="27" spans="8:8" ht="14.25" customHeight="1">
      <c r="A27" s="107">
        <v>46217.0</v>
      </c>
      <c r="B27" s="115" t="s">
        <v>37</v>
      </c>
      <c r="C27" s="109">
        <v>70.0</v>
      </c>
      <c r="D27" s="110">
        <v>8900.0</v>
      </c>
      <c r="E27" s="111">
        <f t="shared" si="0"/>
        <v>623000.0</v>
      </c>
      <c r="F27" s="109" t="s">
        <v>231</v>
      </c>
      <c r="G27" s="67" t="s">
        <v>232</v>
      </c>
      <c r="I27" s="109" t="s">
        <v>219</v>
      </c>
      <c r="J27" s="111">
        <f>E2</f>
        <v>9200.0</v>
      </c>
      <c r="K27" s="112">
        <f t="shared" si="2" ref="K27:K38">J27/J$38</f>
        <v>0.001023028709855158</v>
      </c>
      <c r="L27" s="112">
        <v>0.059</v>
      </c>
    </row>
    <row r="28" spans="8:8" ht="14.25" customHeight="1">
      <c r="A28" s="107">
        <v>46217.0</v>
      </c>
      <c r="B28" s="109" t="s">
        <v>181</v>
      </c>
      <c r="C28" s="109">
        <v>60.0</v>
      </c>
      <c r="D28" s="110">
        <v>16900.0</v>
      </c>
      <c r="E28" s="111">
        <f t="shared" si="0"/>
        <v>1014000.0</v>
      </c>
      <c r="F28" s="109" t="s">
        <v>231</v>
      </c>
      <c r="G28" s="67" t="s">
        <v>232</v>
      </c>
      <c r="I28" s="109" t="s">
        <v>50</v>
      </c>
      <c r="J28" s="111">
        <f>E3</f>
        <v>1265000.0</v>
      </c>
      <c r="K28" s="112">
        <f t="shared" si="2"/>
        <v>0.14066644760508423</v>
      </c>
      <c r="L28" s="112">
        <v>-0.04</v>
      </c>
    </row>
    <row r="29" spans="8:8" ht="14.25" customHeight="1">
      <c r="A29" s="107">
        <v>46217.0</v>
      </c>
      <c r="B29" s="109" t="s">
        <v>21</v>
      </c>
      <c r="C29" s="109">
        <v>3.0</v>
      </c>
      <c r="D29" s="110">
        <v>9000.0</v>
      </c>
      <c r="E29" s="111">
        <f t="shared" si="0"/>
        <v>27000.0</v>
      </c>
      <c r="F29" s="109" t="s">
        <v>15</v>
      </c>
      <c r="G29" s="67" t="s">
        <v>234</v>
      </c>
      <c r="I29" s="109" t="s">
        <v>29</v>
      </c>
      <c r="J29" s="111">
        <f>E4+E5+E6+E7+E8+E9+E10+E11+E12+E13+E14+E15+E37+E38+E39</f>
        <v>1109040.0</v>
      </c>
      <c r="K29" s="112">
        <f t="shared" si="2"/>
        <v>0.1233238869975831</v>
      </c>
      <c r="L29" s="112">
        <v>0.037</v>
      </c>
    </row>
    <row r="30" spans="8:8" ht="14.25" customHeight="1">
      <c r="A30" s="107">
        <v>46217.0</v>
      </c>
      <c r="B30" s="109" t="s">
        <v>235</v>
      </c>
      <c r="C30" s="109">
        <v>8.0</v>
      </c>
      <c r="D30" s="110">
        <v>9700.0</v>
      </c>
      <c r="E30" s="111">
        <f t="shared" si="0"/>
        <v>77600.0</v>
      </c>
      <c r="F30" s="109" t="s">
        <v>15</v>
      </c>
      <c r="G30" s="67" t="s">
        <v>234</v>
      </c>
      <c r="I30" s="109" t="s">
        <v>154</v>
      </c>
      <c r="J30" s="111">
        <f>E16</f>
        <v>100000.0</v>
      </c>
      <c r="K30" s="112">
        <f t="shared" si="2"/>
        <v>0.011119877281034326</v>
      </c>
      <c r="L30" s="112">
        <v>-0.04</v>
      </c>
    </row>
    <row r="31" spans="8:8" ht="14.25" customHeight="1">
      <c r="A31" s="107">
        <v>46217.0</v>
      </c>
      <c r="B31" s="115" t="s">
        <v>37</v>
      </c>
      <c r="C31" s="109">
        <v>2.0</v>
      </c>
      <c r="D31" s="110">
        <v>9200.0</v>
      </c>
      <c r="E31" s="111">
        <f t="shared" si="0"/>
        <v>18400.0</v>
      </c>
      <c r="F31" s="109" t="s">
        <v>15</v>
      </c>
      <c r="G31" s="67" t="s">
        <v>234</v>
      </c>
      <c r="I31" s="109" t="s">
        <v>104</v>
      </c>
      <c r="J31" s="111">
        <f>E17</f>
        <v>106000.0</v>
      </c>
      <c r="K31" s="112">
        <f t="shared" si="2"/>
        <v>0.011787069917896386</v>
      </c>
      <c r="L31" s="112">
        <v>0.0189</v>
      </c>
    </row>
    <row r="32" spans="8:8" ht="14.25" customHeight="1">
      <c r="A32" s="107">
        <v>46217.0</v>
      </c>
      <c r="B32" s="119" t="s">
        <v>22</v>
      </c>
      <c r="C32" s="109">
        <v>3.0</v>
      </c>
      <c r="D32" s="110">
        <v>9200.0</v>
      </c>
      <c r="E32" s="111">
        <f t="shared" si="0"/>
        <v>27600.0</v>
      </c>
      <c r="F32" s="109" t="s">
        <v>15</v>
      </c>
      <c r="G32" s="67" t="s">
        <v>234</v>
      </c>
      <c r="I32" s="109" t="s">
        <v>25</v>
      </c>
      <c r="J32" s="111">
        <f>E18+E19+E20+E21+E22</f>
        <v>835385.0</v>
      </c>
      <c r="K32" s="112">
        <f t="shared" si="2"/>
        <v>0.09289378682416861</v>
      </c>
      <c r="L32" s="112">
        <v>0.0</v>
      </c>
    </row>
    <row r="33" spans="8:8" ht="14.25" customHeight="1">
      <c r="A33" s="107">
        <v>46217.0</v>
      </c>
      <c r="B33" s="113" t="s">
        <v>45</v>
      </c>
      <c r="C33" s="109">
        <v>4.0</v>
      </c>
      <c r="D33" s="110">
        <v>13350.0</v>
      </c>
      <c r="E33" s="111">
        <f t="shared" si="0"/>
        <v>53400.0</v>
      </c>
      <c r="F33" s="109" t="s">
        <v>15</v>
      </c>
      <c r="G33" s="67" t="s">
        <v>234</v>
      </c>
      <c r="I33" s="109" t="s">
        <v>95</v>
      </c>
      <c r="J33" s="111">
        <f>E23</f>
        <v>250000.0</v>
      </c>
      <c r="K33" s="112">
        <f t="shared" si="2"/>
        <v>0.027799693202585816</v>
      </c>
      <c r="L33" s="112">
        <v>-0.04</v>
      </c>
    </row>
    <row r="34" spans="8:8" ht="14.25" customHeight="1">
      <c r="A34" s="107">
        <v>46217.0</v>
      </c>
      <c r="B34" s="109" t="s">
        <v>36</v>
      </c>
      <c r="C34" s="109">
        <v>3.0</v>
      </c>
      <c r="D34" s="110">
        <v>15500.0</v>
      </c>
      <c r="E34" s="111">
        <f t="shared" si="0"/>
        <v>46500.0</v>
      </c>
      <c r="F34" s="109" t="s">
        <v>15</v>
      </c>
      <c r="G34" s="67" t="s">
        <v>234</v>
      </c>
      <c r="I34" s="109" t="s">
        <v>231</v>
      </c>
      <c r="J34" s="111">
        <f>E24+E25+E26+E27+E28</f>
        <v>4458140.0</v>
      </c>
      <c r="K34" s="112">
        <f t="shared" si="2"/>
        <v>0.49573969701670373</v>
      </c>
      <c r="L34" s="112">
        <v>0.0628</v>
      </c>
    </row>
    <row r="35" spans="8:8" ht="14.25" customHeight="1">
      <c r="A35" s="107">
        <v>46217.0</v>
      </c>
      <c r="B35" s="109" t="s">
        <v>43</v>
      </c>
      <c r="C35" s="109">
        <v>1.0</v>
      </c>
      <c r="D35" s="110">
        <v>18100.0</v>
      </c>
      <c r="E35" s="111">
        <f t="shared" si="0"/>
        <v>18100.0</v>
      </c>
      <c r="F35" s="109" t="s">
        <v>15</v>
      </c>
      <c r="G35" s="67" t="s">
        <v>234</v>
      </c>
      <c r="I35" s="109" t="s">
        <v>15</v>
      </c>
      <c r="J35" s="111">
        <f>E29+E30+E31+E32+E33+E34+E35+E36</f>
        <v>314600.0</v>
      </c>
      <c r="K35" s="112">
        <f t="shared" si="2"/>
        <v>0.03498313392613399</v>
      </c>
      <c r="L35" s="112">
        <v>0.0483</v>
      </c>
    </row>
    <row r="36" spans="8:8" ht="14.25" customHeight="1">
      <c r="A36" s="107">
        <v>46217.0</v>
      </c>
      <c r="B36" s="120" t="s">
        <v>44</v>
      </c>
      <c r="C36" s="109">
        <v>5.0</v>
      </c>
      <c r="D36" s="110">
        <v>9200.0</v>
      </c>
      <c r="E36" s="111">
        <f t="shared" si="0"/>
        <v>46000.0</v>
      </c>
      <c r="F36" s="109" t="s">
        <v>15</v>
      </c>
      <c r="G36" s="67" t="s">
        <v>234</v>
      </c>
      <c r="I36" s="109" t="s">
        <v>237</v>
      </c>
      <c r="J36" s="111">
        <f>E40+E41+E42+E43</f>
        <v>98040.0</v>
      </c>
      <c r="K36" s="112">
        <f t="shared" si="2"/>
        <v>0.010901927686326054</v>
      </c>
      <c r="L36" s="112">
        <v>0.0887</v>
      </c>
    </row>
    <row r="37" spans="8:8" ht="14.25" customHeight="1">
      <c r="A37" s="107">
        <v>46217.0</v>
      </c>
      <c r="B37" s="119" t="s">
        <v>22</v>
      </c>
      <c r="C37" s="109">
        <v>30.0</v>
      </c>
      <c r="D37" s="110">
        <v>8800.0</v>
      </c>
      <c r="E37" s="111">
        <f t="shared" si="0"/>
        <v>264000.0</v>
      </c>
      <c r="F37" s="109" t="s">
        <v>29</v>
      </c>
      <c r="G37" s="67" t="s">
        <v>236</v>
      </c>
      <c r="I37" s="109" t="s">
        <v>157</v>
      </c>
      <c r="J37" s="111">
        <f>E44+E45+E46</f>
        <v>447500.0</v>
      </c>
      <c r="K37" s="112">
        <f t="shared" si="2"/>
        <v>0.04976145083262861</v>
      </c>
      <c r="L37" s="112">
        <v>-0.0126</v>
      </c>
    </row>
    <row r="38" spans="8:8" ht="14.25" customHeight="1">
      <c r="A38" s="107">
        <v>46217.0</v>
      </c>
      <c r="B38" s="115" t="s">
        <v>37</v>
      </c>
      <c r="C38" s="109">
        <v>5.0</v>
      </c>
      <c r="D38" s="110">
        <v>8880.0</v>
      </c>
      <c r="E38" s="111">
        <f t="shared" si="0"/>
        <v>44400.0</v>
      </c>
      <c r="F38" s="109" t="s">
        <v>29</v>
      </c>
      <c r="G38" s="67" t="s">
        <v>236</v>
      </c>
      <c r="I38" s="109" t="s">
        <v>703</v>
      </c>
      <c r="J38" s="111">
        <f>SUM(J27:J37)</f>
        <v>8992905.0</v>
      </c>
      <c r="K38" s="112">
        <f t="shared" si="2"/>
        <v>1.0</v>
      </c>
      <c r="L38" s="68"/>
    </row>
    <row r="39" spans="8:8" ht="14.25" customHeight="1">
      <c r="A39" s="107">
        <v>46217.0</v>
      </c>
      <c r="B39" s="109" t="s">
        <v>65</v>
      </c>
      <c r="C39" s="109">
        <v>5.0</v>
      </c>
      <c r="D39" s="110">
        <v>11910.0</v>
      </c>
      <c r="E39" s="111">
        <f t="shared" si="0"/>
        <v>59550.0</v>
      </c>
      <c r="F39" s="109" t="s">
        <v>29</v>
      </c>
      <c r="G39" s="67" t="s">
        <v>236</v>
      </c>
    </row>
    <row r="40" spans="8:8" ht="25.5" customHeight="1">
      <c r="A40" s="107">
        <v>46217.0</v>
      </c>
      <c r="B40" s="126" t="s">
        <v>34</v>
      </c>
      <c r="C40" s="109">
        <v>1.0</v>
      </c>
      <c r="D40" s="110">
        <v>22740.0</v>
      </c>
      <c r="E40" s="111">
        <f t="shared" si="0"/>
        <v>22740.0</v>
      </c>
      <c r="F40" s="109" t="s">
        <v>237</v>
      </c>
      <c r="G40" s="67" t="s">
        <v>238</v>
      </c>
      <c r="I40" s="106" t="s">
        <v>692</v>
      </c>
      <c r="J40" s="106" t="s">
        <v>690</v>
      </c>
      <c r="K40" s="106" t="s">
        <v>702</v>
      </c>
    </row>
    <row r="41" spans="8:8" ht="14.25" customHeight="1">
      <c r="A41" s="107">
        <v>46217.0</v>
      </c>
      <c r="B41" s="109" t="s">
        <v>113</v>
      </c>
      <c r="C41" s="109">
        <v>2.0</v>
      </c>
      <c r="D41" s="110">
        <v>15115.0</v>
      </c>
      <c r="E41" s="111">
        <f t="shared" si="0"/>
        <v>30230.0</v>
      </c>
      <c r="F41" s="109" t="s">
        <v>237</v>
      </c>
      <c r="G41" s="67" t="s">
        <v>238</v>
      </c>
      <c r="I41" s="117" t="s">
        <v>220</v>
      </c>
      <c r="J41" s="111">
        <v>9200.0</v>
      </c>
      <c r="K41" s="112">
        <v>0.06</v>
      </c>
    </row>
    <row r="42" spans="8:8" ht="14.25" customHeight="1">
      <c r="A42" s="107">
        <v>46217.0</v>
      </c>
      <c r="B42" s="120" t="s">
        <v>44</v>
      </c>
      <c r="C42" s="109">
        <v>2.0</v>
      </c>
      <c r="D42" s="110">
        <v>9200.0</v>
      </c>
      <c r="E42" s="111">
        <f t="shared" si="0"/>
        <v>18400.0</v>
      </c>
      <c r="F42" s="109" t="s">
        <v>237</v>
      </c>
      <c r="G42" s="67" t="s">
        <v>238</v>
      </c>
      <c r="I42" s="117" t="s">
        <v>222</v>
      </c>
      <c r="J42" s="111">
        <v>1265000.0</v>
      </c>
      <c r="K42" s="112">
        <v>-0.04</v>
      </c>
    </row>
    <row r="43" spans="8:8" ht="14.25" customHeight="1">
      <c r="A43" s="107">
        <v>46217.0</v>
      </c>
      <c r="B43" s="113" t="s">
        <v>45</v>
      </c>
      <c r="C43" s="109">
        <v>2.0</v>
      </c>
      <c r="D43" s="110">
        <v>13335.0</v>
      </c>
      <c r="E43" s="111">
        <f t="shared" si="0"/>
        <v>26670.0</v>
      </c>
      <c r="F43" s="109" t="s">
        <v>237</v>
      </c>
      <c r="G43" s="67" t="s">
        <v>238</v>
      </c>
      <c r="I43" s="117" t="s">
        <v>223</v>
      </c>
      <c r="J43" s="111">
        <v>407415.0</v>
      </c>
      <c r="K43" s="112">
        <v>0.01</v>
      </c>
    </row>
    <row r="44" spans="8:8" ht="14.25" customHeight="1">
      <c r="A44" s="107">
        <v>46217.0</v>
      </c>
      <c r="B44" s="108" t="s">
        <v>24</v>
      </c>
      <c r="C44" s="109">
        <v>60.0</v>
      </c>
      <c r="D44" s="110">
        <v>5000.0</v>
      </c>
      <c r="E44" s="111">
        <f t="shared" si="0"/>
        <v>300000.0</v>
      </c>
      <c r="F44" s="109" t="s">
        <v>157</v>
      </c>
      <c r="G44" s="67" t="s">
        <v>239</v>
      </c>
      <c r="I44" s="117" t="s">
        <v>225</v>
      </c>
      <c r="J44" s="111">
        <v>394075.0</v>
      </c>
      <c r="K44" s="112">
        <v>0.05</v>
      </c>
    </row>
    <row r="45" spans="8:8" ht="14.25" customHeight="1">
      <c r="A45" s="107">
        <v>46217.0</v>
      </c>
      <c r="B45" s="116" t="s">
        <v>27</v>
      </c>
      <c r="C45" s="109">
        <v>10.0</v>
      </c>
      <c r="D45" s="110">
        <v>8020.0</v>
      </c>
      <c r="E45" s="111">
        <f t="shared" si="0"/>
        <v>80200.0</v>
      </c>
      <c r="F45" s="109" t="s">
        <v>157</v>
      </c>
      <c r="G45" s="67" t="s">
        <v>239</v>
      </c>
      <c r="I45" s="117" t="s">
        <v>226</v>
      </c>
      <c r="J45" s="111">
        <v>100000.0</v>
      </c>
      <c r="K45" s="112">
        <v>-0.04</v>
      </c>
    </row>
    <row r="46" spans="8:8" ht="14.25" customHeight="1">
      <c r="A46" s="107">
        <v>46217.0</v>
      </c>
      <c r="B46" s="109" t="s">
        <v>70</v>
      </c>
      <c r="C46" s="109">
        <v>5.0</v>
      </c>
      <c r="D46" s="110">
        <v>13460.0</v>
      </c>
      <c r="E46" s="111">
        <f t="shared" si="0"/>
        <v>67300.0</v>
      </c>
      <c r="F46" s="109" t="s">
        <v>157</v>
      </c>
      <c r="G46" s="67" t="s">
        <v>239</v>
      </c>
      <c r="I46" s="117" t="s">
        <v>227</v>
      </c>
      <c r="J46" s="111">
        <v>106000.0</v>
      </c>
      <c r="K46" s="112">
        <v>0.02</v>
      </c>
    </row>
    <row r="47" spans="8:8" ht="14.25" customHeight="1">
      <c r="A47" s="68"/>
      <c r="B47" s="109" t="s">
        <v>701</v>
      </c>
      <c r="C47" s="109">
        <f>SUM(C2:C46)</f>
        <v>1093.0</v>
      </c>
      <c r="D47" s="109">
        <f>SUM(D2:D46)</f>
        <v>513487.0</v>
      </c>
      <c r="E47" s="111">
        <f>SUM(E2:E46)</f>
        <v>8992905.0</v>
      </c>
      <c r="F47" s="68"/>
      <c r="G47" s="68"/>
      <c r="I47" s="117" t="s">
        <v>228</v>
      </c>
      <c r="J47" s="111">
        <v>835385.0</v>
      </c>
      <c r="K47" s="112">
        <v>0.0</v>
      </c>
    </row>
    <row r="48" spans="8:8" ht="14.25" customHeight="1">
      <c r="I48" s="117" t="s">
        <v>230</v>
      </c>
      <c r="J48" s="111">
        <v>250000.0</v>
      </c>
      <c r="K48" s="112">
        <v>-0.04</v>
      </c>
    </row>
    <row r="49" spans="8:8" ht="14.25" customHeight="1">
      <c r="I49" s="117" t="s">
        <v>232</v>
      </c>
      <c r="J49" s="111">
        <v>4538140.0</v>
      </c>
      <c r="K49" s="112">
        <v>0.06</v>
      </c>
    </row>
    <row r="50" spans="8:8" ht="14.25" customHeight="1">
      <c r="I50" s="117" t="s">
        <v>234</v>
      </c>
      <c r="J50" s="111">
        <v>314600.0</v>
      </c>
      <c r="K50" s="112">
        <v>0.05</v>
      </c>
    </row>
    <row r="51" spans="8:8" ht="14.25" customHeight="1">
      <c r="I51" s="117" t="s">
        <v>236</v>
      </c>
      <c r="J51" s="111">
        <v>439950.0</v>
      </c>
      <c r="K51" s="112">
        <v>0.05</v>
      </c>
    </row>
    <row r="52" spans="8:8" ht="14.25" customHeight="1">
      <c r="I52" s="117" t="s">
        <v>238</v>
      </c>
      <c r="J52" s="111">
        <v>110040.0</v>
      </c>
      <c r="K52" s="112">
        <v>0.09</v>
      </c>
    </row>
    <row r="53" spans="8:8" ht="14.25" customHeight="1">
      <c r="I53" s="117" t="s">
        <v>239</v>
      </c>
      <c r="J53" s="111">
        <v>447500.0</v>
      </c>
      <c r="K53" s="112">
        <v>-0.01</v>
      </c>
    </row>
    <row r="54" spans="8:8" ht="14.25" customHeight="1">
      <c r="I54" s="109" t="s">
        <v>703</v>
      </c>
      <c r="J54" s="111">
        <f>SUM(J41:J53)</f>
        <v>9217305.0</v>
      </c>
      <c r="K54" s="68"/>
    </row>
  </sheetData>
  <hyperlinks>
    <hyperlink ref="G2" r:id="rId2"/>
    <hyperlink ref="G3" r:id="rId3"/>
    <hyperlink ref="G4" r:id="rId4"/>
    <hyperlink ref="G5" r:id="rId5"/>
    <hyperlink ref="G6" r:id="rId6"/>
    <hyperlink ref="G7" r:id="rId7"/>
    <hyperlink ref="G8" r:id="rId8"/>
    <hyperlink ref="G9" r:id="rId9"/>
    <hyperlink ref="G10" r:id="rId10"/>
    <hyperlink ref="G11" r:id="rId11"/>
    <hyperlink ref="G12" r:id="rId12"/>
    <hyperlink ref="G13" r:id="rId13"/>
    <hyperlink ref="G14" r:id="rId14"/>
    <hyperlink ref="G15" r:id="rId15"/>
    <hyperlink ref="G16" r:id="rId16"/>
    <hyperlink ref="G17" r:id="rId17"/>
    <hyperlink ref="G18" r:id="rId18"/>
    <hyperlink ref="G19" r:id="rId19"/>
    <hyperlink ref="G20" r:id="rId20"/>
    <hyperlink ref="G21" r:id="rId21"/>
    <hyperlink ref="G22" r:id="rId22"/>
    <hyperlink ref="G23" r:id="rId23"/>
    <hyperlink ref="G24" r:id="rId24"/>
    <hyperlink ref="G25" r:id="rId25"/>
    <hyperlink ref="G26" r:id="rId26"/>
    <hyperlink ref="G27" r:id="rId27"/>
    <hyperlink ref="G28" r:id="rId28"/>
    <hyperlink ref="G29" r:id="rId29"/>
    <hyperlink ref="G30" r:id="rId30"/>
    <hyperlink ref="G31" r:id="rId31"/>
    <hyperlink ref="G32" r:id="rId32"/>
    <hyperlink ref="G33" r:id="rId33"/>
    <hyperlink ref="G34" r:id="rId34"/>
    <hyperlink ref="G35" r:id="rId35"/>
    <hyperlink ref="G36" r:id="rId36"/>
    <hyperlink ref="G37" r:id="rId37"/>
    <hyperlink ref="G38" r:id="rId38"/>
    <hyperlink ref="G39" r:id="rId39"/>
    <hyperlink ref="G40" r:id="rId40"/>
    <hyperlink ref="G41" r:id="rId41"/>
    <hyperlink ref="I41" r:id="rId42"/>
    <hyperlink ref="G42" r:id="rId43"/>
    <hyperlink ref="I42" r:id="rId44"/>
    <hyperlink ref="G43" r:id="rId45"/>
    <hyperlink ref="I43" r:id="rId46"/>
    <hyperlink ref="G44" r:id="rId47"/>
    <hyperlink ref="I44" r:id="rId48"/>
    <hyperlink ref="G45" r:id="rId49"/>
    <hyperlink ref="I45" r:id="rId50"/>
    <hyperlink ref="G46" r:id="rId51"/>
    <hyperlink ref="I46" r:id="rId52"/>
    <hyperlink ref="I47" r:id="rId53"/>
    <hyperlink ref="I48" r:id="rId54"/>
    <hyperlink ref="I49" r:id="rId55"/>
    <hyperlink ref="I50" r:id="rId56"/>
    <hyperlink ref="I51" r:id="rId57"/>
    <hyperlink ref="I52" r:id="rId58"/>
    <hyperlink ref="I53" r:id="rId59"/>
  </hyperlinks>
  <pageMargins left="0.75" right="0.75" top="1.0" bottom="1.0" header="0.511811023622047" footer="0.511811023622047"/>
  <drawing r:id="rId1"/>
</worksheet>
</file>

<file path=xl/worksheets/sheet18.xml><?xml version="1.0" encoding="utf-8"?>
<worksheet xmlns:r="http://schemas.openxmlformats.org/officeDocument/2006/relationships" xmlns="http://schemas.openxmlformats.org/spreadsheetml/2006/main">
  <dimension ref="A1:Q43"/>
  <sheetViews>
    <sheetView workbookViewId="0" topLeftCell="A11" zoomScale="76">
      <selection activeCell="O37" sqref="O37"/>
    </sheetView>
  </sheetViews>
  <sheetFormatPr defaultRowHeight="14.5"/>
  <cols>
    <col min="1" max="1" customWidth="1" width="11.269531" style="60"/>
    <col min="2" max="2" customWidth="1" width="18.089844" style="60"/>
    <col min="3" max="3" customWidth="1" width="10.90625" style="60"/>
    <col min="4" max="4" customWidth="1" width="11.90625" style="60"/>
    <col min="5" max="5" customWidth="1" width="12.453125" style="60"/>
    <col min="6" max="6" customWidth="1" width="21.542969" style="60"/>
    <col min="7" max="7" customWidth="1" width="11.90625" style="60"/>
    <col min="8" max="8" customWidth="1" width="3.0" style="60"/>
    <col min="9" max="9" customWidth="1" width="21.542969" style="60"/>
    <col min="10" max="10" customWidth="1" width="12.453125" style="60"/>
    <col min="11" max="11" customWidth="1" width="17.726562" style="60"/>
    <col min="12" max="12" customWidth="1" width="9.542969" style="60"/>
    <col min="13" max="13" customWidth="1" width="3.0" style="60"/>
    <col min="14" max="16" customWidth="1" width="13.0" style="60"/>
  </cols>
  <sheetData>
    <row r="1" spans="8:8" ht="25.5" customHeight="1">
      <c r="A1" s="106" t="s">
        <v>686</v>
      </c>
      <c r="B1" s="106" t="s">
        <v>687</v>
      </c>
      <c r="C1" s="106" t="s">
        <v>688</v>
      </c>
      <c r="D1" s="106" t="s">
        <v>689</v>
      </c>
      <c r="E1" s="106" t="s">
        <v>690</v>
      </c>
      <c r="F1" s="106" t="s">
        <v>691</v>
      </c>
      <c r="G1" s="106" t="s">
        <v>692</v>
      </c>
      <c r="I1" s="106" t="s">
        <v>687</v>
      </c>
      <c r="J1" s="106" t="s">
        <v>693</v>
      </c>
      <c r="K1" s="106" t="s">
        <v>694</v>
      </c>
      <c r="L1" s="106" t="s">
        <v>695</v>
      </c>
      <c r="N1" s="106" t="s">
        <v>696</v>
      </c>
      <c r="O1" s="106" t="s">
        <v>697</v>
      </c>
      <c r="P1" s="106" t="s">
        <v>698</v>
      </c>
    </row>
    <row r="2" spans="8:8" ht="14.25" customHeight="1">
      <c r="A2" s="107">
        <v>46218.0</v>
      </c>
      <c r="B2" s="109" t="s">
        <v>87</v>
      </c>
      <c r="C2" s="109">
        <v>5.0</v>
      </c>
      <c r="D2" s="110">
        <v>21485.0</v>
      </c>
      <c r="E2" s="111">
        <f t="shared" si="0" ref="E2:E32">C2*D2</f>
        <v>107425.0</v>
      </c>
      <c r="F2" s="109" t="s">
        <v>75</v>
      </c>
      <c r="G2" s="67" t="s">
        <v>240</v>
      </c>
      <c r="I2" s="109" t="s">
        <v>87</v>
      </c>
      <c r="J2" s="109">
        <f>C2</f>
        <v>5.0</v>
      </c>
      <c r="K2" s="111">
        <f>E2</f>
        <v>107425.0</v>
      </c>
      <c r="L2" s="112">
        <f t="shared" si="1" ref="L2:L27">K2/K$27</f>
        <v>0.023910239503032043</v>
      </c>
      <c r="N2" s="111">
        <f>K27</f>
        <v>4492845.0</v>
      </c>
      <c r="O2" s="109">
        <f>J27</f>
        <v>364.0</v>
      </c>
      <c r="P2" s="109">
        <f>COUNT(J2:J26)</f>
        <v>25.0</v>
      </c>
    </row>
    <row r="3" spans="8:8" ht="14.25" customHeight="1">
      <c r="A3" s="107">
        <v>46218.0</v>
      </c>
      <c r="B3" s="109" t="s">
        <v>77</v>
      </c>
      <c r="C3" s="109">
        <v>20.0</v>
      </c>
      <c r="D3" s="110">
        <v>17840.0</v>
      </c>
      <c r="E3" s="111">
        <f t="shared" si="0"/>
        <v>356800.0</v>
      </c>
      <c r="F3" s="109" t="s">
        <v>75</v>
      </c>
      <c r="G3" s="67" t="s">
        <v>240</v>
      </c>
      <c r="I3" s="109" t="s">
        <v>77</v>
      </c>
      <c r="J3" s="109">
        <f>C3</f>
        <v>20.0</v>
      </c>
      <c r="K3" s="111">
        <f>E3</f>
        <v>356800.0</v>
      </c>
      <c r="L3" s="112">
        <f t="shared" si="1"/>
        <v>0.07941515899168566</v>
      </c>
    </row>
    <row r="4" spans="8:8" ht="14.25" customHeight="1">
      <c r="A4" s="107">
        <v>46218.0</v>
      </c>
      <c r="B4" s="118" t="s">
        <v>45</v>
      </c>
      <c r="C4" s="109">
        <v>15.0</v>
      </c>
      <c r="D4" s="110">
        <v>13332.0</v>
      </c>
      <c r="E4" s="111">
        <f t="shared" si="0"/>
        <v>199980.0</v>
      </c>
      <c r="F4" s="109" t="s">
        <v>75</v>
      </c>
      <c r="G4" s="67" t="s">
        <v>240</v>
      </c>
      <c r="I4" s="118" t="s">
        <v>45</v>
      </c>
      <c r="J4" s="109">
        <f>C4+C26+C29</f>
        <v>18.0</v>
      </c>
      <c r="K4" s="111">
        <f>E4+E26+E29</f>
        <v>240000.0</v>
      </c>
      <c r="L4" s="112">
        <f t="shared" si="1"/>
        <v>0.05341826838005762</v>
      </c>
    </row>
    <row r="5" spans="8:8" ht="14.25" customHeight="1">
      <c r="A5" s="107">
        <v>46218.0</v>
      </c>
      <c r="B5" s="109" t="s">
        <v>93</v>
      </c>
      <c r="C5" s="109">
        <v>5.0</v>
      </c>
      <c r="D5" s="110">
        <v>11600.0</v>
      </c>
      <c r="E5" s="111">
        <f t="shared" si="0"/>
        <v>58000.0</v>
      </c>
      <c r="F5" s="109" t="s">
        <v>75</v>
      </c>
      <c r="G5" s="67" t="s">
        <v>240</v>
      </c>
      <c r="I5" s="109" t="s">
        <v>93</v>
      </c>
      <c r="J5" s="109">
        <f>C5</f>
        <v>5.0</v>
      </c>
      <c r="K5" s="111">
        <f>E5</f>
        <v>58000.0</v>
      </c>
      <c r="L5" s="112">
        <f t="shared" si="1"/>
        <v>0.012909414858513926</v>
      </c>
    </row>
    <row r="6" spans="8:8" ht="14.25" customHeight="1">
      <c r="A6" s="107">
        <v>46218.0</v>
      </c>
      <c r="B6" s="119" t="s">
        <v>24</v>
      </c>
      <c r="C6" s="109">
        <v>30.0</v>
      </c>
      <c r="D6" s="110">
        <v>6195.0</v>
      </c>
      <c r="E6" s="111">
        <f t="shared" si="0"/>
        <v>185850.0</v>
      </c>
      <c r="F6" s="109" t="s">
        <v>75</v>
      </c>
      <c r="G6" s="67" t="s">
        <v>240</v>
      </c>
      <c r="I6" s="119" t="s">
        <v>24</v>
      </c>
      <c r="J6" s="109">
        <f>C6+C27</f>
        <v>100.0</v>
      </c>
      <c r="K6" s="111">
        <f>E6+E27</f>
        <v>535850.0</v>
      </c>
      <c r="L6" s="112">
        <f t="shared" si="1"/>
        <v>0.11926741296439115</v>
      </c>
    </row>
    <row r="7" spans="8:8" ht="14.25" customHeight="1">
      <c r="A7" s="107">
        <v>46218.0</v>
      </c>
      <c r="B7" s="109" t="s">
        <v>27</v>
      </c>
      <c r="C7" s="109">
        <v>20.0</v>
      </c>
      <c r="D7" s="110">
        <v>8020.0</v>
      </c>
      <c r="E7" s="111">
        <f t="shared" si="0"/>
        <v>160400.0</v>
      </c>
      <c r="F7" s="109" t="s">
        <v>75</v>
      </c>
      <c r="G7" s="67" t="s">
        <v>240</v>
      </c>
      <c r="I7" s="109" t="s">
        <v>27</v>
      </c>
      <c r="J7" s="109">
        <f t="shared" si="2" ref="J7:J14">C7</f>
        <v>20.0</v>
      </c>
      <c r="K7" s="111">
        <f t="shared" si="3" ref="K7:K14">E7</f>
        <v>160400.0</v>
      </c>
      <c r="L7" s="112">
        <f t="shared" si="1"/>
        <v>0.03570120936733851</v>
      </c>
    </row>
    <row r="8" spans="8:8" ht="14.25" customHeight="1">
      <c r="A8" s="107">
        <v>46218.0</v>
      </c>
      <c r="B8" s="109" t="s">
        <v>71</v>
      </c>
      <c r="C8" s="109">
        <v>10.0</v>
      </c>
      <c r="D8" s="110">
        <v>15945.0</v>
      </c>
      <c r="E8" s="111">
        <f t="shared" si="0"/>
        <v>159450.0</v>
      </c>
      <c r="F8" s="109" t="s">
        <v>75</v>
      </c>
      <c r="G8" s="67" t="s">
        <v>240</v>
      </c>
      <c r="I8" s="109" t="s">
        <v>71</v>
      </c>
      <c r="J8" s="109">
        <f t="shared" si="2"/>
        <v>10.0</v>
      </c>
      <c r="K8" s="111">
        <f t="shared" si="3"/>
        <v>159450.0</v>
      </c>
      <c r="L8" s="112">
        <f t="shared" si="1"/>
        <v>0.03548976205500078</v>
      </c>
    </row>
    <row r="9" spans="8:8" ht="14.25" customHeight="1">
      <c r="A9" s="107">
        <v>46218.0</v>
      </c>
      <c r="B9" s="109" t="s">
        <v>35</v>
      </c>
      <c r="C9" s="109">
        <v>10.0</v>
      </c>
      <c r="D9" s="110">
        <v>21170.0</v>
      </c>
      <c r="E9" s="111">
        <f t="shared" si="0"/>
        <v>211700.0</v>
      </c>
      <c r="F9" s="109" t="s">
        <v>75</v>
      </c>
      <c r="G9" s="67" t="s">
        <v>240</v>
      </c>
      <c r="I9" s="109" t="s">
        <v>35</v>
      </c>
      <c r="J9" s="109">
        <f t="shared" si="2"/>
        <v>10.0</v>
      </c>
      <c r="K9" s="111">
        <f t="shared" si="3"/>
        <v>211700.0</v>
      </c>
      <c r="L9" s="112">
        <f t="shared" si="1"/>
        <v>0.04711936423357583</v>
      </c>
    </row>
    <row r="10" spans="8:8" ht="14.25" customHeight="1">
      <c r="A10" s="107">
        <v>46218.0</v>
      </c>
      <c r="B10" s="109" t="s">
        <v>32</v>
      </c>
      <c r="C10" s="109">
        <v>10.0</v>
      </c>
      <c r="D10" s="110">
        <v>16145.0</v>
      </c>
      <c r="E10" s="111">
        <f t="shared" si="0"/>
        <v>161450.0</v>
      </c>
      <c r="F10" s="109" t="s">
        <v>75</v>
      </c>
      <c r="G10" s="67" t="s">
        <v>240</v>
      </c>
      <c r="I10" s="109" t="s">
        <v>32</v>
      </c>
      <c r="J10" s="109">
        <f t="shared" si="2"/>
        <v>10.0</v>
      </c>
      <c r="K10" s="111">
        <f t="shared" si="3"/>
        <v>161450.0</v>
      </c>
      <c r="L10" s="112">
        <f t="shared" si="1"/>
        <v>0.035934914291501266</v>
      </c>
    </row>
    <row r="11" spans="8:8" ht="14.25" customHeight="1">
      <c r="A11" s="107">
        <v>46218.0</v>
      </c>
      <c r="B11" s="109" t="s">
        <v>141</v>
      </c>
      <c r="C11" s="109">
        <v>10.0</v>
      </c>
      <c r="D11" s="110">
        <v>14145.0</v>
      </c>
      <c r="E11" s="111">
        <f t="shared" si="0"/>
        <v>141450.0</v>
      </c>
      <c r="F11" s="109" t="s">
        <v>75</v>
      </c>
      <c r="G11" s="67" t="s">
        <v>240</v>
      </c>
      <c r="I11" s="109" t="s">
        <v>141</v>
      </c>
      <c r="J11" s="109">
        <f t="shared" si="2"/>
        <v>10.0</v>
      </c>
      <c r="K11" s="111">
        <f t="shared" si="3"/>
        <v>141450.0</v>
      </c>
      <c r="L11" s="112">
        <f t="shared" si="1"/>
        <v>0.03148339192649646</v>
      </c>
    </row>
    <row r="12" spans="8:8" ht="14.25" customHeight="1">
      <c r="A12" s="107">
        <v>46218.0</v>
      </c>
      <c r="B12" s="109" t="s">
        <v>34</v>
      </c>
      <c r="C12" s="109">
        <v>5.0</v>
      </c>
      <c r="D12" s="110">
        <v>22740.0</v>
      </c>
      <c r="E12" s="111">
        <f t="shared" si="0"/>
        <v>113700.0</v>
      </c>
      <c r="F12" s="109" t="s">
        <v>75</v>
      </c>
      <c r="G12" s="67" t="s">
        <v>240</v>
      </c>
      <c r="I12" s="109" t="s">
        <v>34</v>
      </c>
      <c r="J12" s="109">
        <f t="shared" si="2"/>
        <v>5.0</v>
      </c>
      <c r="K12" s="111">
        <f t="shared" si="3"/>
        <v>113700.0</v>
      </c>
      <c r="L12" s="112">
        <f t="shared" si="1"/>
        <v>0.0253069046450523</v>
      </c>
    </row>
    <row r="13" spans="8:8" ht="14.25" customHeight="1">
      <c r="A13" s="107">
        <v>46218.0</v>
      </c>
      <c r="B13" s="109" t="s">
        <v>70</v>
      </c>
      <c r="C13" s="109">
        <v>50.0</v>
      </c>
      <c r="D13" s="110">
        <v>13460.0</v>
      </c>
      <c r="E13" s="111">
        <f t="shared" si="0"/>
        <v>673000.0</v>
      </c>
      <c r="F13" s="109" t="s">
        <v>75</v>
      </c>
      <c r="G13" s="67" t="s">
        <v>240</v>
      </c>
      <c r="I13" s="109" t="s">
        <v>70</v>
      </c>
      <c r="J13" s="109">
        <f t="shared" si="2"/>
        <v>50.0</v>
      </c>
      <c r="K13" s="111">
        <f t="shared" si="3"/>
        <v>673000.0</v>
      </c>
      <c r="L13" s="112">
        <f t="shared" si="1"/>
        <v>0.14979372758241158</v>
      </c>
    </row>
    <row r="14" spans="8:8" ht="14.25" customHeight="1">
      <c r="A14" s="107">
        <v>46218.0</v>
      </c>
      <c r="B14" s="109" t="s">
        <v>224</v>
      </c>
      <c r="C14" s="109">
        <v>11.0</v>
      </c>
      <c r="D14" s="110">
        <v>14430.0</v>
      </c>
      <c r="E14" s="111">
        <f t="shared" si="0"/>
        <v>158730.0</v>
      </c>
      <c r="F14" s="109" t="s">
        <v>75</v>
      </c>
      <c r="G14" s="67" t="s">
        <v>240</v>
      </c>
      <c r="I14" s="109" t="s">
        <v>224</v>
      </c>
      <c r="J14" s="109">
        <f t="shared" si="2"/>
        <v>11.0</v>
      </c>
      <c r="K14" s="111">
        <f t="shared" si="3"/>
        <v>158730.0</v>
      </c>
      <c r="L14" s="112">
        <f t="shared" si="1"/>
        <v>0.035329507249860614</v>
      </c>
    </row>
    <row r="15" spans="8:8" ht="14.25" customHeight="1">
      <c r="A15" s="107">
        <v>46218.0</v>
      </c>
      <c r="B15" s="120" t="s">
        <v>28</v>
      </c>
      <c r="C15" s="109">
        <v>31.0</v>
      </c>
      <c r="D15" s="110">
        <v>14400.0</v>
      </c>
      <c r="E15" s="111">
        <f t="shared" si="0"/>
        <v>446400.0</v>
      </c>
      <c r="F15" s="109" t="s">
        <v>75</v>
      </c>
      <c r="G15" s="67" t="s">
        <v>240</v>
      </c>
      <c r="I15" s="120" t="s">
        <v>28</v>
      </c>
      <c r="J15" s="109">
        <f>C15+C28</f>
        <v>51.0</v>
      </c>
      <c r="K15" s="111">
        <f>E15+E28</f>
        <v>709400.0</v>
      </c>
      <c r="L15" s="112">
        <f t="shared" si="1"/>
        <v>0.15789549828672034</v>
      </c>
    </row>
    <row r="16" spans="8:8" ht="14.25" customHeight="1">
      <c r="A16" s="107">
        <v>46218.0</v>
      </c>
      <c r="B16" s="109" t="s">
        <v>178</v>
      </c>
      <c r="C16" s="109">
        <v>10.0</v>
      </c>
      <c r="D16" s="110">
        <v>23770.0</v>
      </c>
      <c r="E16" s="111">
        <f t="shared" si="0"/>
        <v>237700.0</v>
      </c>
      <c r="F16" s="109" t="s">
        <v>75</v>
      </c>
      <c r="G16" s="67" t="s">
        <v>240</v>
      </c>
      <c r="I16" s="109" t="s">
        <v>178</v>
      </c>
      <c r="J16" s="109">
        <f t="shared" si="4" ref="J16:J22">C16</f>
        <v>10.0</v>
      </c>
      <c r="K16" s="111">
        <f t="shared" si="5" ref="K16:K22">E16</f>
        <v>237700.0</v>
      </c>
      <c r="L16" s="112">
        <f t="shared" si="1"/>
        <v>0.052906343308082075</v>
      </c>
    </row>
    <row r="17" spans="8:8" ht="14.25" customHeight="1">
      <c r="A17" s="107">
        <v>46218.0</v>
      </c>
      <c r="B17" s="109" t="s">
        <v>31</v>
      </c>
      <c r="C17" s="109">
        <v>10.0</v>
      </c>
      <c r="D17" s="110">
        <v>17845.0</v>
      </c>
      <c r="E17" s="111">
        <f t="shared" si="0"/>
        <v>178450.0</v>
      </c>
      <c r="F17" s="109" t="s">
        <v>75</v>
      </c>
      <c r="G17" s="67" t="s">
        <v>240</v>
      </c>
      <c r="I17" s="109" t="s">
        <v>31</v>
      </c>
      <c r="J17" s="109">
        <f t="shared" si="4"/>
        <v>10.0</v>
      </c>
      <c r="K17" s="111">
        <f t="shared" si="5"/>
        <v>178450.0</v>
      </c>
      <c r="L17" s="112">
        <f t="shared" si="1"/>
        <v>0.03971870830175535</v>
      </c>
    </row>
    <row r="18" spans="8:8" ht="14.25" customHeight="1">
      <c r="A18" s="107">
        <v>46218.0</v>
      </c>
      <c r="B18" s="109" t="s">
        <v>190</v>
      </c>
      <c r="C18" s="109">
        <v>2.0</v>
      </c>
      <c r="D18" s="110">
        <v>28445.0</v>
      </c>
      <c r="E18" s="111">
        <f t="shared" si="0"/>
        <v>56890.0</v>
      </c>
      <c r="F18" s="109" t="s">
        <v>75</v>
      </c>
      <c r="G18" s="67" t="s">
        <v>240</v>
      </c>
      <c r="I18" s="109" t="s">
        <v>190</v>
      </c>
      <c r="J18" s="109">
        <f t="shared" si="4"/>
        <v>2.0</v>
      </c>
      <c r="K18" s="111">
        <f t="shared" si="5"/>
        <v>56890.0</v>
      </c>
      <c r="L18" s="112">
        <f t="shared" si="1"/>
        <v>0.01266235536725616</v>
      </c>
    </row>
    <row r="19" spans="8:8" ht="14.25" customHeight="1">
      <c r="A19" s="107">
        <v>46218.0</v>
      </c>
      <c r="B19" s="109" t="s">
        <v>56</v>
      </c>
      <c r="C19" s="109">
        <v>2.0</v>
      </c>
      <c r="D19" s="110">
        <v>24185.0</v>
      </c>
      <c r="E19" s="111">
        <f t="shared" si="0"/>
        <v>48370.0</v>
      </c>
      <c r="F19" s="109" t="s">
        <v>75</v>
      </c>
      <c r="G19" s="67" t="s">
        <v>240</v>
      </c>
      <c r="I19" s="109" t="s">
        <v>56</v>
      </c>
      <c r="J19" s="109">
        <f t="shared" si="4"/>
        <v>2.0</v>
      </c>
      <c r="K19" s="111">
        <f t="shared" si="5"/>
        <v>48370.0</v>
      </c>
      <c r="L19" s="112">
        <f t="shared" si="1"/>
        <v>0.010766006839764114</v>
      </c>
    </row>
    <row r="20" spans="8:8" ht="14.25" customHeight="1">
      <c r="A20" s="107">
        <v>46218.0</v>
      </c>
      <c r="B20" s="109" t="s">
        <v>113</v>
      </c>
      <c r="C20" s="109">
        <v>5.0</v>
      </c>
      <c r="D20" s="110">
        <v>15115.0</v>
      </c>
      <c r="E20" s="111">
        <f t="shared" si="0"/>
        <v>75575.0</v>
      </c>
      <c r="F20" s="109" t="s">
        <v>75</v>
      </c>
      <c r="G20" s="67" t="s">
        <v>240</v>
      </c>
      <c r="I20" s="109" t="s">
        <v>113</v>
      </c>
      <c r="J20" s="109">
        <f t="shared" si="4"/>
        <v>5.0</v>
      </c>
      <c r="K20" s="111">
        <f t="shared" si="5"/>
        <v>75575.0</v>
      </c>
      <c r="L20" s="112">
        <f t="shared" si="1"/>
        <v>0.016821190136761897</v>
      </c>
    </row>
    <row r="21" spans="8:8" ht="14.25" customHeight="1">
      <c r="A21" s="107">
        <v>46218.0</v>
      </c>
      <c r="B21" s="109" t="s">
        <v>62</v>
      </c>
      <c r="C21" s="109">
        <v>1.0</v>
      </c>
      <c r="D21" s="110">
        <v>20655.0</v>
      </c>
      <c r="E21" s="111">
        <f t="shared" si="0"/>
        <v>20655.0</v>
      </c>
      <c r="F21" s="109" t="s">
        <v>104</v>
      </c>
      <c r="G21" s="67" t="s">
        <v>242</v>
      </c>
      <c r="I21" s="109" t="s">
        <v>62</v>
      </c>
      <c r="J21" s="109">
        <f t="shared" si="4"/>
        <v>1.0</v>
      </c>
      <c r="K21" s="111">
        <f t="shared" si="5"/>
        <v>20655.0</v>
      </c>
      <c r="L21" s="112">
        <f t="shared" si="1"/>
        <v>0.004597309722458709</v>
      </c>
    </row>
    <row r="22" spans="8:8" ht="14.25" customHeight="1">
      <c r="A22" s="107">
        <v>46218.0</v>
      </c>
      <c r="B22" s="109" t="s">
        <v>69</v>
      </c>
      <c r="C22" s="109">
        <v>1.0</v>
      </c>
      <c r="D22" s="110">
        <v>14450.0</v>
      </c>
      <c r="E22" s="111">
        <f t="shared" si="0"/>
        <v>14450.0</v>
      </c>
      <c r="F22" s="109" t="s">
        <v>95</v>
      </c>
      <c r="G22" s="67" t="s">
        <v>243</v>
      </c>
      <c r="I22" s="109" t="s">
        <v>69</v>
      </c>
      <c r="J22" s="109">
        <f t="shared" si="4"/>
        <v>1.0</v>
      </c>
      <c r="K22" s="111">
        <f t="shared" si="5"/>
        <v>14450.0</v>
      </c>
      <c r="L22" s="112">
        <f t="shared" si="1"/>
        <v>0.0032162249087159694</v>
      </c>
    </row>
    <row r="23" spans="8:8" ht="14.25" customHeight="1">
      <c r="A23" s="107">
        <v>46218.0</v>
      </c>
      <c r="B23" s="134" t="s">
        <v>22</v>
      </c>
      <c r="C23" s="109">
        <v>2.0</v>
      </c>
      <c r="D23" s="110">
        <v>9200.0</v>
      </c>
      <c r="E23" s="111">
        <f t="shared" si="0"/>
        <v>18400.0</v>
      </c>
      <c r="F23" s="109" t="s">
        <v>95</v>
      </c>
      <c r="G23" s="67" t="s">
        <v>243</v>
      </c>
      <c r="I23" s="134" t="s">
        <v>22</v>
      </c>
      <c r="J23" s="109">
        <f>C23+C30</f>
        <v>3.0</v>
      </c>
      <c r="K23" s="111">
        <f>E23+E30</f>
        <v>27600.0</v>
      </c>
      <c r="L23" s="112">
        <f t="shared" si="1"/>
        <v>0.0061431008637066265</v>
      </c>
    </row>
    <row r="24" spans="8:8" ht="14.25" customHeight="1">
      <c r="A24" s="107">
        <v>46218.0</v>
      </c>
      <c r="B24" s="115" t="s">
        <v>44</v>
      </c>
      <c r="C24" s="109">
        <v>2.0</v>
      </c>
      <c r="D24" s="110">
        <v>9200.0</v>
      </c>
      <c r="E24" s="111">
        <f t="shared" si="0"/>
        <v>18400.0</v>
      </c>
      <c r="F24" s="109" t="s">
        <v>95</v>
      </c>
      <c r="G24" s="67" t="s">
        <v>243</v>
      </c>
      <c r="I24" s="109" t="s">
        <v>44</v>
      </c>
      <c r="J24" s="109">
        <f>C24+C31</f>
        <v>3.0</v>
      </c>
      <c r="K24" s="111">
        <f>E24+E31</f>
        <v>27600.0</v>
      </c>
      <c r="L24" s="112">
        <f t="shared" si="1"/>
        <v>0.0061431008637066265</v>
      </c>
    </row>
    <row r="25" spans="8:8" ht="14.25" customHeight="1">
      <c r="A25" s="107">
        <v>46218.0</v>
      </c>
      <c r="B25" s="109" t="s">
        <v>37</v>
      </c>
      <c r="C25" s="109">
        <v>1.0</v>
      </c>
      <c r="D25" s="110">
        <v>9200.0</v>
      </c>
      <c r="E25" s="111">
        <f t="shared" si="0"/>
        <v>9200.0</v>
      </c>
      <c r="F25" s="109" t="s">
        <v>95</v>
      </c>
      <c r="G25" s="67" t="s">
        <v>243</v>
      </c>
      <c r="I25" s="109" t="s">
        <v>37</v>
      </c>
      <c r="J25" s="109">
        <f>C25</f>
        <v>1.0</v>
      </c>
      <c r="K25" s="111">
        <f>E25</f>
        <v>9200.0</v>
      </c>
      <c r="L25" s="112">
        <f t="shared" si="1"/>
        <v>0.002047700287902209</v>
      </c>
    </row>
    <row r="26" spans="8:8" ht="14.25" customHeight="1">
      <c r="A26" s="107">
        <v>46218.0</v>
      </c>
      <c r="B26" s="118" t="s">
        <v>45</v>
      </c>
      <c r="C26" s="109">
        <v>2.0</v>
      </c>
      <c r="D26" s="110">
        <v>13335.0</v>
      </c>
      <c r="E26" s="111">
        <f t="shared" si="0"/>
        <v>26670.0</v>
      </c>
      <c r="F26" s="109" t="s">
        <v>95</v>
      </c>
      <c r="G26" s="67" t="s">
        <v>243</v>
      </c>
      <c r="I26" s="109" t="s">
        <v>21</v>
      </c>
      <c r="J26" s="109">
        <f>C32</f>
        <v>1.0</v>
      </c>
      <c r="K26" s="111">
        <f>E32</f>
        <v>9000.0</v>
      </c>
      <c r="L26" s="112">
        <f t="shared" si="1"/>
        <v>0.002003185064252161</v>
      </c>
    </row>
    <row r="27" spans="8:8" ht="14.25" customHeight="1">
      <c r="A27" s="107">
        <v>46218.0</v>
      </c>
      <c r="B27" s="119" t="s">
        <v>24</v>
      </c>
      <c r="C27" s="109">
        <v>70.0</v>
      </c>
      <c r="D27" s="110">
        <v>5000.0</v>
      </c>
      <c r="E27" s="111">
        <f t="shared" si="0"/>
        <v>350000.0</v>
      </c>
      <c r="F27" s="109" t="s">
        <v>25</v>
      </c>
      <c r="G27" s="67" t="s">
        <v>244</v>
      </c>
      <c r="I27" s="109" t="s">
        <v>701</v>
      </c>
      <c r="J27" s="109">
        <f>SUM(J2:J26)</f>
        <v>364.0</v>
      </c>
      <c r="K27" s="111">
        <f>SUM(K2:K26)</f>
        <v>4492845.0</v>
      </c>
      <c r="L27" s="112">
        <f t="shared" si="1"/>
        <v>1.0</v>
      </c>
    </row>
    <row r="28" spans="8:8" ht="14.25" customHeight="1">
      <c r="A28" s="107">
        <v>46218.0</v>
      </c>
      <c r="B28" s="120" t="s">
        <v>28</v>
      </c>
      <c r="C28" s="109">
        <v>20.0</v>
      </c>
      <c r="D28" s="110">
        <v>13150.0</v>
      </c>
      <c r="E28" s="111">
        <f t="shared" si="0"/>
        <v>263000.0</v>
      </c>
      <c r="F28" s="109" t="s">
        <v>25</v>
      </c>
      <c r="G28" s="67" t="s">
        <v>244</v>
      </c>
    </row>
    <row r="29" spans="8:8" ht="25.5" customHeight="1">
      <c r="A29" s="107">
        <v>46218.0</v>
      </c>
      <c r="B29" s="118" t="s">
        <v>45</v>
      </c>
      <c r="C29" s="109">
        <v>1.0</v>
      </c>
      <c r="D29" s="110">
        <v>13350.0</v>
      </c>
      <c r="E29" s="111">
        <f t="shared" si="0"/>
        <v>13350.0</v>
      </c>
      <c r="F29" s="109" t="s">
        <v>15</v>
      </c>
      <c r="G29" s="67" t="s">
        <v>245</v>
      </c>
      <c r="I29" s="106" t="s">
        <v>691</v>
      </c>
      <c r="J29" s="106" t="s">
        <v>690</v>
      </c>
      <c r="K29" s="106" t="s">
        <v>695</v>
      </c>
      <c r="L29" s="106" t="s">
        <v>702</v>
      </c>
    </row>
    <row r="30" spans="8:8" ht="14.25" customHeight="1">
      <c r="A30" s="107">
        <v>46218.0</v>
      </c>
      <c r="B30" s="134" t="s">
        <v>22</v>
      </c>
      <c r="C30" s="109">
        <v>1.0</v>
      </c>
      <c r="D30" s="110">
        <v>9200.0</v>
      </c>
      <c r="E30" s="111">
        <f t="shared" si="0"/>
        <v>9200.0</v>
      </c>
      <c r="F30" s="109" t="s">
        <v>15</v>
      </c>
      <c r="G30" s="67" t="s">
        <v>245</v>
      </c>
      <c r="I30" s="109" t="s">
        <v>75</v>
      </c>
      <c r="J30" s="111">
        <f>E2+E3+E4+E5+E6+E7+E8+E9+E10+E11+E12+E13+E14+E15+E16+E17+E18+E19+E20</f>
        <v>3731320.0</v>
      </c>
      <c r="K30" s="112">
        <f t="shared" si="6" ref="K30:K35">J30/J$35</f>
        <v>0.8305027215494859</v>
      </c>
      <c r="L30" s="112">
        <v>0.0713</v>
      </c>
    </row>
    <row r="31" spans="8:8" ht="14.25" customHeight="1">
      <c r="A31" s="107">
        <v>46218.0</v>
      </c>
      <c r="B31" s="115" t="s">
        <v>44</v>
      </c>
      <c r="C31" s="109">
        <v>1.0</v>
      </c>
      <c r="D31" s="110">
        <v>9200.0</v>
      </c>
      <c r="E31" s="111">
        <f t="shared" si="0"/>
        <v>9200.0</v>
      </c>
      <c r="F31" s="109" t="s">
        <v>15</v>
      </c>
      <c r="G31" s="67" t="s">
        <v>245</v>
      </c>
      <c r="I31" s="109" t="s">
        <v>104</v>
      </c>
      <c r="J31" s="111">
        <f>E21</f>
        <v>20655.0</v>
      </c>
      <c r="K31" s="112">
        <f t="shared" si="6"/>
        <v>0.004597309722458709</v>
      </c>
      <c r="L31" s="112">
        <v>0.0654</v>
      </c>
    </row>
    <row r="32" spans="8:8" ht="14.25" customHeight="1">
      <c r="A32" s="107">
        <v>46218.0</v>
      </c>
      <c r="B32" s="109" t="s">
        <v>21</v>
      </c>
      <c r="C32" s="109">
        <v>1.0</v>
      </c>
      <c r="D32" s="110">
        <v>9000.0</v>
      </c>
      <c r="E32" s="111">
        <f t="shared" si="0"/>
        <v>9000.0</v>
      </c>
      <c r="F32" s="109" t="s">
        <v>15</v>
      </c>
      <c r="G32" s="67" t="s">
        <v>245</v>
      </c>
      <c r="I32" s="109" t="s">
        <v>95</v>
      </c>
      <c r="J32" s="111">
        <f>E22+E23+E24+E25+E26</f>
        <v>87120.0</v>
      </c>
      <c r="K32" s="112">
        <f t="shared" si="6"/>
        <v>0.01939083142196092</v>
      </c>
      <c r="L32" s="112">
        <v>0.0462</v>
      </c>
    </row>
    <row r="33" spans="8:8" ht="14.25" customHeight="1">
      <c r="A33" s="68"/>
      <c r="B33" s="109" t="s">
        <v>701</v>
      </c>
      <c r="C33" s="109">
        <f>SUM(C2:C32)</f>
        <v>364.0</v>
      </c>
      <c r="D33" s="109">
        <f>SUM(D2:D32)</f>
        <v>455207.0</v>
      </c>
      <c r="E33" s="111">
        <f>SUM(E2:E32)</f>
        <v>4492845.0</v>
      </c>
      <c r="F33" s="68"/>
      <c r="G33" s="68"/>
      <c r="I33" s="109" t="s">
        <v>25</v>
      </c>
      <c r="J33" s="111">
        <f>E27+E28</f>
        <v>613000.0</v>
      </c>
      <c r="K33" s="112">
        <f t="shared" si="6"/>
        <v>0.13643916048739718</v>
      </c>
      <c r="L33" s="112">
        <v>-0.0343</v>
      </c>
    </row>
    <row r="34" spans="8:8" ht="14.25" customHeight="1">
      <c r="I34" s="109" t="s">
        <v>15</v>
      </c>
      <c r="J34" s="111">
        <f>E29+E30+E31+E32</f>
        <v>40750.0</v>
      </c>
      <c r="K34" s="112">
        <f t="shared" si="6"/>
        <v>0.009069976818697284</v>
      </c>
      <c r="L34" s="112">
        <v>0.0548</v>
      </c>
    </row>
    <row r="35" spans="8:8" ht="14.25" customHeight="1">
      <c r="I35" s="109" t="s">
        <v>703</v>
      </c>
      <c r="J35" s="111">
        <f>SUM(J30:J34)</f>
        <v>4492845.0</v>
      </c>
      <c r="K35" s="112">
        <f t="shared" si="6"/>
        <v>1.0</v>
      </c>
      <c r="L35" s="68"/>
    </row>
    <row r="37" spans="8:8" ht="25.5" customHeight="1">
      <c r="I37" s="106" t="s">
        <v>692</v>
      </c>
      <c r="J37" s="106" t="s">
        <v>690</v>
      </c>
      <c r="K37" s="106" t="s">
        <v>702</v>
      </c>
    </row>
    <row r="38" spans="8:8" ht="14.25" customHeight="1">
      <c r="I38" s="117" t="s">
        <v>240</v>
      </c>
      <c r="J38" s="111">
        <v>3865320.0</v>
      </c>
      <c r="K38" s="112">
        <v>0.07</v>
      </c>
    </row>
    <row r="39" spans="8:8" ht="14.25" customHeight="1">
      <c r="I39" s="117" t="s">
        <v>242</v>
      </c>
      <c r="J39" s="111">
        <v>20655.0</v>
      </c>
      <c r="K39" s="112">
        <v>0.07</v>
      </c>
    </row>
    <row r="40" spans="8:8" ht="14.25" customHeight="1">
      <c r="I40" s="117" t="s">
        <v>243</v>
      </c>
      <c r="J40" s="111">
        <v>87120.0</v>
      </c>
      <c r="K40" s="112">
        <v>0.05</v>
      </c>
    </row>
    <row r="41" spans="8:8" ht="14.25" customHeight="1">
      <c r="I41" s="117" t="s">
        <v>244</v>
      </c>
      <c r="J41" s="111">
        <v>613000.0</v>
      </c>
      <c r="K41" s="112">
        <v>-0.03</v>
      </c>
    </row>
    <row r="42" spans="8:8" ht="14.25" customHeight="1">
      <c r="I42" s="117" t="s">
        <v>245</v>
      </c>
      <c r="J42" s="111">
        <v>40750.0</v>
      </c>
      <c r="K42" s="112">
        <v>0.05</v>
      </c>
    </row>
    <row r="43" spans="8:8" ht="14.25" customHeight="1">
      <c r="I43" s="109" t="s">
        <v>703</v>
      </c>
      <c r="J43" s="111">
        <f>SUM(J38:J42)</f>
        <v>4626845.0</v>
      </c>
      <c r="K43" s="68"/>
    </row>
  </sheetData>
  <hyperlinks>
    <hyperlink ref="G2" r:id="rId2"/>
    <hyperlink ref="G3" r:id="rId3"/>
    <hyperlink ref="G4" r:id="rId4"/>
    <hyperlink ref="G5" r:id="rId5"/>
    <hyperlink ref="G6" r:id="rId6"/>
    <hyperlink ref="G7" r:id="rId7"/>
    <hyperlink ref="G8" r:id="rId8"/>
    <hyperlink ref="G9" r:id="rId9"/>
    <hyperlink ref="G10" r:id="rId10"/>
    <hyperlink ref="G11" r:id="rId11"/>
    <hyperlink ref="G12" r:id="rId12"/>
    <hyperlink ref="G13" r:id="rId13"/>
    <hyperlink ref="G14" r:id="rId14"/>
    <hyperlink ref="G15" r:id="rId15"/>
    <hyperlink ref="G16" r:id="rId16"/>
    <hyperlink ref="G17" r:id="rId17"/>
    <hyperlink ref="G18" r:id="rId18"/>
    <hyperlink ref="G19" r:id="rId19"/>
    <hyperlink ref="G20" r:id="rId20"/>
    <hyperlink ref="G21" r:id="rId21"/>
    <hyperlink ref="G22" r:id="rId22"/>
    <hyperlink ref="G23" r:id="rId23"/>
    <hyperlink ref="G24" r:id="rId24"/>
    <hyperlink ref="G25" r:id="rId25"/>
    <hyperlink ref="G26" r:id="rId26"/>
    <hyperlink ref="G27" r:id="rId27"/>
    <hyperlink ref="G28" r:id="rId28"/>
    <hyperlink ref="G29" r:id="rId29"/>
    <hyperlink ref="G30" r:id="rId30"/>
    <hyperlink ref="G31" r:id="rId31"/>
    <hyperlink ref="G32" r:id="rId32"/>
    <hyperlink ref="I38" r:id="rId33"/>
    <hyperlink ref="I39" r:id="rId34"/>
    <hyperlink ref="I40" r:id="rId35"/>
    <hyperlink ref="I41" r:id="rId36"/>
    <hyperlink ref="I42" r:id="rId37"/>
  </hyperlinks>
  <pageMargins left="0.75" right="0.75" top="1.0" bottom="1.0" header="0.511811023622047" footer="0.511811023622047"/>
  <drawing r:id="rId1"/>
</worksheet>
</file>

<file path=xl/worksheets/sheet19.xml><?xml version="1.0" encoding="utf-8"?>
<worksheet xmlns:r="http://schemas.openxmlformats.org/officeDocument/2006/relationships" xmlns="http://schemas.openxmlformats.org/spreadsheetml/2006/main">
  <dimension ref="A1:Q37"/>
  <sheetViews>
    <sheetView workbookViewId="0" zoomScale="76">
      <selection activeCell="O13" sqref="O13"/>
    </sheetView>
  </sheetViews>
  <sheetFormatPr defaultRowHeight="14.5"/>
  <cols>
    <col min="1" max="1" customWidth="1" width="10.269531" style="60"/>
    <col min="2" max="2" customWidth="1" width="18.542969" style="60"/>
    <col min="3" max="3" customWidth="1" width="10.90625" style="60"/>
    <col min="4" max="4" customWidth="1" width="14.816406" style="60"/>
    <col min="5" max="5" customWidth="1" width="12.453125" style="60"/>
    <col min="6" max="6" customWidth="1" width="16.0" style="60"/>
    <col min="7" max="7" customWidth="1" width="12.269531" style="60"/>
    <col min="8" max="8" customWidth="1" width="3.0" style="60"/>
    <col min="9" max="9" customWidth="1" width="18.542969" style="60"/>
    <col min="10" max="10" customWidth="1" width="12.453125" style="60"/>
    <col min="11" max="12" customWidth="1" width="17.726562" style="60"/>
    <col min="13" max="13" customWidth="1" width="3.0" style="60"/>
    <col min="14" max="14" customWidth="1" width="12.269531" style="60"/>
    <col min="15" max="15" customWidth="1" width="15.453125" style="60"/>
    <col min="16" max="16" customWidth="1" width="15.542969" style="60"/>
  </cols>
  <sheetData>
    <row r="1" spans="8:8" ht="25.5" customHeight="1">
      <c r="A1" s="106" t="s">
        <v>686</v>
      </c>
      <c r="B1" s="106" t="s">
        <v>687</v>
      </c>
      <c r="C1" s="106" t="s">
        <v>688</v>
      </c>
      <c r="D1" s="106" t="s">
        <v>689</v>
      </c>
      <c r="E1" s="106" t="s">
        <v>690</v>
      </c>
      <c r="F1" s="106" t="s">
        <v>691</v>
      </c>
      <c r="G1" s="106" t="s">
        <v>692</v>
      </c>
      <c r="I1" s="106" t="s">
        <v>687</v>
      </c>
      <c r="J1" s="106" t="s">
        <v>693</v>
      </c>
      <c r="K1" s="106" t="s">
        <v>694</v>
      </c>
      <c r="L1" s="106" t="s">
        <v>695</v>
      </c>
      <c r="N1" s="106" t="s">
        <v>696</v>
      </c>
      <c r="O1" s="106" t="s">
        <v>697</v>
      </c>
      <c r="P1" s="106" t="s">
        <v>698</v>
      </c>
    </row>
    <row r="2" spans="8:8" ht="15.0" customHeight="1">
      <c r="A2" s="107">
        <v>46219.0</v>
      </c>
      <c r="B2" s="109" t="s">
        <v>34</v>
      </c>
      <c r="C2" s="109">
        <v>5.0</v>
      </c>
      <c r="D2" s="110">
        <v>22740.0</v>
      </c>
      <c r="E2" s="111">
        <f t="shared" si="0" ref="E2:E21">C2*D2</f>
        <v>113700.0</v>
      </c>
      <c r="F2" s="109" t="s">
        <v>253</v>
      </c>
      <c r="G2" s="67" t="s">
        <v>254</v>
      </c>
      <c r="I2" s="109" t="s">
        <v>34</v>
      </c>
      <c r="J2" s="109">
        <f>C2</f>
        <v>5.0</v>
      </c>
      <c r="K2" s="111">
        <f>E2</f>
        <v>113700.0</v>
      </c>
      <c r="L2" s="112">
        <f t="shared" si="1" ref="L2:L15">K2/K$15</f>
        <v>0.04303785968976403</v>
      </c>
      <c r="N2" s="111">
        <f>K15</f>
        <v>2641860.0</v>
      </c>
      <c r="O2" s="109">
        <f>J15</f>
        <v>267.0</v>
      </c>
      <c r="P2" s="109">
        <f>COUNT(J2:J14)</f>
        <v>13.0</v>
      </c>
    </row>
    <row r="3" spans="8:8" ht="15.0" customHeight="1">
      <c r="A3" s="107">
        <v>46219.0</v>
      </c>
      <c r="B3" s="109" t="s">
        <v>61</v>
      </c>
      <c r="C3" s="109">
        <v>5.0</v>
      </c>
      <c r="D3" s="110">
        <v>12885.0</v>
      </c>
      <c r="E3" s="111">
        <f t="shared" si="0"/>
        <v>64425.0</v>
      </c>
      <c r="F3" s="109" t="s">
        <v>253</v>
      </c>
      <c r="G3" s="67" t="s">
        <v>254</v>
      </c>
      <c r="I3" s="109" t="s">
        <v>61</v>
      </c>
      <c r="J3" s="109">
        <f>C3</f>
        <v>5.0</v>
      </c>
      <c r="K3" s="111">
        <f>E3</f>
        <v>64425.0</v>
      </c>
      <c r="L3" s="112">
        <f t="shared" si="1"/>
        <v>0.024386227884899275</v>
      </c>
    </row>
    <row r="4" spans="8:8" ht="15.0" customHeight="1">
      <c r="A4" s="107">
        <v>46219.0</v>
      </c>
      <c r="B4" s="119" t="s">
        <v>24</v>
      </c>
      <c r="C4" s="109">
        <v>1.0</v>
      </c>
      <c r="D4" s="110">
        <v>5300.0</v>
      </c>
      <c r="E4" s="111">
        <f t="shared" si="0"/>
        <v>5300.0</v>
      </c>
      <c r="F4" s="109" t="s">
        <v>15</v>
      </c>
      <c r="G4" s="67" t="s">
        <v>256</v>
      </c>
      <c r="I4" s="119" t="s">
        <v>24</v>
      </c>
      <c r="J4" s="109">
        <f>C4+C5+C10+C12</f>
        <v>104.0</v>
      </c>
      <c r="K4" s="111">
        <f>E4+E5+E10+E12</f>
        <v>521200.0</v>
      </c>
      <c r="L4" s="112">
        <f t="shared" si="1"/>
        <v>0.1972852460009236</v>
      </c>
    </row>
    <row r="5" spans="8:8" ht="15.0" customHeight="1">
      <c r="A5" s="107">
        <v>46219.0</v>
      </c>
      <c r="B5" s="119" t="s">
        <v>24</v>
      </c>
      <c r="C5" s="109">
        <v>100.0</v>
      </c>
      <c r="D5" s="110">
        <v>5000.0</v>
      </c>
      <c r="E5" s="111">
        <f t="shared" si="0"/>
        <v>500000.0</v>
      </c>
      <c r="F5" s="109" t="s">
        <v>50</v>
      </c>
      <c r="G5" s="67" t="s">
        <v>258</v>
      </c>
      <c r="I5" s="109" t="s">
        <v>32</v>
      </c>
      <c r="J5" s="109">
        <f>C6</f>
        <v>30.0</v>
      </c>
      <c r="K5" s="111">
        <f>E6</f>
        <v>469650.0</v>
      </c>
      <c r="L5" s="112">
        <f t="shared" si="1"/>
        <v>0.17777247848107017</v>
      </c>
    </row>
    <row r="6" spans="8:8" ht="15.0" customHeight="1">
      <c r="A6" s="107">
        <v>46219.0</v>
      </c>
      <c r="B6" s="109" t="s">
        <v>32</v>
      </c>
      <c r="C6" s="109">
        <v>30.0</v>
      </c>
      <c r="D6" s="110">
        <v>15655.0</v>
      </c>
      <c r="E6" s="111">
        <f t="shared" si="0"/>
        <v>469650.0</v>
      </c>
      <c r="F6" s="109" t="s">
        <v>50</v>
      </c>
      <c r="G6" s="67" t="s">
        <v>258</v>
      </c>
      <c r="I6" s="109" t="s">
        <v>31</v>
      </c>
      <c r="J6" s="109">
        <f>C7</f>
        <v>15.0</v>
      </c>
      <c r="K6" s="111">
        <f>E7</f>
        <v>258000.0</v>
      </c>
      <c r="L6" s="112">
        <f t="shared" si="1"/>
        <v>0.09765846789761759</v>
      </c>
    </row>
    <row r="7" spans="8:8" ht="15.0" customHeight="1">
      <c r="A7" s="107">
        <v>46219.0</v>
      </c>
      <c r="B7" s="109" t="s">
        <v>31</v>
      </c>
      <c r="C7" s="109">
        <v>15.0</v>
      </c>
      <c r="D7" s="110">
        <v>17200.0</v>
      </c>
      <c r="E7" s="111">
        <f t="shared" si="0"/>
        <v>258000.0</v>
      </c>
      <c r="F7" s="109" t="s">
        <v>50</v>
      </c>
      <c r="G7" s="67" t="s">
        <v>258</v>
      </c>
      <c r="I7" s="109" t="s">
        <v>33</v>
      </c>
      <c r="J7" s="109">
        <f>C8</f>
        <v>25.0</v>
      </c>
      <c r="K7" s="111">
        <f>E8</f>
        <v>391375.0</v>
      </c>
      <c r="L7" s="112">
        <f t="shared" si="1"/>
        <v>0.14814373206755846</v>
      </c>
    </row>
    <row r="8" spans="8:8" ht="15.0" customHeight="1">
      <c r="A8" s="107">
        <v>46219.0</v>
      </c>
      <c r="B8" s="109" t="s">
        <v>33</v>
      </c>
      <c r="C8" s="109">
        <v>25.0</v>
      </c>
      <c r="D8" s="110">
        <v>15655.0</v>
      </c>
      <c r="E8" s="111">
        <f t="shared" si="0"/>
        <v>391375.0</v>
      </c>
      <c r="F8" s="109" t="s">
        <v>50</v>
      </c>
      <c r="G8" s="67" t="s">
        <v>258</v>
      </c>
      <c r="I8" s="109" t="s">
        <v>28</v>
      </c>
      <c r="J8" s="109">
        <f>C9</f>
        <v>20.0</v>
      </c>
      <c r="K8" s="111">
        <f>E9</f>
        <v>258000.0</v>
      </c>
      <c r="L8" s="112">
        <f t="shared" si="1"/>
        <v>0.09765846789761759</v>
      </c>
    </row>
    <row r="9" spans="8:8" ht="15.0" customHeight="1">
      <c r="A9" s="107">
        <v>46219.0</v>
      </c>
      <c r="B9" s="109" t="s">
        <v>28</v>
      </c>
      <c r="C9" s="109">
        <v>20.0</v>
      </c>
      <c r="D9" s="110">
        <v>12900.0</v>
      </c>
      <c r="E9" s="111">
        <f t="shared" si="0"/>
        <v>258000.0</v>
      </c>
      <c r="F9" s="109" t="s">
        <v>50</v>
      </c>
      <c r="G9" s="67" t="s">
        <v>258</v>
      </c>
      <c r="I9" s="109" t="s">
        <v>70</v>
      </c>
      <c r="J9" s="109">
        <f>C11</f>
        <v>1.0</v>
      </c>
      <c r="K9" s="111">
        <f>E11</f>
        <v>13460.0</v>
      </c>
      <c r="L9" s="112">
        <f t="shared" si="1"/>
        <v>0.005094895263185786</v>
      </c>
    </row>
    <row r="10" spans="8:8" ht="15.0" customHeight="1">
      <c r="A10" s="107">
        <v>46219.0</v>
      </c>
      <c r="B10" s="119" t="s">
        <v>24</v>
      </c>
      <c r="C10" s="109">
        <v>2.0</v>
      </c>
      <c r="D10" s="110">
        <v>5300.0</v>
      </c>
      <c r="E10" s="111">
        <f t="shared" si="0"/>
        <v>10600.0</v>
      </c>
      <c r="F10" s="109" t="s">
        <v>15</v>
      </c>
      <c r="G10" s="67" t="s">
        <v>264</v>
      </c>
      <c r="I10" s="118" t="s">
        <v>22</v>
      </c>
      <c r="J10" s="109">
        <f>C13+C16+C20</f>
        <v>28.0</v>
      </c>
      <c r="K10" s="111">
        <f>E13+E16+E20</f>
        <v>257600.0</v>
      </c>
      <c r="L10" s="112">
        <f t="shared" si="1"/>
        <v>0.09750705942025693</v>
      </c>
    </row>
    <row r="11" spans="8:8" ht="15.0" customHeight="1">
      <c r="A11" s="107">
        <v>46219.0</v>
      </c>
      <c r="B11" s="109" t="s">
        <v>70</v>
      </c>
      <c r="C11" s="109">
        <v>1.0</v>
      </c>
      <c r="D11" s="110">
        <v>13460.0</v>
      </c>
      <c r="E11" s="111">
        <f t="shared" si="0"/>
        <v>13460.0</v>
      </c>
      <c r="F11" s="109" t="s">
        <v>15</v>
      </c>
      <c r="G11" s="67" t="s">
        <v>264</v>
      </c>
      <c r="I11" s="108" t="s">
        <v>21</v>
      </c>
      <c r="J11" s="109">
        <f>C14+C17</f>
        <v>26.0</v>
      </c>
      <c r="K11" s="111">
        <f>E14+E17</f>
        <v>214000.0</v>
      </c>
      <c r="L11" s="112">
        <f t="shared" si="1"/>
        <v>0.08100353538794637</v>
      </c>
    </row>
    <row r="12" spans="8:8" ht="15.0" customHeight="1">
      <c r="A12" s="107">
        <v>46219.0</v>
      </c>
      <c r="B12" s="119" t="s">
        <v>24</v>
      </c>
      <c r="C12" s="109">
        <v>1.0</v>
      </c>
      <c r="D12" s="110">
        <v>5300.0</v>
      </c>
      <c r="E12" s="111">
        <f t="shared" si="0"/>
        <v>5300.0</v>
      </c>
      <c r="F12" s="109" t="s">
        <v>15</v>
      </c>
      <c r="G12" s="67" t="s">
        <v>267</v>
      </c>
      <c r="I12" s="109" t="s">
        <v>44</v>
      </c>
      <c r="J12" s="109">
        <f>C15+C21</f>
        <v>6.0</v>
      </c>
      <c r="K12" s="111">
        <f>E15+E21</f>
        <v>55500.0</v>
      </c>
      <c r="L12" s="112">
        <f t="shared" si="1"/>
        <v>0.02100792623378983</v>
      </c>
    </row>
    <row r="13" spans="8:8" ht="15.0" customHeight="1">
      <c r="A13" s="107">
        <v>46219.0</v>
      </c>
      <c r="B13" s="118" t="s">
        <v>22</v>
      </c>
      <c r="C13" s="109">
        <v>25.0</v>
      </c>
      <c r="D13" s="110">
        <v>9200.0</v>
      </c>
      <c r="E13" s="111">
        <f t="shared" si="0"/>
        <v>230000.0</v>
      </c>
      <c r="F13" s="109" t="s">
        <v>25</v>
      </c>
      <c r="G13" s="67" t="s">
        <v>268</v>
      </c>
      <c r="I13" s="109" t="s">
        <v>45</v>
      </c>
      <c r="J13" s="109">
        <f>C18</f>
        <v>1.0</v>
      </c>
      <c r="K13" s="111">
        <f>E18</f>
        <v>13350.0</v>
      </c>
      <c r="L13" s="112">
        <f t="shared" si="1"/>
        <v>0.005053257931911608</v>
      </c>
    </row>
    <row r="14" spans="8:8" ht="15.0" customHeight="1">
      <c r="A14" s="107">
        <v>46219.0</v>
      </c>
      <c r="B14" s="108" t="s">
        <v>21</v>
      </c>
      <c r="C14" s="109">
        <v>25.0</v>
      </c>
      <c r="D14" s="110">
        <v>8200.0</v>
      </c>
      <c r="E14" s="111">
        <f t="shared" si="0"/>
        <v>205000.0</v>
      </c>
      <c r="F14" s="109" t="s">
        <v>25</v>
      </c>
      <c r="G14" s="67" t="s">
        <v>268</v>
      </c>
      <c r="I14" s="109" t="s">
        <v>93</v>
      </c>
      <c r="J14" s="109">
        <f>C19</f>
        <v>1.0</v>
      </c>
      <c r="K14" s="111">
        <f>E19</f>
        <v>11600.0</v>
      </c>
      <c r="L14" s="112">
        <f t="shared" si="1"/>
        <v>0.004390845843458775</v>
      </c>
    </row>
    <row r="15" spans="8:8" ht="15.0" customHeight="1">
      <c r="A15" s="107">
        <v>46219.0</v>
      </c>
      <c r="B15" s="113" t="s">
        <v>44</v>
      </c>
      <c r="C15" s="109">
        <v>5.0</v>
      </c>
      <c r="D15" s="110">
        <v>9200.0</v>
      </c>
      <c r="E15" s="111">
        <f t="shared" si="0"/>
        <v>46000.0</v>
      </c>
      <c r="F15" s="109" t="s">
        <v>25</v>
      </c>
      <c r="G15" s="67" t="s">
        <v>268</v>
      </c>
      <c r="I15" s="109" t="s">
        <v>701</v>
      </c>
      <c r="J15" s="109">
        <f>SUM(J2:J14)</f>
        <v>267.0</v>
      </c>
      <c r="K15" s="111">
        <f>SUM(K2:K14)</f>
        <v>2641860.0</v>
      </c>
      <c r="L15" s="112">
        <f t="shared" si="1"/>
        <v>1.0</v>
      </c>
    </row>
    <row r="16" spans="8:8" ht="15.0" customHeight="1">
      <c r="A16" s="107">
        <v>46219.0</v>
      </c>
      <c r="B16" s="118" t="s">
        <v>22</v>
      </c>
      <c r="C16" s="109">
        <v>2.0</v>
      </c>
      <c r="D16" s="110">
        <v>9200.0</v>
      </c>
      <c r="E16" s="111">
        <f t="shared" si="0"/>
        <v>18400.0</v>
      </c>
      <c r="F16" s="109" t="s">
        <v>122</v>
      </c>
      <c r="G16" s="67" t="s">
        <v>273</v>
      </c>
    </row>
    <row r="17" spans="8:8" ht="25.5" customHeight="1">
      <c r="A17" s="107">
        <v>46219.0</v>
      </c>
      <c r="B17" s="108" t="s">
        <v>21</v>
      </c>
      <c r="C17" s="109">
        <v>1.0</v>
      </c>
      <c r="D17" s="110">
        <v>9000.0</v>
      </c>
      <c r="E17" s="111">
        <f t="shared" si="0"/>
        <v>9000.0</v>
      </c>
      <c r="F17" s="109" t="s">
        <v>122</v>
      </c>
      <c r="G17" s="67" t="s">
        <v>273</v>
      </c>
      <c r="I17" s="106" t="s">
        <v>691</v>
      </c>
      <c r="J17" s="106" t="s">
        <v>690</v>
      </c>
      <c r="K17" s="106" t="s">
        <v>695</v>
      </c>
      <c r="L17" s="106" t="s">
        <v>702</v>
      </c>
    </row>
    <row r="18" spans="8:8" ht="15.0" customHeight="1">
      <c r="A18" s="107">
        <v>46219.0</v>
      </c>
      <c r="B18" s="109" t="s">
        <v>45</v>
      </c>
      <c r="C18" s="109">
        <v>1.0</v>
      </c>
      <c r="D18" s="110">
        <v>13350.0</v>
      </c>
      <c r="E18" s="111">
        <f t="shared" si="0"/>
        <v>13350.0</v>
      </c>
      <c r="F18" s="109" t="s">
        <v>15</v>
      </c>
      <c r="G18" s="67" t="s">
        <v>276</v>
      </c>
      <c r="I18" s="109" t="s">
        <v>253</v>
      </c>
      <c r="J18" s="111">
        <f>E2+E3</f>
        <v>178125.0</v>
      </c>
      <c r="K18" s="112">
        <f t="shared" si="2" ref="K18:K24">J18/J$24</f>
        <v>0.06742408757466331</v>
      </c>
      <c r="L18" s="112">
        <v>0.0536</v>
      </c>
    </row>
    <row r="19" spans="8:8" ht="15.0" customHeight="1">
      <c r="A19" s="107">
        <v>46219.0</v>
      </c>
      <c r="B19" s="109" t="s">
        <v>93</v>
      </c>
      <c r="C19" s="109">
        <v>1.0</v>
      </c>
      <c r="D19" s="110">
        <v>11600.0</v>
      </c>
      <c r="E19" s="111">
        <f t="shared" si="0"/>
        <v>11600.0</v>
      </c>
      <c r="F19" s="109" t="s">
        <v>15</v>
      </c>
      <c r="G19" s="67" t="s">
        <v>276</v>
      </c>
      <c r="I19" s="109" t="s">
        <v>15</v>
      </c>
      <c r="J19" s="111">
        <f>E4+E10+E11+E12+E18+E19+E20</f>
        <v>68810.0</v>
      </c>
      <c r="K19" s="112">
        <f t="shared" si="2"/>
        <v>0.026046043317965374</v>
      </c>
      <c r="L19" s="112">
        <v>0.0381</v>
      </c>
    </row>
    <row r="20" spans="8:8" ht="15.0" customHeight="1">
      <c r="A20" s="107">
        <v>46219.0</v>
      </c>
      <c r="B20" s="118" t="s">
        <v>22</v>
      </c>
      <c r="C20" s="109">
        <v>1.0</v>
      </c>
      <c r="D20" s="110">
        <v>9200.0</v>
      </c>
      <c r="E20" s="111">
        <f t="shared" si="0"/>
        <v>9200.0</v>
      </c>
      <c r="F20" s="109" t="s">
        <v>15</v>
      </c>
      <c r="G20" s="67" t="s">
        <v>277</v>
      </c>
      <c r="I20" s="109" t="s">
        <v>50</v>
      </c>
      <c r="J20" s="111">
        <f>E5+E6+E7+E8+E9</f>
        <v>1877025.0</v>
      </c>
      <c r="K20" s="112">
        <f t="shared" si="2"/>
        <v>0.710493743044673</v>
      </c>
      <c r="L20" s="112">
        <v>-0.0084</v>
      </c>
    </row>
    <row r="21" spans="8:8" ht="15.0" customHeight="1">
      <c r="A21" s="107">
        <v>46219.0</v>
      </c>
      <c r="B21" s="113" t="s">
        <v>44</v>
      </c>
      <c r="C21" s="109">
        <v>1.0</v>
      </c>
      <c r="D21" s="110">
        <v>9500.0</v>
      </c>
      <c r="E21" s="111">
        <f t="shared" si="0"/>
        <v>9500.0</v>
      </c>
      <c r="F21" s="109" t="s">
        <v>102</v>
      </c>
      <c r="G21" s="67" t="s">
        <v>278</v>
      </c>
      <c r="I21" s="109" t="s">
        <v>25</v>
      </c>
      <c r="J21" s="111">
        <f>E13+E14+E15</f>
        <v>481000.0</v>
      </c>
      <c r="K21" s="112">
        <f t="shared" si="2"/>
        <v>0.18206869402617853</v>
      </c>
      <c r="L21" s="112">
        <v>0.0438</v>
      </c>
    </row>
    <row r="22" spans="8:8" ht="15.0" customHeight="1">
      <c r="A22" s="68"/>
      <c r="B22" s="109" t="s">
        <v>701</v>
      </c>
      <c r="C22" s="109">
        <f>SUM(C2:C21)</f>
        <v>267.0</v>
      </c>
      <c r="D22" s="109">
        <f>SUM(D2:D21)</f>
        <v>219845.0</v>
      </c>
      <c r="E22" s="111">
        <f>SUM(E2:E21)</f>
        <v>2641860.0</v>
      </c>
      <c r="F22" s="68"/>
      <c r="G22" s="68"/>
      <c r="I22" s="109" t="s">
        <v>122</v>
      </c>
      <c r="J22" s="111">
        <f>E16+E17</f>
        <v>27400.0</v>
      </c>
      <c r="K22" s="112">
        <f t="shared" si="2"/>
        <v>0.010371480699204348</v>
      </c>
      <c r="L22" s="112">
        <v>0.0717</v>
      </c>
    </row>
    <row r="23" spans="8:8" ht="15.0" customHeight="1">
      <c r="I23" s="109" t="s">
        <v>102</v>
      </c>
      <c r="J23" s="111">
        <f>E21</f>
        <v>9500.0</v>
      </c>
      <c r="K23" s="112">
        <f t="shared" si="2"/>
        <v>0.003595951337315376</v>
      </c>
      <c r="L23" s="112">
        <v>0.0537</v>
      </c>
    </row>
    <row r="24" spans="8:8" ht="15.0" customHeight="1">
      <c r="I24" s="109" t="s">
        <v>703</v>
      </c>
      <c r="J24" s="111">
        <f>SUM(J18:J23)</f>
        <v>2641860.0</v>
      </c>
      <c r="K24" s="112">
        <f t="shared" si="2"/>
        <v>1.0</v>
      </c>
      <c r="L24" s="68"/>
    </row>
    <row r="26" spans="8:8" ht="25.5" customHeight="1">
      <c r="I26" s="106" t="s">
        <v>692</v>
      </c>
      <c r="J26" s="106" t="s">
        <v>690</v>
      </c>
      <c r="K26" s="106" t="s">
        <v>702</v>
      </c>
    </row>
    <row r="27" spans="8:8" ht="15.0" customHeight="1">
      <c r="I27" s="67" t="s">
        <v>254</v>
      </c>
      <c r="J27" s="111">
        <v>178125.0</v>
      </c>
      <c r="K27" s="112">
        <v>0.05</v>
      </c>
    </row>
    <row r="28" spans="8:8" ht="15.0" customHeight="1">
      <c r="I28" s="67" t="s">
        <v>256</v>
      </c>
      <c r="J28" s="111">
        <v>5300.0</v>
      </c>
      <c r="K28" s="112">
        <v>0.02</v>
      </c>
    </row>
    <row r="29" spans="8:8" ht="15.0" customHeight="1">
      <c r="I29" s="67" t="s">
        <v>258</v>
      </c>
      <c r="J29" s="111">
        <v>1877025.0</v>
      </c>
      <c r="K29" s="112">
        <v>-0.01</v>
      </c>
    </row>
    <row r="30" spans="8:8" ht="15.0" customHeight="1">
      <c r="I30" s="67" t="s">
        <v>264</v>
      </c>
      <c r="J30" s="111">
        <v>24060.0</v>
      </c>
      <c r="K30" s="112">
        <v>0.03</v>
      </c>
    </row>
    <row r="31" spans="8:8" ht="15.0" customHeight="1">
      <c r="I31" s="67" t="s">
        <v>267</v>
      </c>
      <c r="J31" s="111">
        <v>5300.0</v>
      </c>
      <c r="K31" s="112">
        <v>0.02</v>
      </c>
    </row>
    <row r="32" spans="8:8" ht="15.0" customHeight="1">
      <c r="I32" s="67" t="s">
        <v>268</v>
      </c>
      <c r="J32" s="111">
        <v>575000.0</v>
      </c>
      <c r="K32" s="112">
        <v>0.04</v>
      </c>
    </row>
    <row r="33" spans="8:8" ht="15.0" customHeight="1">
      <c r="I33" s="67" t="s">
        <v>273</v>
      </c>
      <c r="J33" s="111">
        <v>27400.0</v>
      </c>
      <c r="K33" s="112">
        <v>0.07</v>
      </c>
    </row>
    <row r="34" spans="8:8" ht="15.0" customHeight="1">
      <c r="I34" s="67" t="s">
        <v>276</v>
      </c>
      <c r="J34" s="111">
        <v>24950.0</v>
      </c>
      <c r="K34" s="112">
        <v>0.04</v>
      </c>
    </row>
    <row r="35" spans="8:8" ht="15.0" customHeight="1">
      <c r="I35" s="67" t="s">
        <v>277</v>
      </c>
      <c r="J35" s="111">
        <v>9200.0</v>
      </c>
      <c r="K35" s="112">
        <v>0.06</v>
      </c>
    </row>
    <row r="36" spans="8:8" ht="15.0" customHeight="1">
      <c r="I36" s="67" t="s">
        <v>278</v>
      </c>
      <c r="J36" s="111">
        <v>9500.0</v>
      </c>
      <c r="K36" s="112">
        <v>0.05</v>
      </c>
    </row>
    <row r="37" spans="8:8" ht="15.0" customHeight="1">
      <c r="I37" s="109" t="s">
        <v>703</v>
      </c>
      <c r="J37" s="111">
        <f>SUM(J27:J36)</f>
        <v>2735860.0</v>
      </c>
      <c r="K37" s="68"/>
    </row>
  </sheetData>
  <hyperlinks>
    <hyperlink ref="G2" r:id="rId2"/>
    <hyperlink ref="G3" r:id="rId3"/>
    <hyperlink ref="G4" r:id="rId4"/>
    <hyperlink ref="I27" r:id="rId5"/>
    <hyperlink ref="I28" r:id="rId6"/>
    <hyperlink ref="I29" r:id="rId7"/>
    <hyperlink ref="I30" r:id="rId8"/>
    <hyperlink ref="I31" r:id="rId9"/>
    <hyperlink ref="I32" r:id="rId10"/>
    <hyperlink ref="I33" r:id="rId11"/>
    <hyperlink ref="I34" r:id="rId12"/>
    <hyperlink ref="I35" r:id="rId13"/>
    <hyperlink ref="I36" r:id="rId14"/>
  </hyperlinks>
  <pageMargins left="0.75" right="0.75" top="1.0" bottom="1.0" header="0.511811023622047" footer="0.511811023622047"/>
  <drawing r:id="rId1"/>
</worksheet>
</file>

<file path=xl/worksheets/sheet20.xml><?xml version="1.0" encoding="utf-8"?>
<worksheet xmlns:r="http://schemas.openxmlformats.org/officeDocument/2006/relationships" xmlns="http://schemas.openxmlformats.org/spreadsheetml/2006/main">
  <dimension ref="A1:Q44"/>
  <sheetViews>
    <sheetView workbookViewId="0" topLeftCell="A18" zoomScale="64">
      <selection activeCell="O31" sqref="O31"/>
    </sheetView>
  </sheetViews>
  <sheetFormatPr defaultRowHeight="14.5"/>
  <cols>
    <col min="1" max="1" customWidth="1" width="11.269531" style="60"/>
    <col min="2" max="2" customWidth="1" width="18.089844" style="60"/>
    <col min="3" max="3" customWidth="1" width="10.90625" style="60"/>
    <col min="4" max="4" customWidth="1" width="11.90625" style="60"/>
    <col min="5" max="5" customWidth="1" width="12.453125" style="60"/>
    <col min="6" max="6" customWidth="1" width="21.542969" style="60"/>
    <col min="7" max="7" customWidth="1" width="11.90625" style="60"/>
    <col min="8" max="8" customWidth="1" width="3.0" style="60"/>
    <col min="9" max="9" customWidth="1" width="21.542969" style="60"/>
    <col min="10" max="10" customWidth="1" width="12.453125" style="60"/>
    <col min="11" max="11" customWidth="1" width="17.726562" style="60"/>
    <col min="12" max="12" customWidth="1" width="9.542969" style="60"/>
    <col min="13" max="13" customWidth="1" width="3.0" style="60"/>
    <col min="14" max="16" customWidth="1" width="13.0" style="60"/>
  </cols>
  <sheetData>
    <row r="1" spans="8:8" ht="25.5" customHeight="1">
      <c r="A1" s="106" t="s">
        <v>686</v>
      </c>
      <c r="B1" s="106" t="s">
        <v>687</v>
      </c>
      <c r="C1" s="106" t="s">
        <v>688</v>
      </c>
      <c r="D1" s="106" t="s">
        <v>689</v>
      </c>
      <c r="E1" s="106" t="s">
        <v>690</v>
      </c>
      <c r="F1" s="106" t="s">
        <v>691</v>
      </c>
      <c r="G1" s="106" t="s">
        <v>692</v>
      </c>
      <c r="I1" s="106" t="s">
        <v>687</v>
      </c>
      <c r="J1" s="106" t="s">
        <v>693</v>
      </c>
      <c r="K1" s="106" t="s">
        <v>694</v>
      </c>
      <c r="L1" s="106" t="s">
        <v>695</v>
      </c>
      <c r="N1" s="106" t="s">
        <v>696</v>
      </c>
      <c r="O1" s="106" t="s">
        <v>697</v>
      </c>
      <c r="P1" s="106" t="s">
        <v>698</v>
      </c>
    </row>
    <row r="2" spans="8:8" ht="15.0" customHeight="1">
      <c r="A2" s="107">
        <v>46220.0</v>
      </c>
      <c r="B2" s="118" t="s">
        <v>28</v>
      </c>
      <c r="C2" s="109">
        <v>30.0</v>
      </c>
      <c r="D2" s="110">
        <v>12900.0</v>
      </c>
      <c r="E2" s="111">
        <f t="shared" si="0" ref="E2:E32">C2*D2</f>
        <v>387000.0</v>
      </c>
      <c r="F2" s="109" t="s">
        <v>50</v>
      </c>
      <c r="G2" s="67" t="s">
        <v>279</v>
      </c>
      <c r="I2" s="118" t="s">
        <v>28</v>
      </c>
      <c r="J2" s="109">
        <f>C2+C4+C27</f>
        <v>56.0</v>
      </c>
      <c r="K2" s="111">
        <f>E2+E4+E27</f>
        <v>722700.0</v>
      </c>
      <c r="L2" s="112">
        <f t="shared" si="1" ref="L2:L19">K2/K$19</f>
        <v>0.11725185786680144</v>
      </c>
      <c r="N2" s="111">
        <f>K19</f>
        <v>6163655.0</v>
      </c>
      <c r="O2" s="109">
        <f>J19</f>
        <v>798.0</v>
      </c>
      <c r="P2" s="109">
        <f>COUNT(J2:J18)</f>
        <v>17.0</v>
      </c>
    </row>
    <row r="3" spans="8:8" ht="15.0" customHeight="1">
      <c r="A3" s="107">
        <v>46220.0</v>
      </c>
      <c r="B3" s="119" t="s">
        <v>70</v>
      </c>
      <c r="C3" s="109">
        <v>30.0</v>
      </c>
      <c r="D3" s="110">
        <v>13100.0</v>
      </c>
      <c r="E3" s="111">
        <f t="shared" si="0"/>
        <v>393000.0</v>
      </c>
      <c r="F3" s="109" t="s">
        <v>50</v>
      </c>
      <c r="G3" s="67" t="s">
        <v>279</v>
      </c>
      <c r="I3" s="119" t="s">
        <v>70</v>
      </c>
      <c r="J3" s="109">
        <f>C3+C5+C11</f>
        <v>32.0</v>
      </c>
      <c r="K3" s="111">
        <f>E3+E5+E11</f>
        <v>419920.0</v>
      </c>
      <c r="L3" s="112">
        <f t="shared" si="1"/>
        <v>0.06812840757634878</v>
      </c>
    </row>
    <row r="4" spans="8:8" ht="15.0" customHeight="1">
      <c r="A4" s="107">
        <v>46220.0</v>
      </c>
      <c r="B4" s="118" t="s">
        <v>28</v>
      </c>
      <c r="C4" s="109">
        <v>25.0</v>
      </c>
      <c r="D4" s="110">
        <v>12900.0</v>
      </c>
      <c r="E4" s="111">
        <f t="shared" si="0"/>
        <v>322500.0</v>
      </c>
      <c r="F4" s="109" t="s">
        <v>50</v>
      </c>
      <c r="G4" s="67" t="s">
        <v>280</v>
      </c>
      <c r="I4" s="120" t="s">
        <v>22</v>
      </c>
      <c r="J4" s="109">
        <f>C6+C16</f>
        <v>23.0</v>
      </c>
      <c r="K4" s="111">
        <f>E6+E16</f>
        <v>202800.0</v>
      </c>
      <c r="L4" s="112">
        <f t="shared" si="1"/>
        <v>0.032902555383129</v>
      </c>
    </row>
    <row r="5" spans="8:8" ht="15.0" customHeight="1">
      <c r="A5" s="107">
        <v>46220.0</v>
      </c>
      <c r="B5" s="119" t="s">
        <v>70</v>
      </c>
      <c r="C5" s="109">
        <v>1.0</v>
      </c>
      <c r="D5" s="110">
        <v>13460.0</v>
      </c>
      <c r="E5" s="111">
        <f t="shared" si="0"/>
        <v>13460.0</v>
      </c>
      <c r="F5" s="109" t="s">
        <v>104</v>
      </c>
      <c r="G5" s="67" t="s">
        <v>281</v>
      </c>
      <c r="I5" s="114" t="s">
        <v>45</v>
      </c>
      <c r="J5" s="109">
        <f>C7+C14+C21</f>
        <v>9.0</v>
      </c>
      <c r="K5" s="111">
        <f>E7+E14+E21</f>
        <v>121860.0</v>
      </c>
      <c r="L5" s="112">
        <f t="shared" si="1"/>
        <v>0.01977073668140089</v>
      </c>
    </row>
    <row r="6" spans="8:8" ht="15.0" customHeight="1">
      <c r="A6" s="107">
        <v>46220.0</v>
      </c>
      <c r="B6" s="120" t="s">
        <v>22</v>
      </c>
      <c r="C6" s="109">
        <v>22.0</v>
      </c>
      <c r="D6" s="110">
        <v>8800.0</v>
      </c>
      <c r="E6" s="111">
        <f t="shared" si="0"/>
        <v>193600.0</v>
      </c>
      <c r="F6" s="109" t="s">
        <v>29</v>
      </c>
      <c r="G6" s="67" t="s">
        <v>282</v>
      </c>
      <c r="I6" s="113" t="s">
        <v>37</v>
      </c>
      <c r="J6" s="109">
        <f>C8+C18</f>
        <v>10.0</v>
      </c>
      <c r="K6" s="111">
        <f>E8+E18</f>
        <v>89120.0</v>
      </c>
      <c r="L6" s="112">
        <f t="shared" si="1"/>
        <v>0.014458953332073258</v>
      </c>
    </row>
    <row r="7" spans="8:8" ht="15.0" customHeight="1">
      <c r="A7" s="107">
        <v>46220.0</v>
      </c>
      <c r="B7" s="114" t="s">
        <v>45</v>
      </c>
      <c r="C7" s="109">
        <v>6.0</v>
      </c>
      <c r="D7" s="110">
        <v>13335.0</v>
      </c>
      <c r="E7" s="111">
        <f t="shared" si="0"/>
        <v>80010.0</v>
      </c>
      <c r="F7" s="109" t="s">
        <v>29</v>
      </c>
      <c r="G7" s="67" t="s">
        <v>282</v>
      </c>
      <c r="I7" s="115" t="s">
        <v>44</v>
      </c>
      <c r="J7" s="109">
        <f>C9+C15+C17</f>
        <v>16.0</v>
      </c>
      <c r="K7" s="111">
        <f>E9+E15+E17</f>
        <v>147500.0</v>
      </c>
      <c r="L7" s="112">
        <f t="shared" si="1"/>
        <v>0.0239306061095243</v>
      </c>
    </row>
    <row r="8" spans="8:8" ht="15.0" customHeight="1">
      <c r="A8" s="107">
        <v>46220.0</v>
      </c>
      <c r="B8" s="113" t="s">
        <v>37</v>
      </c>
      <c r="C8" s="109">
        <v>9.0</v>
      </c>
      <c r="D8" s="110">
        <v>8880.0</v>
      </c>
      <c r="E8" s="111">
        <f t="shared" si="0"/>
        <v>79920.0</v>
      </c>
      <c r="F8" s="109" t="s">
        <v>29</v>
      </c>
      <c r="G8" s="67" t="s">
        <v>282</v>
      </c>
      <c r="I8" s="116" t="s">
        <v>24</v>
      </c>
      <c r="J8" s="109">
        <f>C10+C25+C28</f>
        <v>251.0</v>
      </c>
      <c r="K8" s="111">
        <f>E10+E25+E28</f>
        <v>1255300.0</v>
      </c>
      <c r="L8" s="112">
        <f t="shared" si="1"/>
        <v>0.20366162609685326</v>
      </c>
    </row>
    <row r="9" spans="8:8" ht="15.0" customHeight="1">
      <c r="A9" s="107">
        <v>46220.0</v>
      </c>
      <c r="B9" s="115" t="s">
        <v>44</v>
      </c>
      <c r="C9" s="109">
        <v>14.0</v>
      </c>
      <c r="D9" s="110">
        <v>9200.0</v>
      </c>
      <c r="E9" s="111">
        <f t="shared" si="0"/>
        <v>128800.0</v>
      </c>
      <c r="F9" s="109" t="s">
        <v>29</v>
      </c>
      <c r="G9" s="67" t="s">
        <v>282</v>
      </c>
      <c r="I9" s="126" t="s">
        <v>65</v>
      </c>
      <c r="J9" s="109">
        <f>C12+C22</f>
        <v>3.0</v>
      </c>
      <c r="K9" s="111">
        <f>E12+E22</f>
        <v>35730.0</v>
      </c>
      <c r="L9" s="112">
        <f t="shared" si="1"/>
        <v>0.005796885127412226</v>
      </c>
    </row>
    <row r="10" spans="8:8" ht="15.0" customHeight="1">
      <c r="A10" s="107">
        <v>46220.0</v>
      </c>
      <c r="B10" s="116" t="s">
        <v>24</v>
      </c>
      <c r="C10" s="109">
        <v>50.0</v>
      </c>
      <c r="D10" s="110">
        <v>5000.0</v>
      </c>
      <c r="E10" s="111">
        <f t="shared" si="0"/>
        <v>250000.0</v>
      </c>
      <c r="F10" s="109" t="s">
        <v>29</v>
      </c>
      <c r="G10" s="67" t="s">
        <v>282</v>
      </c>
      <c r="I10" s="109" t="s">
        <v>291</v>
      </c>
      <c r="J10" s="109">
        <f>C13</f>
        <v>1.0</v>
      </c>
      <c r="K10" s="111">
        <f>E13</f>
        <v>11320.0</v>
      </c>
      <c r="L10" s="112">
        <f t="shared" si="1"/>
        <v>0.0018365726180326447</v>
      </c>
    </row>
    <row r="11" spans="8:8" ht="15.0" customHeight="1">
      <c r="A11" s="107">
        <v>46220.0</v>
      </c>
      <c r="B11" s="119" t="s">
        <v>70</v>
      </c>
      <c r="C11" s="109">
        <v>1.0</v>
      </c>
      <c r="D11" s="110">
        <v>13460.0</v>
      </c>
      <c r="E11" s="111">
        <f t="shared" si="0"/>
        <v>13460.0</v>
      </c>
      <c r="F11" s="109" t="s">
        <v>29</v>
      </c>
      <c r="G11" s="67" t="s">
        <v>282</v>
      </c>
      <c r="I11" s="109" t="s">
        <v>21</v>
      </c>
      <c r="J11" s="109">
        <f>C19</f>
        <v>1.0</v>
      </c>
      <c r="K11" s="111">
        <f>E19</f>
        <v>9000.0</v>
      </c>
      <c r="L11" s="112">
        <f t="shared" si="1"/>
        <v>0.0014601725761743641</v>
      </c>
    </row>
    <row r="12" spans="8:8" ht="15.0" customHeight="1">
      <c r="A12" s="107">
        <v>46220.0</v>
      </c>
      <c r="B12" s="126" t="s">
        <v>65</v>
      </c>
      <c r="C12" s="109">
        <v>2.0</v>
      </c>
      <c r="D12" s="110">
        <v>11910.0</v>
      </c>
      <c r="E12" s="111">
        <f t="shared" si="0"/>
        <v>23820.0</v>
      </c>
      <c r="F12" s="109" t="s">
        <v>29</v>
      </c>
      <c r="G12" s="67" t="s">
        <v>282</v>
      </c>
      <c r="I12" s="109" t="s">
        <v>43</v>
      </c>
      <c r="J12" s="109">
        <f>C20</f>
        <v>1.0</v>
      </c>
      <c r="K12" s="111">
        <f>E20</f>
        <v>18300.0</v>
      </c>
      <c r="L12" s="112">
        <f t="shared" si="1"/>
        <v>0.0029690175715545403</v>
      </c>
    </row>
    <row r="13" spans="8:8" ht="15.0" customHeight="1">
      <c r="A13" s="107">
        <v>46220.0</v>
      </c>
      <c r="B13" s="109" t="s">
        <v>291</v>
      </c>
      <c r="C13" s="109">
        <v>1.0</v>
      </c>
      <c r="D13" s="110">
        <v>11320.0</v>
      </c>
      <c r="E13" s="111">
        <f t="shared" si="0"/>
        <v>11320.0</v>
      </c>
      <c r="F13" s="109" t="s">
        <v>15</v>
      </c>
      <c r="G13" s="67" t="s">
        <v>290</v>
      </c>
      <c r="I13" s="109" t="s">
        <v>87</v>
      </c>
      <c r="J13" s="109">
        <f>C23</f>
        <v>1.0</v>
      </c>
      <c r="K13" s="111">
        <f>E23</f>
        <v>21400.0</v>
      </c>
      <c r="L13" s="112">
        <f t="shared" si="1"/>
        <v>0.0034719659033479325</v>
      </c>
    </row>
    <row r="14" spans="8:8" ht="15.0" customHeight="1">
      <c r="A14" s="107">
        <v>46220.0</v>
      </c>
      <c r="B14" s="114" t="s">
        <v>45</v>
      </c>
      <c r="C14" s="109">
        <v>2.0</v>
      </c>
      <c r="D14" s="110">
        <v>13950.0</v>
      </c>
      <c r="E14" s="111">
        <f t="shared" si="0"/>
        <v>27900.0</v>
      </c>
      <c r="F14" s="109" t="s">
        <v>15</v>
      </c>
      <c r="G14" s="67" t="s">
        <v>290</v>
      </c>
      <c r="I14" s="109" t="s">
        <v>93</v>
      </c>
      <c r="J14" s="109">
        <f>C24+C29</f>
        <v>6.0</v>
      </c>
      <c r="K14" s="111">
        <f>E24+E29</f>
        <v>69600.0</v>
      </c>
      <c r="L14" s="112">
        <f t="shared" si="1"/>
        <v>0.011292001255748415</v>
      </c>
    </row>
    <row r="15" spans="8:8" ht="15.0" customHeight="1">
      <c r="A15" s="107">
        <v>46220.0</v>
      </c>
      <c r="B15" s="115" t="s">
        <v>44</v>
      </c>
      <c r="C15" s="109">
        <v>1.0</v>
      </c>
      <c r="D15" s="110">
        <v>9500.0</v>
      </c>
      <c r="E15" s="111">
        <f t="shared" si="0"/>
        <v>9500.0</v>
      </c>
      <c r="F15" s="109" t="s">
        <v>15</v>
      </c>
      <c r="G15" s="67" t="s">
        <v>290</v>
      </c>
      <c r="I15" s="109" t="s">
        <v>27</v>
      </c>
      <c r="J15" s="109">
        <f>C26</f>
        <v>384.0</v>
      </c>
      <c r="K15" s="111">
        <f>E26</f>
        <v>2976000.0</v>
      </c>
      <c r="L15" s="112">
        <f t="shared" si="1"/>
        <v>0.4828303985216564</v>
      </c>
    </row>
    <row r="16" spans="8:8" ht="15.0" customHeight="1">
      <c r="A16" s="107">
        <v>46220.0</v>
      </c>
      <c r="B16" s="120" t="s">
        <v>22</v>
      </c>
      <c r="C16" s="109">
        <v>1.0</v>
      </c>
      <c r="D16" s="110">
        <v>9200.0</v>
      </c>
      <c r="E16" s="111">
        <f t="shared" si="0"/>
        <v>9200.0</v>
      </c>
      <c r="F16" s="109" t="s">
        <v>122</v>
      </c>
      <c r="G16" s="67" t="s">
        <v>292</v>
      </c>
      <c r="I16" s="109" t="s">
        <v>100</v>
      </c>
      <c r="J16" s="109">
        <f>C30</f>
        <v>1.0</v>
      </c>
      <c r="K16" s="111">
        <f>E30</f>
        <v>11480.0</v>
      </c>
      <c r="L16" s="112">
        <f t="shared" si="1"/>
        <v>0.0018625312416090777</v>
      </c>
    </row>
    <row r="17" spans="8:8" ht="15.0" customHeight="1">
      <c r="A17" s="107">
        <v>46220.0</v>
      </c>
      <c r="B17" s="115" t="s">
        <v>44</v>
      </c>
      <c r="C17" s="109">
        <v>1.0</v>
      </c>
      <c r="D17" s="110">
        <v>9200.0</v>
      </c>
      <c r="E17" s="111">
        <f t="shared" si="0"/>
        <v>9200.0</v>
      </c>
      <c r="F17" s="109" t="s">
        <v>122</v>
      </c>
      <c r="G17" s="67" t="s">
        <v>292</v>
      </c>
      <c r="I17" s="109" t="s">
        <v>71</v>
      </c>
      <c r="J17" s="109">
        <f>C31</f>
        <v>1.0</v>
      </c>
      <c r="K17" s="111">
        <f>E31</f>
        <v>15945.0</v>
      </c>
      <c r="L17" s="112">
        <f t="shared" si="1"/>
        <v>0.002586939080788915</v>
      </c>
    </row>
    <row r="18" spans="8:8" ht="15.0" customHeight="1">
      <c r="A18" s="107">
        <v>46220.0</v>
      </c>
      <c r="B18" s="113" t="s">
        <v>37</v>
      </c>
      <c r="C18" s="109">
        <v>1.0</v>
      </c>
      <c r="D18" s="110">
        <v>9200.0</v>
      </c>
      <c r="E18" s="111">
        <f t="shared" si="0"/>
        <v>9200.0</v>
      </c>
      <c r="F18" s="109" t="s">
        <v>122</v>
      </c>
      <c r="G18" s="67" t="s">
        <v>292</v>
      </c>
      <c r="I18" s="109" t="s">
        <v>77</v>
      </c>
      <c r="J18" s="109">
        <f>C32</f>
        <v>2.0</v>
      </c>
      <c r="K18" s="111">
        <f>E32</f>
        <v>35680.0</v>
      </c>
      <c r="L18" s="112">
        <f t="shared" si="1"/>
        <v>0.00578877305754459</v>
      </c>
    </row>
    <row r="19" spans="8:8" ht="15.0" customHeight="1">
      <c r="A19" s="107">
        <v>46220.0</v>
      </c>
      <c r="B19" s="109" t="s">
        <v>21</v>
      </c>
      <c r="C19" s="109">
        <v>1.0</v>
      </c>
      <c r="D19" s="110">
        <v>9000.0</v>
      </c>
      <c r="E19" s="111">
        <f t="shared" si="0"/>
        <v>9000.0</v>
      </c>
      <c r="F19" s="109" t="s">
        <v>122</v>
      </c>
      <c r="G19" s="67" t="s">
        <v>292</v>
      </c>
      <c r="I19" s="109" t="s">
        <v>701</v>
      </c>
      <c r="J19" s="109">
        <f>SUM(J2:J18)</f>
        <v>798.0</v>
      </c>
      <c r="K19" s="111">
        <f>SUM(K2:K18)</f>
        <v>6163655.0</v>
      </c>
      <c r="L19" s="112">
        <f t="shared" si="1"/>
        <v>1.0</v>
      </c>
    </row>
    <row r="20" spans="8:8" ht="15.0" customHeight="1">
      <c r="A20" s="107">
        <v>46220.0</v>
      </c>
      <c r="B20" s="109" t="s">
        <v>43</v>
      </c>
      <c r="C20" s="109">
        <v>1.0</v>
      </c>
      <c r="D20" s="110">
        <v>18300.0</v>
      </c>
      <c r="E20" s="111">
        <f t="shared" si="0"/>
        <v>18300.0</v>
      </c>
      <c r="F20" s="109" t="s">
        <v>122</v>
      </c>
      <c r="G20" s="67" t="s">
        <v>292</v>
      </c>
    </row>
    <row r="21" spans="8:8" ht="25.5" customHeight="1">
      <c r="A21" s="107">
        <v>46220.0</v>
      </c>
      <c r="B21" s="114" t="s">
        <v>45</v>
      </c>
      <c r="C21" s="109">
        <v>1.0</v>
      </c>
      <c r="D21" s="110">
        <v>13950.0</v>
      </c>
      <c r="E21" s="111">
        <f t="shared" si="0"/>
        <v>13950.0</v>
      </c>
      <c r="F21" s="109" t="s">
        <v>122</v>
      </c>
      <c r="G21" s="67" t="s">
        <v>292</v>
      </c>
      <c r="I21" s="106" t="s">
        <v>691</v>
      </c>
      <c r="J21" s="106" t="s">
        <v>690</v>
      </c>
      <c r="K21" s="106" t="s">
        <v>695</v>
      </c>
      <c r="L21" s="106" t="s">
        <v>702</v>
      </c>
    </row>
    <row r="22" spans="8:8" ht="15.0" customHeight="1">
      <c r="A22" s="107">
        <v>46220.0</v>
      </c>
      <c r="B22" s="126" t="s">
        <v>65</v>
      </c>
      <c r="C22" s="109">
        <v>1.0</v>
      </c>
      <c r="D22" s="110">
        <v>11910.0</v>
      </c>
      <c r="E22" s="111">
        <f t="shared" si="0"/>
        <v>11910.0</v>
      </c>
      <c r="F22" s="109" t="s">
        <v>122</v>
      </c>
      <c r="G22" s="67" t="s">
        <v>292</v>
      </c>
      <c r="I22" s="109" t="s">
        <v>50</v>
      </c>
      <c r="J22" s="111">
        <f>E2+E3+E4</f>
        <v>1102500.0</v>
      </c>
      <c r="K22" s="112">
        <f t="shared" si="2" ref="K22:K30">J22/J$30</f>
        <v>0.1788711405813596</v>
      </c>
      <c r="L22" s="112">
        <v>-0.0233</v>
      </c>
    </row>
    <row r="23" spans="8:8" ht="15.0" customHeight="1">
      <c r="A23" s="107">
        <v>46220.0</v>
      </c>
      <c r="B23" s="109" t="s">
        <v>87</v>
      </c>
      <c r="C23" s="109">
        <v>1.0</v>
      </c>
      <c r="D23" s="110">
        <v>21400.0</v>
      </c>
      <c r="E23" s="111">
        <f t="shared" si="0"/>
        <v>21400.0</v>
      </c>
      <c r="F23" s="109" t="s">
        <v>122</v>
      </c>
      <c r="G23" s="67" t="s">
        <v>292</v>
      </c>
      <c r="I23" s="109" t="s">
        <v>104</v>
      </c>
      <c r="J23" s="111">
        <f>E5</f>
        <v>13460.0</v>
      </c>
      <c r="K23" s="112">
        <f t="shared" si="2"/>
        <v>0.002183769208367438</v>
      </c>
      <c r="L23" s="112">
        <v>0.0449</v>
      </c>
    </row>
    <row r="24" spans="8:8" ht="15.0" customHeight="1">
      <c r="A24" s="107">
        <v>46220.0</v>
      </c>
      <c r="B24" s="109" t="s">
        <v>93</v>
      </c>
      <c r="C24" s="109">
        <v>2.0</v>
      </c>
      <c r="D24" s="110">
        <v>11600.0</v>
      </c>
      <c r="E24" s="111">
        <f t="shared" si="0"/>
        <v>23200.0</v>
      </c>
      <c r="F24" s="109" t="s">
        <v>122</v>
      </c>
      <c r="G24" s="67" t="s">
        <v>292</v>
      </c>
      <c r="I24" s="109" t="s">
        <v>29</v>
      </c>
      <c r="J24" s="111">
        <f>E6+E7+E8+E9+E10+E11+E12+E32</f>
        <v>805290.0</v>
      </c>
      <c r="K24" s="112">
        <f t="shared" si="2"/>
        <v>0.1306513748741615</v>
      </c>
      <c r="L24" s="112">
        <v>0.0378</v>
      </c>
    </row>
    <row r="25" spans="8:8" ht="15.0" customHeight="1">
      <c r="A25" s="107">
        <v>46220.0</v>
      </c>
      <c r="B25" s="116" t="s">
        <v>24</v>
      </c>
      <c r="C25" s="109">
        <v>1.0</v>
      </c>
      <c r="D25" s="110">
        <v>5300.0</v>
      </c>
      <c r="E25" s="111">
        <f t="shared" si="0"/>
        <v>5300.0</v>
      </c>
      <c r="F25" s="109" t="s">
        <v>122</v>
      </c>
      <c r="G25" s="67" t="s">
        <v>292</v>
      </c>
      <c r="I25" s="109" t="s">
        <v>15</v>
      </c>
      <c r="J25" s="111">
        <f>E13+E14+E15</f>
        <v>48720.0</v>
      </c>
      <c r="K25" s="112">
        <f t="shared" si="2"/>
        <v>0.00790440087902389</v>
      </c>
      <c r="L25" s="112">
        <v>0.0785</v>
      </c>
    </row>
    <row r="26" spans="8:8" ht="15.0" customHeight="1">
      <c r="A26" s="107">
        <v>46220.0</v>
      </c>
      <c r="B26" s="109" t="s">
        <v>27</v>
      </c>
      <c r="C26" s="109">
        <v>384.0</v>
      </c>
      <c r="D26" s="110">
        <v>7750.0</v>
      </c>
      <c r="E26" s="111">
        <f t="shared" si="0"/>
        <v>2976000.0</v>
      </c>
      <c r="F26" s="109" t="s">
        <v>294</v>
      </c>
      <c r="G26" s="67" t="s">
        <v>295</v>
      </c>
      <c r="I26" s="109" t="s">
        <v>122</v>
      </c>
      <c r="J26" s="111">
        <f>E16+E17+E18+E19+E20+E21+E22+E23+E24+E25</f>
        <v>130660.0</v>
      </c>
      <c r="K26" s="112">
        <f t="shared" si="2"/>
        <v>0.02119846097810471</v>
      </c>
      <c r="L26" s="112">
        <v>0.0701</v>
      </c>
    </row>
    <row r="27" spans="8:8" ht="15.0" customHeight="1">
      <c r="A27" s="107">
        <v>46220.0</v>
      </c>
      <c r="B27" s="118" t="s">
        <v>28</v>
      </c>
      <c r="C27" s="109">
        <v>1.0</v>
      </c>
      <c r="D27" s="110">
        <v>13200.0</v>
      </c>
      <c r="E27" s="111">
        <f t="shared" si="0"/>
        <v>13200.0</v>
      </c>
      <c r="F27" s="109" t="s">
        <v>163</v>
      </c>
      <c r="G27" s="67" t="s">
        <v>297</v>
      </c>
      <c r="I27" s="109" t="s">
        <v>294</v>
      </c>
      <c r="J27" s="111">
        <f>E26</f>
        <v>2976000.0</v>
      </c>
      <c r="K27" s="112">
        <f t="shared" si="2"/>
        <v>0.4828303985216564</v>
      </c>
      <c r="L27" s="112">
        <v>0.0084</v>
      </c>
    </row>
    <row r="28" spans="8:8" ht="15.0" customHeight="1">
      <c r="A28" s="107">
        <v>46220.0</v>
      </c>
      <c r="B28" s="116" t="s">
        <v>24</v>
      </c>
      <c r="C28" s="109">
        <v>200.0</v>
      </c>
      <c r="D28" s="110">
        <v>5000.0</v>
      </c>
      <c r="E28" s="111">
        <f t="shared" si="0"/>
        <v>1000000.0</v>
      </c>
      <c r="F28" s="109" t="s">
        <v>25</v>
      </c>
      <c r="G28" s="67" t="s">
        <v>298</v>
      </c>
      <c r="I28" s="109" t="s">
        <v>163</v>
      </c>
      <c r="J28" s="111">
        <f>E27+E29+E30+E31</f>
        <v>87025.0</v>
      </c>
      <c r="K28" s="112">
        <f t="shared" si="2"/>
        <v>0.014119057604619336</v>
      </c>
      <c r="L28" s="112">
        <v>0.0453</v>
      </c>
    </row>
    <row r="29" spans="8:8" ht="15.0" customHeight="1">
      <c r="A29" s="107">
        <v>46220.0</v>
      </c>
      <c r="B29" s="109" t="s">
        <v>93</v>
      </c>
      <c r="C29" s="109">
        <v>4.0</v>
      </c>
      <c r="D29" s="110">
        <v>11600.0</v>
      </c>
      <c r="E29" s="111">
        <f t="shared" si="0"/>
        <v>46400.0</v>
      </c>
      <c r="F29" s="109" t="s">
        <v>163</v>
      </c>
      <c r="G29" s="67" t="s">
        <v>300</v>
      </c>
      <c r="I29" s="109" t="s">
        <v>25</v>
      </c>
      <c r="J29" s="111">
        <f>E28</f>
        <v>1000000.0</v>
      </c>
      <c r="K29" s="112">
        <f t="shared" si="2"/>
        <v>0.16224139735270712</v>
      </c>
      <c r="L29" s="112">
        <v>-0.04</v>
      </c>
    </row>
    <row r="30" spans="8:8" ht="15.0" customHeight="1">
      <c r="A30" s="107">
        <v>46220.0</v>
      </c>
      <c r="B30" s="109" t="s">
        <v>100</v>
      </c>
      <c r="C30" s="109">
        <v>1.0</v>
      </c>
      <c r="D30" s="110">
        <v>11480.0</v>
      </c>
      <c r="E30" s="111">
        <f t="shared" si="0"/>
        <v>11480.0</v>
      </c>
      <c r="F30" s="109" t="s">
        <v>163</v>
      </c>
      <c r="G30" s="67" t="s">
        <v>300</v>
      </c>
      <c r="I30" s="109" t="s">
        <v>703</v>
      </c>
      <c r="J30" s="111">
        <f>SUM(J22:J29)</f>
        <v>6163655.0</v>
      </c>
      <c r="K30" s="112">
        <f t="shared" si="2"/>
        <v>1.0</v>
      </c>
      <c r="L30" s="68"/>
    </row>
    <row r="31" spans="8:8" ht="15.0" customHeight="1">
      <c r="A31" s="107">
        <v>46220.0</v>
      </c>
      <c r="B31" s="109" t="s">
        <v>71</v>
      </c>
      <c r="C31" s="109">
        <v>1.0</v>
      </c>
      <c r="D31" s="110">
        <v>15945.0</v>
      </c>
      <c r="E31" s="111">
        <f t="shared" si="0"/>
        <v>15945.0</v>
      </c>
      <c r="F31" s="109" t="s">
        <v>163</v>
      </c>
      <c r="G31" s="67" t="s">
        <v>300</v>
      </c>
    </row>
    <row r="32" spans="8:8" ht="25.5" customHeight="1">
      <c r="A32" s="107">
        <v>46220.0</v>
      </c>
      <c r="B32" s="109" t="s">
        <v>77</v>
      </c>
      <c r="C32" s="109">
        <v>2.0</v>
      </c>
      <c r="D32" s="110">
        <v>17840.0</v>
      </c>
      <c r="E32" s="111">
        <f t="shared" si="0"/>
        <v>35680.0</v>
      </c>
      <c r="F32" s="109" t="s">
        <v>29</v>
      </c>
      <c r="G32" s="67" t="s">
        <v>302</v>
      </c>
      <c r="I32" s="106" t="s">
        <v>692</v>
      </c>
      <c r="J32" s="106" t="s">
        <v>690</v>
      </c>
      <c r="K32" s="106" t="s">
        <v>702</v>
      </c>
    </row>
    <row r="33" spans="8:8" ht="15.0" customHeight="1">
      <c r="A33" s="68"/>
      <c r="B33" s="109" t="s">
        <v>701</v>
      </c>
      <c r="C33" s="109">
        <f>SUM(C2:C32)</f>
        <v>798.0</v>
      </c>
      <c r="D33" s="109">
        <f>SUM(D2:D32)</f>
        <v>359590.0</v>
      </c>
      <c r="E33" s="111">
        <f>SUM(E2:E32)</f>
        <v>6163655.0</v>
      </c>
      <c r="F33" s="68"/>
      <c r="G33" s="68"/>
      <c r="I33" s="67" t="s">
        <v>279</v>
      </c>
      <c r="J33" s="111">
        <v>780000.0</v>
      </c>
      <c r="K33" s="112">
        <v>-0.01</v>
      </c>
    </row>
    <row r="34" spans="8:8" ht="15.0" customHeight="1">
      <c r="I34" s="67" t="s">
        <v>280</v>
      </c>
      <c r="J34" s="111">
        <v>322500.0</v>
      </c>
      <c r="K34" s="112">
        <v>-0.05</v>
      </c>
    </row>
    <row r="35" spans="8:8" ht="15.0" customHeight="1">
      <c r="I35" s="67" t="s">
        <v>281</v>
      </c>
      <c r="J35" s="111">
        <v>13460.0</v>
      </c>
      <c r="K35" s="112">
        <v>0.04</v>
      </c>
    </row>
    <row r="36" spans="8:8" ht="15.0" customHeight="1">
      <c r="I36" s="67" t="s">
        <v>282</v>
      </c>
      <c r="J36" s="111">
        <v>866210.0</v>
      </c>
      <c r="K36" s="112">
        <v>0.03</v>
      </c>
    </row>
    <row r="37" spans="8:8" ht="15.0" customHeight="1">
      <c r="I37" s="67" t="s">
        <v>290</v>
      </c>
      <c r="J37" s="111">
        <v>48720.0</v>
      </c>
      <c r="K37" s="112">
        <v>0.08</v>
      </c>
    </row>
    <row r="38" spans="8:8" ht="15.0" customHeight="1">
      <c r="I38" s="67" t="s">
        <v>292</v>
      </c>
      <c r="J38" s="111">
        <v>134460.0</v>
      </c>
      <c r="K38" s="112">
        <v>0.07</v>
      </c>
    </row>
    <row r="39" spans="8:8" ht="15.0" customHeight="1">
      <c r="I39" s="67" t="s">
        <v>295</v>
      </c>
      <c r="J39" s="111">
        <v>2976000.0</v>
      </c>
      <c r="K39" s="112">
        <v>0.01</v>
      </c>
    </row>
    <row r="40" spans="8:8" ht="15.0" customHeight="1">
      <c r="I40" s="67" t="s">
        <v>297</v>
      </c>
      <c r="J40" s="111">
        <v>13200.0</v>
      </c>
      <c r="K40" s="112">
        <v>-0.02</v>
      </c>
    </row>
    <row r="41" spans="8:8" ht="15.0" customHeight="1">
      <c r="I41" s="67" t="s">
        <v>298</v>
      </c>
      <c r="J41" s="111">
        <v>1000000.0</v>
      </c>
      <c r="K41" s="112">
        <v>-0.04</v>
      </c>
    </row>
    <row r="42" spans="8:8" ht="15.0" customHeight="1">
      <c r="I42" s="67" t="s">
        <v>300</v>
      </c>
      <c r="J42" s="111">
        <v>84625.0</v>
      </c>
      <c r="K42" s="112">
        <v>0.06</v>
      </c>
    </row>
    <row r="43" spans="8:8" ht="15.0" customHeight="1">
      <c r="I43" s="67" t="s">
        <v>302</v>
      </c>
      <c r="J43" s="111">
        <v>39680.0</v>
      </c>
      <c r="K43" s="112">
        <v>0.12</v>
      </c>
    </row>
    <row r="44" spans="8:8" ht="15.0" customHeight="1">
      <c r="I44" s="109" t="s">
        <v>703</v>
      </c>
      <c r="J44" s="111">
        <f>SUM(J33:J43)</f>
        <v>6278855.0</v>
      </c>
      <c r="K44" s="68"/>
    </row>
  </sheetData>
  <hyperlinks>
    <hyperlink ref="G2" r:id="rId2"/>
    <hyperlink ref="G3" r:id="rId3"/>
    <hyperlink ref="G4" r:id="rId4"/>
    <hyperlink ref="G5" r:id="rId5"/>
    <hyperlink ref="G6" r:id="rId6"/>
    <hyperlink ref="G7" r:id="rId7"/>
    <hyperlink ref="G8" r:id="rId8"/>
    <hyperlink ref="G9" r:id="rId9"/>
    <hyperlink ref="G10" r:id="rId10"/>
    <hyperlink ref="G11" r:id="rId11"/>
    <hyperlink ref="G12" r:id="rId12"/>
    <hyperlink ref="G13" r:id="rId13"/>
    <hyperlink ref="G14" r:id="rId14"/>
    <hyperlink ref="G15" r:id="rId15"/>
    <hyperlink ref="G16" r:id="rId16"/>
    <hyperlink ref="G17" r:id="rId17"/>
    <hyperlink ref="G18" r:id="rId18"/>
    <hyperlink ref="G19" r:id="rId19"/>
    <hyperlink ref="G20" r:id="rId20"/>
    <hyperlink ref="G21" r:id="rId21"/>
    <hyperlink ref="G22" r:id="rId22"/>
    <hyperlink ref="G23" r:id="rId23"/>
    <hyperlink ref="G24" r:id="rId24"/>
    <hyperlink ref="G25" r:id="rId25"/>
    <hyperlink ref="G26" r:id="rId26"/>
    <hyperlink ref="G27" r:id="rId27"/>
    <hyperlink ref="G28" r:id="rId28"/>
    <hyperlink ref="G29" r:id="rId29"/>
    <hyperlink ref="G30" r:id="rId30"/>
    <hyperlink ref="G31" r:id="rId31"/>
    <hyperlink ref="G32" r:id="rId32"/>
    <hyperlink ref="I33" r:id="rId33"/>
    <hyperlink ref="I34" r:id="rId34"/>
    <hyperlink ref="I35" r:id="rId35"/>
    <hyperlink ref="I36" r:id="rId36"/>
    <hyperlink ref="I37" r:id="rId37"/>
    <hyperlink ref="I38" r:id="rId38"/>
    <hyperlink ref="I39" r:id="rId39"/>
    <hyperlink ref="I40" r:id="rId40"/>
    <hyperlink ref="I41" r:id="rId41"/>
    <hyperlink ref="I42" r:id="rId42"/>
    <hyperlink ref="I43" r:id="rId43"/>
  </hyperlinks>
  <pageMargins left="0.75" right="0.75" top="1.0" bottom="1.0" header="0.511811023622047" footer="0.511811023622047"/>
  <drawing r:id="rId1"/>
</worksheet>
</file>

<file path=xl/worksheets/sheet21.xml><?xml version="1.0" encoding="utf-8"?>
<worksheet xmlns:r="http://schemas.openxmlformats.org/officeDocument/2006/relationships" xmlns="http://schemas.openxmlformats.org/spreadsheetml/2006/main">
  <dimension ref="A1:Q50"/>
  <sheetViews>
    <sheetView workbookViewId="0" zoomScale="71">
      <selection activeCell="P39" sqref="P39"/>
    </sheetView>
  </sheetViews>
  <sheetFormatPr defaultRowHeight="14.5"/>
  <cols>
    <col min="1" max="1" customWidth="1" width="9.90625" style="60"/>
    <col min="2" max="2" customWidth="1" width="19.363281" style="60"/>
    <col min="3" max="3" customWidth="1" width="11.453125" style="60"/>
    <col min="4" max="4" customWidth="1" width="15.089844" style="60"/>
    <col min="5" max="5" customWidth="1" width="12.542969" style="60"/>
    <col min="6" max="6" customWidth="1" width="37.632812" style="60"/>
    <col min="7" max="7" customWidth="1" width="12.1796875" style="60"/>
    <col min="8" max="8" customWidth="1" width="3.0" style="60"/>
    <col min="9" max="9" customWidth="1" width="37.632812" style="60"/>
    <col min="10" max="10" customWidth="1" width="12.542969" style="60"/>
    <col min="11" max="12" customWidth="1" width="17.726562" style="60"/>
    <col min="13" max="13" customWidth="1" width="3.0" style="60"/>
    <col min="14" max="14" customWidth="1" width="12.363281" style="60"/>
    <col min="15" max="15" customWidth="1" width="15.6328125" style="60"/>
    <col min="16" max="16" customWidth="1" width="15.542969" style="60"/>
  </cols>
  <sheetData>
    <row r="1" spans="8:8" ht="25.5" customHeight="1">
      <c r="A1" s="106" t="s">
        <v>686</v>
      </c>
      <c r="B1" s="106" t="s">
        <v>687</v>
      </c>
      <c r="C1" s="106" t="s">
        <v>688</v>
      </c>
      <c r="D1" s="106" t="s">
        <v>689</v>
      </c>
      <c r="E1" s="106" t="s">
        <v>690</v>
      </c>
      <c r="F1" s="106" t="s">
        <v>691</v>
      </c>
      <c r="G1" s="106" t="s">
        <v>692</v>
      </c>
      <c r="I1" s="106" t="s">
        <v>687</v>
      </c>
      <c r="J1" s="106" t="s">
        <v>693</v>
      </c>
      <c r="K1" s="106" t="s">
        <v>694</v>
      </c>
      <c r="L1" s="106" t="s">
        <v>695</v>
      </c>
      <c r="N1" s="106" t="s">
        <v>696</v>
      </c>
      <c r="O1" s="106" t="s">
        <v>697</v>
      </c>
      <c r="P1" s="106" t="s">
        <v>698</v>
      </c>
    </row>
    <row r="2" spans="8:8" ht="15.0" customHeight="1">
      <c r="A2" s="107">
        <v>46221.0</v>
      </c>
      <c r="B2" s="109" t="s">
        <v>45</v>
      </c>
      <c r="C2" s="109">
        <v>140.0</v>
      </c>
      <c r="D2" s="110">
        <v>12730.0</v>
      </c>
      <c r="E2" s="111">
        <f t="shared" si="0" ref="E2:E39">C2*D2</f>
        <v>1782200.0</v>
      </c>
      <c r="F2" s="109" t="s">
        <v>66</v>
      </c>
      <c r="G2" s="67" t="s">
        <v>304</v>
      </c>
      <c r="I2" s="109" t="s">
        <v>45</v>
      </c>
      <c r="J2" s="109">
        <f>C2+C13+C17+C27+C35</f>
        <v>304.0</v>
      </c>
      <c r="K2" s="111">
        <f>E2+E13+E17+E27+E35</f>
        <v>3898440.0</v>
      </c>
      <c r="L2" s="112">
        <f t="shared" si="1" ref="L2:L21">K2/K$21</f>
        <v>0.30804375181492594</v>
      </c>
      <c r="N2" s="111">
        <f>K21</f>
        <v>1.2655475E7</v>
      </c>
      <c r="O2" s="109">
        <f>J21</f>
        <v>1117.0</v>
      </c>
      <c r="P2" s="109">
        <f>COUNT(J2:J20)</f>
        <v>19.0</v>
      </c>
    </row>
    <row r="3" spans="8:8" ht="15.0" customHeight="1">
      <c r="A3" s="107">
        <v>46221.0</v>
      </c>
      <c r="B3" s="109" t="s">
        <v>44</v>
      </c>
      <c r="C3" s="109">
        <v>140.0</v>
      </c>
      <c r="D3" s="110">
        <v>8990.0</v>
      </c>
      <c r="E3" s="111">
        <f t="shared" si="0"/>
        <v>1258600.0</v>
      </c>
      <c r="F3" s="109" t="s">
        <v>66</v>
      </c>
      <c r="G3" s="67" t="s">
        <v>304</v>
      </c>
      <c r="I3" s="109" t="s">
        <v>44</v>
      </c>
      <c r="J3" s="109">
        <f>C3+C15+C33</f>
        <v>155.0</v>
      </c>
      <c r="K3" s="111">
        <f>E3+E15+E33</f>
        <v>1395500.0</v>
      </c>
      <c r="L3" s="112">
        <f t="shared" si="1"/>
        <v>0.11026848063782671</v>
      </c>
    </row>
    <row r="4" spans="8:8" ht="15.0" customHeight="1">
      <c r="A4" s="107">
        <v>46221.0</v>
      </c>
      <c r="B4" s="109" t="s">
        <v>36</v>
      </c>
      <c r="C4" s="109">
        <v>60.0</v>
      </c>
      <c r="D4" s="110">
        <v>14900.0</v>
      </c>
      <c r="E4" s="111">
        <f t="shared" si="0"/>
        <v>894000.0</v>
      </c>
      <c r="F4" s="109" t="s">
        <v>66</v>
      </c>
      <c r="G4" s="67" t="s">
        <v>304</v>
      </c>
      <c r="I4" s="109" t="s">
        <v>36</v>
      </c>
      <c r="J4" s="109">
        <f>C4+C22</f>
        <v>62.0</v>
      </c>
      <c r="K4" s="111">
        <f>E4+E22</f>
        <v>925050.0</v>
      </c>
      <c r="L4" s="112">
        <f t="shared" si="1"/>
        <v>0.07309484630169946</v>
      </c>
    </row>
    <row r="5" spans="8:8" ht="15.0" customHeight="1">
      <c r="A5" s="107">
        <v>46221.0</v>
      </c>
      <c r="B5" s="109" t="s">
        <v>113</v>
      </c>
      <c r="C5" s="109">
        <v>60.0</v>
      </c>
      <c r="D5" s="110">
        <v>14475.0</v>
      </c>
      <c r="E5" s="111">
        <f t="shared" si="0"/>
        <v>868500.0</v>
      </c>
      <c r="F5" s="109" t="s">
        <v>66</v>
      </c>
      <c r="G5" s="67" t="s">
        <v>304</v>
      </c>
      <c r="I5" s="109" t="s">
        <v>113</v>
      </c>
      <c r="J5" s="109">
        <f>C5+C18+C29</f>
        <v>91.0</v>
      </c>
      <c r="K5" s="111">
        <f>E5+E18+E29</f>
        <v>1320325.0</v>
      </c>
      <c r="L5" s="112">
        <f t="shared" si="1"/>
        <v>0.10432836381091978</v>
      </c>
    </row>
    <row r="6" spans="8:8" ht="15.0" customHeight="1">
      <c r="A6" s="107">
        <v>46221.0</v>
      </c>
      <c r="B6" s="109" t="s">
        <v>28</v>
      </c>
      <c r="C6" s="109">
        <v>45.0</v>
      </c>
      <c r="D6" s="110">
        <v>13150.0</v>
      </c>
      <c r="E6" s="111">
        <f t="shared" si="0"/>
        <v>591750.0</v>
      </c>
      <c r="F6" s="109" t="s">
        <v>25</v>
      </c>
      <c r="G6" s="67" t="s">
        <v>310</v>
      </c>
      <c r="I6" s="109" t="s">
        <v>28</v>
      </c>
      <c r="J6" s="109">
        <f>C6</f>
        <v>45.0</v>
      </c>
      <c r="K6" s="111">
        <f>E6</f>
        <v>591750.0</v>
      </c>
      <c r="L6" s="112">
        <f t="shared" si="1"/>
        <v>0.04675841878712573</v>
      </c>
    </row>
    <row r="7" spans="8:8" ht="15.0" customHeight="1">
      <c r="A7" s="107">
        <v>46221.0</v>
      </c>
      <c r="B7" s="109" t="s">
        <v>31</v>
      </c>
      <c r="C7" s="109">
        <v>10.0</v>
      </c>
      <c r="D7" s="110">
        <v>17845.0</v>
      </c>
      <c r="E7" s="111">
        <f t="shared" si="0"/>
        <v>178450.0</v>
      </c>
      <c r="F7" s="109" t="s">
        <v>25</v>
      </c>
      <c r="G7" s="67" t="s">
        <v>310</v>
      </c>
      <c r="I7" s="109" t="s">
        <v>31</v>
      </c>
      <c r="J7" s="109">
        <f>C7</f>
        <v>10.0</v>
      </c>
      <c r="K7" s="111">
        <f>E7</f>
        <v>178450.0</v>
      </c>
      <c r="L7" s="112">
        <f t="shared" si="1"/>
        <v>0.014100616531580205</v>
      </c>
    </row>
    <row r="8" spans="8:8" ht="15.0" customHeight="1">
      <c r="A8" s="107">
        <v>46221.0</v>
      </c>
      <c r="B8" s="109" t="s">
        <v>32</v>
      </c>
      <c r="C8" s="109">
        <v>10.0</v>
      </c>
      <c r="D8" s="110">
        <v>16145.0</v>
      </c>
      <c r="E8" s="111">
        <f t="shared" si="0"/>
        <v>161450.0</v>
      </c>
      <c r="F8" s="109" t="s">
        <v>25</v>
      </c>
      <c r="G8" s="67" t="s">
        <v>310</v>
      </c>
      <c r="I8" s="109" t="s">
        <v>32</v>
      </c>
      <c r="J8" s="109">
        <f>C8</f>
        <v>10.0</v>
      </c>
      <c r="K8" s="111">
        <f>E8</f>
        <v>161450.0</v>
      </c>
      <c r="L8" s="112">
        <f t="shared" si="1"/>
        <v>0.0127573243991237</v>
      </c>
    </row>
    <row r="9" spans="8:8" ht="15.0" customHeight="1">
      <c r="A9" s="107">
        <v>46221.0</v>
      </c>
      <c r="B9" s="109" t="s">
        <v>70</v>
      </c>
      <c r="C9" s="109">
        <v>10.0</v>
      </c>
      <c r="D9" s="110">
        <v>13460.0</v>
      </c>
      <c r="E9" s="111">
        <f t="shared" si="0"/>
        <v>134600.0</v>
      </c>
      <c r="F9" s="109" t="s">
        <v>25</v>
      </c>
      <c r="G9" s="67" t="s">
        <v>313</v>
      </c>
      <c r="I9" s="109" t="s">
        <v>70</v>
      </c>
      <c r="J9" s="109">
        <f>C9</f>
        <v>10.0</v>
      </c>
      <c r="K9" s="111">
        <f>E9</f>
        <v>134600.0</v>
      </c>
      <c r="L9" s="112">
        <f t="shared" si="1"/>
        <v>0.01063571300168504</v>
      </c>
    </row>
    <row r="10" spans="8:8" ht="15.0" customHeight="1">
      <c r="A10" s="107">
        <v>46221.0</v>
      </c>
      <c r="B10" s="109" t="s">
        <v>43</v>
      </c>
      <c r="C10" s="109">
        <v>10.0</v>
      </c>
      <c r="D10" s="110">
        <v>17700.0</v>
      </c>
      <c r="E10" s="111">
        <f t="shared" si="0"/>
        <v>177000.0</v>
      </c>
      <c r="F10" s="109" t="s">
        <v>25</v>
      </c>
      <c r="G10" s="67" t="s">
        <v>313</v>
      </c>
      <c r="I10" s="109" t="s">
        <v>43</v>
      </c>
      <c r="J10" s="109">
        <f>C10+C32+C34</f>
        <v>31.0</v>
      </c>
      <c r="K10" s="111">
        <f>E10+E32+E34</f>
        <v>551300.0</v>
      </c>
      <c r="L10" s="112">
        <f t="shared" si="1"/>
        <v>0.043562173683721866</v>
      </c>
    </row>
    <row r="11" spans="8:8" ht="15.0" customHeight="1">
      <c r="A11" s="107">
        <v>46221.0</v>
      </c>
      <c r="B11" s="109" t="s">
        <v>22</v>
      </c>
      <c r="C11" s="109">
        <v>20.0</v>
      </c>
      <c r="D11" s="110">
        <v>8800.0</v>
      </c>
      <c r="E11" s="111">
        <f t="shared" si="0"/>
        <v>176000.0</v>
      </c>
      <c r="F11" s="109" t="s">
        <v>50</v>
      </c>
      <c r="G11" s="67" t="s">
        <v>317</v>
      </c>
      <c r="I11" s="109" t="s">
        <v>22</v>
      </c>
      <c r="J11" s="109">
        <f>C11+C16+C26+C36+C39</f>
        <v>179.0</v>
      </c>
      <c r="K11" s="111">
        <f>E11+E16+E26+E36+E39</f>
        <v>1537880.0</v>
      </c>
      <c r="L11" s="112">
        <f t="shared" si="1"/>
        <v>0.12151894733307125</v>
      </c>
    </row>
    <row r="12" spans="8:8" ht="15.0" customHeight="1">
      <c r="A12" s="107">
        <v>46221.0</v>
      </c>
      <c r="B12" s="109" t="s">
        <v>93</v>
      </c>
      <c r="C12" s="109">
        <v>10.0</v>
      </c>
      <c r="D12" s="110">
        <v>11600.0</v>
      </c>
      <c r="E12" s="111">
        <f t="shared" si="0"/>
        <v>116000.0</v>
      </c>
      <c r="F12" s="109" t="s">
        <v>50</v>
      </c>
      <c r="G12" s="67" t="s">
        <v>320</v>
      </c>
      <c r="I12" s="109" t="s">
        <v>93</v>
      </c>
      <c r="J12" s="109">
        <f>C12</f>
        <v>10.0</v>
      </c>
      <c r="K12" s="111">
        <f>E12</f>
        <v>116000.0</v>
      </c>
      <c r="L12" s="112">
        <f t="shared" si="1"/>
        <v>0.0091659933744091</v>
      </c>
    </row>
    <row r="13" spans="8:8" ht="15.0" customHeight="1">
      <c r="A13" s="107">
        <v>46221.0</v>
      </c>
      <c r="B13" s="109" t="s">
        <v>45</v>
      </c>
      <c r="C13" s="109">
        <v>20.0</v>
      </c>
      <c r="D13" s="110">
        <v>13335.0</v>
      </c>
      <c r="E13" s="111">
        <f t="shared" si="0"/>
        <v>266700.0</v>
      </c>
      <c r="F13" s="109" t="s">
        <v>50</v>
      </c>
      <c r="G13" s="67" t="s">
        <v>320</v>
      </c>
      <c r="I13" s="109" t="s">
        <v>37</v>
      </c>
      <c r="J13" s="109">
        <f>C14+C19+C28+C37</f>
        <v>75.0</v>
      </c>
      <c r="K13" s="111">
        <f>E14+E19+E28+E37</f>
        <v>666620.0</v>
      </c>
      <c r="L13" s="112">
        <f t="shared" si="1"/>
        <v>0.05267443537283271</v>
      </c>
    </row>
    <row r="14" spans="8:8" ht="15.0" customHeight="1">
      <c r="A14" s="107">
        <v>46221.0</v>
      </c>
      <c r="B14" s="109" t="s">
        <v>37</v>
      </c>
      <c r="C14" s="109">
        <v>2.0</v>
      </c>
      <c r="D14" s="110">
        <v>8880.0</v>
      </c>
      <c r="E14" s="111">
        <f t="shared" si="0"/>
        <v>17760.0</v>
      </c>
      <c r="F14" s="109" t="s">
        <v>29</v>
      </c>
      <c r="G14" s="67" t="s">
        <v>321</v>
      </c>
      <c r="I14" s="109" t="s">
        <v>80</v>
      </c>
      <c r="J14" s="109">
        <f>C20</f>
        <v>1.0</v>
      </c>
      <c r="K14" s="111">
        <f>E20</f>
        <v>9345.0</v>
      </c>
      <c r="L14" s="112">
        <f t="shared" si="1"/>
        <v>7.384155869297676E-4</v>
      </c>
    </row>
    <row r="15" spans="8:8" ht="15.0" customHeight="1">
      <c r="A15" s="107">
        <v>46221.0</v>
      </c>
      <c r="B15" s="109" t="s">
        <v>44</v>
      </c>
      <c r="C15" s="109">
        <v>5.0</v>
      </c>
      <c r="D15" s="110">
        <v>9200.0</v>
      </c>
      <c r="E15" s="111">
        <f t="shared" si="0"/>
        <v>46000.0</v>
      </c>
      <c r="F15" s="109" t="s">
        <v>29</v>
      </c>
      <c r="G15" s="67" t="s">
        <v>322</v>
      </c>
      <c r="I15" s="109" t="s">
        <v>87</v>
      </c>
      <c r="J15" s="109">
        <f>C21</f>
        <v>1.0</v>
      </c>
      <c r="K15" s="111">
        <f>E21</f>
        <v>21400.0</v>
      </c>
      <c r="L15" s="112">
        <f t="shared" si="1"/>
        <v>0.0016909677432099546</v>
      </c>
    </row>
    <row r="16" spans="8:8" ht="15.0" customHeight="1">
      <c r="A16" s="107">
        <v>46221.0</v>
      </c>
      <c r="B16" s="109" t="s">
        <v>22</v>
      </c>
      <c r="C16" s="109">
        <v>10.0</v>
      </c>
      <c r="D16" s="110">
        <v>8800.0</v>
      </c>
      <c r="E16" s="111">
        <f t="shared" si="0"/>
        <v>88000.0</v>
      </c>
      <c r="F16" s="109" t="s">
        <v>29</v>
      </c>
      <c r="G16" s="67" t="s">
        <v>322</v>
      </c>
      <c r="I16" s="109" t="s">
        <v>65</v>
      </c>
      <c r="J16" s="109">
        <f>C23</f>
        <v>2.0</v>
      </c>
      <c r="K16" s="111">
        <f>E23</f>
        <v>23820.0</v>
      </c>
      <c r="L16" s="112">
        <f t="shared" si="1"/>
        <v>0.0018821893291243513</v>
      </c>
    </row>
    <row r="17" spans="8:8" ht="15.0" customHeight="1">
      <c r="A17" s="107">
        <v>46221.0</v>
      </c>
      <c r="B17" s="109" t="s">
        <v>45</v>
      </c>
      <c r="C17" s="109">
        <v>3.0</v>
      </c>
      <c r="D17" s="110">
        <v>13335.0</v>
      </c>
      <c r="E17" s="111">
        <f t="shared" si="0"/>
        <v>40005.0</v>
      </c>
      <c r="F17" s="109" t="s">
        <v>29</v>
      </c>
      <c r="G17" s="67" t="s">
        <v>322</v>
      </c>
      <c r="I17" s="109" t="s">
        <v>71</v>
      </c>
      <c r="J17" s="109">
        <f>C24</f>
        <v>1.0</v>
      </c>
      <c r="K17" s="111">
        <f>E24</f>
        <v>15945.0</v>
      </c>
      <c r="L17" s="112">
        <f t="shared" si="1"/>
        <v>0.0012599290030599404</v>
      </c>
    </row>
    <row r="18" spans="8:8" ht="15.0" customHeight="1">
      <c r="A18" s="107">
        <v>46221.0</v>
      </c>
      <c r="B18" s="109" t="s">
        <v>113</v>
      </c>
      <c r="C18" s="109">
        <v>1.0</v>
      </c>
      <c r="D18" s="110">
        <v>14575.0</v>
      </c>
      <c r="E18" s="111">
        <f t="shared" si="0"/>
        <v>14575.0</v>
      </c>
      <c r="F18" s="109" t="s">
        <v>29</v>
      </c>
      <c r="G18" s="67" t="s">
        <v>322</v>
      </c>
      <c r="I18" s="109" t="s">
        <v>24</v>
      </c>
      <c r="J18" s="109">
        <f>C25+C31</f>
        <v>30.0</v>
      </c>
      <c r="K18" s="111">
        <f>E25+E31</f>
        <v>150000.0</v>
      </c>
      <c r="L18" s="112">
        <f t="shared" si="1"/>
        <v>0.011852577639322112</v>
      </c>
    </row>
    <row r="19" spans="8:8" ht="15.0" customHeight="1">
      <c r="A19" s="107">
        <v>46221.0</v>
      </c>
      <c r="B19" s="109" t="s">
        <v>37</v>
      </c>
      <c r="C19" s="109">
        <v>2.0</v>
      </c>
      <c r="D19" s="110">
        <v>8880.0</v>
      </c>
      <c r="E19" s="111">
        <f t="shared" si="0"/>
        <v>17760.0</v>
      </c>
      <c r="F19" s="109" t="s">
        <v>29</v>
      </c>
      <c r="G19" s="67" t="s">
        <v>322</v>
      </c>
      <c r="I19" s="109" t="s">
        <v>101</v>
      </c>
      <c r="J19" s="109">
        <f>C30</f>
        <v>30.0</v>
      </c>
      <c r="K19" s="111">
        <f>E30</f>
        <v>390600.0</v>
      </c>
      <c r="L19" s="112">
        <f t="shared" si="1"/>
        <v>0.030864112172794778</v>
      </c>
    </row>
    <row r="20" spans="8:8" ht="15.0" customHeight="1">
      <c r="A20" s="107">
        <v>46221.0</v>
      </c>
      <c r="B20" s="109" t="s">
        <v>80</v>
      </c>
      <c r="C20" s="109">
        <v>1.0</v>
      </c>
      <c r="D20" s="110">
        <v>9345.0</v>
      </c>
      <c r="E20" s="111">
        <f t="shared" si="0"/>
        <v>9345.0</v>
      </c>
      <c r="F20" s="109" t="s">
        <v>29</v>
      </c>
      <c r="G20" s="67" t="s">
        <v>322</v>
      </c>
      <c r="I20" s="109" t="s">
        <v>21</v>
      </c>
      <c r="J20" s="109">
        <f>C38</f>
        <v>70.0</v>
      </c>
      <c r="K20" s="111">
        <f>E38</f>
        <v>567000.0</v>
      </c>
      <c r="L20" s="112">
        <f t="shared" si="1"/>
        <v>0.04480274347663758</v>
      </c>
    </row>
    <row r="21" spans="8:8" ht="15.0" customHeight="1">
      <c r="A21" s="107">
        <v>46221.0</v>
      </c>
      <c r="B21" s="109" t="s">
        <v>87</v>
      </c>
      <c r="C21" s="109">
        <v>1.0</v>
      </c>
      <c r="D21" s="110">
        <v>21400.0</v>
      </c>
      <c r="E21" s="111">
        <f t="shared" si="0"/>
        <v>21400.0</v>
      </c>
      <c r="F21" s="109" t="s">
        <v>29</v>
      </c>
      <c r="G21" s="67" t="s">
        <v>322</v>
      </c>
      <c r="I21" s="109" t="s">
        <v>701</v>
      </c>
      <c r="J21" s="109">
        <f>SUM(J2:J20)</f>
        <v>1117.0</v>
      </c>
      <c r="K21" s="111">
        <f>SUM(K2:K20)</f>
        <v>1.2655475E7</v>
      </c>
      <c r="L21" s="112">
        <f t="shared" si="1"/>
        <v>1.0</v>
      </c>
    </row>
    <row r="22" spans="8:8" ht="15.0" customHeight="1">
      <c r="A22" s="107">
        <v>46221.0</v>
      </c>
      <c r="B22" s="109" t="s">
        <v>36</v>
      </c>
      <c r="C22" s="109">
        <v>2.0</v>
      </c>
      <c r="D22" s="110">
        <v>15525.0</v>
      </c>
      <c r="E22" s="111">
        <f t="shared" si="0"/>
        <v>31050.0</v>
      </c>
      <c r="F22" s="109" t="s">
        <v>29</v>
      </c>
      <c r="G22" s="67" t="s">
        <v>322</v>
      </c>
    </row>
    <row r="23" spans="8:8" ht="25.5" customHeight="1">
      <c r="A23" s="107">
        <v>46221.0</v>
      </c>
      <c r="B23" s="109" t="s">
        <v>65</v>
      </c>
      <c r="C23" s="109">
        <v>2.0</v>
      </c>
      <c r="D23" s="110">
        <v>11910.0</v>
      </c>
      <c r="E23" s="111">
        <f t="shared" si="0"/>
        <v>23820.0</v>
      </c>
      <c r="F23" s="109" t="s">
        <v>29</v>
      </c>
      <c r="G23" s="67" t="s">
        <v>322</v>
      </c>
      <c r="I23" s="106" t="s">
        <v>691</v>
      </c>
      <c r="J23" s="106" t="s">
        <v>690</v>
      </c>
      <c r="K23" s="106" t="s">
        <v>695</v>
      </c>
      <c r="L23" s="106" t="s">
        <v>702</v>
      </c>
    </row>
    <row r="24" spans="8:8" ht="15.0" customHeight="1">
      <c r="A24" s="107">
        <v>46221.0</v>
      </c>
      <c r="B24" s="109" t="s">
        <v>71</v>
      </c>
      <c r="C24" s="109">
        <v>1.0</v>
      </c>
      <c r="D24" s="110">
        <v>15945.0</v>
      </c>
      <c r="E24" s="111">
        <f t="shared" si="0"/>
        <v>15945.0</v>
      </c>
      <c r="F24" s="109" t="s">
        <v>29</v>
      </c>
      <c r="G24" s="67" t="s">
        <v>322</v>
      </c>
      <c r="I24" s="109" t="s">
        <v>66</v>
      </c>
      <c r="J24" s="111">
        <f>E2+E3+E4+E5</f>
        <v>4803300.0</v>
      </c>
      <c r="K24" s="112">
        <f t="shared" si="2" ref="K24:K33">J24/J$33</f>
        <v>0.37954324116637267</v>
      </c>
      <c r="L24" s="112">
        <v>0.0603</v>
      </c>
    </row>
    <row r="25" spans="8:8" ht="15.0" customHeight="1">
      <c r="A25" s="107">
        <v>46221.0</v>
      </c>
      <c r="B25" s="109" t="s">
        <v>24</v>
      </c>
      <c r="C25" s="109">
        <v>20.0</v>
      </c>
      <c r="D25" s="110">
        <v>5000.0</v>
      </c>
      <c r="E25" s="111">
        <f t="shared" si="0"/>
        <v>100000.0</v>
      </c>
      <c r="F25" s="109" t="s">
        <v>29</v>
      </c>
      <c r="G25" s="67" t="s">
        <v>322</v>
      </c>
      <c r="I25" s="109" t="s">
        <v>25</v>
      </c>
      <c r="J25" s="111">
        <f>E6+E7+E8+E9+E10</f>
        <v>1243250.0</v>
      </c>
      <c r="K25" s="112">
        <f t="shared" si="2"/>
        <v>0.09823811433391477</v>
      </c>
      <c r="L25" s="112">
        <v>0.0761</v>
      </c>
    </row>
    <row r="26" spans="8:8" ht="15.0" customHeight="1">
      <c r="A26" s="107">
        <v>46221.0</v>
      </c>
      <c r="B26" s="109" t="s">
        <v>22</v>
      </c>
      <c r="C26" s="109">
        <v>140.0</v>
      </c>
      <c r="D26" s="110">
        <v>8500.0</v>
      </c>
      <c r="E26" s="111">
        <f t="shared" si="0"/>
        <v>1190000.0</v>
      </c>
      <c r="F26" s="109" t="s">
        <v>326</v>
      </c>
      <c r="G26" s="67" t="s">
        <v>327</v>
      </c>
      <c r="I26" s="109" t="s">
        <v>50</v>
      </c>
      <c r="J26" s="111">
        <f>E11+E12+E13+E31</f>
        <v>608700.0</v>
      </c>
      <c r="K26" s="112">
        <f t="shared" si="2"/>
        <v>0.04809776006036913</v>
      </c>
      <c r="L26" s="112">
        <v>0.0903</v>
      </c>
    </row>
    <row r="27" spans="8:8" ht="15.0" customHeight="1">
      <c r="A27" s="107">
        <v>46221.0</v>
      </c>
      <c r="B27" s="109" t="s">
        <v>45</v>
      </c>
      <c r="C27" s="109">
        <v>140.0</v>
      </c>
      <c r="D27" s="110">
        <v>12830.0</v>
      </c>
      <c r="E27" s="111">
        <f t="shared" si="0"/>
        <v>1796200.0</v>
      </c>
      <c r="F27" s="109" t="s">
        <v>326</v>
      </c>
      <c r="G27" s="67" t="s">
        <v>327</v>
      </c>
      <c r="I27" s="109" t="s">
        <v>29</v>
      </c>
      <c r="J27" s="111">
        <f>E14+E15+E16+E17+E18+E19+E20+E21+E22+E23+E24+E25</f>
        <v>425660.0</v>
      </c>
      <c r="K27" s="112">
        <f t="shared" si="2"/>
        <v>0.03363445465302567</v>
      </c>
      <c r="L27" s="112">
        <v>0.0396</v>
      </c>
    </row>
    <row r="28" spans="8:8" ht="15.0" customHeight="1">
      <c r="A28" s="107">
        <v>46221.0</v>
      </c>
      <c r="B28" s="109" t="s">
        <v>37</v>
      </c>
      <c r="C28" s="109">
        <v>70.0</v>
      </c>
      <c r="D28" s="110">
        <v>8880.0</v>
      </c>
      <c r="E28" s="111">
        <f t="shared" si="0"/>
        <v>621600.0</v>
      </c>
      <c r="F28" s="109" t="s">
        <v>326</v>
      </c>
      <c r="G28" s="67" t="s">
        <v>327</v>
      </c>
      <c r="I28" s="109" t="s">
        <v>326</v>
      </c>
      <c r="J28" s="111">
        <f>E26+E27+E28+E29+E30</f>
        <v>4435650.0</v>
      </c>
      <c r="K28" s="112">
        <f t="shared" si="2"/>
        <v>0.35049257337239415</v>
      </c>
      <c r="L28" s="112">
        <v>0.0694</v>
      </c>
    </row>
    <row r="29" spans="8:8" ht="15.0" customHeight="1">
      <c r="A29" s="107">
        <v>46221.0</v>
      </c>
      <c r="B29" s="109" t="s">
        <v>113</v>
      </c>
      <c r="C29" s="109">
        <v>30.0</v>
      </c>
      <c r="D29" s="110">
        <v>14575.0</v>
      </c>
      <c r="E29" s="111">
        <f t="shared" si="0"/>
        <v>437250.0</v>
      </c>
      <c r="F29" s="109" t="s">
        <v>326</v>
      </c>
      <c r="G29" s="67" t="s">
        <v>327</v>
      </c>
      <c r="I29" s="109" t="s">
        <v>334</v>
      </c>
      <c r="J29" s="111">
        <f>E32+E33+E38</f>
        <v>1013900.0</v>
      </c>
      <c r="K29" s="112">
        <f t="shared" si="2"/>
        <v>0.08011552312339126</v>
      </c>
      <c r="L29" s="112">
        <v>0.1509</v>
      </c>
    </row>
    <row r="30" spans="8:8" ht="15.0" customHeight="1">
      <c r="A30" s="107">
        <v>46221.0</v>
      </c>
      <c r="B30" s="109" t="s">
        <v>101</v>
      </c>
      <c r="C30" s="109">
        <v>30.0</v>
      </c>
      <c r="D30" s="110">
        <v>13020.0</v>
      </c>
      <c r="E30" s="111">
        <f t="shared" si="0"/>
        <v>390600.0</v>
      </c>
      <c r="F30" s="109" t="s">
        <v>326</v>
      </c>
      <c r="G30" s="67" t="s">
        <v>327</v>
      </c>
      <c r="I30" s="109" t="s">
        <v>336</v>
      </c>
      <c r="J30" s="111">
        <f>E34+E35+E36</f>
        <v>40835.0</v>
      </c>
      <c r="K30" s="112">
        <f t="shared" si="2"/>
        <v>0.0032266667193447895</v>
      </c>
      <c r="L30" s="112">
        <v>0.0559</v>
      </c>
    </row>
    <row r="31" spans="8:8" ht="15.0" customHeight="1">
      <c r="A31" s="107">
        <v>46221.0</v>
      </c>
      <c r="B31" s="109" t="s">
        <v>24</v>
      </c>
      <c r="C31" s="109">
        <v>10.0</v>
      </c>
      <c r="D31" s="110">
        <v>5000.0</v>
      </c>
      <c r="E31" s="111">
        <f t="shared" si="0"/>
        <v>50000.0</v>
      </c>
      <c r="F31" s="109" t="s">
        <v>50</v>
      </c>
      <c r="G31" s="67" t="s">
        <v>332</v>
      </c>
      <c r="I31" s="109" t="s">
        <v>102</v>
      </c>
      <c r="J31" s="111">
        <f>E37</f>
        <v>9500.0</v>
      </c>
      <c r="K31" s="112">
        <f t="shared" si="2"/>
        <v>7.506632504904004E-4</v>
      </c>
      <c r="L31" s="112">
        <v>0.1026</v>
      </c>
    </row>
    <row r="32" spans="8:8" ht="15.0" customHeight="1">
      <c r="A32" s="107">
        <v>46221.0</v>
      </c>
      <c r="B32" s="109" t="s">
        <v>43</v>
      </c>
      <c r="C32" s="109">
        <v>20.0</v>
      </c>
      <c r="D32" s="110">
        <v>17800.0</v>
      </c>
      <c r="E32" s="111">
        <f t="shared" si="0"/>
        <v>356000.0</v>
      </c>
      <c r="F32" s="109" t="s">
        <v>334</v>
      </c>
      <c r="G32" s="67" t="s">
        <v>335</v>
      </c>
      <c r="I32" s="109" t="s">
        <v>341</v>
      </c>
      <c r="J32" s="111">
        <f>E39</f>
        <v>74680.0</v>
      </c>
      <c r="K32" s="112">
        <f t="shared" si="2"/>
        <v>0.005901003320697169</v>
      </c>
      <c r="L32" s="112">
        <v>0.0727</v>
      </c>
    </row>
    <row r="33" spans="8:8" ht="15.0" customHeight="1">
      <c r="A33" s="107">
        <v>46221.0</v>
      </c>
      <c r="B33" s="109" t="s">
        <v>44</v>
      </c>
      <c r="C33" s="109">
        <v>10.0</v>
      </c>
      <c r="D33" s="110">
        <v>9090.0</v>
      </c>
      <c r="E33" s="111">
        <f t="shared" si="0"/>
        <v>90900.0</v>
      </c>
      <c r="F33" s="109" t="s">
        <v>334</v>
      </c>
      <c r="G33" s="67" t="s">
        <v>335</v>
      </c>
      <c r="I33" s="109" t="s">
        <v>703</v>
      </c>
      <c r="J33" s="111">
        <f>SUM(J24:J32)</f>
        <v>1.2655475E7</v>
      </c>
      <c r="K33" s="112">
        <f t="shared" si="2"/>
        <v>1.0</v>
      </c>
      <c r="L33" s="68"/>
    </row>
    <row r="34" spans="8:8" ht="15.0" customHeight="1">
      <c r="A34" s="107">
        <v>46221.0</v>
      </c>
      <c r="B34" s="109" t="s">
        <v>43</v>
      </c>
      <c r="C34" s="109">
        <v>1.0</v>
      </c>
      <c r="D34" s="110">
        <v>18300.0</v>
      </c>
      <c r="E34" s="111">
        <f t="shared" si="0"/>
        <v>18300.0</v>
      </c>
      <c r="F34" s="109" t="s">
        <v>336</v>
      </c>
      <c r="G34" s="67" t="s">
        <v>337</v>
      </c>
    </row>
    <row r="35" spans="8:8" ht="25.5" customHeight="1">
      <c r="A35" s="107">
        <v>46221.0</v>
      </c>
      <c r="B35" s="109" t="s">
        <v>45</v>
      </c>
      <c r="C35" s="109">
        <v>1.0</v>
      </c>
      <c r="D35" s="110">
        <v>13335.0</v>
      </c>
      <c r="E35" s="111">
        <f t="shared" si="0"/>
        <v>13335.0</v>
      </c>
      <c r="F35" s="109" t="s">
        <v>336</v>
      </c>
      <c r="G35" s="67" t="s">
        <v>337</v>
      </c>
      <c r="I35" s="106" t="s">
        <v>692</v>
      </c>
      <c r="J35" s="106" t="s">
        <v>690</v>
      </c>
      <c r="K35" s="106" t="s">
        <v>702</v>
      </c>
    </row>
    <row r="36" spans="8:8" ht="15.0" customHeight="1">
      <c r="A36" s="107">
        <v>46221.0</v>
      </c>
      <c r="B36" s="109" t="s">
        <v>22</v>
      </c>
      <c r="C36" s="109">
        <v>1.0</v>
      </c>
      <c r="D36" s="110">
        <v>9200.0</v>
      </c>
      <c r="E36" s="111">
        <f t="shared" si="0"/>
        <v>9200.0</v>
      </c>
      <c r="F36" s="109" t="s">
        <v>336</v>
      </c>
      <c r="G36" s="67" t="s">
        <v>337</v>
      </c>
      <c r="I36" s="67" t="s">
        <v>304</v>
      </c>
      <c r="J36" s="111">
        <v>5551300.0</v>
      </c>
      <c r="K36" s="112">
        <v>0.06</v>
      </c>
    </row>
    <row r="37" spans="8:8" ht="15.0" customHeight="1">
      <c r="A37" s="107">
        <v>46221.0</v>
      </c>
      <c r="B37" s="109" t="s">
        <v>37</v>
      </c>
      <c r="C37" s="109">
        <v>1.0</v>
      </c>
      <c r="D37" s="110">
        <v>9500.0</v>
      </c>
      <c r="E37" s="111">
        <f t="shared" si="0"/>
        <v>9500.0</v>
      </c>
      <c r="F37" s="109" t="s">
        <v>102</v>
      </c>
      <c r="G37" s="67" t="s">
        <v>338</v>
      </c>
      <c r="I37" s="67" t="s">
        <v>310</v>
      </c>
      <c r="J37" s="111">
        <v>931650.0</v>
      </c>
      <c r="K37" s="112">
        <v>0.0</v>
      </c>
    </row>
    <row r="38" spans="8:8" ht="15.0" customHeight="1">
      <c r="A38" s="107">
        <v>46221.0</v>
      </c>
      <c r="B38" s="109" t="s">
        <v>21</v>
      </c>
      <c r="C38" s="109">
        <v>70.0</v>
      </c>
      <c r="D38" s="110">
        <v>8100.0</v>
      </c>
      <c r="E38" s="111">
        <f t="shared" si="0"/>
        <v>567000.0</v>
      </c>
      <c r="F38" s="109" t="s">
        <v>334</v>
      </c>
      <c r="G38" s="67" t="s">
        <v>339</v>
      </c>
      <c r="I38" s="67" t="s">
        <v>313</v>
      </c>
      <c r="J38" s="111">
        <v>361600.0</v>
      </c>
      <c r="K38" s="112">
        <v>0.27</v>
      </c>
    </row>
    <row r="39" spans="8:8" ht="15.0" customHeight="1">
      <c r="A39" s="107">
        <v>46221.0</v>
      </c>
      <c r="B39" s="109" t="s">
        <v>22</v>
      </c>
      <c r="C39" s="109">
        <v>8.0</v>
      </c>
      <c r="D39" s="110">
        <v>9335.0</v>
      </c>
      <c r="E39" s="111">
        <f t="shared" si="0"/>
        <v>74680.0</v>
      </c>
      <c r="F39" s="109" t="s">
        <v>341</v>
      </c>
      <c r="G39" s="67" t="s">
        <v>342</v>
      </c>
      <c r="I39" s="67" t="s">
        <v>317</v>
      </c>
      <c r="J39" s="111">
        <v>212000.0</v>
      </c>
      <c r="K39" s="112">
        <v>0.04</v>
      </c>
    </row>
    <row r="40" spans="8:8" ht="15.0" customHeight="1">
      <c r="A40" s="68"/>
      <c r="B40" s="109" t="s">
        <v>701</v>
      </c>
      <c r="C40" s="109">
        <f>SUM(C2:C39)</f>
        <v>1117.0</v>
      </c>
      <c r="D40" s="109">
        <f>SUM(D2:D39)</f>
        <v>463390.0</v>
      </c>
      <c r="E40" s="111">
        <f>SUM(E2:E39)</f>
        <v>1.2655475E7</v>
      </c>
      <c r="F40" s="68"/>
      <c r="G40" s="68"/>
      <c r="I40" s="67" t="s">
        <v>320</v>
      </c>
      <c r="J40" s="111">
        <v>440700.0</v>
      </c>
      <c r="K40" s="112">
        <v>0.13</v>
      </c>
    </row>
    <row r="41" spans="8:8" ht="15.0" customHeight="1">
      <c r="I41" s="67" t="s">
        <v>321</v>
      </c>
      <c r="J41" s="111">
        <v>17760.0</v>
      </c>
      <c r="K41" s="112">
        <v>0.04</v>
      </c>
    </row>
    <row r="42" spans="8:8" ht="15.0" customHeight="1">
      <c r="I42" s="67" t="s">
        <v>322</v>
      </c>
      <c r="J42" s="111">
        <v>458900.0</v>
      </c>
      <c r="K42" s="112">
        <v>0.04</v>
      </c>
    </row>
    <row r="43" spans="8:8" ht="15.0" customHeight="1">
      <c r="I43" s="67" t="s">
        <v>327</v>
      </c>
      <c r="J43" s="111">
        <v>5201650.0</v>
      </c>
      <c r="K43" s="112">
        <v>0.07</v>
      </c>
    </row>
    <row r="44" spans="8:8" ht="15.0" customHeight="1">
      <c r="I44" s="67" t="s">
        <v>332</v>
      </c>
      <c r="J44" s="111">
        <v>50000.0</v>
      </c>
      <c r="K44" s="112">
        <v>-0.04</v>
      </c>
    </row>
    <row r="45" spans="8:8" ht="15.0" customHeight="1">
      <c r="I45" s="67" t="s">
        <v>335</v>
      </c>
      <c r="J45" s="111">
        <v>564900.0</v>
      </c>
      <c r="K45" s="112">
        <v>0.34</v>
      </c>
    </row>
    <row r="46" spans="8:8" ht="15.0" customHeight="1">
      <c r="I46" s="67" t="s">
        <v>337</v>
      </c>
      <c r="J46" s="111">
        <v>40835.0</v>
      </c>
      <c r="K46" s="112">
        <v>0.06</v>
      </c>
    </row>
    <row r="47" spans="8:8" ht="15.0" customHeight="1">
      <c r="I47" s="67" t="s">
        <v>338</v>
      </c>
      <c r="J47" s="111">
        <v>9500.0</v>
      </c>
      <c r="K47" s="112">
        <v>0.1</v>
      </c>
    </row>
    <row r="48" spans="8:8" ht="15.0" customHeight="1">
      <c r="I48" s="67" t="s">
        <v>339</v>
      </c>
      <c r="J48" s="111">
        <v>679000.0</v>
      </c>
      <c r="K48" s="112">
        <v>0.0</v>
      </c>
    </row>
    <row r="49" spans="8:8" ht="15.0" customHeight="1">
      <c r="I49" s="67" t="s">
        <v>342</v>
      </c>
      <c r="J49" s="111">
        <v>74680.0</v>
      </c>
      <c r="K49" s="112">
        <v>0.07</v>
      </c>
    </row>
    <row r="50" spans="8:8" ht="15.0" customHeight="1">
      <c r="I50" s="109" t="s">
        <v>703</v>
      </c>
      <c r="J50" s="111">
        <f>SUM(J36:J49)</f>
        <v>1.4594475E7</v>
      </c>
      <c r="K50" s="68"/>
    </row>
  </sheetData>
  <hyperlinks>
    <hyperlink ref="G2" r:id="rId2"/>
    <hyperlink ref="G3" r:id="rId3"/>
    <hyperlink ref="G4" r:id="rId4"/>
    <hyperlink ref="G5" r:id="rId5"/>
    <hyperlink ref="G6" r:id="rId6"/>
    <hyperlink ref="G7" r:id="rId7"/>
    <hyperlink ref="G8" r:id="rId8"/>
    <hyperlink ref="G9" r:id="rId9"/>
    <hyperlink ref="G10" r:id="rId10"/>
    <hyperlink ref="G11" r:id="rId11"/>
    <hyperlink ref="G12" r:id="rId12"/>
    <hyperlink ref="G13" r:id="rId13"/>
    <hyperlink ref="G14" r:id="rId14"/>
    <hyperlink ref="G15" r:id="rId15"/>
    <hyperlink ref="G16" r:id="rId16"/>
    <hyperlink ref="G17" r:id="rId17"/>
    <hyperlink ref="G18" r:id="rId18"/>
    <hyperlink ref="G19" r:id="rId19"/>
    <hyperlink ref="G20" r:id="rId20"/>
    <hyperlink ref="G21" r:id="rId21"/>
    <hyperlink ref="G22" r:id="rId22"/>
    <hyperlink ref="G23" r:id="rId23"/>
    <hyperlink ref="G24" r:id="rId24"/>
    <hyperlink ref="G25" r:id="rId25"/>
    <hyperlink ref="G26" r:id="rId26"/>
    <hyperlink ref="G27" r:id="rId27"/>
    <hyperlink ref="G28" r:id="rId28"/>
    <hyperlink ref="G29" r:id="rId29"/>
    <hyperlink ref="G30" r:id="rId30"/>
    <hyperlink ref="G31" r:id="rId31"/>
    <hyperlink ref="G32" r:id="rId32"/>
    <hyperlink ref="G33" r:id="rId33"/>
    <hyperlink ref="G34" r:id="rId34"/>
    <hyperlink ref="G35" r:id="rId35"/>
    <hyperlink ref="G36" r:id="rId36"/>
    <hyperlink ref="I36" r:id="rId37"/>
    <hyperlink ref="G37" r:id="rId38"/>
    <hyperlink ref="I37" r:id="rId39"/>
    <hyperlink ref="G38" r:id="rId40"/>
    <hyperlink ref="I38" r:id="rId41"/>
    <hyperlink ref="G39" r:id="rId42"/>
    <hyperlink ref="I39" r:id="rId43"/>
    <hyperlink ref="I40" r:id="rId44"/>
    <hyperlink ref="I41" r:id="rId45"/>
    <hyperlink ref="I42" r:id="rId46"/>
    <hyperlink ref="I43" r:id="rId47"/>
    <hyperlink ref="I44" r:id="rId48"/>
    <hyperlink ref="I45" r:id="rId49"/>
    <hyperlink ref="I46" r:id="rId50"/>
    <hyperlink ref="I47" r:id="rId51"/>
    <hyperlink ref="I48" r:id="rId52"/>
    <hyperlink ref="I49" r:id="rId53"/>
  </hyperlinks>
  <pageMargins left="0.75" right="0.75" top="1.0" bottom="1.0" header="0.511811023622047" footer="0.511811023622047"/>
  <drawing r:id="rId1"/>
</worksheet>
</file>

<file path=xl/worksheets/sheet22.xml><?xml version="1.0" encoding="utf-8"?>
<worksheet xmlns:r="http://schemas.openxmlformats.org/officeDocument/2006/relationships" xmlns="http://schemas.openxmlformats.org/spreadsheetml/2006/main">
  <dimension ref="A1:Q2"/>
  <sheetViews>
    <sheetView workbookViewId="0">
      <selection activeCell="A1" sqref="A1"/>
    </sheetView>
  </sheetViews>
  <sheetFormatPr defaultRowHeight="14.5"/>
  <cols>
    <col min="1" max="1" customWidth="1" width="11.269531" style="60"/>
    <col min="2" max="2" customWidth="1" width="18.089844" style="60"/>
    <col min="3" max="3" customWidth="1" width="10.90625" style="60"/>
    <col min="4" max="4" customWidth="1" width="11.90625" style="60"/>
    <col min="5" max="5" customWidth="1" width="12.453125" style="60"/>
    <col min="6" max="6" customWidth="1" width="21.542969" style="60"/>
    <col min="7" max="7" customWidth="1" width="11.90625" style="60"/>
    <col min="8" max="8" customWidth="1" width="3.0" style="60"/>
    <col min="9" max="9" customWidth="1" width="21.542969" style="60"/>
    <col min="10" max="10" customWidth="1" width="12.453125" style="60"/>
    <col min="11" max="11" customWidth="1" width="17.726562" style="60"/>
    <col min="12" max="12" customWidth="1" width="9.542969" style="60"/>
    <col min="13" max="13" customWidth="1" width="3.0" style="60"/>
    <col min="14" max="16" customWidth="1" width="13.0" style="60"/>
  </cols>
  <sheetData>
    <row r="1" spans="8:8" ht="17.25" customHeight="1">
      <c r="A1" s="104" t="s">
        <v>709</v>
      </c>
    </row>
    <row r="2" spans="8:8" ht="15.0" customHeight="1">
      <c r="A2" s="105" t="s">
        <v>707</v>
      </c>
    </row>
  </sheetData>
  <pageMargins left="0.75" right="0.75" top="1.0" bottom="1.0" header="0.511811023622047" footer="0.511811023622047"/>
</worksheet>
</file>

<file path=xl/worksheets/sheet23.xml><?xml version="1.0" encoding="utf-8"?>
<worksheet xmlns:r="http://schemas.openxmlformats.org/officeDocument/2006/relationships" xmlns="http://schemas.openxmlformats.org/spreadsheetml/2006/main">
  <dimension ref="A1:Q46"/>
  <sheetViews>
    <sheetView workbookViewId="0" zoomScale="48">
      <selection activeCell="N27" sqref="N27"/>
    </sheetView>
  </sheetViews>
  <sheetFormatPr defaultRowHeight="14.5"/>
  <cols>
    <col min="1" max="1" customWidth="1" width="10.7265625" style="60"/>
    <col min="2" max="2" customWidth="1" width="20.90625" style="60"/>
    <col min="3" max="3" customWidth="1" width="12.363281" style="60"/>
    <col min="4" max="4" customWidth="1" width="16.363281" style="60"/>
    <col min="5" max="5" customWidth="1" width="13.542969" style="60"/>
    <col min="6" max="6" customWidth="1" width="17.179688" style="60"/>
    <col min="7" max="7" customWidth="1" width="13.0" style="60"/>
    <col min="8" max="8" customWidth="1" width="3.0" style="60"/>
    <col min="9" max="9" customWidth="1" width="20.90625" style="60"/>
    <col min="10" max="10" customWidth="1" width="13.542969" style="60"/>
    <col min="11" max="12" customWidth="1" width="19.179688" style="60"/>
    <col min="13" max="13" customWidth="1" width="3.0" style="60"/>
    <col min="14" max="14" customWidth="1" width="13.363281" style="60"/>
    <col min="15" max="15" customWidth="1" width="16.90625" style="60"/>
    <col min="16" max="16" customWidth="1" width="16.726562" style="60"/>
  </cols>
  <sheetData>
    <row r="1" spans="8:8" ht="25.5" customHeight="1">
      <c r="A1" s="106" t="s">
        <v>686</v>
      </c>
      <c r="B1" s="106" t="s">
        <v>687</v>
      </c>
      <c r="C1" s="106" t="s">
        <v>688</v>
      </c>
      <c r="D1" s="106" t="s">
        <v>689</v>
      </c>
      <c r="E1" s="106" t="s">
        <v>690</v>
      </c>
      <c r="F1" s="106" t="s">
        <v>691</v>
      </c>
      <c r="G1" s="106" t="s">
        <v>692</v>
      </c>
      <c r="I1" s="106" t="s">
        <v>687</v>
      </c>
      <c r="J1" s="106" t="s">
        <v>693</v>
      </c>
      <c r="K1" s="106" t="s">
        <v>694</v>
      </c>
      <c r="L1" s="106" t="s">
        <v>695</v>
      </c>
      <c r="N1" s="106" t="s">
        <v>696</v>
      </c>
      <c r="O1" s="106" t="s">
        <v>697</v>
      </c>
      <c r="P1" s="106" t="s">
        <v>698</v>
      </c>
    </row>
    <row r="2" spans="8:8" ht="15.0" customHeight="1">
      <c r="A2" s="107">
        <v>46223.0</v>
      </c>
      <c r="B2" s="109" t="s">
        <v>22</v>
      </c>
      <c r="C2" s="109">
        <v>3.0</v>
      </c>
      <c r="D2" s="109">
        <v>9200.0</v>
      </c>
      <c r="E2" s="111">
        <f t="shared" si="0" ref="E2:E38">C2*D2</f>
        <v>27600.0</v>
      </c>
      <c r="F2" s="109" t="s">
        <v>212</v>
      </c>
      <c r="G2" s="67" t="s">
        <v>344</v>
      </c>
      <c r="I2" s="109" t="s">
        <v>22</v>
      </c>
      <c r="J2" s="109">
        <f>C2+C5+C8+C12+C18+C27</f>
        <v>536.0</v>
      </c>
      <c r="K2" s="111">
        <f>E2+E5+E8+E12+E18+E27</f>
        <v>4586400.0</v>
      </c>
      <c r="L2" s="112">
        <f t="shared" si="1" ref="L2:L21">K2/K$21</f>
        <v>0.4623317187744137</v>
      </c>
      <c r="N2" s="111">
        <f>K21</f>
        <v>9920150.0</v>
      </c>
      <c r="O2" s="109">
        <f>J21</f>
        <v>1200.0</v>
      </c>
      <c r="P2" s="109">
        <f>COUNT(J2:J20)</f>
        <v>19.0</v>
      </c>
    </row>
    <row r="3" spans="8:8" ht="15.0" customHeight="1">
      <c r="A3" s="107">
        <v>46223.0</v>
      </c>
      <c r="B3" s="109" t="s">
        <v>21</v>
      </c>
      <c r="C3" s="109">
        <v>3.0</v>
      </c>
      <c r="D3" s="109">
        <v>9000.0</v>
      </c>
      <c r="E3" s="111">
        <f t="shared" si="0"/>
        <v>27000.0</v>
      </c>
      <c r="F3" s="109" t="s">
        <v>212</v>
      </c>
      <c r="G3" s="67" t="s">
        <v>344</v>
      </c>
      <c r="I3" s="109" t="s">
        <v>21</v>
      </c>
      <c r="J3" s="109">
        <f>C3+C7+C34</f>
        <v>41.0</v>
      </c>
      <c r="K3" s="111">
        <f>E3+E7+E34</f>
        <v>339400.0</v>
      </c>
      <c r="L3" s="112">
        <f t="shared" si="1"/>
        <v>0.03421319234084162</v>
      </c>
    </row>
    <row r="4" spans="8:8" ht="15.0" customHeight="1">
      <c r="A4" s="107">
        <v>46223.0</v>
      </c>
      <c r="B4" s="109" t="s">
        <v>24</v>
      </c>
      <c r="C4" s="109">
        <v>248.0</v>
      </c>
      <c r="D4" s="109">
        <v>5000.0</v>
      </c>
      <c r="E4" s="111">
        <f t="shared" si="0"/>
        <v>1240000.0</v>
      </c>
      <c r="F4" s="109" t="s">
        <v>50</v>
      </c>
      <c r="G4" s="67" t="s">
        <v>345</v>
      </c>
      <c r="I4" s="109" t="s">
        <v>24</v>
      </c>
      <c r="J4" s="109">
        <f>C4+C21+C25+C35</f>
        <v>335.0</v>
      </c>
      <c r="K4" s="111">
        <f>E4+E21+E25+E35</f>
        <v>1675600.0</v>
      </c>
      <c r="L4" s="112">
        <f t="shared" si="1"/>
        <v>0.16890873625902833</v>
      </c>
    </row>
    <row r="5" spans="8:8" ht="15.0" customHeight="1">
      <c r="A5" s="107">
        <v>46223.0</v>
      </c>
      <c r="B5" s="109" t="s">
        <v>22</v>
      </c>
      <c r="C5" s="109">
        <v>350.0</v>
      </c>
      <c r="D5" s="109">
        <v>8500.0</v>
      </c>
      <c r="E5" s="111">
        <f t="shared" si="0"/>
        <v>2975000.0</v>
      </c>
      <c r="F5" s="109" t="s">
        <v>152</v>
      </c>
      <c r="G5" s="67" t="s">
        <v>347</v>
      </c>
      <c r="I5" s="109" t="s">
        <v>44</v>
      </c>
      <c r="J5" s="109">
        <f>C6+C13+C17</f>
        <v>82.0</v>
      </c>
      <c r="K5" s="111">
        <f>E6+E13+E17</f>
        <v>746700.0</v>
      </c>
      <c r="L5" s="112">
        <f t="shared" si="1"/>
        <v>0.07527103924839847</v>
      </c>
    </row>
    <row r="6" spans="8:8" ht="15.0" customHeight="1">
      <c r="A6" s="107">
        <v>46223.0</v>
      </c>
      <c r="B6" s="109" t="s">
        <v>44</v>
      </c>
      <c r="C6" s="109">
        <v>70.0</v>
      </c>
      <c r="D6" s="109">
        <v>9090.0</v>
      </c>
      <c r="E6" s="111">
        <f t="shared" si="0"/>
        <v>636300.0</v>
      </c>
      <c r="F6" s="109" t="s">
        <v>152</v>
      </c>
      <c r="G6" s="67" t="s">
        <v>347</v>
      </c>
      <c r="I6" s="109" t="s">
        <v>45</v>
      </c>
      <c r="J6" s="109">
        <f>C9+C26</f>
        <v>55.0</v>
      </c>
      <c r="K6" s="111">
        <f>E9+E26</f>
        <v>712770.0</v>
      </c>
      <c r="L6" s="112">
        <f t="shared" si="1"/>
        <v>0.07185072806358775</v>
      </c>
    </row>
    <row r="7" spans="8:8" ht="15.0" customHeight="1">
      <c r="A7" s="107">
        <v>46223.0</v>
      </c>
      <c r="B7" s="109" t="s">
        <v>21</v>
      </c>
      <c r="C7" s="109">
        <v>30.0</v>
      </c>
      <c r="D7" s="109">
        <v>8200.0</v>
      </c>
      <c r="E7" s="111">
        <f t="shared" si="0"/>
        <v>246000.0</v>
      </c>
      <c r="F7" s="109" t="s">
        <v>25</v>
      </c>
      <c r="G7" s="67" t="s">
        <v>349</v>
      </c>
      <c r="I7" s="109" t="s">
        <v>150</v>
      </c>
      <c r="J7" s="109">
        <f>C10+C33</f>
        <v>12.0</v>
      </c>
      <c r="K7" s="111">
        <f>E10+E33</f>
        <v>121880.0</v>
      </c>
      <c r="L7" s="112">
        <f t="shared" si="1"/>
        <v>0.01228610454479015</v>
      </c>
    </row>
    <row r="8" spans="8:8" ht="15.0" customHeight="1">
      <c r="A8" s="107">
        <v>46223.0</v>
      </c>
      <c r="B8" s="109" t="s">
        <v>22</v>
      </c>
      <c r="C8" s="109">
        <v>15.0</v>
      </c>
      <c r="D8" s="109">
        <v>9200.0</v>
      </c>
      <c r="E8" s="111">
        <f t="shared" si="0"/>
        <v>138000.0</v>
      </c>
      <c r="F8" s="109" t="s">
        <v>25</v>
      </c>
      <c r="G8" s="67" t="s">
        <v>349</v>
      </c>
      <c r="I8" s="109" t="s">
        <v>87</v>
      </c>
      <c r="J8" s="109">
        <f>C11+C32</f>
        <v>13.0</v>
      </c>
      <c r="K8" s="111">
        <f>E11+E32</f>
        <v>268910.0</v>
      </c>
      <c r="L8" s="112">
        <f t="shared" si="1"/>
        <v>0.027107453012303242</v>
      </c>
    </row>
    <row r="9" spans="8:8" ht="15.0" customHeight="1">
      <c r="A9" s="107">
        <v>46223.0</v>
      </c>
      <c r="B9" s="109" t="s">
        <v>45</v>
      </c>
      <c r="C9" s="109">
        <v>4.0</v>
      </c>
      <c r="D9" s="109">
        <v>13335.0</v>
      </c>
      <c r="E9" s="111">
        <f t="shared" si="0"/>
        <v>53340.0</v>
      </c>
      <c r="F9" s="109" t="s">
        <v>154</v>
      </c>
      <c r="G9" s="67" t="s">
        <v>352</v>
      </c>
      <c r="I9" s="109" t="s">
        <v>31</v>
      </c>
      <c r="J9" s="109">
        <f>C14+C23</f>
        <v>13.0</v>
      </c>
      <c r="K9" s="111">
        <f>E14+E23</f>
        <v>222300.0</v>
      </c>
      <c r="L9" s="112">
        <f t="shared" si="1"/>
        <v>0.02240893534875985</v>
      </c>
    </row>
    <row r="10" spans="8:8" ht="15.0" customHeight="1">
      <c r="A10" s="107">
        <v>46223.0</v>
      </c>
      <c r="B10" s="109" t="s">
        <v>150</v>
      </c>
      <c r="C10" s="109">
        <v>2.0</v>
      </c>
      <c r="D10" s="109">
        <v>10315.0</v>
      </c>
      <c r="E10" s="111">
        <f t="shared" si="0"/>
        <v>20630.0</v>
      </c>
      <c r="F10" s="109" t="s">
        <v>154</v>
      </c>
      <c r="G10" s="67" t="s">
        <v>352</v>
      </c>
      <c r="I10" s="109" t="s">
        <v>34</v>
      </c>
      <c r="J10" s="109">
        <f>C15</f>
        <v>1.0</v>
      </c>
      <c r="K10" s="111">
        <f>E15</f>
        <v>21695.0</v>
      </c>
      <c r="L10" s="112">
        <f t="shared" si="1"/>
        <v>0.0021869628987464906</v>
      </c>
    </row>
    <row r="11" spans="8:8" ht="15.0" customHeight="1">
      <c r="A11" s="107">
        <v>46223.0</v>
      </c>
      <c r="B11" s="109" t="s">
        <v>87</v>
      </c>
      <c r="C11" s="109">
        <v>2.0</v>
      </c>
      <c r="D11" s="109">
        <v>21485.0</v>
      </c>
      <c r="E11" s="111">
        <f t="shared" si="0"/>
        <v>42970.0</v>
      </c>
      <c r="F11" s="109" t="s">
        <v>154</v>
      </c>
      <c r="G11" s="67" t="s">
        <v>352</v>
      </c>
      <c r="I11" s="109" t="s">
        <v>32</v>
      </c>
      <c r="J11" s="109">
        <f>C16</f>
        <v>1.0</v>
      </c>
      <c r="K11" s="111">
        <f>E16</f>
        <v>16145.0</v>
      </c>
      <c r="L11" s="112">
        <f t="shared" si="1"/>
        <v>0.0016274955519825808</v>
      </c>
    </row>
    <row r="12" spans="8:8" ht="15.0" customHeight="1">
      <c r="A12" s="107">
        <v>46223.0</v>
      </c>
      <c r="B12" s="109" t="s">
        <v>22</v>
      </c>
      <c r="C12" s="109">
        <v>1.0</v>
      </c>
      <c r="D12" s="109">
        <v>9200.0</v>
      </c>
      <c r="E12" s="111">
        <f t="shared" si="0"/>
        <v>9200.0</v>
      </c>
      <c r="F12" s="109" t="s">
        <v>154</v>
      </c>
      <c r="G12" s="67" t="s">
        <v>352</v>
      </c>
      <c r="I12" s="109" t="s">
        <v>65</v>
      </c>
      <c r="J12" s="109">
        <f>C19+C30</f>
        <v>13.0</v>
      </c>
      <c r="K12" s="111">
        <f>E19+E30</f>
        <v>149385.0</v>
      </c>
      <c r="L12" s="112">
        <f t="shared" si="1"/>
        <v>0.01505874407141021</v>
      </c>
    </row>
    <row r="13" spans="8:8" ht="15.0" customHeight="1">
      <c r="A13" s="107">
        <v>46223.0</v>
      </c>
      <c r="B13" s="109" t="s">
        <v>44</v>
      </c>
      <c r="C13" s="109">
        <v>1.0</v>
      </c>
      <c r="D13" s="109">
        <v>9200.0</v>
      </c>
      <c r="E13" s="111">
        <f t="shared" si="0"/>
        <v>9200.0</v>
      </c>
      <c r="F13" s="109" t="s">
        <v>154</v>
      </c>
      <c r="G13" s="67" t="s">
        <v>352</v>
      </c>
      <c r="I13" s="109" t="s">
        <v>113</v>
      </c>
      <c r="J13" s="109">
        <f>C20+C31</f>
        <v>6.0</v>
      </c>
      <c r="K13" s="111">
        <f>E20+E31</f>
        <v>87950.0</v>
      </c>
      <c r="L13" s="112">
        <f t="shared" si="1"/>
        <v>0.008865793359979435</v>
      </c>
    </row>
    <row r="14" spans="8:8" ht="15.0" customHeight="1">
      <c r="A14" s="107">
        <v>46223.0</v>
      </c>
      <c r="B14" s="109" t="s">
        <v>31</v>
      </c>
      <c r="C14" s="109">
        <v>3.0</v>
      </c>
      <c r="D14" s="109">
        <v>17100.0</v>
      </c>
      <c r="E14" s="111">
        <f t="shared" si="0"/>
        <v>51300.0</v>
      </c>
      <c r="F14" s="109" t="s">
        <v>29</v>
      </c>
      <c r="G14" s="67" t="s">
        <v>355</v>
      </c>
      <c r="I14" s="109" t="s">
        <v>28</v>
      </c>
      <c r="J14" s="109">
        <f>C22</f>
        <v>10.0</v>
      </c>
      <c r="K14" s="111">
        <f>E22</f>
        <v>132000.0</v>
      </c>
      <c r="L14" s="112">
        <f t="shared" si="1"/>
        <v>0.013306250409520017</v>
      </c>
    </row>
    <row r="15" spans="8:8" ht="15.0" customHeight="1">
      <c r="A15" s="107">
        <v>46223.0</v>
      </c>
      <c r="B15" s="109" t="s">
        <v>34</v>
      </c>
      <c r="C15" s="109">
        <v>1.0</v>
      </c>
      <c r="D15" s="109">
        <v>21695.0</v>
      </c>
      <c r="E15" s="111">
        <f t="shared" si="0"/>
        <v>21695.0</v>
      </c>
      <c r="F15" s="109" t="s">
        <v>29</v>
      </c>
      <c r="G15" s="67" t="s">
        <v>355</v>
      </c>
      <c r="I15" s="109" t="s">
        <v>61</v>
      </c>
      <c r="J15" s="109">
        <f>C24</f>
        <v>1.0</v>
      </c>
      <c r="K15" s="111">
        <f>E24</f>
        <v>12885.0</v>
      </c>
      <c r="L15" s="112">
        <f t="shared" si="1"/>
        <v>0.0012988714888383743</v>
      </c>
    </row>
    <row r="16" spans="8:8" ht="15.0" customHeight="1">
      <c r="A16" s="107">
        <v>46223.0</v>
      </c>
      <c r="B16" s="109" t="s">
        <v>32</v>
      </c>
      <c r="C16" s="109">
        <v>1.0</v>
      </c>
      <c r="D16" s="109">
        <v>16145.0</v>
      </c>
      <c r="E16" s="111">
        <f t="shared" si="0"/>
        <v>16145.0</v>
      </c>
      <c r="F16" s="109" t="s">
        <v>29</v>
      </c>
      <c r="G16" s="67" t="s">
        <v>355</v>
      </c>
      <c r="I16" s="109" t="s">
        <v>101</v>
      </c>
      <c r="J16" s="109">
        <f>C28</f>
        <v>20.0</v>
      </c>
      <c r="K16" s="111">
        <f>E28</f>
        <v>260400.0</v>
      </c>
      <c r="L16" s="112">
        <f t="shared" si="1"/>
        <v>0.02624960308059858</v>
      </c>
    </row>
    <row r="17" spans="8:8" ht="15.0" customHeight="1">
      <c r="A17" s="107">
        <v>46223.0</v>
      </c>
      <c r="B17" s="109" t="s">
        <v>44</v>
      </c>
      <c r="C17" s="109">
        <v>11.0</v>
      </c>
      <c r="D17" s="109">
        <v>9200.0</v>
      </c>
      <c r="E17" s="111">
        <f t="shared" si="0"/>
        <v>101200.0</v>
      </c>
      <c r="F17" s="109" t="s">
        <v>29</v>
      </c>
      <c r="G17" s="67" t="s">
        <v>357</v>
      </c>
      <c r="I17" s="109" t="s">
        <v>93</v>
      </c>
      <c r="J17" s="109">
        <f>C29</f>
        <v>15.0</v>
      </c>
      <c r="K17" s="111">
        <f>E29</f>
        <v>169950.0</v>
      </c>
      <c r="L17" s="112">
        <f t="shared" si="1"/>
        <v>0.017131797402257024</v>
      </c>
    </row>
    <row r="18" spans="8:8" ht="15.0" customHeight="1">
      <c r="A18" s="107">
        <v>46223.0</v>
      </c>
      <c r="B18" s="109" t="s">
        <v>22</v>
      </c>
      <c r="C18" s="109">
        <v>2.0</v>
      </c>
      <c r="D18" s="109">
        <v>8800.0</v>
      </c>
      <c r="E18" s="111">
        <f t="shared" si="0"/>
        <v>17600.0</v>
      </c>
      <c r="F18" s="109" t="s">
        <v>29</v>
      </c>
      <c r="G18" s="67" t="s">
        <v>357</v>
      </c>
      <c r="I18" s="109" t="s">
        <v>27</v>
      </c>
      <c r="J18" s="109">
        <f>C36</f>
        <v>15.0</v>
      </c>
      <c r="K18" s="111">
        <f>E36</f>
        <v>120300.0</v>
      </c>
      <c r="L18" s="112">
        <f t="shared" si="1"/>
        <v>0.01212683275958529</v>
      </c>
    </row>
    <row r="19" spans="8:8" ht="15.0" customHeight="1">
      <c r="A19" s="107">
        <v>46223.0</v>
      </c>
      <c r="B19" s="109" t="s">
        <v>65</v>
      </c>
      <c r="C19" s="109">
        <v>2.0</v>
      </c>
      <c r="D19" s="109">
        <v>11910.0</v>
      </c>
      <c r="E19" s="111">
        <f t="shared" si="0"/>
        <v>23820.0</v>
      </c>
      <c r="F19" s="109" t="s">
        <v>29</v>
      </c>
      <c r="G19" s="67" t="s">
        <v>357</v>
      </c>
      <c r="I19" s="109" t="s">
        <v>37</v>
      </c>
      <c r="J19" s="109">
        <f>C37</f>
        <v>30.0</v>
      </c>
      <c r="K19" s="111">
        <f>E37</f>
        <v>264000.0</v>
      </c>
      <c r="L19" s="112">
        <f t="shared" si="1"/>
        <v>0.026612500819040034</v>
      </c>
    </row>
    <row r="20" spans="8:8" ht="15.0" customHeight="1">
      <c r="A20" s="107">
        <v>46223.0</v>
      </c>
      <c r="B20" s="109" t="s">
        <v>113</v>
      </c>
      <c r="C20" s="109">
        <v>1.0</v>
      </c>
      <c r="D20" s="109">
        <v>14575.0</v>
      </c>
      <c r="E20" s="111">
        <f t="shared" si="0"/>
        <v>14575.0</v>
      </c>
      <c r="F20" s="109" t="s">
        <v>29</v>
      </c>
      <c r="G20" s="67" t="s">
        <v>357</v>
      </c>
      <c r="I20" s="109" t="s">
        <v>100</v>
      </c>
      <c r="J20" s="109">
        <f>C38</f>
        <v>1.0</v>
      </c>
      <c r="K20" s="111">
        <f>E38</f>
        <v>11480.0</v>
      </c>
      <c r="L20" s="112">
        <f t="shared" si="1"/>
        <v>0.001157240565918862</v>
      </c>
    </row>
    <row r="21" spans="8:8" ht="15.0" customHeight="1">
      <c r="A21" s="107">
        <v>46223.0</v>
      </c>
      <c r="B21" s="109" t="s">
        <v>24</v>
      </c>
      <c r="C21" s="109">
        <v>80.0</v>
      </c>
      <c r="D21" s="109">
        <v>5000.0</v>
      </c>
      <c r="E21" s="111">
        <f t="shared" si="0"/>
        <v>400000.0</v>
      </c>
      <c r="F21" s="109" t="s">
        <v>29</v>
      </c>
      <c r="G21" s="67" t="s">
        <v>357</v>
      </c>
      <c r="I21" s="109" t="s">
        <v>701</v>
      </c>
      <c r="J21" s="109">
        <f>SUM(J2:J20)</f>
        <v>1200.0</v>
      </c>
      <c r="K21" s="111">
        <f>SUM(K2:K20)</f>
        <v>9920150.0</v>
      </c>
      <c r="L21" s="112">
        <f t="shared" si="1"/>
        <v>1.0</v>
      </c>
    </row>
    <row r="22" spans="8:8" ht="15.0" customHeight="1">
      <c r="A22" s="107">
        <v>46223.0</v>
      </c>
      <c r="B22" s="109" t="s">
        <v>28</v>
      </c>
      <c r="C22" s="109">
        <v>10.0</v>
      </c>
      <c r="D22" s="109">
        <v>13200.0</v>
      </c>
      <c r="E22" s="111">
        <f t="shared" si="0"/>
        <v>132000.0</v>
      </c>
      <c r="F22" s="109" t="s">
        <v>29</v>
      </c>
      <c r="G22" s="67" t="s">
        <v>357</v>
      </c>
    </row>
    <row r="23" spans="8:8" ht="25.5" customHeight="1">
      <c r="A23" s="107">
        <v>46223.0</v>
      </c>
      <c r="B23" s="109" t="s">
        <v>31</v>
      </c>
      <c r="C23" s="109">
        <v>10.0</v>
      </c>
      <c r="D23" s="109">
        <v>17100.0</v>
      </c>
      <c r="E23" s="111">
        <f t="shared" si="0"/>
        <v>171000.0</v>
      </c>
      <c r="F23" s="109" t="s">
        <v>29</v>
      </c>
      <c r="G23" s="67" t="s">
        <v>357</v>
      </c>
      <c r="I23" s="106" t="s">
        <v>691</v>
      </c>
      <c r="J23" s="106" t="s">
        <v>690</v>
      </c>
      <c r="K23" s="106" t="s">
        <v>695</v>
      </c>
      <c r="L23" s="106" t="s">
        <v>702</v>
      </c>
    </row>
    <row r="24" spans="8:8" ht="15.0" customHeight="1">
      <c r="A24" s="107">
        <v>46223.0</v>
      </c>
      <c r="B24" s="109" t="s">
        <v>61</v>
      </c>
      <c r="C24" s="109">
        <v>1.0</v>
      </c>
      <c r="D24" s="109">
        <v>12885.0</v>
      </c>
      <c r="E24" s="111">
        <f t="shared" si="0"/>
        <v>12885.0</v>
      </c>
      <c r="F24" s="109" t="s">
        <v>78</v>
      </c>
      <c r="G24" s="67" t="s">
        <v>363</v>
      </c>
      <c r="I24" s="109" t="s">
        <v>212</v>
      </c>
      <c r="J24" s="111">
        <f>E2+E3</f>
        <v>54600.0</v>
      </c>
      <c r="K24" s="112">
        <f t="shared" si="2" ref="K24:K33">J24/J$33</f>
        <v>0.005503949033028734</v>
      </c>
      <c r="L24" s="112">
        <v>0.0781</v>
      </c>
    </row>
    <row r="25" spans="8:8" ht="15.0" customHeight="1">
      <c r="A25" s="107">
        <v>46223.0</v>
      </c>
      <c r="B25" s="109" t="s">
        <v>24</v>
      </c>
      <c r="C25" s="109">
        <v>2.0</v>
      </c>
      <c r="D25" s="109">
        <v>5300.0</v>
      </c>
      <c r="E25" s="111">
        <f t="shared" si="0"/>
        <v>10600.0</v>
      </c>
      <c r="F25" s="109" t="s">
        <v>15</v>
      </c>
      <c r="G25" s="67" t="s">
        <v>364</v>
      </c>
      <c r="I25" s="109" t="s">
        <v>50</v>
      </c>
      <c r="J25" s="111">
        <f>E4</f>
        <v>1240000.0</v>
      </c>
      <c r="K25" s="112">
        <f t="shared" si="2"/>
        <v>0.12499810990761229</v>
      </c>
      <c r="L25" s="112">
        <v>-0.04</v>
      </c>
    </row>
    <row r="26" spans="8:8" ht="15.0" customHeight="1">
      <c r="A26" s="107">
        <v>46223.0</v>
      </c>
      <c r="B26" s="109" t="s">
        <v>45</v>
      </c>
      <c r="C26" s="109">
        <v>51.0</v>
      </c>
      <c r="D26" s="109">
        <v>12930.0</v>
      </c>
      <c r="E26" s="111">
        <f t="shared" si="0"/>
        <v>659430.0</v>
      </c>
      <c r="F26" s="109" t="s">
        <v>139</v>
      </c>
      <c r="G26" s="67" t="s">
        <v>365</v>
      </c>
      <c r="I26" s="109" t="s">
        <v>152</v>
      </c>
      <c r="J26" s="111">
        <f>E5+E6</f>
        <v>3611300.0</v>
      </c>
      <c r="K26" s="112">
        <f t="shared" si="2"/>
        <v>0.3640368341204518</v>
      </c>
      <c r="L26" s="112">
        <v>-0.0133</v>
      </c>
    </row>
    <row r="27" spans="8:8" ht="15.0" customHeight="1">
      <c r="A27" s="107">
        <v>46223.0</v>
      </c>
      <c r="B27" s="109" t="s">
        <v>22</v>
      </c>
      <c r="C27" s="109">
        <v>165.0</v>
      </c>
      <c r="D27" s="109">
        <v>8600.0</v>
      </c>
      <c r="E27" s="111">
        <f t="shared" si="0"/>
        <v>1419000.0</v>
      </c>
      <c r="F27" s="109" t="s">
        <v>139</v>
      </c>
      <c r="G27" s="67" t="s">
        <v>365</v>
      </c>
      <c r="I27" s="109" t="s">
        <v>25</v>
      </c>
      <c r="J27" s="111">
        <f>E7+E8</f>
        <v>384000.0</v>
      </c>
      <c r="K27" s="112">
        <f t="shared" si="2"/>
        <v>0.038709092100421866</v>
      </c>
      <c r="L27" s="112">
        <v>0.0322</v>
      </c>
    </row>
    <row r="28" spans="8:8" ht="15.0" customHeight="1">
      <c r="A28" s="107">
        <v>46223.0</v>
      </c>
      <c r="B28" s="109" t="s">
        <v>101</v>
      </c>
      <c r="C28" s="109">
        <v>20.0</v>
      </c>
      <c r="D28" s="109">
        <v>13020.0</v>
      </c>
      <c r="E28" s="111">
        <f t="shared" si="0"/>
        <v>260400.0</v>
      </c>
      <c r="F28" s="109" t="s">
        <v>139</v>
      </c>
      <c r="G28" s="67" t="s">
        <v>365</v>
      </c>
      <c r="I28" s="109" t="s">
        <v>154</v>
      </c>
      <c r="J28" s="111">
        <f>E9+E10+E11+E12+E13</f>
        <v>135340.0</v>
      </c>
      <c r="K28" s="112">
        <f t="shared" si="2"/>
        <v>0.013642938866851811</v>
      </c>
      <c r="L28" s="112">
        <v>0.119</v>
      </c>
    </row>
    <row r="29" spans="8:8" ht="15.0" customHeight="1">
      <c r="A29" s="107">
        <v>46223.0</v>
      </c>
      <c r="B29" s="109" t="s">
        <v>93</v>
      </c>
      <c r="C29" s="109">
        <v>15.0</v>
      </c>
      <c r="D29" s="109">
        <v>11330.0</v>
      </c>
      <c r="E29" s="111">
        <f t="shared" si="0"/>
        <v>169950.0</v>
      </c>
      <c r="F29" s="109" t="s">
        <v>139</v>
      </c>
      <c r="G29" s="67" t="s">
        <v>365</v>
      </c>
      <c r="I29" s="109" t="s">
        <v>29</v>
      </c>
      <c r="J29" s="111">
        <f>E14+E15+E16+E17+E18+E19+E20+E21+E22+E23</f>
        <v>949335.0</v>
      </c>
      <c r="K29" s="112">
        <f t="shared" si="2"/>
        <v>0.09569764570092186</v>
      </c>
      <c r="L29" s="112">
        <v>-0.0098</v>
      </c>
    </row>
    <row r="30" spans="8:8" ht="15.0" customHeight="1">
      <c r="A30" s="107">
        <v>46223.0</v>
      </c>
      <c r="B30" s="109" t="s">
        <v>65</v>
      </c>
      <c r="C30" s="109">
        <v>11.0</v>
      </c>
      <c r="D30" s="109">
        <v>11415.0</v>
      </c>
      <c r="E30" s="111">
        <f t="shared" si="0"/>
        <v>125565.0</v>
      </c>
      <c r="F30" s="109" t="s">
        <v>139</v>
      </c>
      <c r="G30" s="67" t="s">
        <v>365</v>
      </c>
      <c r="I30" s="109" t="s">
        <v>78</v>
      </c>
      <c r="J30" s="111">
        <f>E24</f>
        <v>12885.0</v>
      </c>
      <c r="K30" s="112">
        <f t="shared" si="2"/>
        <v>0.0012988714888383743</v>
      </c>
      <c r="L30" s="112">
        <v>0.0594</v>
      </c>
    </row>
    <row r="31" spans="8:8" ht="15.0" customHeight="1">
      <c r="A31" s="107">
        <v>46223.0</v>
      </c>
      <c r="B31" s="109" t="s">
        <v>113</v>
      </c>
      <c r="C31" s="109">
        <v>5.0</v>
      </c>
      <c r="D31" s="109">
        <v>14675.0</v>
      </c>
      <c r="E31" s="111">
        <f t="shared" si="0"/>
        <v>73375.0</v>
      </c>
      <c r="F31" s="109" t="s">
        <v>139</v>
      </c>
      <c r="G31" s="67" t="s">
        <v>365</v>
      </c>
      <c r="I31" s="109" t="s">
        <v>15</v>
      </c>
      <c r="J31" s="111">
        <f>E25</f>
        <v>10600.0</v>
      </c>
      <c r="K31" s="112">
        <f t="shared" si="2"/>
        <v>0.0010685322298553954</v>
      </c>
      <c r="L31" s="112">
        <v>0.0189</v>
      </c>
    </row>
    <row r="32" spans="8:8" ht="15.0" customHeight="1">
      <c r="A32" s="107">
        <v>46223.0</v>
      </c>
      <c r="B32" s="109" t="s">
        <v>87</v>
      </c>
      <c r="C32" s="109">
        <v>11.0</v>
      </c>
      <c r="D32" s="109">
        <v>20540.0</v>
      </c>
      <c r="E32" s="111">
        <f t="shared" si="0"/>
        <v>225940.0</v>
      </c>
      <c r="F32" s="109" t="s">
        <v>139</v>
      </c>
      <c r="G32" s="67" t="s">
        <v>365</v>
      </c>
      <c r="I32" s="109" t="s">
        <v>139</v>
      </c>
      <c r="J32" s="111">
        <f>E26+E27+E28+E29+E30+E31+E32+E33+E34+E35+E36+E37+E38</f>
        <v>3522090.0</v>
      </c>
      <c r="K32" s="112">
        <f t="shared" si="2"/>
        <v>0.3550440265520179</v>
      </c>
      <c r="L32" s="112">
        <v>0.052</v>
      </c>
    </row>
    <row r="33" spans="8:8" ht="15.0" customHeight="1">
      <c r="A33" s="107">
        <v>46223.0</v>
      </c>
      <c r="B33" s="109" t="s">
        <v>150</v>
      </c>
      <c r="C33" s="109">
        <v>10.0</v>
      </c>
      <c r="D33" s="109">
        <v>10125.0</v>
      </c>
      <c r="E33" s="111">
        <f t="shared" si="0"/>
        <v>101250.0</v>
      </c>
      <c r="F33" s="109" t="s">
        <v>139</v>
      </c>
      <c r="G33" s="67" t="s">
        <v>365</v>
      </c>
      <c r="I33" s="109" t="s">
        <v>703</v>
      </c>
      <c r="J33" s="111">
        <f>SUM(J24:J32)</f>
        <v>9920150.0</v>
      </c>
      <c r="K33" s="112">
        <f t="shared" si="2"/>
        <v>1.0</v>
      </c>
      <c r="L33" s="68"/>
    </row>
    <row r="34" spans="8:8" ht="15.0" customHeight="1">
      <c r="A34" s="107">
        <v>46223.0</v>
      </c>
      <c r="B34" s="109" t="s">
        <v>21</v>
      </c>
      <c r="C34" s="109">
        <v>8.0</v>
      </c>
      <c r="D34" s="109">
        <v>8300.0</v>
      </c>
      <c r="E34" s="111">
        <f t="shared" si="0"/>
        <v>66400.0</v>
      </c>
      <c r="F34" s="109" t="s">
        <v>139</v>
      </c>
      <c r="G34" s="67" t="s">
        <v>365</v>
      </c>
    </row>
    <row r="35" spans="8:8" ht="25.5" customHeight="1">
      <c r="A35" s="107">
        <v>46223.0</v>
      </c>
      <c r="B35" s="109" t="s">
        <v>24</v>
      </c>
      <c r="C35" s="109">
        <v>5.0</v>
      </c>
      <c r="D35" s="109">
        <v>5000.0</v>
      </c>
      <c r="E35" s="111">
        <f t="shared" si="0"/>
        <v>25000.0</v>
      </c>
      <c r="F35" s="109" t="s">
        <v>139</v>
      </c>
      <c r="G35" s="67" t="s">
        <v>365</v>
      </c>
      <c r="I35" s="106" t="s">
        <v>692</v>
      </c>
      <c r="J35" s="106" t="s">
        <v>690</v>
      </c>
      <c r="K35" s="106" t="s">
        <v>702</v>
      </c>
    </row>
    <row r="36" spans="8:8" ht="15.0" customHeight="1">
      <c r="A36" s="107">
        <v>46223.0</v>
      </c>
      <c r="B36" s="109" t="s">
        <v>27</v>
      </c>
      <c r="C36" s="109">
        <v>15.0</v>
      </c>
      <c r="D36" s="109">
        <v>8020.0</v>
      </c>
      <c r="E36" s="111">
        <f t="shared" si="0"/>
        <v>120300.0</v>
      </c>
      <c r="F36" s="109" t="s">
        <v>139</v>
      </c>
      <c r="G36" s="67" t="s">
        <v>365</v>
      </c>
      <c r="I36" s="67" t="s">
        <v>344</v>
      </c>
      <c r="J36" s="111">
        <v>54600.0</v>
      </c>
      <c r="K36" s="112">
        <v>0.08</v>
      </c>
    </row>
    <row r="37" spans="8:8" ht="15.0" customHeight="1">
      <c r="A37" s="107">
        <v>46223.0</v>
      </c>
      <c r="B37" s="109" t="s">
        <v>37</v>
      </c>
      <c r="C37" s="109">
        <v>30.0</v>
      </c>
      <c r="D37" s="109">
        <v>8800.0</v>
      </c>
      <c r="E37" s="111">
        <f t="shared" si="0"/>
        <v>264000.0</v>
      </c>
      <c r="F37" s="109" t="s">
        <v>139</v>
      </c>
      <c r="G37" s="67" t="s">
        <v>365</v>
      </c>
      <c r="I37" s="67" t="s">
        <v>345</v>
      </c>
      <c r="J37" s="111">
        <v>1240000.0</v>
      </c>
      <c r="K37" s="112">
        <v>-0.04</v>
      </c>
    </row>
    <row r="38" spans="8:8" ht="15.0" customHeight="1">
      <c r="A38" s="107">
        <v>46223.0</v>
      </c>
      <c r="B38" s="109" t="s">
        <v>100</v>
      </c>
      <c r="C38" s="109">
        <v>1.0</v>
      </c>
      <c r="D38" s="109">
        <v>11480.0</v>
      </c>
      <c r="E38" s="111">
        <f t="shared" si="0"/>
        <v>11480.0</v>
      </c>
      <c r="F38" s="109" t="s">
        <v>139</v>
      </c>
      <c r="G38" s="67" t="s">
        <v>365</v>
      </c>
      <c r="I38" s="67" t="s">
        <v>347</v>
      </c>
      <c r="J38" s="111">
        <v>3611300.0</v>
      </c>
      <c r="K38" s="112">
        <v>-0.01</v>
      </c>
    </row>
    <row r="39" spans="8:8" ht="15.0" customHeight="1">
      <c r="A39" s="68"/>
      <c r="B39" s="109" t="s">
        <v>701</v>
      </c>
      <c r="C39" s="109">
        <f>SUM(C2:C38)</f>
        <v>1200.0</v>
      </c>
      <c r="D39" s="109">
        <f>SUM(D2:D38)</f>
        <v>418870.0</v>
      </c>
      <c r="E39" s="111">
        <f>SUM(E2:E38)</f>
        <v>9920150.0</v>
      </c>
      <c r="F39" s="68"/>
      <c r="G39" s="68"/>
      <c r="I39" s="67" t="s">
        <v>349</v>
      </c>
      <c r="J39" s="111">
        <v>459000.0</v>
      </c>
      <c r="K39" s="112">
        <v>0.03</v>
      </c>
    </row>
    <row r="40" spans="8:8" ht="15.0" customHeight="1">
      <c r="I40" s="67" t="s">
        <v>352</v>
      </c>
      <c r="J40" s="111">
        <v>154540.0</v>
      </c>
      <c r="K40" s="112">
        <v>0.12</v>
      </c>
    </row>
    <row r="41" spans="8:8" ht="15.0" customHeight="1">
      <c r="I41" s="67" t="s">
        <v>355</v>
      </c>
      <c r="J41" s="111">
        <v>89140.0</v>
      </c>
      <c r="K41" s="112">
        <v>0.01</v>
      </c>
    </row>
    <row r="42" spans="8:8" ht="15.0" customHeight="1">
      <c r="I42" s="67" t="s">
        <v>357</v>
      </c>
      <c r="J42" s="111">
        <v>888995.0</v>
      </c>
      <c r="K42" s="112">
        <v>-0.01</v>
      </c>
    </row>
    <row r="43" spans="8:8" ht="15.0" customHeight="1">
      <c r="I43" s="67" t="s">
        <v>363</v>
      </c>
      <c r="J43" s="111">
        <v>12885.0</v>
      </c>
      <c r="K43" s="112">
        <v>0.06</v>
      </c>
    </row>
    <row r="44" spans="8:8" ht="15.0" customHeight="1">
      <c r="I44" s="67" t="s">
        <v>364</v>
      </c>
      <c r="J44" s="111">
        <v>10600.0</v>
      </c>
      <c r="K44" s="112">
        <v>0.02</v>
      </c>
    </row>
    <row r="45" spans="8:8" ht="15.0" customHeight="1">
      <c r="I45" s="67" t="s">
        <v>365</v>
      </c>
      <c r="J45" s="111">
        <v>4121490.0</v>
      </c>
      <c r="K45" s="112">
        <v>0.05</v>
      </c>
    </row>
    <row r="46" spans="8:8" ht="15.0" customHeight="1">
      <c r="I46" s="109" t="s">
        <v>703</v>
      </c>
      <c r="J46" s="111">
        <f>SUM(J36:J45)</f>
        <v>1.064255E7</v>
      </c>
      <c r="K46" s="68"/>
    </row>
  </sheetData>
  <hyperlinks>
    <hyperlink ref="G2" r:id="rId2"/>
    <hyperlink ref="G3" r:id="rId3"/>
    <hyperlink ref="G4" r:id="rId4"/>
    <hyperlink ref="G5" r:id="rId5"/>
    <hyperlink ref="G6" r:id="rId6"/>
    <hyperlink ref="G7" r:id="rId7"/>
    <hyperlink ref="G8" r:id="rId8"/>
    <hyperlink ref="G9" r:id="rId9"/>
    <hyperlink ref="G10" r:id="rId10"/>
    <hyperlink ref="G11" r:id="rId11"/>
    <hyperlink ref="G12" r:id="rId12"/>
    <hyperlink ref="G13" r:id="rId13"/>
    <hyperlink ref="G14" r:id="rId14"/>
    <hyperlink ref="G15" r:id="rId15"/>
    <hyperlink ref="G16" r:id="rId16"/>
    <hyperlink ref="G17" r:id="rId17"/>
    <hyperlink ref="G18" r:id="rId18"/>
    <hyperlink ref="G19" r:id="rId19"/>
    <hyperlink ref="G20" r:id="rId20"/>
    <hyperlink ref="G21" r:id="rId21"/>
    <hyperlink ref="G22" r:id="rId22"/>
    <hyperlink ref="G23" r:id="rId23"/>
    <hyperlink ref="G24" r:id="rId24"/>
    <hyperlink ref="G25" r:id="rId25"/>
    <hyperlink ref="G26" r:id="rId26"/>
    <hyperlink ref="G27" r:id="rId27"/>
    <hyperlink ref="G28" r:id="rId28"/>
    <hyperlink ref="G29" r:id="rId29"/>
    <hyperlink ref="G30" r:id="rId30"/>
    <hyperlink ref="G31" r:id="rId31"/>
    <hyperlink ref="G32" r:id="rId32"/>
    <hyperlink ref="G33" r:id="rId33"/>
    <hyperlink ref="G34" r:id="rId34"/>
    <hyperlink ref="G35" r:id="rId35"/>
    <hyperlink ref="G36" r:id="rId36"/>
    <hyperlink ref="I36" r:id="rId37"/>
    <hyperlink ref="G37" r:id="rId38"/>
    <hyperlink ref="I37" r:id="rId39"/>
    <hyperlink ref="G38" r:id="rId40"/>
    <hyperlink ref="I38" r:id="rId41"/>
    <hyperlink ref="I39" r:id="rId42"/>
    <hyperlink ref="I40" r:id="rId43"/>
    <hyperlink ref="I41" r:id="rId44"/>
    <hyperlink ref="I42" r:id="rId45"/>
    <hyperlink ref="I43" r:id="rId46"/>
    <hyperlink ref="I44" r:id="rId47"/>
    <hyperlink ref="I45" r:id="rId48"/>
  </hyperlinks>
  <pageMargins left="0.75" right="0.75" top="1.0" bottom="1.0" header="0.511811023622047" footer="0.511811023622047"/>
  <drawing r:id="rId1"/>
</worksheet>
</file>

<file path=xl/worksheets/sheet24.xml><?xml version="1.0" encoding="utf-8"?>
<worksheet xmlns:r="http://schemas.openxmlformats.org/officeDocument/2006/relationships" xmlns="http://schemas.openxmlformats.org/spreadsheetml/2006/main">
  <dimension ref="A1:Q43"/>
  <sheetViews>
    <sheetView workbookViewId="0" zoomScale="74">
      <selection activeCell="Z35" sqref="Z35"/>
    </sheetView>
  </sheetViews>
  <sheetFormatPr defaultRowHeight="14.5"/>
  <cols>
    <col min="1" max="1" customWidth="1" width="9.453125" style="60"/>
    <col min="2" max="2" customWidth="1" width="19.0" style="60"/>
    <col min="3" max="3" customWidth="1" width="11.1796875" style="60"/>
    <col min="4" max="4" customWidth="1" width="15.1796875" style="60"/>
    <col min="5" max="5" customWidth="1" width="12.453125" style="60"/>
    <col min="6" max="6" customWidth="1" width="14.1796875" style="60"/>
    <col min="7" max="7" customWidth="1" width="11.90625" style="60"/>
    <col min="8" max="8" customWidth="1" width="3.0" style="60"/>
    <col min="9" max="9" customWidth="1" width="19.0" style="60"/>
    <col min="10" max="10" customWidth="1" width="12.453125" style="60"/>
    <col min="11" max="12" customWidth="1" width="18.269531" style="60"/>
    <col min="13" max="13" customWidth="1" width="3.0" style="60"/>
    <col min="14" max="14" customWidth="1" width="12.7265625" style="60"/>
    <col min="15" max="15" customWidth="1" width="15.7265625" style="60"/>
    <col min="16" max="16" customWidth="1" width="15.542969" style="60"/>
  </cols>
  <sheetData>
    <row r="1" spans="8:8" ht="25.5" customHeight="1">
      <c r="A1" s="106" t="s">
        <v>686</v>
      </c>
      <c r="B1" s="106" t="s">
        <v>687</v>
      </c>
      <c r="C1" s="106" t="s">
        <v>688</v>
      </c>
      <c r="D1" s="106" t="s">
        <v>689</v>
      </c>
      <c r="E1" s="106" t="s">
        <v>690</v>
      </c>
      <c r="F1" s="106" t="s">
        <v>691</v>
      </c>
      <c r="G1" s="106" t="s">
        <v>692</v>
      </c>
      <c r="I1" s="106" t="s">
        <v>687</v>
      </c>
      <c r="J1" s="106" t="s">
        <v>693</v>
      </c>
      <c r="K1" s="106" t="s">
        <v>694</v>
      </c>
      <c r="L1" s="106" t="s">
        <v>695</v>
      </c>
      <c r="N1" s="106" t="s">
        <v>696</v>
      </c>
      <c r="O1" s="106" t="s">
        <v>697</v>
      </c>
      <c r="P1" s="106" t="s">
        <v>698</v>
      </c>
    </row>
    <row r="2" spans="8:8" ht="15.0" customHeight="1">
      <c r="A2" s="107">
        <v>46224.0</v>
      </c>
      <c r="B2" s="109" t="s">
        <v>24</v>
      </c>
      <c r="C2" s="109">
        <v>120.0</v>
      </c>
      <c r="D2" s="109">
        <v>5000.0</v>
      </c>
      <c r="E2" s="111">
        <f t="shared" si="0" ref="E2:E32">C2*D2</f>
        <v>600000.0</v>
      </c>
      <c r="F2" s="109" t="s">
        <v>50</v>
      </c>
      <c r="G2" s="67" t="s">
        <v>373</v>
      </c>
      <c r="I2" s="109" t="s">
        <v>24</v>
      </c>
      <c r="J2" s="109">
        <f>C2+C15+C16+C25+C29+C30</f>
        <v>380.0</v>
      </c>
      <c r="K2" s="111">
        <f>E2+E15+E16+E25+E29+E30</f>
        <v>1900300.0</v>
      </c>
      <c r="L2" s="112">
        <f t="shared" si="1" ref="L2:L19">K2/K$19</f>
        <v>0.6600658919642718</v>
      </c>
      <c r="N2" s="111">
        <f>K19</f>
        <v>2878955.0</v>
      </c>
      <c r="O2" s="109">
        <f>J19</f>
        <v>461.0</v>
      </c>
      <c r="P2" s="109">
        <f>COUNT(J2:J18)</f>
        <v>17.0</v>
      </c>
    </row>
    <row r="3" spans="8:8" ht="15.0" customHeight="1">
      <c r="A3" s="107">
        <v>46224.0</v>
      </c>
      <c r="B3" s="109" t="s">
        <v>44</v>
      </c>
      <c r="C3" s="109">
        <v>10.0</v>
      </c>
      <c r="D3" s="109">
        <v>9200.0</v>
      </c>
      <c r="E3" s="111">
        <f t="shared" si="0"/>
        <v>92000.0</v>
      </c>
      <c r="F3" s="109" t="s">
        <v>50</v>
      </c>
      <c r="G3" s="67" t="s">
        <v>375</v>
      </c>
      <c r="I3" s="109" t="s">
        <v>44</v>
      </c>
      <c r="J3" s="109">
        <f>C3+C23</f>
        <v>11.0</v>
      </c>
      <c r="K3" s="111">
        <f>E3+E23</f>
        <v>101200.0</v>
      </c>
      <c r="L3" s="112">
        <f t="shared" si="1"/>
        <v>0.035151643565113036</v>
      </c>
    </row>
    <row r="4" spans="8:8" ht="15.0" customHeight="1">
      <c r="A4" s="107">
        <v>46224.0</v>
      </c>
      <c r="B4" s="109" t="s">
        <v>87</v>
      </c>
      <c r="C4" s="109">
        <v>5.0</v>
      </c>
      <c r="D4" s="109">
        <v>21400.0</v>
      </c>
      <c r="E4" s="111">
        <f t="shared" si="0"/>
        <v>107000.0</v>
      </c>
      <c r="F4" s="109" t="s">
        <v>50</v>
      </c>
      <c r="G4" s="67" t="s">
        <v>375</v>
      </c>
      <c r="I4" s="109" t="s">
        <v>87</v>
      </c>
      <c r="J4" s="109">
        <f>C4+C18</f>
        <v>8.0</v>
      </c>
      <c r="K4" s="111">
        <f>E4+E18</f>
        <v>174695.0</v>
      </c>
      <c r="L4" s="112">
        <f t="shared" si="1"/>
        <v>0.06068000368189152</v>
      </c>
    </row>
    <row r="5" spans="8:8" ht="15.0" customHeight="1">
      <c r="A5" s="107">
        <v>46224.0</v>
      </c>
      <c r="B5" s="109" t="s">
        <v>37</v>
      </c>
      <c r="C5" s="109">
        <v>5.0</v>
      </c>
      <c r="D5" s="109">
        <v>9200.0</v>
      </c>
      <c r="E5" s="111">
        <f t="shared" si="0"/>
        <v>46000.0</v>
      </c>
      <c r="F5" s="109" t="s">
        <v>50</v>
      </c>
      <c r="G5" s="67" t="s">
        <v>375</v>
      </c>
      <c r="I5" s="109" t="s">
        <v>37</v>
      </c>
      <c r="J5" s="109">
        <f>C5</f>
        <v>5.0</v>
      </c>
      <c r="K5" s="111">
        <f>E5</f>
        <v>46000.0</v>
      </c>
      <c r="L5" s="112">
        <f t="shared" si="1"/>
        <v>0.015978019802324106</v>
      </c>
    </row>
    <row r="6" spans="8:8" ht="15.0" customHeight="1">
      <c r="A6" s="107">
        <v>46224.0</v>
      </c>
      <c r="B6" s="109" t="s">
        <v>69</v>
      </c>
      <c r="C6" s="109">
        <v>2.0</v>
      </c>
      <c r="D6" s="109">
        <v>14450.0</v>
      </c>
      <c r="E6" s="111">
        <f t="shared" si="0"/>
        <v>28900.0</v>
      </c>
      <c r="F6" s="109" t="s">
        <v>50</v>
      </c>
      <c r="G6" s="67" t="s">
        <v>375</v>
      </c>
      <c r="I6" s="109" t="s">
        <v>69</v>
      </c>
      <c r="J6" s="109">
        <f>C6</f>
        <v>2.0</v>
      </c>
      <c r="K6" s="111">
        <f>E6</f>
        <v>28900.0</v>
      </c>
      <c r="L6" s="112">
        <f t="shared" si="1"/>
        <v>0.010038364614938407</v>
      </c>
    </row>
    <row r="7" spans="8:8" ht="15.0" customHeight="1">
      <c r="A7" s="107">
        <v>46224.0</v>
      </c>
      <c r="B7" s="109" t="s">
        <v>150</v>
      </c>
      <c r="C7" s="109">
        <v>1.0</v>
      </c>
      <c r="D7" s="109">
        <v>10315.0</v>
      </c>
      <c r="E7" s="111">
        <f t="shared" si="0"/>
        <v>10315.0</v>
      </c>
      <c r="F7" s="109" t="s">
        <v>50</v>
      </c>
      <c r="G7" s="67" t="s">
        <v>375</v>
      </c>
      <c r="I7" s="109" t="s">
        <v>150</v>
      </c>
      <c r="J7" s="109">
        <f>C7</f>
        <v>1.0</v>
      </c>
      <c r="K7" s="111">
        <f>E7</f>
        <v>10315.0</v>
      </c>
      <c r="L7" s="112">
        <f t="shared" si="1"/>
        <v>0.0035828972665428948</v>
      </c>
    </row>
    <row r="8" spans="8:8" ht="15.0" customHeight="1">
      <c r="A8" s="107">
        <v>46224.0</v>
      </c>
      <c r="B8" s="109" t="s">
        <v>22</v>
      </c>
      <c r="C8" s="109">
        <v>18.0</v>
      </c>
      <c r="D8" s="109">
        <v>8800.0</v>
      </c>
      <c r="E8" s="111">
        <f t="shared" si="0"/>
        <v>158400.0</v>
      </c>
      <c r="F8" s="109" t="s">
        <v>29</v>
      </c>
      <c r="G8" s="67" t="s">
        <v>378</v>
      </c>
      <c r="I8" s="109" t="s">
        <v>22</v>
      </c>
      <c r="J8" s="109">
        <f>C8+C24+C28</f>
        <v>21.0</v>
      </c>
      <c r="K8" s="111">
        <f>E8+E24+E28</f>
        <v>186000.0</v>
      </c>
      <c r="L8" s="112">
        <f t="shared" si="1"/>
        <v>0.06460677572244096</v>
      </c>
    </row>
    <row r="9" spans="8:8" ht="15.0" customHeight="1">
      <c r="A9" s="107">
        <v>46224.0</v>
      </c>
      <c r="B9" s="109" t="s">
        <v>45</v>
      </c>
      <c r="C9" s="109">
        <v>4.0</v>
      </c>
      <c r="D9" s="109">
        <v>13335.0</v>
      </c>
      <c r="E9" s="111">
        <f t="shared" si="0"/>
        <v>53340.0</v>
      </c>
      <c r="F9" s="109" t="s">
        <v>29</v>
      </c>
      <c r="G9" s="67" t="s">
        <v>378</v>
      </c>
      <c r="I9" s="109" t="s">
        <v>45</v>
      </c>
      <c r="J9" s="109">
        <f>C9+C20+C22+C27</f>
        <v>9.0</v>
      </c>
      <c r="K9" s="111">
        <f>E9+E20+E22+E27</f>
        <v>122475.0</v>
      </c>
      <c r="L9" s="112">
        <f t="shared" si="1"/>
        <v>0.04254147772368794</v>
      </c>
    </row>
    <row r="10" spans="8:8" ht="15.0" customHeight="1">
      <c r="A10" s="107">
        <v>46224.0</v>
      </c>
      <c r="B10" s="109" t="s">
        <v>28</v>
      </c>
      <c r="C10" s="109">
        <v>3.0</v>
      </c>
      <c r="D10" s="109">
        <v>13200.0</v>
      </c>
      <c r="E10" s="111">
        <f t="shared" si="0"/>
        <v>39600.0</v>
      </c>
      <c r="F10" s="109" t="s">
        <v>29</v>
      </c>
      <c r="G10" s="67" t="s">
        <v>378</v>
      </c>
      <c r="I10" s="109" t="s">
        <v>28</v>
      </c>
      <c r="J10" s="109">
        <f>C10</f>
        <v>3.0</v>
      </c>
      <c r="K10" s="111">
        <f>E10</f>
        <v>39600.0</v>
      </c>
      <c r="L10" s="112">
        <f t="shared" si="1"/>
        <v>0.013754990960261622</v>
      </c>
    </row>
    <row r="11" spans="8:8" ht="15.0" customHeight="1">
      <c r="A11" s="107">
        <v>46224.0</v>
      </c>
      <c r="B11" s="109" t="s">
        <v>70</v>
      </c>
      <c r="C11" s="109">
        <v>2.0</v>
      </c>
      <c r="D11" s="109">
        <v>13460.0</v>
      </c>
      <c r="E11" s="111">
        <f t="shared" si="0"/>
        <v>26920.0</v>
      </c>
      <c r="F11" s="109" t="s">
        <v>29</v>
      </c>
      <c r="G11" s="67" t="s">
        <v>378</v>
      </c>
      <c r="I11" s="109" t="s">
        <v>70</v>
      </c>
      <c r="J11" s="109">
        <f>C11</f>
        <v>2.0</v>
      </c>
      <c r="K11" s="111">
        <f>E11</f>
        <v>26920.0</v>
      </c>
      <c r="L11" s="112">
        <f t="shared" si="1"/>
        <v>0.009350615066925326</v>
      </c>
    </row>
    <row r="12" spans="8:8" ht="15.0" customHeight="1">
      <c r="A12" s="107">
        <v>46224.0</v>
      </c>
      <c r="B12" s="109" t="s">
        <v>61</v>
      </c>
      <c r="C12" s="109">
        <v>1.0</v>
      </c>
      <c r="D12" s="109">
        <v>12885.0</v>
      </c>
      <c r="E12" s="111">
        <f t="shared" si="0"/>
        <v>12885.0</v>
      </c>
      <c r="F12" s="109" t="s">
        <v>29</v>
      </c>
      <c r="G12" s="67" t="s">
        <v>378</v>
      </c>
      <c r="I12" s="109" t="s">
        <v>61</v>
      </c>
      <c r="J12" s="109">
        <f>C12</f>
        <v>1.0</v>
      </c>
      <c r="K12" s="111">
        <f>E12</f>
        <v>12885.0</v>
      </c>
      <c r="L12" s="112">
        <f t="shared" si="1"/>
        <v>0.0044755822859336115</v>
      </c>
    </row>
    <row r="13" spans="8:8" ht="15.0" customHeight="1">
      <c r="A13" s="107">
        <v>46224.0</v>
      </c>
      <c r="B13" s="109" t="s">
        <v>32</v>
      </c>
      <c r="C13" s="109">
        <v>2.0</v>
      </c>
      <c r="D13" s="109">
        <v>16145.0</v>
      </c>
      <c r="E13" s="111">
        <f t="shared" si="0"/>
        <v>32290.0</v>
      </c>
      <c r="F13" s="109" t="s">
        <v>29</v>
      </c>
      <c r="G13" s="67" t="s">
        <v>378</v>
      </c>
      <c r="I13" s="109" t="s">
        <v>32</v>
      </c>
      <c r="J13" s="109">
        <f>C13</f>
        <v>2.0</v>
      </c>
      <c r="K13" s="111">
        <f>E13</f>
        <v>32290.0</v>
      </c>
      <c r="L13" s="112">
        <f t="shared" si="1"/>
        <v>0.01121587520471838</v>
      </c>
    </row>
    <row r="14" spans="8:8" ht="15.0" customHeight="1">
      <c r="A14" s="107">
        <v>46224.0</v>
      </c>
      <c r="B14" s="109" t="s">
        <v>33</v>
      </c>
      <c r="C14" s="109">
        <v>2.0</v>
      </c>
      <c r="D14" s="109">
        <v>16145.0</v>
      </c>
      <c r="E14" s="111">
        <f t="shared" si="0"/>
        <v>32290.0</v>
      </c>
      <c r="F14" s="109" t="s">
        <v>29</v>
      </c>
      <c r="G14" s="67" t="s">
        <v>378</v>
      </c>
      <c r="I14" s="109" t="s">
        <v>33</v>
      </c>
      <c r="J14" s="109">
        <f>C14</f>
        <v>2.0</v>
      </c>
      <c r="K14" s="111">
        <f>E14</f>
        <v>32290.0</v>
      </c>
      <c r="L14" s="112">
        <f t="shared" si="1"/>
        <v>0.01121587520471838</v>
      </c>
    </row>
    <row r="15" spans="8:8" ht="15.0" customHeight="1">
      <c r="A15" s="107">
        <v>46224.0</v>
      </c>
      <c r="B15" s="109" t="s">
        <v>24</v>
      </c>
      <c r="C15" s="109">
        <v>3.0</v>
      </c>
      <c r="D15" s="109">
        <v>5000.0</v>
      </c>
      <c r="E15" s="111">
        <f t="shared" si="0"/>
        <v>15000.0</v>
      </c>
      <c r="F15" s="109" t="s">
        <v>29</v>
      </c>
      <c r="G15" s="67" t="s">
        <v>378</v>
      </c>
      <c r="I15" s="109" t="s">
        <v>34</v>
      </c>
      <c r="J15" s="109">
        <f>C17</f>
        <v>1.0</v>
      </c>
      <c r="K15" s="111">
        <f>E17</f>
        <v>22740.0</v>
      </c>
      <c r="L15" s="112">
        <f t="shared" si="1"/>
        <v>0.007898699354453266</v>
      </c>
    </row>
    <row r="16" spans="8:8" ht="15.0" customHeight="1">
      <c r="A16" s="107">
        <v>46224.0</v>
      </c>
      <c r="B16" s="109" t="s">
        <v>24</v>
      </c>
      <c r="C16" s="109">
        <v>240.0</v>
      </c>
      <c r="D16" s="109">
        <v>5000.0</v>
      </c>
      <c r="E16" s="111">
        <f t="shared" si="0"/>
        <v>1200000.0</v>
      </c>
      <c r="F16" s="109" t="s">
        <v>25</v>
      </c>
      <c r="G16" s="67" t="s">
        <v>382</v>
      </c>
      <c r="I16" s="109" t="s">
        <v>113</v>
      </c>
      <c r="J16" s="109">
        <f>C19+C32</f>
        <v>5.0</v>
      </c>
      <c r="K16" s="111">
        <f>E19+E32</f>
        <v>76245.0</v>
      </c>
      <c r="L16" s="112">
        <f t="shared" si="1"/>
        <v>0.026483567822352207</v>
      </c>
    </row>
    <row r="17" spans="8:8" ht="15.0" customHeight="1">
      <c r="A17" s="107">
        <v>46224.0</v>
      </c>
      <c r="B17" s="109" t="s">
        <v>34</v>
      </c>
      <c r="C17" s="109">
        <v>1.0</v>
      </c>
      <c r="D17" s="109">
        <v>22740.0</v>
      </c>
      <c r="E17" s="111">
        <f t="shared" si="0"/>
        <v>22740.0</v>
      </c>
      <c r="F17" s="109" t="s">
        <v>85</v>
      </c>
      <c r="G17" s="67" t="s">
        <v>384</v>
      </c>
      <c r="I17" s="109" t="s">
        <v>21</v>
      </c>
      <c r="J17" s="109">
        <f>C21+C26</f>
        <v>3.0</v>
      </c>
      <c r="K17" s="111">
        <f>E21+E26</f>
        <v>26000.0</v>
      </c>
      <c r="L17" s="112">
        <f t="shared" si="1"/>
        <v>0.009031054670878844</v>
      </c>
    </row>
    <row r="18" spans="8:8" ht="15.0" customHeight="1">
      <c r="A18" s="107">
        <v>46224.0</v>
      </c>
      <c r="B18" s="109" t="s">
        <v>87</v>
      </c>
      <c r="C18" s="109">
        <v>3.0</v>
      </c>
      <c r="D18" s="109">
        <v>22565.0</v>
      </c>
      <c r="E18" s="111">
        <f t="shared" si="0"/>
        <v>67695.0</v>
      </c>
      <c r="F18" s="109" t="s">
        <v>85</v>
      </c>
      <c r="G18" s="67" t="s">
        <v>384</v>
      </c>
      <c r="I18" s="109" t="s">
        <v>27</v>
      </c>
      <c r="J18" s="109">
        <f>C31</f>
        <v>5.0</v>
      </c>
      <c r="K18" s="111">
        <f>E31</f>
        <v>40100.0</v>
      </c>
      <c r="L18" s="112">
        <f t="shared" si="1"/>
        <v>0.013928665088547754</v>
      </c>
    </row>
    <row r="19" spans="8:8" ht="15.0" customHeight="1">
      <c r="A19" s="107">
        <v>46224.0</v>
      </c>
      <c r="B19" s="109" t="s">
        <v>113</v>
      </c>
      <c r="C19" s="109">
        <v>3.0</v>
      </c>
      <c r="D19" s="109">
        <v>15765.0</v>
      </c>
      <c r="E19" s="111">
        <f t="shared" si="0"/>
        <v>47295.0</v>
      </c>
      <c r="F19" s="109" t="s">
        <v>85</v>
      </c>
      <c r="G19" s="67" t="s">
        <v>384</v>
      </c>
      <c r="I19" s="109" t="s">
        <v>701</v>
      </c>
      <c r="J19" s="109">
        <f>SUM(J2:J18)</f>
        <v>461.0</v>
      </c>
      <c r="K19" s="111">
        <f>SUM(K2:K18)</f>
        <v>2878955.0</v>
      </c>
      <c r="L19" s="112">
        <f t="shared" si="1"/>
        <v>1.0</v>
      </c>
    </row>
    <row r="20" spans="8:8" ht="15.0" customHeight="1">
      <c r="A20" s="107">
        <v>46224.0</v>
      </c>
      <c r="B20" s="109" t="s">
        <v>45</v>
      </c>
      <c r="C20" s="109">
        <v>3.0</v>
      </c>
      <c r="D20" s="109">
        <v>13950.0</v>
      </c>
      <c r="E20" s="111">
        <f t="shared" si="0"/>
        <v>41850.0</v>
      </c>
      <c r="F20" s="109" t="s">
        <v>85</v>
      </c>
      <c r="G20" s="67" t="s">
        <v>384</v>
      </c>
    </row>
    <row r="21" spans="8:8" ht="25.5" customHeight="1">
      <c r="A21" s="107">
        <v>46224.0</v>
      </c>
      <c r="B21" s="109" t="s">
        <v>21</v>
      </c>
      <c r="C21" s="109">
        <v>1.0</v>
      </c>
      <c r="D21" s="109">
        <v>9000.0</v>
      </c>
      <c r="E21" s="111">
        <f t="shared" si="0"/>
        <v>9000.0</v>
      </c>
      <c r="F21" s="109" t="s">
        <v>122</v>
      </c>
      <c r="G21" s="67" t="s">
        <v>385</v>
      </c>
      <c r="I21" s="106" t="s">
        <v>691</v>
      </c>
      <c r="J21" s="106" t="s">
        <v>690</v>
      </c>
      <c r="K21" s="106" t="s">
        <v>695</v>
      </c>
      <c r="L21" s="106" t="s">
        <v>702</v>
      </c>
    </row>
    <row r="22" spans="8:8" ht="15.0" customHeight="1">
      <c r="A22" s="107">
        <v>46224.0</v>
      </c>
      <c r="B22" s="109" t="s">
        <v>45</v>
      </c>
      <c r="C22" s="109">
        <v>1.0</v>
      </c>
      <c r="D22" s="109">
        <v>13950.0</v>
      </c>
      <c r="E22" s="111">
        <f t="shared" si="0"/>
        <v>13950.0</v>
      </c>
      <c r="F22" s="109" t="s">
        <v>122</v>
      </c>
      <c r="G22" s="67" t="s">
        <v>385</v>
      </c>
      <c r="I22" s="109" t="s">
        <v>50</v>
      </c>
      <c r="J22" s="111">
        <f>E2+E3+E4+E5+E6+E7</f>
        <v>884215.0</v>
      </c>
      <c r="K22" s="112">
        <f t="shared" si="2" ref="K22:K30">J22/J$30</f>
        <v>0.3071305386850437</v>
      </c>
      <c r="L22" s="112">
        <v>0.0027</v>
      </c>
    </row>
    <row r="23" spans="8:8" ht="15.0" customHeight="1">
      <c r="A23" s="107">
        <v>46224.0</v>
      </c>
      <c r="B23" s="109" t="s">
        <v>44</v>
      </c>
      <c r="C23" s="109">
        <v>1.0</v>
      </c>
      <c r="D23" s="109">
        <v>9200.0</v>
      </c>
      <c r="E23" s="111">
        <f t="shared" si="0"/>
        <v>9200.0</v>
      </c>
      <c r="F23" s="109" t="s">
        <v>122</v>
      </c>
      <c r="G23" s="67" t="s">
        <v>385</v>
      </c>
      <c r="I23" s="109" t="s">
        <v>29</v>
      </c>
      <c r="J23" s="111">
        <f>E8+E9+E10+E11+E12+E13+E14+E15</f>
        <v>370725.0</v>
      </c>
      <c r="K23" s="112">
        <f t="shared" si="2"/>
        <v>0.12877068241775227</v>
      </c>
      <c r="L23" s="112">
        <v>0.0511</v>
      </c>
    </row>
    <row r="24" spans="8:8" ht="15.0" customHeight="1">
      <c r="A24" s="107">
        <v>46224.0</v>
      </c>
      <c r="B24" s="109" t="s">
        <v>22</v>
      </c>
      <c r="C24" s="109">
        <v>1.0</v>
      </c>
      <c r="D24" s="109">
        <v>9200.0</v>
      </c>
      <c r="E24" s="111">
        <f t="shared" si="0"/>
        <v>9200.0</v>
      </c>
      <c r="F24" s="109" t="s">
        <v>122</v>
      </c>
      <c r="G24" s="67" t="s">
        <v>385</v>
      </c>
      <c r="I24" s="109" t="s">
        <v>25</v>
      </c>
      <c r="J24" s="111">
        <f>E16</f>
        <v>1200000.0</v>
      </c>
      <c r="K24" s="112">
        <f t="shared" si="2"/>
        <v>0.41681790788671585</v>
      </c>
      <c r="L24" s="112">
        <v>-0.04</v>
      </c>
    </row>
    <row r="25" spans="8:8" ht="15.0" customHeight="1">
      <c r="A25" s="107">
        <v>46224.0</v>
      </c>
      <c r="B25" s="109" t="s">
        <v>24</v>
      </c>
      <c r="C25" s="109">
        <v>1.0</v>
      </c>
      <c r="D25" s="109">
        <v>5300.0</v>
      </c>
      <c r="E25" s="111">
        <f t="shared" si="0"/>
        <v>5300.0</v>
      </c>
      <c r="F25" s="109" t="s">
        <v>122</v>
      </c>
      <c r="G25" s="67" t="s">
        <v>385</v>
      </c>
      <c r="I25" s="109" t="s">
        <v>85</v>
      </c>
      <c r="J25" s="111">
        <f>E17+E18+E19+E20</f>
        <v>179580.0</v>
      </c>
      <c r="K25" s="112">
        <f t="shared" si="2"/>
        <v>0.06237679991524703</v>
      </c>
      <c r="L25" s="112">
        <v>0.1377</v>
      </c>
    </row>
    <row r="26" spans="8:8" ht="15.0" customHeight="1">
      <c r="A26" s="107">
        <v>46224.0</v>
      </c>
      <c r="B26" s="109" t="s">
        <v>21</v>
      </c>
      <c r="C26" s="109">
        <v>2.0</v>
      </c>
      <c r="D26" s="109">
        <v>8500.0</v>
      </c>
      <c r="E26" s="111">
        <f t="shared" si="0"/>
        <v>17000.0</v>
      </c>
      <c r="F26" s="109" t="s">
        <v>336</v>
      </c>
      <c r="G26" s="67" t="s">
        <v>386</v>
      </c>
      <c r="I26" s="109" t="s">
        <v>122</v>
      </c>
      <c r="J26" s="111">
        <f>E21+E22+E23+E24+E25</f>
        <v>46650.0</v>
      </c>
      <c r="K26" s="112">
        <f t="shared" si="2"/>
        <v>0.016203796169096077</v>
      </c>
      <c r="L26" s="112">
        <v>0.0629</v>
      </c>
    </row>
    <row r="27" spans="8:8" ht="15.0" customHeight="1">
      <c r="A27" s="107">
        <v>46224.0</v>
      </c>
      <c r="B27" s="109" t="s">
        <v>45</v>
      </c>
      <c r="C27" s="109">
        <v>1.0</v>
      </c>
      <c r="D27" s="109">
        <v>13335.0</v>
      </c>
      <c r="E27" s="111">
        <f t="shared" si="0"/>
        <v>13335.0</v>
      </c>
      <c r="F27" s="109" t="s">
        <v>336</v>
      </c>
      <c r="G27" s="67" t="s">
        <v>386</v>
      </c>
      <c r="I27" s="109" t="s">
        <v>336</v>
      </c>
      <c r="J27" s="111">
        <f>E26+E27+E28</f>
        <v>48735.0</v>
      </c>
      <c r="K27" s="112">
        <f t="shared" si="2"/>
        <v>0.016928017284049246</v>
      </c>
      <c r="L27" s="112">
        <v>0.0499</v>
      </c>
    </row>
    <row r="28" spans="8:8" ht="15.0" customHeight="1">
      <c r="A28" s="107">
        <v>46224.0</v>
      </c>
      <c r="B28" s="109" t="s">
        <v>22</v>
      </c>
      <c r="C28" s="109">
        <v>2.0</v>
      </c>
      <c r="D28" s="109">
        <v>9200.0</v>
      </c>
      <c r="E28" s="111">
        <f t="shared" si="0"/>
        <v>18400.0</v>
      </c>
      <c r="F28" s="109" t="s">
        <v>336</v>
      </c>
      <c r="G28" s="67" t="s">
        <v>386</v>
      </c>
      <c r="I28" s="109" t="s">
        <v>154</v>
      </c>
      <c r="J28" s="111">
        <f>E29+E32</f>
        <v>33950.0</v>
      </c>
      <c r="K28" s="112">
        <f t="shared" si="2"/>
        <v>0.011792473310628335</v>
      </c>
      <c r="L28" s="112">
        <v>0.0099</v>
      </c>
    </row>
    <row r="29" spans="8:8" ht="15.0" customHeight="1">
      <c r="A29" s="107">
        <v>46224.0</v>
      </c>
      <c r="B29" s="109" t="s">
        <v>24</v>
      </c>
      <c r="C29" s="109">
        <v>1.0</v>
      </c>
      <c r="D29" s="109">
        <v>5000.0</v>
      </c>
      <c r="E29" s="111">
        <f t="shared" si="0"/>
        <v>5000.0</v>
      </c>
      <c r="F29" s="109" t="s">
        <v>154</v>
      </c>
      <c r="G29" s="67" t="s">
        <v>387</v>
      </c>
      <c r="I29" s="109" t="s">
        <v>95</v>
      </c>
      <c r="J29" s="111">
        <f>E30+E31</f>
        <v>115100.0</v>
      </c>
      <c r="K29" s="112">
        <f t="shared" si="2"/>
        <v>0.0399797843314675</v>
      </c>
      <c r="L29" s="112">
        <v>-0.0115</v>
      </c>
    </row>
    <row r="30" spans="8:8" ht="15.0" customHeight="1">
      <c r="A30" s="107">
        <v>46224.0</v>
      </c>
      <c r="B30" s="109" t="s">
        <v>24</v>
      </c>
      <c r="C30" s="109">
        <v>15.0</v>
      </c>
      <c r="D30" s="109">
        <v>5000.0</v>
      </c>
      <c r="E30" s="111">
        <f t="shared" si="0"/>
        <v>75000.0</v>
      </c>
      <c r="F30" s="109" t="s">
        <v>95</v>
      </c>
      <c r="G30" s="67" t="s">
        <v>388</v>
      </c>
      <c r="I30" s="109" t="s">
        <v>703</v>
      </c>
      <c r="J30" s="111">
        <f>SUM(J22:J29)</f>
        <v>2878955.0</v>
      </c>
      <c r="K30" s="112">
        <f t="shared" si="2"/>
        <v>1.0</v>
      </c>
      <c r="L30" s="68"/>
    </row>
    <row r="31" spans="8:8" ht="15.0" customHeight="1">
      <c r="A31" s="107">
        <v>46224.0</v>
      </c>
      <c r="B31" s="109" t="s">
        <v>27</v>
      </c>
      <c r="C31" s="109">
        <v>5.0</v>
      </c>
      <c r="D31" s="109">
        <v>8020.0</v>
      </c>
      <c r="E31" s="111">
        <f t="shared" si="0"/>
        <v>40100.0</v>
      </c>
      <c r="F31" s="109" t="s">
        <v>95</v>
      </c>
      <c r="G31" s="67" t="s">
        <v>388</v>
      </c>
    </row>
    <row r="32" spans="8:8" ht="25.5" customHeight="1">
      <c r="A32" s="107">
        <v>46224.0</v>
      </c>
      <c r="B32" s="109" t="s">
        <v>113</v>
      </c>
      <c r="C32" s="109">
        <v>2.0</v>
      </c>
      <c r="D32" s="109">
        <v>14475.0</v>
      </c>
      <c r="E32" s="111">
        <f t="shared" si="0"/>
        <v>28950.0</v>
      </c>
      <c r="F32" s="109" t="s">
        <v>154</v>
      </c>
      <c r="G32" s="67" t="s">
        <v>389</v>
      </c>
      <c r="I32" s="106" t="s">
        <v>692</v>
      </c>
      <c r="J32" s="106" t="s">
        <v>690</v>
      </c>
      <c r="K32" s="106" t="s">
        <v>702</v>
      </c>
    </row>
    <row r="33" spans="8:8" ht="15.0" customHeight="1">
      <c r="A33" s="68"/>
      <c r="B33" s="109" t="s">
        <v>701</v>
      </c>
      <c r="C33" s="109">
        <f>SUM(C2:C32)</f>
        <v>461.0</v>
      </c>
      <c r="D33" s="109">
        <f>SUM(D2:D32)</f>
        <v>358735.0</v>
      </c>
      <c r="E33" s="111">
        <f>SUM(E2:E32)</f>
        <v>2878955.0</v>
      </c>
      <c r="F33" s="68"/>
      <c r="G33" s="68"/>
      <c r="I33" s="135" t="s">
        <v>373</v>
      </c>
      <c r="J33" s="111">
        <v>600000.0</v>
      </c>
      <c r="K33" s="112">
        <v>-0.04</v>
      </c>
    </row>
    <row r="34" spans="8:8" ht="15.0" customHeight="1">
      <c r="I34" s="135" t="s">
        <v>375</v>
      </c>
      <c r="J34" s="111">
        <v>326615.0</v>
      </c>
      <c r="K34" s="112">
        <v>0.08</v>
      </c>
    </row>
    <row r="35" spans="8:8" ht="15.0" customHeight="1">
      <c r="I35" s="135" t="s">
        <v>378</v>
      </c>
      <c r="J35" s="111">
        <v>411125.0</v>
      </c>
      <c r="K35" s="112">
        <v>0.05</v>
      </c>
    </row>
    <row r="36" spans="8:8" ht="15.0" customHeight="1">
      <c r="I36" s="135" t="s">
        <v>382</v>
      </c>
      <c r="J36" s="111">
        <v>1200000.0</v>
      </c>
      <c r="K36" s="112">
        <v>-0.04</v>
      </c>
    </row>
    <row r="37" spans="8:8" ht="15.0" customHeight="1">
      <c r="I37" s="135" t="s">
        <v>384</v>
      </c>
      <c r="J37" s="111">
        <v>196980.0</v>
      </c>
      <c r="K37" s="112">
        <v>0.14</v>
      </c>
    </row>
    <row r="38" spans="8:8" ht="15.0" customHeight="1">
      <c r="I38" s="135" t="s">
        <v>385</v>
      </c>
      <c r="J38" s="111">
        <v>46650.0</v>
      </c>
      <c r="K38" s="112">
        <v>0.06</v>
      </c>
    </row>
    <row r="39" spans="8:8" ht="15.0" customHeight="1">
      <c r="I39" s="135" t="s">
        <v>386</v>
      </c>
      <c r="J39" s="111">
        <v>48735.0</v>
      </c>
      <c r="K39" s="112">
        <v>0.05</v>
      </c>
    </row>
    <row r="40" spans="8:8" ht="15.0" customHeight="1">
      <c r="I40" s="67" t="s">
        <v>387</v>
      </c>
      <c r="J40" s="111">
        <v>5000.0</v>
      </c>
      <c r="K40" s="112">
        <v>-0.04</v>
      </c>
    </row>
    <row r="41" spans="8:8" ht="15.0" customHeight="1">
      <c r="I41" s="67" t="s">
        <v>388</v>
      </c>
      <c r="J41" s="111">
        <v>115100.0</v>
      </c>
      <c r="K41" s="112">
        <v>-0.01</v>
      </c>
    </row>
    <row r="42" spans="8:8" ht="15.0" customHeight="1">
      <c r="I42" s="67" t="s">
        <v>389</v>
      </c>
      <c r="J42" s="111">
        <v>32550.0</v>
      </c>
      <c r="K42" s="112">
        <v>0.02</v>
      </c>
    </row>
    <row r="43" spans="8:8" ht="15.0" customHeight="1">
      <c r="I43" s="109" t="s">
        <v>703</v>
      </c>
      <c r="J43" s="111">
        <f>SUM(J33:J42)</f>
        <v>2982755.0</v>
      </c>
      <c r="K43" s="68"/>
    </row>
  </sheetData>
  <hyperlinks>
    <hyperlink ref="G2" r:id="rId2"/>
    <hyperlink ref="G3" r:id="rId3"/>
    <hyperlink ref="G4" r:id="rId4"/>
    <hyperlink ref="G5" r:id="rId5"/>
    <hyperlink ref="G6" r:id="rId6"/>
    <hyperlink ref="G7" r:id="rId7"/>
    <hyperlink ref="G8" r:id="rId8"/>
    <hyperlink ref="G9" r:id="rId9"/>
    <hyperlink ref="G10" r:id="rId10"/>
    <hyperlink ref="G11" r:id="rId11"/>
    <hyperlink ref="G12" r:id="rId12"/>
    <hyperlink ref="G13" r:id="rId13"/>
    <hyperlink ref="G14" r:id="rId14"/>
    <hyperlink ref="G15" r:id="rId15"/>
    <hyperlink ref="G16" r:id="rId16"/>
    <hyperlink ref="G17" r:id="rId17"/>
    <hyperlink ref="G18" r:id="rId18"/>
    <hyperlink ref="G19" r:id="rId19"/>
    <hyperlink ref="G20" r:id="rId20"/>
    <hyperlink ref="G21" r:id="rId21"/>
    <hyperlink ref="G22" r:id="rId22"/>
    <hyperlink ref="G23" r:id="rId23"/>
    <hyperlink ref="G24" r:id="rId24"/>
    <hyperlink ref="G25" r:id="rId25"/>
    <hyperlink ref="G26" r:id="rId26"/>
    <hyperlink ref="G27" r:id="rId27"/>
    <hyperlink ref="G28" r:id="rId28"/>
    <hyperlink ref="G29" r:id="rId29"/>
    <hyperlink ref="G30" r:id="rId30"/>
    <hyperlink ref="G31" r:id="rId31"/>
    <hyperlink ref="G32" r:id="rId32"/>
    <hyperlink ref="I33" r:id="rId33"/>
    <hyperlink ref="I34" r:id="rId34"/>
    <hyperlink ref="I35" r:id="rId35"/>
    <hyperlink ref="I36" r:id="rId36"/>
    <hyperlink ref="I37" r:id="rId37"/>
    <hyperlink ref="I38" r:id="rId38"/>
    <hyperlink ref="I39" r:id="rId39"/>
    <hyperlink ref="I40" r:id="rId40"/>
    <hyperlink ref="I41" r:id="rId41"/>
    <hyperlink ref="I42" r:id="rId42"/>
  </hyperlinks>
  <pageMargins left="0.75" right="0.75" top="1.0" bottom="1.0" header="0.511811023622047" footer="0.511811023622047"/>
  <drawing r:id="rId1"/>
</worksheet>
</file>

<file path=xl/worksheets/sheet25.xml><?xml version="1.0" encoding="utf-8"?>
<worksheet xmlns:r="http://schemas.openxmlformats.org/officeDocument/2006/relationships" xmlns="http://schemas.openxmlformats.org/spreadsheetml/2006/main">
  <dimension ref="A1:Q38"/>
  <sheetViews>
    <sheetView workbookViewId="0" zoomScale="51">
      <selection activeCell="N13" sqref="N13"/>
    </sheetView>
  </sheetViews>
  <sheetFormatPr defaultRowHeight="14.5"/>
  <cols>
    <col min="1" max="1" customWidth="1" width="10.089844" style="60"/>
    <col min="2" max="2" customWidth="1" width="19.726562" style="60"/>
    <col min="3" max="3" customWidth="1" width="11.6328125" style="60"/>
    <col min="4" max="4" customWidth="1" width="15.453125" style="60"/>
    <col min="5" max="5" customWidth="1" width="12.7265625" style="60"/>
    <col min="6" max="6" customWidth="1" width="16.089844" style="60"/>
    <col min="7" max="7" customWidth="1" width="12.363281" style="60"/>
    <col min="8" max="8" customWidth="1" width="3.0" style="60"/>
    <col min="9" max="9" customWidth="1" width="19.726562" style="60"/>
    <col min="10" max="10" customWidth="1" width="12.7265625" style="60"/>
    <col min="11" max="12" customWidth="1" width="18.089844" style="60"/>
    <col min="13" max="13" customWidth="1" width="3.0" style="60"/>
    <col min="14" max="14" customWidth="1" width="12.542969" style="60"/>
    <col min="15" max="15" customWidth="1" width="16.0" style="60"/>
    <col min="16" max="16" customWidth="1" width="15.816406" style="60"/>
  </cols>
  <sheetData>
    <row r="1" spans="8:8" ht="25.5" customHeight="1">
      <c r="A1" s="106" t="s">
        <v>686</v>
      </c>
      <c r="B1" s="106" t="s">
        <v>687</v>
      </c>
      <c r="C1" s="106" t="s">
        <v>688</v>
      </c>
      <c r="D1" s="106" t="s">
        <v>689</v>
      </c>
      <c r="E1" s="106" t="s">
        <v>690</v>
      </c>
      <c r="F1" s="106" t="s">
        <v>691</v>
      </c>
      <c r="G1" s="106" t="s">
        <v>692</v>
      </c>
      <c r="I1" s="106" t="s">
        <v>687</v>
      </c>
      <c r="J1" s="106" t="s">
        <v>693</v>
      </c>
      <c r="K1" s="106" t="s">
        <v>694</v>
      </c>
      <c r="L1" s="106" t="s">
        <v>695</v>
      </c>
      <c r="N1" s="106" t="s">
        <v>710</v>
      </c>
      <c r="O1" s="106" t="s">
        <v>697</v>
      </c>
      <c r="P1" s="106" t="s">
        <v>698</v>
      </c>
    </row>
    <row r="2" spans="8:8" ht="15.0" customHeight="1">
      <c r="A2" s="107">
        <v>46225.0</v>
      </c>
      <c r="B2" s="109" t="s">
        <v>33</v>
      </c>
      <c r="C2" s="109">
        <v>30.0</v>
      </c>
      <c r="D2" s="109">
        <v>15655.0</v>
      </c>
      <c r="E2" s="111">
        <f t="shared" si="0" ref="E2:E24">C2*D2</f>
        <v>469650.0</v>
      </c>
      <c r="F2" s="109" t="s">
        <v>50</v>
      </c>
      <c r="G2" s="67" t="s">
        <v>390</v>
      </c>
      <c r="I2" s="109" t="s">
        <v>33</v>
      </c>
      <c r="J2" s="109">
        <f>C2</f>
        <v>30.0</v>
      </c>
      <c r="K2" s="111">
        <f>E2</f>
        <v>469650.0</v>
      </c>
      <c r="L2" s="112">
        <f t="shared" si="1" ref="L2:L15">K2/K$15</f>
        <v>0.0871656816100178</v>
      </c>
      <c r="N2" s="111">
        <f>K15</f>
        <v>5388015.0</v>
      </c>
      <c r="O2" s="109">
        <f>J15</f>
        <v>778.0</v>
      </c>
      <c r="P2" s="109">
        <f>COUNT(J2:J14)</f>
        <v>13.0</v>
      </c>
    </row>
    <row r="3" spans="8:8" ht="15.0" customHeight="1">
      <c r="A3" s="107">
        <v>46225.0</v>
      </c>
      <c r="B3" s="109" t="s">
        <v>32</v>
      </c>
      <c r="C3" s="109">
        <v>15.0</v>
      </c>
      <c r="D3" s="109">
        <v>15655.0</v>
      </c>
      <c r="E3" s="111">
        <f t="shared" si="0"/>
        <v>234825.0</v>
      </c>
      <c r="F3" s="109" t="s">
        <v>50</v>
      </c>
      <c r="G3" s="67" t="s">
        <v>390</v>
      </c>
      <c r="I3" s="109" t="s">
        <v>32</v>
      </c>
      <c r="J3" s="109">
        <f>C3</f>
        <v>15.0</v>
      </c>
      <c r="K3" s="111">
        <f>E3</f>
        <v>234825.0</v>
      </c>
      <c r="L3" s="112">
        <f t="shared" si="1"/>
        <v>0.0435828408050089</v>
      </c>
    </row>
    <row r="4" spans="8:8" ht="15.0" customHeight="1">
      <c r="A4" s="107">
        <v>46225.0</v>
      </c>
      <c r="B4" s="109" t="s">
        <v>70</v>
      </c>
      <c r="C4" s="109">
        <v>20.0</v>
      </c>
      <c r="D4" s="109">
        <v>13100.0</v>
      </c>
      <c r="E4" s="111">
        <f t="shared" si="0"/>
        <v>262000.0</v>
      </c>
      <c r="F4" s="109" t="s">
        <v>50</v>
      </c>
      <c r="G4" s="67" t="s">
        <v>390</v>
      </c>
      <c r="I4" s="109" t="s">
        <v>70</v>
      </c>
      <c r="J4" s="109">
        <f>C4+C18</f>
        <v>21.0</v>
      </c>
      <c r="K4" s="111">
        <f>E4+E18</f>
        <v>275460.0</v>
      </c>
      <c r="L4" s="112">
        <f t="shared" si="1"/>
        <v>0.05112457927455658</v>
      </c>
    </row>
    <row r="5" spans="8:8" ht="15.0" customHeight="1">
      <c r="A5" s="107">
        <v>46225.0</v>
      </c>
      <c r="B5" s="109" t="s">
        <v>31</v>
      </c>
      <c r="C5" s="109">
        <v>40.0</v>
      </c>
      <c r="D5" s="109">
        <v>17200.0</v>
      </c>
      <c r="E5" s="111">
        <f t="shared" si="0"/>
        <v>688000.0</v>
      </c>
      <c r="F5" s="109" t="s">
        <v>50</v>
      </c>
      <c r="G5" s="67" t="s">
        <v>390</v>
      </c>
      <c r="I5" s="109" t="s">
        <v>31</v>
      </c>
      <c r="J5" s="109">
        <f>C5</f>
        <v>40.0</v>
      </c>
      <c r="K5" s="111">
        <f>E5</f>
        <v>688000.0</v>
      </c>
      <c r="L5" s="112">
        <f t="shared" si="1"/>
        <v>0.12769081006641592</v>
      </c>
    </row>
    <row r="6" spans="8:8" ht="15.0" customHeight="1">
      <c r="A6" s="107">
        <v>46225.0</v>
      </c>
      <c r="B6" s="109" t="s">
        <v>24</v>
      </c>
      <c r="C6" s="109">
        <v>40.0</v>
      </c>
      <c r="D6" s="109">
        <v>5000.0</v>
      </c>
      <c r="E6" s="111">
        <f t="shared" si="0"/>
        <v>200000.0</v>
      </c>
      <c r="F6" s="109" t="s">
        <v>75</v>
      </c>
      <c r="G6" s="67" t="s">
        <v>392</v>
      </c>
      <c r="I6" s="109" t="s">
        <v>24</v>
      </c>
      <c r="J6" s="109">
        <f>C6+C7+C9+C12</f>
        <v>598.0</v>
      </c>
      <c r="K6" s="111">
        <f>E6+E7+E9+E12</f>
        <v>2990000.0</v>
      </c>
      <c r="L6" s="112">
        <f t="shared" si="1"/>
        <v>0.5549353518874762</v>
      </c>
    </row>
    <row r="7" spans="8:8" ht="15.0" customHeight="1">
      <c r="A7" s="107">
        <v>46225.0</v>
      </c>
      <c r="B7" s="109" t="s">
        <v>24</v>
      </c>
      <c r="C7" s="109">
        <v>100.0</v>
      </c>
      <c r="D7" s="109">
        <v>5000.0</v>
      </c>
      <c r="E7" s="111">
        <f t="shared" si="0"/>
        <v>500000.0</v>
      </c>
      <c r="F7" s="109" t="s">
        <v>394</v>
      </c>
      <c r="G7" s="67" t="s">
        <v>395</v>
      </c>
      <c r="I7" s="109" t="s">
        <v>22</v>
      </c>
      <c r="J7" s="109">
        <f>C8+C14+C17+C21</f>
        <v>64.0</v>
      </c>
      <c r="K7" s="111">
        <f>E8+E14+E17+E21</f>
        <v>589700.0</v>
      </c>
      <c r="L7" s="112">
        <f t="shared" si="1"/>
        <v>0.10944661438396144</v>
      </c>
    </row>
    <row r="8" spans="8:8" ht="15.0" customHeight="1">
      <c r="A8" s="107">
        <v>46225.0</v>
      </c>
      <c r="B8" s="109" t="s">
        <v>22</v>
      </c>
      <c r="C8" s="109">
        <v>2.0</v>
      </c>
      <c r="D8" s="109">
        <v>9500.0</v>
      </c>
      <c r="E8" s="111">
        <f t="shared" si="0"/>
        <v>19000.0</v>
      </c>
      <c r="F8" s="109" t="s">
        <v>15</v>
      </c>
      <c r="G8" s="67" t="s">
        <v>396</v>
      </c>
      <c r="I8" s="109" t="s">
        <v>190</v>
      </c>
      <c r="J8" s="109">
        <f>C10</f>
        <v>1.0</v>
      </c>
      <c r="K8" s="111">
        <f>E10</f>
        <v>28445.0</v>
      </c>
      <c r="L8" s="112">
        <f t="shared" si="1"/>
        <v>0.005279309727237211</v>
      </c>
    </row>
    <row r="9" spans="8:8" ht="15.0" customHeight="1">
      <c r="A9" s="107">
        <v>46225.0</v>
      </c>
      <c r="B9" s="109" t="s">
        <v>24</v>
      </c>
      <c r="C9" s="109">
        <v>248.0</v>
      </c>
      <c r="D9" s="109">
        <v>5000.0</v>
      </c>
      <c r="E9" s="111">
        <f t="shared" si="0"/>
        <v>1240000.0</v>
      </c>
      <c r="F9" s="109" t="s">
        <v>50</v>
      </c>
      <c r="G9" s="67" t="s">
        <v>397</v>
      </c>
      <c r="I9" s="109" t="s">
        <v>56</v>
      </c>
      <c r="J9" s="109">
        <f>C11</f>
        <v>1.0</v>
      </c>
      <c r="K9" s="111">
        <f>E11</f>
        <v>24235.0</v>
      </c>
      <c r="L9" s="112">
        <f t="shared" si="1"/>
        <v>0.0044979459040110316</v>
      </c>
    </row>
    <row r="10" spans="8:8" ht="15.0" customHeight="1">
      <c r="A10" s="107">
        <v>46225.0</v>
      </c>
      <c r="B10" s="109" t="s">
        <v>190</v>
      </c>
      <c r="C10" s="109">
        <v>1.0</v>
      </c>
      <c r="D10" s="109">
        <v>28445.0</v>
      </c>
      <c r="E10" s="111">
        <f t="shared" si="0"/>
        <v>28445.0</v>
      </c>
      <c r="F10" s="109" t="s">
        <v>25</v>
      </c>
      <c r="G10" s="67" t="s">
        <v>398</v>
      </c>
      <c r="I10" s="109" t="s">
        <v>21</v>
      </c>
      <c r="J10" s="109">
        <f>C13+C22</f>
        <v>2.0</v>
      </c>
      <c r="K10" s="111">
        <f>E13+E22</f>
        <v>18000.0</v>
      </c>
      <c r="L10" s="112">
        <f t="shared" si="1"/>
        <v>0.0033407479377841375</v>
      </c>
    </row>
    <row r="11" spans="8:8" ht="15.0" customHeight="1">
      <c r="A11" s="107">
        <v>46225.0</v>
      </c>
      <c r="B11" s="109" t="s">
        <v>56</v>
      </c>
      <c r="C11" s="109">
        <v>1.0</v>
      </c>
      <c r="D11" s="109">
        <v>24235.0</v>
      </c>
      <c r="E11" s="111">
        <f t="shared" si="0"/>
        <v>24235.0</v>
      </c>
      <c r="F11" s="109" t="s">
        <v>25</v>
      </c>
      <c r="G11" s="67" t="s">
        <v>398</v>
      </c>
      <c r="I11" s="109" t="s">
        <v>44</v>
      </c>
      <c r="J11" s="109">
        <f>C15+C20</f>
        <v>2.0</v>
      </c>
      <c r="K11" s="111">
        <f>E15+E20</f>
        <v>18700.0</v>
      </c>
      <c r="L11" s="112">
        <f t="shared" si="1"/>
        <v>0.0034706659131424097</v>
      </c>
    </row>
    <row r="12" spans="8:8" ht="15.0" customHeight="1">
      <c r="A12" s="107">
        <v>46225.0</v>
      </c>
      <c r="B12" s="109" t="s">
        <v>24</v>
      </c>
      <c r="C12" s="109">
        <v>210.0</v>
      </c>
      <c r="D12" s="109">
        <v>5000.0</v>
      </c>
      <c r="E12" s="111">
        <f t="shared" si="0"/>
        <v>1050000.0</v>
      </c>
      <c r="F12" s="109" t="s">
        <v>25</v>
      </c>
      <c r="G12" s="67" t="s">
        <v>400</v>
      </c>
      <c r="I12" s="109" t="s">
        <v>45</v>
      </c>
      <c r="J12" s="109">
        <f>C16+C19</f>
        <v>2.0</v>
      </c>
      <c r="K12" s="111">
        <f>E16+E19</f>
        <v>27900.0</v>
      </c>
      <c r="L12" s="112">
        <f t="shared" si="1"/>
        <v>0.005178159303565413</v>
      </c>
    </row>
    <row r="13" spans="8:8" ht="15.0" customHeight="1">
      <c r="A13" s="107">
        <v>46225.0</v>
      </c>
      <c r="B13" s="109" t="s">
        <v>21</v>
      </c>
      <c r="C13" s="109">
        <v>1.0</v>
      </c>
      <c r="D13" s="109">
        <v>9000.0</v>
      </c>
      <c r="E13" s="111">
        <f t="shared" si="0"/>
        <v>9000.0</v>
      </c>
      <c r="F13" s="109" t="s">
        <v>15</v>
      </c>
      <c r="G13" s="67" t="s">
        <v>402</v>
      </c>
      <c r="I13" s="109" t="s">
        <v>119</v>
      </c>
      <c r="J13" s="109">
        <f>C23</f>
        <v>1.0</v>
      </c>
      <c r="K13" s="111">
        <f>E23</f>
        <v>13900.0</v>
      </c>
      <c r="L13" s="112">
        <f t="shared" si="1"/>
        <v>0.0025797997963999727</v>
      </c>
    </row>
    <row r="14" spans="8:8" ht="15.0" customHeight="1">
      <c r="A14" s="107">
        <v>46225.0</v>
      </c>
      <c r="B14" s="109" t="s">
        <v>22</v>
      </c>
      <c r="C14" s="109">
        <v>1.0</v>
      </c>
      <c r="D14" s="109">
        <v>9500.0</v>
      </c>
      <c r="E14" s="111">
        <f t="shared" si="0"/>
        <v>9500.0</v>
      </c>
      <c r="F14" s="109" t="s">
        <v>15</v>
      </c>
      <c r="G14" s="67" t="s">
        <v>402</v>
      </c>
      <c r="I14" s="109" t="s">
        <v>37</v>
      </c>
      <c r="J14" s="109">
        <f>C24</f>
        <v>1.0</v>
      </c>
      <c r="K14" s="111">
        <f>E24</f>
        <v>9200.0</v>
      </c>
      <c r="L14" s="112">
        <f t="shared" si="1"/>
        <v>0.0017074933904230036</v>
      </c>
    </row>
    <row r="15" spans="8:8" ht="15.0" customHeight="1">
      <c r="A15" s="107">
        <v>46225.0</v>
      </c>
      <c r="B15" s="109" t="s">
        <v>44</v>
      </c>
      <c r="C15" s="109">
        <v>1.0</v>
      </c>
      <c r="D15" s="109">
        <v>9500.0</v>
      </c>
      <c r="E15" s="111">
        <f t="shared" si="0"/>
        <v>9500.0</v>
      </c>
      <c r="F15" s="109" t="s">
        <v>15</v>
      </c>
      <c r="G15" s="67" t="s">
        <v>402</v>
      </c>
      <c r="I15" s="109" t="s">
        <v>701</v>
      </c>
      <c r="J15" s="109">
        <f>SUM(J2:J14)</f>
        <v>778.0</v>
      </c>
      <c r="K15" s="111">
        <f>SUM(K2:K14)</f>
        <v>5388015.0</v>
      </c>
      <c r="L15" s="112">
        <f t="shared" si="1"/>
        <v>1.0</v>
      </c>
    </row>
    <row r="16" spans="8:8" ht="15.0" customHeight="1">
      <c r="A16" s="107">
        <v>46225.0</v>
      </c>
      <c r="B16" s="109" t="s">
        <v>45</v>
      </c>
      <c r="C16" s="109">
        <v>1.0</v>
      </c>
      <c r="D16" s="109">
        <v>13950.0</v>
      </c>
      <c r="E16" s="111">
        <f t="shared" si="0"/>
        <v>13950.0</v>
      </c>
      <c r="F16" s="109" t="s">
        <v>15</v>
      </c>
      <c r="G16" s="67" t="s">
        <v>402</v>
      </c>
    </row>
    <row r="17" spans="8:8" ht="25.5" customHeight="1">
      <c r="A17" s="107">
        <v>46225.0</v>
      </c>
      <c r="B17" s="109" t="s">
        <v>22</v>
      </c>
      <c r="C17" s="109">
        <v>60.0</v>
      </c>
      <c r="D17" s="109">
        <v>9200.0</v>
      </c>
      <c r="E17" s="111">
        <f t="shared" si="0"/>
        <v>552000.0</v>
      </c>
      <c r="F17" s="109" t="s">
        <v>75</v>
      </c>
      <c r="G17" s="67" t="s">
        <v>403</v>
      </c>
      <c r="I17" s="106" t="s">
        <v>691</v>
      </c>
      <c r="J17" s="106" t="s">
        <v>690</v>
      </c>
      <c r="K17" s="106" t="s">
        <v>695</v>
      </c>
      <c r="L17" s="106" t="s">
        <v>702</v>
      </c>
    </row>
    <row r="18" spans="8:8" ht="15.0" customHeight="1">
      <c r="A18" s="107">
        <v>46225.0</v>
      </c>
      <c r="B18" s="109" t="s">
        <v>70</v>
      </c>
      <c r="C18" s="109">
        <v>1.0</v>
      </c>
      <c r="D18" s="109">
        <v>13460.0</v>
      </c>
      <c r="E18" s="111">
        <f t="shared" si="0"/>
        <v>13460.0</v>
      </c>
      <c r="F18" s="109" t="s">
        <v>122</v>
      </c>
      <c r="G18" s="67" t="s">
        <v>405</v>
      </c>
      <c r="I18" s="109" t="s">
        <v>50</v>
      </c>
      <c r="J18" s="111">
        <f>E2+E3+E4+E5+E9</f>
        <v>2894475.0</v>
      </c>
      <c r="K18" s="112">
        <f t="shared" si="2" ref="K18:K24">J18/J$24</f>
        <v>0.5372061881787634</v>
      </c>
      <c r="L18" s="112">
        <v>-0.0109</v>
      </c>
    </row>
    <row r="19" spans="8:8" ht="15.0" customHeight="1">
      <c r="A19" s="107">
        <v>46225.0</v>
      </c>
      <c r="B19" s="109" t="s">
        <v>45</v>
      </c>
      <c r="C19" s="109">
        <v>1.0</v>
      </c>
      <c r="D19" s="109">
        <v>13950.0</v>
      </c>
      <c r="E19" s="111">
        <f t="shared" si="0"/>
        <v>13950.0</v>
      </c>
      <c r="F19" s="109" t="s">
        <v>122</v>
      </c>
      <c r="G19" s="67" t="s">
        <v>405</v>
      </c>
      <c r="I19" s="109" t="s">
        <v>75</v>
      </c>
      <c r="J19" s="111">
        <f>E6+E17</f>
        <v>752000.0</v>
      </c>
      <c r="K19" s="112">
        <f t="shared" si="2"/>
        <v>0.13956902495631507</v>
      </c>
      <c r="L19" s="112">
        <v>0.0327</v>
      </c>
    </row>
    <row r="20" spans="8:8" ht="15.0" customHeight="1">
      <c r="A20" s="107">
        <v>46225.0</v>
      </c>
      <c r="B20" s="109" t="s">
        <v>44</v>
      </c>
      <c r="C20" s="109">
        <v>1.0</v>
      </c>
      <c r="D20" s="109">
        <v>9200.0</v>
      </c>
      <c r="E20" s="111">
        <f t="shared" si="0"/>
        <v>9200.0</v>
      </c>
      <c r="F20" s="109" t="s">
        <v>122</v>
      </c>
      <c r="G20" s="67" t="s">
        <v>405</v>
      </c>
      <c r="I20" s="109" t="s">
        <v>394</v>
      </c>
      <c r="J20" s="111">
        <f>E7</f>
        <v>500000.0</v>
      </c>
      <c r="K20" s="112">
        <f t="shared" si="2"/>
        <v>0.09279855382733715</v>
      </c>
      <c r="L20" s="112">
        <v>-0.04</v>
      </c>
    </row>
    <row r="21" spans="8:8" ht="15.0" customHeight="1">
      <c r="A21" s="107">
        <v>46225.0</v>
      </c>
      <c r="B21" s="109" t="s">
        <v>22</v>
      </c>
      <c r="C21" s="109">
        <v>1.0</v>
      </c>
      <c r="D21" s="109">
        <v>9200.0</v>
      </c>
      <c r="E21" s="111">
        <f t="shared" si="0"/>
        <v>9200.0</v>
      </c>
      <c r="F21" s="109" t="s">
        <v>122</v>
      </c>
      <c r="G21" s="67" t="s">
        <v>405</v>
      </c>
      <c r="I21" s="109" t="s">
        <v>15</v>
      </c>
      <c r="J21" s="111">
        <f>E8+E13+E14+E15+E16+E23+E24</f>
        <v>84050.0</v>
      </c>
      <c r="K21" s="112">
        <f t="shared" si="2"/>
        <v>0.015599436898375375</v>
      </c>
      <c r="L21" s="112">
        <v>0.0869</v>
      </c>
    </row>
    <row r="22" spans="8:8" ht="15.0" customHeight="1">
      <c r="A22" s="107">
        <v>46225.0</v>
      </c>
      <c r="B22" s="109" t="s">
        <v>21</v>
      </c>
      <c r="C22" s="109">
        <v>1.0</v>
      </c>
      <c r="D22" s="109">
        <v>9000.0</v>
      </c>
      <c r="E22" s="111">
        <f t="shared" si="0"/>
        <v>9000.0</v>
      </c>
      <c r="F22" s="109" t="s">
        <v>122</v>
      </c>
      <c r="G22" s="67" t="s">
        <v>405</v>
      </c>
      <c r="I22" s="109" t="s">
        <v>25</v>
      </c>
      <c r="J22" s="111">
        <f>E10+E11+E12</f>
        <v>1102680.0</v>
      </c>
      <c r="K22" s="112">
        <f t="shared" si="2"/>
        <v>0.20465421866865627</v>
      </c>
      <c r="L22" s="112">
        <v>-0.034</v>
      </c>
    </row>
    <row r="23" spans="8:8" ht="15.0" customHeight="1">
      <c r="A23" s="107">
        <v>46225.0</v>
      </c>
      <c r="B23" s="109" t="s">
        <v>119</v>
      </c>
      <c r="C23" s="109">
        <v>1.0</v>
      </c>
      <c r="D23" s="109">
        <v>13900.0</v>
      </c>
      <c r="E23" s="111">
        <f t="shared" si="0"/>
        <v>13900.0</v>
      </c>
      <c r="F23" s="109" t="s">
        <v>15</v>
      </c>
      <c r="G23" s="67" t="s">
        <v>406</v>
      </c>
      <c r="I23" s="109" t="s">
        <v>122</v>
      </c>
      <c r="J23" s="111">
        <f>E18+E19+E20+E21+E22</f>
        <v>54810.0</v>
      </c>
      <c r="K23" s="112">
        <f t="shared" si="2"/>
        <v>0.0101725774705527</v>
      </c>
      <c r="L23" s="112">
        <v>0.0627</v>
      </c>
    </row>
    <row r="24" spans="8:8" ht="15.0" customHeight="1">
      <c r="A24" s="107">
        <v>46225.0</v>
      </c>
      <c r="B24" s="109" t="s">
        <v>37</v>
      </c>
      <c r="C24" s="109">
        <v>1.0</v>
      </c>
      <c r="D24" s="109">
        <v>9200.0</v>
      </c>
      <c r="E24" s="111">
        <f t="shared" si="0"/>
        <v>9200.0</v>
      </c>
      <c r="F24" s="109" t="s">
        <v>15</v>
      </c>
      <c r="G24" s="67" t="s">
        <v>406</v>
      </c>
      <c r="I24" s="109" t="s">
        <v>703</v>
      </c>
      <c r="J24" s="111">
        <f>SUM(J18:J23)</f>
        <v>5388015.0</v>
      </c>
      <c r="K24" s="112">
        <f t="shared" si="2"/>
        <v>1.0</v>
      </c>
      <c r="L24" s="68"/>
    </row>
    <row r="25" spans="8:8" ht="15.0" customHeight="1">
      <c r="A25" s="68"/>
      <c r="B25" s="109" t="s">
        <v>701</v>
      </c>
      <c r="C25" s="109">
        <f>SUM(C2:C24)</f>
        <v>778.0</v>
      </c>
      <c r="D25" s="109">
        <f>SUM(D2:D24)</f>
        <v>272850.0</v>
      </c>
      <c r="E25" s="111">
        <f>SUM(E2:E24)</f>
        <v>5388015.0</v>
      </c>
      <c r="F25" s="68"/>
      <c r="G25" s="68"/>
    </row>
    <row r="26" spans="8:8" ht="25.5" customHeight="1">
      <c r="I26" s="106" t="s">
        <v>692</v>
      </c>
      <c r="J26" s="106" t="s">
        <v>690</v>
      </c>
      <c r="K26" s="106" t="s">
        <v>702</v>
      </c>
    </row>
    <row r="27" spans="8:8" ht="15.0" customHeight="1">
      <c r="I27" s="135" t="s">
        <v>390</v>
      </c>
      <c r="J27" s="111">
        <v>1654475.0</v>
      </c>
      <c r="K27" s="112">
        <v>0.01</v>
      </c>
    </row>
    <row r="28" spans="8:8" ht="15.0" customHeight="1">
      <c r="I28" s="135" t="s">
        <v>392</v>
      </c>
      <c r="J28" s="111">
        <v>200000.0</v>
      </c>
      <c r="K28" s="112">
        <v>-0.04</v>
      </c>
    </row>
    <row r="29" spans="8:8" ht="15.0" customHeight="1">
      <c r="I29" s="135" t="s">
        <v>395</v>
      </c>
      <c r="J29" s="111">
        <v>500000.0</v>
      </c>
      <c r="K29" s="112">
        <v>-0.04</v>
      </c>
    </row>
    <row r="30" spans="8:8" ht="15.0" customHeight="1">
      <c r="I30" s="135" t="s">
        <v>396</v>
      </c>
      <c r="J30" s="111">
        <v>19000.0</v>
      </c>
      <c r="K30" s="112">
        <v>0.09</v>
      </c>
    </row>
    <row r="31" spans="8:8" ht="15.0" customHeight="1">
      <c r="I31" s="135" t="s">
        <v>397</v>
      </c>
      <c r="J31" s="111">
        <v>1240000.0</v>
      </c>
      <c r="K31" s="112">
        <v>-0.04</v>
      </c>
    </row>
    <row r="32" spans="8:8" ht="15.0" customHeight="1">
      <c r="I32" s="135" t="s">
        <v>398</v>
      </c>
      <c r="J32" s="111">
        <v>52680.0</v>
      </c>
      <c r="K32" s="112">
        <v>0.09</v>
      </c>
    </row>
    <row r="33" spans="8:8" ht="15.0" customHeight="1">
      <c r="I33" s="135" t="s">
        <v>400</v>
      </c>
      <c r="J33" s="111">
        <v>1050000.0</v>
      </c>
      <c r="K33" s="112">
        <v>-0.04</v>
      </c>
    </row>
    <row r="34" spans="8:8" ht="15.0" customHeight="1">
      <c r="I34" s="135" t="s">
        <v>402</v>
      </c>
      <c r="J34" s="111">
        <v>41950.0</v>
      </c>
      <c r="K34" s="112">
        <v>0.08</v>
      </c>
    </row>
    <row r="35" spans="8:8" ht="15.0" customHeight="1">
      <c r="I35" s="135" t="s">
        <v>403</v>
      </c>
      <c r="J35" s="111">
        <v>552000.0</v>
      </c>
      <c r="K35" s="112">
        <v>0.06</v>
      </c>
    </row>
    <row r="36" spans="8:8" ht="15.0" customHeight="1">
      <c r="I36" s="135" t="s">
        <v>405</v>
      </c>
      <c r="J36" s="111">
        <v>54810.0</v>
      </c>
      <c r="K36" s="112">
        <v>0.06</v>
      </c>
    </row>
    <row r="37" spans="8:8" ht="15.0" customHeight="1">
      <c r="I37" s="135" t="s">
        <v>406</v>
      </c>
      <c r="J37" s="111">
        <v>23100.0</v>
      </c>
      <c r="K37" s="112">
        <v>0.09</v>
      </c>
    </row>
    <row r="38" spans="8:8" ht="15.0" customHeight="1">
      <c r="I38" s="109" t="s">
        <v>703</v>
      </c>
      <c r="J38" s="111">
        <f>SUM(J27:J37)</f>
        <v>5388015.0</v>
      </c>
      <c r="K38" s="68"/>
    </row>
  </sheetData>
  <hyperlinks>
    <hyperlink ref="G2" r:id="rId2"/>
    <hyperlink ref="G3" r:id="rId3"/>
    <hyperlink ref="G4" r:id="rId4"/>
    <hyperlink ref="G5" r:id="rId5"/>
    <hyperlink ref="G6" r:id="rId6"/>
    <hyperlink ref="G7" r:id="rId7"/>
    <hyperlink ref="G8" r:id="rId8"/>
    <hyperlink ref="G9" r:id="rId9"/>
    <hyperlink ref="G10" r:id="rId10"/>
    <hyperlink ref="G11" r:id="rId11"/>
    <hyperlink ref="G12" r:id="rId12"/>
    <hyperlink ref="G13" r:id="rId13"/>
    <hyperlink ref="G14" r:id="rId14"/>
    <hyperlink ref="G15" r:id="rId15"/>
    <hyperlink ref="G16" r:id="rId16"/>
    <hyperlink ref="G17" r:id="rId17"/>
    <hyperlink ref="G18" r:id="rId18"/>
    <hyperlink ref="G19" r:id="rId19"/>
    <hyperlink ref="G20" r:id="rId20"/>
    <hyperlink ref="G21" r:id="rId21"/>
    <hyperlink ref="G22" r:id="rId22"/>
    <hyperlink ref="G23" r:id="rId23"/>
    <hyperlink ref="G24" r:id="rId24"/>
    <hyperlink ref="I27" r:id="rId25"/>
    <hyperlink ref="I28" r:id="rId26"/>
    <hyperlink ref="I29" r:id="rId27"/>
    <hyperlink ref="I30" r:id="rId28"/>
    <hyperlink ref="I31" r:id="rId29"/>
    <hyperlink ref="I32" r:id="rId30"/>
    <hyperlink ref="I33" r:id="rId31"/>
    <hyperlink ref="I34" r:id="rId32"/>
    <hyperlink ref="I35" r:id="rId33"/>
    <hyperlink ref="I36" r:id="rId34"/>
    <hyperlink ref="I37" r:id="rId35"/>
  </hyperlinks>
  <pageMargins left="0.75" right="0.75" top="1.0" bottom="1.0" header="0.511811023622047" footer="0.511811023622047"/>
  <drawing r:id="rId1"/>
</worksheet>
</file>

<file path=xl/worksheets/sheet26.xml><?xml version="1.0" encoding="utf-8"?>
<worksheet xmlns:r="http://schemas.openxmlformats.org/officeDocument/2006/relationships" xmlns="http://schemas.openxmlformats.org/spreadsheetml/2006/main">
  <dimension ref="A1:Q36"/>
  <sheetViews>
    <sheetView workbookViewId="0" topLeftCell="F1" zoomScale="68">
      <selection activeCell="Y33" sqref="Y33"/>
    </sheetView>
  </sheetViews>
  <sheetFormatPr defaultRowHeight="14.5"/>
  <cols>
    <col min="1" max="1" customWidth="1" width="9.453125" style="60"/>
    <col min="2" max="2" customWidth="1" width="19.0" style="60"/>
    <col min="3" max="3" customWidth="1" width="10.90625" style="60"/>
    <col min="4" max="4" customWidth="1" width="14.7265625" style="60"/>
    <col min="5" max="5" customWidth="1" width="12.453125" style="60"/>
    <col min="6" max="6" customWidth="1" width="37.089844" style="60"/>
    <col min="7" max="7" customWidth="1" width="12.7265625" style="60"/>
    <col min="8" max="8" customWidth="1" width="3.0" style="60"/>
    <col min="9" max="9" customWidth="1" width="37.089844" style="60"/>
    <col min="10" max="10" customWidth="1" width="12.453125" style="60"/>
    <col min="11" max="12" customWidth="1" width="17.726562" style="60"/>
    <col min="13" max="13" customWidth="1" width="3.0" style="60"/>
    <col min="14" max="14" customWidth="1" width="12.1796875" style="60"/>
    <col min="15" max="15" customWidth="1" width="15.453125" style="60"/>
    <col min="16" max="16" customWidth="1" width="15.542969" style="60"/>
  </cols>
  <sheetData>
    <row r="1" spans="8:8" ht="25.5" customHeight="1">
      <c r="A1" s="106" t="s">
        <v>686</v>
      </c>
      <c r="B1" s="106" t="s">
        <v>687</v>
      </c>
      <c r="C1" s="106" t="s">
        <v>688</v>
      </c>
      <c r="D1" s="106" t="s">
        <v>689</v>
      </c>
      <c r="E1" s="106" t="s">
        <v>690</v>
      </c>
      <c r="F1" s="106" t="s">
        <v>691</v>
      </c>
      <c r="G1" s="106" t="s">
        <v>692</v>
      </c>
      <c r="I1" s="106" t="s">
        <v>687</v>
      </c>
      <c r="J1" s="106" t="s">
        <v>693</v>
      </c>
      <c r="K1" s="106" t="s">
        <v>694</v>
      </c>
      <c r="L1" s="106" t="s">
        <v>695</v>
      </c>
      <c r="N1" s="106" t="s">
        <v>696</v>
      </c>
      <c r="O1" s="106" t="s">
        <v>697</v>
      </c>
      <c r="P1" s="106" t="s">
        <v>698</v>
      </c>
    </row>
    <row r="2" spans="8:8" ht="15.0" customHeight="1">
      <c r="A2" s="107">
        <v>46226.0</v>
      </c>
      <c r="B2" s="109" t="s">
        <v>24</v>
      </c>
      <c r="C2" s="109">
        <v>496.0</v>
      </c>
      <c r="D2" s="109">
        <v>5000.0</v>
      </c>
      <c r="E2" s="111">
        <f t="shared" si="0" ref="E2:E23">C2*D2</f>
        <v>2480000.0</v>
      </c>
      <c r="F2" s="109" t="s">
        <v>50</v>
      </c>
      <c r="G2" s="67" t="s">
        <v>407</v>
      </c>
      <c r="I2" s="109" t="s">
        <v>24</v>
      </c>
      <c r="J2" s="109">
        <f>C2+C4+C19</f>
        <v>804.0</v>
      </c>
      <c r="K2" s="111">
        <f>E2+E4+E19</f>
        <v>4020000.0</v>
      </c>
      <c r="L2" s="112">
        <f t="shared" si="1" ref="L2:L15">K2/K$15</f>
        <v>0.7839336503519414</v>
      </c>
      <c r="N2" s="111">
        <f>K15</f>
        <v>5127985.0</v>
      </c>
      <c r="O2" s="109">
        <f>J15</f>
        <v>916.0</v>
      </c>
      <c r="P2" s="109">
        <f>COUNT(J2:J14)</f>
        <v>13.0</v>
      </c>
    </row>
    <row r="3" spans="8:8" ht="15.0" customHeight="1">
      <c r="A3" s="107">
        <v>46226.0</v>
      </c>
      <c r="B3" s="109" t="s">
        <v>101</v>
      </c>
      <c r="C3" s="109">
        <v>5.0</v>
      </c>
      <c r="D3" s="109">
        <v>13550.0</v>
      </c>
      <c r="E3" s="111">
        <f t="shared" si="0"/>
        <v>67750.0</v>
      </c>
      <c r="F3" s="109" t="s">
        <v>50</v>
      </c>
      <c r="G3" s="67" t="s">
        <v>409</v>
      </c>
      <c r="I3" s="109" t="s">
        <v>101</v>
      </c>
      <c r="J3" s="109">
        <f>C3</f>
        <v>5.0</v>
      </c>
      <c r="K3" s="111">
        <f>E3</f>
        <v>67750.0</v>
      </c>
      <c r="L3" s="112">
        <f t="shared" si="1"/>
        <v>0.013211817117249757</v>
      </c>
    </row>
    <row r="4" spans="8:8" ht="15.0" customHeight="1">
      <c r="A4" s="107">
        <v>46226.0</v>
      </c>
      <c r="B4" s="109" t="s">
        <v>24</v>
      </c>
      <c r="C4" s="109">
        <v>248.0</v>
      </c>
      <c r="D4" s="109">
        <v>5000.0</v>
      </c>
      <c r="E4" s="111">
        <f t="shared" si="0"/>
        <v>1240000.0</v>
      </c>
      <c r="F4" s="109" t="s">
        <v>25</v>
      </c>
      <c r="G4" s="67" t="s">
        <v>411</v>
      </c>
      <c r="I4" s="109" t="s">
        <v>22</v>
      </c>
      <c r="J4" s="109">
        <f>C5+C8+C13+C20+C22</f>
        <v>51.0</v>
      </c>
      <c r="K4" s="111">
        <f>E5+E8+E13+E20+E22</f>
        <v>465740.0</v>
      </c>
      <c r="L4" s="112">
        <f t="shared" si="1"/>
        <v>0.09082319858579929</v>
      </c>
    </row>
    <row r="5" spans="8:8" ht="15.0" customHeight="1">
      <c r="A5" s="107">
        <v>46226.0</v>
      </c>
      <c r="B5" s="109" t="s">
        <v>22</v>
      </c>
      <c r="C5" s="109">
        <v>4.0</v>
      </c>
      <c r="D5" s="109">
        <v>9335.0</v>
      </c>
      <c r="E5" s="111">
        <f t="shared" si="0"/>
        <v>37340.0</v>
      </c>
      <c r="F5" s="109" t="s">
        <v>341</v>
      </c>
      <c r="G5" s="67" t="s">
        <v>412</v>
      </c>
      <c r="I5" s="109" t="s">
        <v>45</v>
      </c>
      <c r="J5" s="109">
        <f>C6+C18</f>
        <v>9.0</v>
      </c>
      <c r="K5" s="111">
        <f>E6+E18</f>
        <v>120015.0</v>
      </c>
      <c r="L5" s="112">
        <f t="shared" si="1"/>
        <v>0.023403929613678667</v>
      </c>
    </row>
    <row r="6" spans="8:8" ht="15.0" customHeight="1">
      <c r="A6" s="107">
        <v>46226.0</v>
      </c>
      <c r="B6" s="109" t="s">
        <v>45</v>
      </c>
      <c r="C6" s="109">
        <v>5.0</v>
      </c>
      <c r="D6" s="109">
        <v>13335.0</v>
      </c>
      <c r="E6" s="111">
        <f t="shared" si="0"/>
        <v>66675.0</v>
      </c>
      <c r="F6" s="109" t="s">
        <v>29</v>
      </c>
      <c r="G6" s="67" t="s">
        <v>414</v>
      </c>
      <c r="I6" s="109" t="s">
        <v>44</v>
      </c>
      <c r="J6" s="109">
        <f>C7+C14</f>
        <v>16.0</v>
      </c>
      <c r="K6" s="111">
        <f>E7+E14</f>
        <v>147200.0</v>
      </c>
      <c r="L6" s="112">
        <f t="shared" si="1"/>
        <v>0.028705232172090988</v>
      </c>
    </row>
    <row r="7" spans="8:8" ht="15.0" customHeight="1">
      <c r="A7" s="107">
        <v>46226.0</v>
      </c>
      <c r="B7" s="109" t="s">
        <v>44</v>
      </c>
      <c r="C7" s="109">
        <v>10.0</v>
      </c>
      <c r="D7" s="109">
        <v>9200.0</v>
      </c>
      <c r="E7" s="111">
        <f t="shared" si="0"/>
        <v>92000.0</v>
      </c>
      <c r="F7" s="109" t="s">
        <v>29</v>
      </c>
      <c r="G7" s="67" t="s">
        <v>414</v>
      </c>
      <c r="I7" s="109" t="s">
        <v>87</v>
      </c>
      <c r="J7" s="109">
        <f>C9</f>
        <v>1.0</v>
      </c>
      <c r="K7" s="111">
        <f>E9</f>
        <v>21400.0</v>
      </c>
      <c r="L7" s="112">
        <f t="shared" si="1"/>
        <v>0.004173179133714315</v>
      </c>
    </row>
    <row r="8" spans="8:8" ht="15.0" customHeight="1">
      <c r="A8" s="107">
        <v>46226.0</v>
      </c>
      <c r="B8" s="109" t="s">
        <v>22</v>
      </c>
      <c r="C8" s="109">
        <v>10.0</v>
      </c>
      <c r="D8" s="109">
        <v>8800.0</v>
      </c>
      <c r="E8" s="111">
        <f t="shared" si="0"/>
        <v>88000.0</v>
      </c>
      <c r="F8" s="109" t="s">
        <v>29</v>
      </c>
      <c r="G8" s="67" t="s">
        <v>414</v>
      </c>
      <c r="I8" s="109" t="s">
        <v>36</v>
      </c>
      <c r="J8" s="109">
        <f>C10</f>
        <v>2.0</v>
      </c>
      <c r="K8" s="111">
        <f>E10</f>
        <v>31050.0</v>
      </c>
      <c r="L8" s="112">
        <f t="shared" si="1"/>
        <v>0.006055009911300442</v>
      </c>
    </row>
    <row r="9" spans="8:8" ht="15.0" customHeight="1">
      <c r="A9" s="107">
        <v>46226.0</v>
      </c>
      <c r="B9" s="109" t="s">
        <v>87</v>
      </c>
      <c r="C9" s="109">
        <v>1.0</v>
      </c>
      <c r="D9" s="109">
        <v>21400.0</v>
      </c>
      <c r="E9" s="111">
        <f t="shared" si="0"/>
        <v>21400.0</v>
      </c>
      <c r="F9" s="109" t="s">
        <v>29</v>
      </c>
      <c r="G9" s="67" t="s">
        <v>414</v>
      </c>
      <c r="I9" s="109" t="s">
        <v>70</v>
      </c>
      <c r="J9" s="109">
        <f>C11</f>
        <v>1.0</v>
      </c>
      <c r="K9" s="111">
        <f>E11</f>
        <v>13460.0</v>
      </c>
      <c r="L9" s="112">
        <f t="shared" si="1"/>
        <v>0.002624812670083863</v>
      </c>
    </row>
    <row r="10" spans="8:8" ht="15.0" customHeight="1">
      <c r="A10" s="107">
        <v>46226.0</v>
      </c>
      <c r="B10" s="109" t="s">
        <v>36</v>
      </c>
      <c r="C10" s="109">
        <v>2.0</v>
      </c>
      <c r="D10" s="109">
        <v>15525.0</v>
      </c>
      <c r="E10" s="111">
        <f t="shared" si="0"/>
        <v>31050.0</v>
      </c>
      <c r="F10" s="109" t="s">
        <v>29</v>
      </c>
      <c r="G10" s="67" t="s">
        <v>414</v>
      </c>
      <c r="I10" s="109" t="s">
        <v>65</v>
      </c>
      <c r="J10" s="109">
        <f>C12</f>
        <v>2.0</v>
      </c>
      <c r="K10" s="111">
        <f>E12</f>
        <v>23820.0</v>
      </c>
      <c r="L10" s="112">
        <f t="shared" si="1"/>
        <v>0.004645099390891354</v>
      </c>
    </row>
    <row r="11" spans="8:8" ht="15.0" customHeight="1">
      <c r="A11" s="107">
        <v>46226.0</v>
      </c>
      <c r="B11" s="109" t="s">
        <v>70</v>
      </c>
      <c r="C11" s="109">
        <v>1.0</v>
      </c>
      <c r="D11" s="109">
        <v>13460.0</v>
      </c>
      <c r="E11" s="111">
        <f t="shared" si="0"/>
        <v>13460.0</v>
      </c>
      <c r="F11" s="109" t="s">
        <v>29</v>
      </c>
      <c r="G11" s="67" t="s">
        <v>414</v>
      </c>
      <c r="I11" s="109" t="s">
        <v>37</v>
      </c>
      <c r="J11" s="109">
        <f>C15</f>
        <v>5.0</v>
      </c>
      <c r="K11" s="111">
        <f>E15</f>
        <v>44400.0</v>
      </c>
      <c r="L11" s="112">
        <f t="shared" si="1"/>
        <v>0.008658371660603532</v>
      </c>
    </row>
    <row r="12" spans="8:8" ht="15.0" customHeight="1">
      <c r="A12" s="107">
        <v>46226.0</v>
      </c>
      <c r="B12" s="109" t="s">
        <v>65</v>
      </c>
      <c r="C12" s="109">
        <v>2.0</v>
      </c>
      <c r="D12" s="109">
        <v>11910.0</v>
      </c>
      <c r="E12" s="111">
        <f t="shared" si="0"/>
        <v>23820.0</v>
      </c>
      <c r="F12" s="109" t="s">
        <v>29</v>
      </c>
      <c r="G12" s="67" t="s">
        <v>414</v>
      </c>
      <c r="I12" s="109" t="s">
        <v>100</v>
      </c>
      <c r="J12" s="109">
        <f>C16</f>
        <v>2.0</v>
      </c>
      <c r="K12" s="111">
        <f>E16</f>
        <v>22960.0</v>
      </c>
      <c r="L12" s="112">
        <f t="shared" si="1"/>
        <v>0.004477392192059844</v>
      </c>
    </row>
    <row r="13" spans="8:8" ht="15.0" customHeight="1">
      <c r="A13" s="107">
        <v>46226.0</v>
      </c>
      <c r="B13" s="109" t="s">
        <v>22</v>
      </c>
      <c r="C13" s="109">
        <v>20.0</v>
      </c>
      <c r="D13" s="109">
        <v>9200.0</v>
      </c>
      <c r="E13" s="111">
        <f t="shared" si="0"/>
        <v>184000.0</v>
      </c>
      <c r="F13" s="109" t="s">
        <v>157</v>
      </c>
      <c r="G13" s="67" t="s">
        <v>416</v>
      </c>
      <c r="I13" s="109" t="s">
        <v>80</v>
      </c>
      <c r="J13" s="109">
        <f>C17</f>
        <v>2.0</v>
      </c>
      <c r="K13" s="111">
        <f>E17</f>
        <v>18690.0</v>
      </c>
      <c r="L13" s="112">
        <f t="shared" si="1"/>
        <v>0.0036447064490243244</v>
      </c>
    </row>
    <row r="14" spans="8:8" ht="15.0" customHeight="1">
      <c r="A14" s="107">
        <v>46226.0</v>
      </c>
      <c r="B14" s="109" t="s">
        <v>44</v>
      </c>
      <c r="C14" s="109">
        <v>6.0</v>
      </c>
      <c r="D14" s="109">
        <v>9200.0</v>
      </c>
      <c r="E14" s="111">
        <f t="shared" si="0"/>
        <v>55200.0</v>
      </c>
      <c r="F14" s="109" t="s">
        <v>157</v>
      </c>
      <c r="G14" s="67" t="s">
        <v>416</v>
      </c>
      <c r="I14" s="109" t="s">
        <v>21</v>
      </c>
      <c r="J14" s="109">
        <f>C21+C23</f>
        <v>16.0</v>
      </c>
      <c r="K14" s="111">
        <f>E21+E23</f>
        <v>131500.0</v>
      </c>
      <c r="L14" s="112">
        <f t="shared" si="1"/>
        <v>0.02564360075156226</v>
      </c>
    </row>
    <row r="15" spans="8:8" ht="15.0" customHeight="1">
      <c r="A15" s="107">
        <v>46226.0</v>
      </c>
      <c r="B15" s="109" t="s">
        <v>37</v>
      </c>
      <c r="C15" s="109">
        <v>5.0</v>
      </c>
      <c r="D15" s="109">
        <v>8880.0</v>
      </c>
      <c r="E15" s="111">
        <f t="shared" si="0"/>
        <v>44400.0</v>
      </c>
      <c r="F15" s="109" t="s">
        <v>157</v>
      </c>
      <c r="G15" s="67" t="s">
        <v>416</v>
      </c>
      <c r="I15" s="109" t="s">
        <v>701</v>
      </c>
      <c r="J15" s="109">
        <f>SUM(J2:J14)</f>
        <v>916.0</v>
      </c>
      <c r="K15" s="111">
        <f>SUM(K2:K14)</f>
        <v>5127985.0</v>
      </c>
      <c r="L15" s="112">
        <f t="shared" si="1"/>
        <v>1.0</v>
      </c>
    </row>
    <row r="16" spans="8:8" ht="15.0" customHeight="1">
      <c r="A16" s="107">
        <v>46226.0</v>
      </c>
      <c r="B16" s="109" t="s">
        <v>100</v>
      </c>
      <c r="C16" s="109">
        <v>2.0</v>
      </c>
      <c r="D16" s="109">
        <v>11480.0</v>
      </c>
      <c r="E16" s="111">
        <f t="shared" si="0"/>
        <v>22960.0</v>
      </c>
      <c r="F16" s="109" t="s">
        <v>157</v>
      </c>
      <c r="G16" s="67" t="s">
        <v>416</v>
      </c>
    </row>
    <row r="17" spans="8:8" ht="25.5" customHeight="1">
      <c r="A17" s="107">
        <v>46226.0</v>
      </c>
      <c r="B17" s="109" t="s">
        <v>80</v>
      </c>
      <c r="C17" s="109">
        <v>2.0</v>
      </c>
      <c r="D17" s="109">
        <v>9345.0</v>
      </c>
      <c r="E17" s="111">
        <f t="shared" si="0"/>
        <v>18690.0</v>
      </c>
      <c r="F17" s="109" t="s">
        <v>157</v>
      </c>
      <c r="G17" s="67" t="s">
        <v>416</v>
      </c>
      <c r="I17" s="106" t="s">
        <v>691</v>
      </c>
      <c r="J17" s="106" t="s">
        <v>690</v>
      </c>
      <c r="K17" s="106" t="s">
        <v>695</v>
      </c>
      <c r="L17" s="106" t="s">
        <v>702</v>
      </c>
    </row>
    <row r="18" spans="8:8" ht="15.0" customHeight="1">
      <c r="A18" s="107">
        <v>46226.0</v>
      </c>
      <c r="B18" s="109" t="s">
        <v>45</v>
      </c>
      <c r="C18" s="109">
        <v>4.0</v>
      </c>
      <c r="D18" s="109">
        <v>13335.0</v>
      </c>
      <c r="E18" s="111">
        <f t="shared" si="0"/>
        <v>53340.0</v>
      </c>
      <c r="F18" s="109" t="s">
        <v>157</v>
      </c>
      <c r="G18" s="67" t="s">
        <v>416</v>
      </c>
      <c r="I18" s="109" t="s">
        <v>50</v>
      </c>
      <c r="J18" s="111">
        <f>E2+E3</f>
        <v>2547750.0</v>
      </c>
      <c r="K18" s="112">
        <f t="shared" si="2" ref="K18:K24">J18/J$24</f>
        <v>0.4968325765383479</v>
      </c>
      <c r="L18" s="112">
        <v>-0.0377</v>
      </c>
    </row>
    <row r="19" spans="8:8" ht="15.0" customHeight="1">
      <c r="A19" s="107">
        <v>46226.0</v>
      </c>
      <c r="B19" s="109" t="s">
        <v>24</v>
      </c>
      <c r="C19" s="109">
        <v>60.0</v>
      </c>
      <c r="D19" s="109">
        <v>5000.0</v>
      </c>
      <c r="E19" s="111">
        <f t="shared" si="0"/>
        <v>300000.0</v>
      </c>
      <c r="F19" s="109" t="s">
        <v>29</v>
      </c>
      <c r="G19" s="67" t="s">
        <v>418</v>
      </c>
      <c r="I19" s="109" t="s">
        <v>25</v>
      </c>
      <c r="J19" s="111">
        <f>E4+E22+E23</f>
        <v>1501000.0</v>
      </c>
      <c r="K19" s="112">
        <f t="shared" si="2"/>
        <v>0.292707564472205</v>
      </c>
      <c r="L19" s="112">
        <v>-0.0202</v>
      </c>
    </row>
    <row r="20" spans="8:8" ht="15.0" customHeight="1">
      <c r="A20" s="107">
        <v>46226.0</v>
      </c>
      <c r="B20" s="109" t="s">
        <v>22</v>
      </c>
      <c r="C20" s="109">
        <v>2.0</v>
      </c>
      <c r="D20" s="109">
        <v>9200.0</v>
      </c>
      <c r="E20" s="111">
        <f t="shared" si="0"/>
        <v>18400.0</v>
      </c>
      <c r="F20" s="109" t="s">
        <v>336</v>
      </c>
      <c r="G20" s="67" t="s">
        <v>420</v>
      </c>
      <c r="I20" s="109" t="s">
        <v>341</v>
      </c>
      <c r="J20" s="111">
        <f>E5</f>
        <v>37340.0</v>
      </c>
      <c r="K20" s="112">
        <f t="shared" si="2"/>
        <v>0.007281612563219277</v>
      </c>
      <c r="L20" s="112">
        <v>0.0727</v>
      </c>
    </row>
    <row r="21" spans="8:8" ht="15.0" customHeight="1">
      <c r="A21" s="107">
        <v>46226.0</v>
      </c>
      <c r="B21" s="109" t="s">
        <v>21</v>
      </c>
      <c r="C21" s="109">
        <v>1.0</v>
      </c>
      <c r="D21" s="109">
        <v>8500.0</v>
      </c>
      <c r="E21" s="111">
        <f t="shared" si="0"/>
        <v>8500.0</v>
      </c>
      <c r="F21" s="109" t="s">
        <v>336</v>
      </c>
      <c r="G21" s="67" t="s">
        <v>420</v>
      </c>
      <c r="I21" s="109" t="s">
        <v>29</v>
      </c>
      <c r="J21" s="111">
        <f>E6+E7+E8+E9+E10+E11+E12+E19</f>
        <v>636405.0</v>
      </c>
      <c r="K21" s="112">
        <f t="shared" si="2"/>
        <v>0.12410430217717096</v>
      </c>
      <c r="L21" s="112">
        <v>0.024</v>
      </c>
    </row>
    <row r="22" spans="8:8" ht="15.0" customHeight="1">
      <c r="A22" s="107">
        <v>46226.0</v>
      </c>
      <c r="B22" s="109" t="s">
        <v>22</v>
      </c>
      <c r="C22" s="109">
        <v>15.0</v>
      </c>
      <c r="D22" s="109">
        <v>9200.0</v>
      </c>
      <c r="E22" s="111">
        <f t="shared" si="0"/>
        <v>138000.0</v>
      </c>
      <c r="F22" s="109" t="s">
        <v>25</v>
      </c>
      <c r="G22" s="67" t="s">
        <v>421</v>
      </c>
      <c r="I22" s="109" t="s">
        <v>157</v>
      </c>
      <c r="J22" s="111">
        <f>E13+E14+E15+E16+E17+E18</f>
        <v>378590.0</v>
      </c>
      <c r="K22" s="112">
        <f t="shared" si="2"/>
        <v>0.07382821907630385</v>
      </c>
      <c r="L22" s="112">
        <v>0.0792</v>
      </c>
    </row>
    <row r="23" spans="8:8" ht="15.0" customHeight="1">
      <c r="A23" s="107">
        <v>46226.0</v>
      </c>
      <c r="B23" s="109" t="s">
        <v>21</v>
      </c>
      <c r="C23" s="109">
        <v>15.0</v>
      </c>
      <c r="D23" s="109">
        <v>8200.0</v>
      </c>
      <c r="E23" s="111">
        <f t="shared" si="0"/>
        <v>123000.0</v>
      </c>
      <c r="F23" s="109" t="s">
        <v>25</v>
      </c>
      <c r="G23" s="67" t="s">
        <v>421</v>
      </c>
      <c r="I23" s="109" t="s">
        <v>336</v>
      </c>
      <c r="J23" s="111">
        <f>E20+E21</f>
        <v>26900.0</v>
      </c>
      <c r="K23" s="112">
        <f t="shared" si="2"/>
        <v>0.005245725172753041</v>
      </c>
      <c r="L23" s="112">
        <v>0.0545</v>
      </c>
    </row>
    <row r="24" spans="8:8" ht="15.0" customHeight="1">
      <c r="A24" s="68"/>
      <c r="B24" s="109" t="s">
        <v>701</v>
      </c>
      <c r="C24" s="109">
        <f>SUM(C2:C23)</f>
        <v>916.0</v>
      </c>
      <c r="D24" s="109">
        <f>SUM(D2:D23)</f>
        <v>228055.0</v>
      </c>
      <c r="E24" s="111">
        <f>SUM(E2:E23)</f>
        <v>5127985.0</v>
      </c>
      <c r="F24" s="68"/>
      <c r="G24" s="68"/>
      <c r="I24" s="109" t="s">
        <v>703</v>
      </c>
      <c r="J24" s="111">
        <f>SUM(J18:J23)</f>
        <v>5127985.0</v>
      </c>
      <c r="K24" s="112">
        <f t="shared" si="2"/>
        <v>1.0</v>
      </c>
      <c r="L24" s="68"/>
    </row>
    <row r="26" spans="8:8" ht="25.5" customHeight="1">
      <c r="I26" s="106" t="s">
        <v>692</v>
      </c>
      <c r="J26" s="106" t="s">
        <v>690</v>
      </c>
      <c r="K26" s="106" t="s">
        <v>702</v>
      </c>
    </row>
    <row r="27" spans="8:8" ht="15.0" customHeight="1">
      <c r="I27" s="135" t="s">
        <v>407</v>
      </c>
      <c r="J27" s="111">
        <v>2480000.0</v>
      </c>
      <c r="K27" s="112">
        <v>-0.04</v>
      </c>
    </row>
    <row r="28" spans="8:8" ht="15.0" customHeight="1">
      <c r="I28" s="135" t="s">
        <v>409</v>
      </c>
      <c r="J28" s="111">
        <v>67750.0</v>
      </c>
      <c r="K28" s="112">
        <v>0.05</v>
      </c>
    </row>
    <row r="29" spans="8:8" ht="15.0" customHeight="1">
      <c r="I29" s="135" t="s">
        <v>411</v>
      </c>
      <c r="J29" s="111">
        <v>1240000.0</v>
      </c>
      <c r="K29" s="112">
        <v>-0.04</v>
      </c>
    </row>
    <row r="30" spans="8:8" ht="15.0" customHeight="1">
      <c r="I30" s="135" t="s">
        <v>412</v>
      </c>
      <c r="J30" s="111">
        <v>37340.0</v>
      </c>
      <c r="K30" s="112">
        <v>0.07</v>
      </c>
    </row>
    <row r="31" spans="8:8" ht="15.0" customHeight="1">
      <c r="I31" s="135" t="s">
        <v>414</v>
      </c>
      <c r="J31" s="111">
        <v>391605.0</v>
      </c>
      <c r="K31" s="112">
        <v>0.07</v>
      </c>
    </row>
    <row r="32" spans="8:8" ht="15.0" customHeight="1">
      <c r="I32" s="135" t="s">
        <v>416</v>
      </c>
      <c r="J32" s="111">
        <v>449590.0</v>
      </c>
      <c r="K32" s="112">
        <v>0.08</v>
      </c>
    </row>
    <row r="33" spans="8:8" ht="15.0" customHeight="1">
      <c r="I33" s="135" t="s">
        <v>418</v>
      </c>
      <c r="J33" s="111">
        <v>300000.0</v>
      </c>
      <c r="K33" s="112">
        <v>-0.04</v>
      </c>
    </row>
    <row r="34" spans="8:8" ht="15.0" customHeight="1">
      <c r="I34" s="135" t="s">
        <v>420</v>
      </c>
      <c r="J34" s="111">
        <v>26900.0</v>
      </c>
      <c r="K34" s="112">
        <v>0.05</v>
      </c>
    </row>
    <row r="35" spans="8:8" ht="15.0" customHeight="1">
      <c r="I35" s="135" t="s">
        <v>421</v>
      </c>
      <c r="J35" s="111">
        <v>316500.0</v>
      </c>
      <c r="K35" s="112">
        <v>0.06</v>
      </c>
    </row>
    <row r="36" spans="8:8" ht="15.0" customHeight="1">
      <c r="I36" s="109" t="s">
        <v>703</v>
      </c>
      <c r="J36" s="111">
        <f>SUM(J27:J35)</f>
        <v>5309685.0</v>
      </c>
      <c r="K36" s="68"/>
    </row>
  </sheetData>
  <hyperlinks>
    <hyperlink ref="G2" r:id="rId2"/>
    <hyperlink ref="G3" r:id="rId3"/>
    <hyperlink ref="G4" r:id="rId4"/>
    <hyperlink ref="G5" r:id="rId5"/>
    <hyperlink ref="G6" r:id="rId6"/>
    <hyperlink ref="G7" r:id="rId7"/>
    <hyperlink ref="G8" r:id="rId8"/>
    <hyperlink ref="G9" r:id="rId9"/>
    <hyperlink ref="G10" r:id="rId10"/>
    <hyperlink ref="G11" r:id="rId11"/>
    <hyperlink ref="G12" r:id="rId12"/>
    <hyperlink ref="G13" r:id="rId13"/>
    <hyperlink ref="G14" r:id="rId14"/>
    <hyperlink ref="G15" r:id="rId15"/>
    <hyperlink ref="G16" r:id="rId16"/>
    <hyperlink ref="G17" r:id="rId17"/>
    <hyperlink ref="G18" r:id="rId18"/>
    <hyperlink ref="G19" r:id="rId19"/>
    <hyperlink ref="G20" r:id="rId20"/>
    <hyperlink ref="G21" r:id="rId21"/>
    <hyperlink ref="G22" r:id="rId22"/>
    <hyperlink ref="G23" r:id="rId23"/>
    <hyperlink ref="I27" r:id="rId24"/>
    <hyperlink ref="I28" r:id="rId25"/>
    <hyperlink ref="I29" r:id="rId26"/>
    <hyperlink ref="I30" r:id="rId27"/>
    <hyperlink ref="I31" r:id="rId28"/>
    <hyperlink ref="I32" r:id="rId29"/>
    <hyperlink ref="I33" r:id="rId30"/>
    <hyperlink ref="I34" r:id="rId31"/>
    <hyperlink ref="I35" r:id="rId32"/>
  </hyperlinks>
  <pageMargins left="0.75" right="0.75" top="1.0" bottom="1.0" header="0.511811023622047" footer="0.511811023622047"/>
  <drawing r:id="rId1"/>
</worksheet>
</file>

<file path=xl/worksheets/sheet27.xml><?xml version="1.0" encoding="utf-8"?>
<worksheet xmlns:r="http://schemas.openxmlformats.org/officeDocument/2006/relationships" xmlns="http://schemas.openxmlformats.org/spreadsheetml/2006/main">
  <dimension ref="A1:Q42"/>
  <sheetViews>
    <sheetView workbookViewId="0" zoomScale="64">
      <selection activeCell="N4" sqref="N4"/>
    </sheetView>
  </sheetViews>
  <sheetFormatPr defaultRowHeight="14.5"/>
  <cols>
    <col min="1" max="1" customWidth="1" width="9.453125" style="60"/>
    <col min="2" max="2" customWidth="1" width="19.0" style="60"/>
    <col min="3" max="3" customWidth="1" width="11.269531" style="60"/>
    <col min="4" max="4" customWidth="1" width="15.269531" style="60"/>
    <col min="5" max="5" customWidth="1" width="13.0" style="60"/>
    <col min="6" max="6" customWidth="1" width="15.6328125" style="60"/>
    <col min="7" max="7" customWidth="1" width="11.90625" style="60"/>
    <col min="8" max="8" customWidth="1" width="3.0" style="60"/>
    <col min="9" max="9" customWidth="1" width="19.0" style="60"/>
    <col min="10" max="10" customWidth="1" width="13.0" style="60"/>
    <col min="11" max="12" customWidth="1" width="18.542969" style="60"/>
    <col min="13" max="13" customWidth="1" width="3.0" style="60"/>
    <col min="14" max="14" customWidth="1" width="13.0" style="60"/>
    <col min="15" max="16" customWidth="1" width="16.179688" style="60"/>
  </cols>
  <sheetData>
    <row r="1" spans="8:8" ht="25.5" customHeight="1">
      <c r="A1" s="106" t="s">
        <v>686</v>
      </c>
      <c r="B1" s="106" t="s">
        <v>687</v>
      </c>
      <c r="C1" s="106" t="s">
        <v>688</v>
      </c>
      <c r="D1" s="106" t="s">
        <v>689</v>
      </c>
      <c r="E1" s="106" t="s">
        <v>690</v>
      </c>
      <c r="F1" s="106" t="s">
        <v>691</v>
      </c>
      <c r="G1" s="106" t="s">
        <v>692</v>
      </c>
      <c r="I1" s="106" t="s">
        <v>687</v>
      </c>
      <c r="J1" s="106" t="s">
        <v>693</v>
      </c>
      <c r="K1" s="106" t="s">
        <v>694</v>
      </c>
      <c r="L1" s="106" t="s">
        <v>695</v>
      </c>
      <c r="N1" s="106" t="s">
        <v>710</v>
      </c>
      <c r="O1" s="106" t="s">
        <v>697</v>
      </c>
      <c r="P1" s="106" t="s">
        <v>698</v>
      </c>
    </row>
    <row r="2" spans="8:8" ht="15.0" customHeight="1">
      <c r="A2" s="107">
        <v>46227.0</v>
      </c>
      <c r="B2" s="109" t="s">
        <v>22</v>
      </c>
      <c r="C2" s="109">
        <v>140.0</v>
      </c>
      <c r="D2" s="109">
        <v>8500.0</v>
      </c>
      <c r="E2" s="111">
        <f t="shared" si="0" ref="E2:E37">C2*D2</f>
        <v>1190000.0</v>
      </c>
      <c r="F2" s="109" t="s">
        <v>66</v>
      </c>
      <c r="G2" s="67" t="s">
        <v>422</v>
      </c>
      <c r="I2" s="109" t="s">
        <v>22</v>
      </c>
      <c r="J2" s="109">
        <f>C2+C4+C6+C18+C22+C26+C30+C34+C36+C37</f>
        <v>258.0</v>
      </c>
      <c r="K2" s="111">
        <f>E2+E4+E6+E18+E22+E26+E30+E34+E36+E37</f>
        <v>2276840.0</v>
      </c>
      <c r="L2" s="112">
        <f t="shared" si="1" ref="L2:L14">K2/K$14</f>
        <v>0.3336322607115644</v>
      </c>
      <c r="N2" s="111">
        <f>K14</f>
        <v>6824400.0</v>
      </c>
      <c r="O2" s="109">
        <f>J14</f>
        <v>880.0</v>
      </c>
      <c r="P2" s="109">
        <f>COUNT(J2:J13)</f>
        <v>12.0</v>
      </c>
    </row>
    <row r="3" spans="8:8" ht="15.0" customHeight="1">
      <c r="A3" s="107">
        <v>46227.0</v>
      </c>
      <c r="B3" s="109" t="s">
        <v>44</v>
      </c>
      <c r="C3" s="109">
        <v>280.0</v>
      </c>
      <c r="D3" s="109">
        <v>8990.0</v>
      </c>
      <c r="E3" s="111">
        <f t="shared" si="0"/>
        <v>2517200.0</v>
      </c>
      <c r="F3" s="109" t="s">
        <v>66</v>
      </c>
      <c r="G3" s="67" t="s">
        <v>422</v>
      </c>
      <c r="I3" s="109" t="s">
        <v>44</v>
      </c>
      <c r="J3" s="109">
        <f>C3+C10+C14+C19+C31+C35</f>
        <v>298.0</v>
      </c>
      <c r="K3" s="111">
        <f>E3+E10+E14+E19+E31+E35</f>
        <v>2683400.0</v>
      </c>
      <c r="L3" s="112">
        <f t="shared" si="1"/>
        <v>0.3932067287966708</v>
      </c>
    </row>
    <row r="4" spans="8:8" ht="15.0" customHeight="1">
      <c r="A4" s="107">
        <v>46227.0</v>
      </c>
      <c r="B4" s="109" t="s">
        <v>22</v>
      </c>
      <c r="C4" s="109">
        <v>1.0</v>
      </c>
      <c r="D4" s="109">
        <v>9500.0</v>
      </c>
      <c r="E4" s="111">
        <f t="shared" si="0"/>
        <v>9500.0</v>
      </c>
      <c r="F4" s="109" t="s">
        <v>102</v>
      </c>
      <c r="G4" s="67" t="s">
        <v>425</v>
      </c>
      <c r="I4" s="109" t="s">
        <v>45</v>
      </c>
      <c r="J4" s="109">
        <f>C5+C13+C20+C25</f>
        <v>11.0</v>
      </c>
      <c r="K4" s="111">
        <f>E5+E13+E20+E25</f>
        <v>149760.0</v>
      </c>
      <c r="L4" s="112">
        <f t="shared" si="1"/>
        <v>0.02194478635484438</v>
      </c>
    </row>
    <row r="5" spans="8:8" ht="15.0" customHeight="1">
      <c r="A5" s="107">
        <v>46227.0</v>
      </c>
      <c r="B5" s="109" t="s">
        <v>45</v>
      </c>
      <c r="C5" s="109">
        <v>1.0</v>
      </c>
      <c r="D5" s="109">
        <v>13950.0</v>
      </c>
      <c r="E5" s="111">
        <f t="shared" si="0"/>
        <v>13950.0</v>
      </c>
      <c r="F5" s="109" t="s">
        <v>102</v>
      </c>
      <c r="G5" s="67" t="s">
        <v>426</v>
      </c>
      <c r="I5" s="109" t="s">
        <v>24</v>
      </c>
      <c r="J5" s="109">
        <f>C7+C16+C17+C33</f>
        <v>292.0</v>
      </c>
      <c r="K5" s="111">
        <f>E7+E16+E17+E33</f>
        <v>1460400.0</v>
      </c>
      <c r="L5" s="112">
        <f t="shared" si="1"/>
        <v>0.21399683488658344</v>
      </c>
    </row>
    <row r="6" spans="8:8" ht="15.0" customHeight="1">
      <c r="A6" s="107">
        <v>46227.0</v>
      </c>
      <c r="B6" s="109" t="s">
        <v>22</v>
      </c>
      <c r="C6" s="109">
        <v>20.0</v>
      </c>
      <c r="D6" s="109">
        <v>8800.0</v>
      </c>
      <c r="E6" s="111">
        <f t="shared" si="0"/>
        <v>176000.0</v>
      </c>
      <c r="F6" s="109" t="s">
        <v>29</v>
      </c>
      <c r="G6" s="67" t="s">
        <v>427</v>
      </c>
      <c r="I6" s="109" t="s">
        <v>87</v>
      </c>
      <c r="J6" s="109">
        <f>C8</f>
        <v>1.0</v>
      </c>
      <c r="K6" s="111">
        <f>E8</f>
        <v>21400.0</v>
      </c>
      <c r="L6" s="112">
        <f t="shared" si="1"/>
        <v>0.003135806810855167</v>
      </c>
    </row>
    <row r="7" spans="8:8" ht="15.0" customHeight="1">
      <c r="A7" s="107">
        <v>46227.0</v>
      </c>
      <c r="B7" s="109" t="s">
        <v>24</v>
      </c>
      <c r="C7" s="109">
        <v>5.0</v>
      </c>
      <c r="D7" s="109">
        <v>5000.0</v>
      </c>
      <c r="E7" s="111">
        <f t="shared" si="0"/>
        <v>25000.0</v>
      </c>
      <c r="F7" s="109" t="s">
        <v>29</v>
      </c>
      <c r="G7" s="67" t="s">
        <v>427</v>
      </c>
      <c r="I7" s="109" t="s">
        <v>101</v>
      </c>
      <c r="J7" s="109">
        <f>C9+C24</f>
        <v>5.0</v>
      </c>
      <c r="K7" s="111">
        <f>E9+E24</f>
        <v>66160.0</v>
      </c>
      <c r="L7" s="112">
        <f t="shared" si="1"/>
        <v>0.009694625168512983</v>
      </c>
    </row>
    <row r="8" spans="8:8" ht="15.0" customHeight="1">
      <c r="A8" s="107">
        <v>46227.0</v>
      </c>
      <c r="B8" s="109" t="s">
        <v>87</v>
      </c>
      <c r="C8" s="109">
        <v>1.0</v>
      </c>
      <c r="D8" s="109">
        <v>21400.0</v>
      </c>
      <c r="E8" s="111">
        <f t="shared" si="0"/>
        <v>21400.0</v>
      </c>
      <c r="F8" s="109" t="s">
        <v>29</v>
      </c>
      <c r="G8" s="67" t="s">
        <v>427</v>
      </c>
      <c r="I8" s="109" t="s">
        <v>113</v>
      </c>
      <c r="J8" s="109">
        <f>C11</f>
        <v>1.0</v>
      </c>
      <c r="K8" s="111">
        <f>E11</f>
        <v>14575.0</v>
      </c>
      <c r="L8" s="112">
        <f t="shared" si="1"/>
        <v>0.00213571889103804</v>
      </c>
    </row>
    <row r="9" spans="8:8" ht="15.0" customHeight="1">
      <c r="A9" s="107">
        <v>46227.0</v>
      </c>
      <c r="B9" s="109" t="s">
        <v>101</v>
      </c>
      <c r="C9" s="109">
        <v>3.0</v>
      </c>
      <c r="D9" s="109">
        <v>13020.0</v>
      </c>
      <c r="E9" s="111">
        <f t="shared" si="0"/>
        <v>39060.0</v>
      </c>
      <c r="F9" s="109" t="s">
        <v>29</v>
      </c>
      <c r="G9" s="67" t="s">
        <v>427</v>
      </c>
      <c r="I9" s="109" t="s">
        <v>65</v>
      </c>
      <c r="J9" s="109">
        <f>C12+C23+C32</f>
        <v>4.0</v>
      </c>
      <c r="K9" s="111">
        <f>E12+E23+E32</f>
        <v>48255.0</v>
      </c>
      <c r="L9" s="112">
        <f t="shared" si="1"/>
        <v>0.007070951292421312</v>
      </c>
    </row>
    <row r="10" spans="8:8" ht="15.0" customHeight="1">
      <c r="A10" s="107">
        <v>46227.0</v>
      </c>
      <c r="B10" s="109" t="s">
        <v>44</v>
      </c>
      <c r="C10" s="109">
        <v>6.0</v>
      </c>
      <c r="D10" s="109">
        <v>9200.0</v>
      </c>
      <c r="E10" s="111">
        <f t="shared" si="0"/>
        <v>55200.0</v>
      </c>
      <c r="F10" s="109" t="s">
        <v>29</v>
      </c>
      <c r="G10" s="67" t="s">
        <v>427</v>
      </c>
      <c r="I10" s="109" t="s">
        <v>37</v>
      </c>
      <c r="J10" s="109">
        <f>C15</f>
        <v>1.0</v>
      </c>
      <c r="K10" s="111">
        <f>E15</f>
        <v>9500.0</v>
      </c>
      <c r="L10" s="112">
        <f t="shared" si="1"/>
        <v>0.0013920637711740227</v>
      </c>
    </row>
    <row r="11" spans="8:8" ht="15.0" customHeight="1">
      <c r="A11" s="107">
        <v>46227.0</v>
      </c>
      <c r="B11" s="109" t="s">
        <v>113</v>
      </c>
      <c r="C11" s="109">
        <v>1.0</v>
      </c>
      <c r="D11" s="109">
        <v>14575.0</v>
      </c>
      <c r="E11" s="111">
        <f t="shared" si="0"/>
        <v>14575.0</v>
      </c>
      <c r="F11" s="109" t="s">
        <v>29</v>
      </c>
      <c r="G11" s="67" t="s">
        <v>427</v>
      </c>
      <c r="I11" s="109" t="s">
        <v>100</v>
      </c>
      <c r="J11" s="109">
        <f>C21</f>
        <v>5.0</v>
      </c>
      <c r="K11" s="111">
        <f>E21</f>
        <v>57400.0</v>
      </c>
      <c r="L11" s="112">
        <f t="shared" si="1"/>
        <v>0.00841099583846199</v>
      </c>
    </row>
    <row r="12" spans="8:8" ht="15.0" customHeight="1">
      <c r="A12" s="107">
        <v>46227.0</v>
      </c>
      <c r="B12" s="109" t="s">
        <v>65</v>
      </c>
      <c r="C12" s="109">
        <v>1.0</v>
      </c>
      <c r="D12" s="109">
        <v>11910.0</v>
      </c>
      <c r="E12" s="111">
        <f t="shared" si="0"/>
        <v>11910.0</v>
      </c>
      <c r="F12" s="109" t="s">
        <v>29</v>
      </c>
      <c r="G12" s="67" t="s">
        <v>427</v>
      </c>
      <c r="I12" s="109" t="s">
        <v>21</v>
      </c>
      <c r="J12" s="109">
        <f>C27+C29</f>
        <v>3.0</v>
      </c>
      <c r="K12" s="111">
        <f>E27+E29</f>
        <v>27000.0</v>
      </c>
      <c r="L12" s="112">
        <f t="shared" si="1"/>
        <v>0.003956391770705117</v>
      </c>
    </row>
    <row r="13" spans="8:8" ht="15.0" customHeight="1">
      <c r="A13" s="107">
        <v>46227.0</v>
      </c>
      <c r="B13" s="109" t="s">
        <v>45</v>
      </c>
      <c r="C13" s="109">
        <v>1.0</v>
      </c>
      <c r="D13" s="109">
        <v>13335.0</v>
      </c>
      <c r="E13" s="111">
        <f t="shared" si="0"/>
        <v>13335.0</v>
      </c>
      <c r="F13" s="109" t="s">
        <v>29</v>
      </c>
      <c r="G13" s="67" t="s">
        <v>427</v>
      </c>
      <c r="I13" s="109" t="s">
        <v>235</v>
      </c>
      <c r="J13" s="109">
        <f>C28</f>
        <v>1.0</v>
      </c>
      <c r="K13" s="111">
        <f>E28</f>
        <v>9710.0</v>
      </c>
      <c r="L13" s="112">
        <f t="shared" si="1"/>
        <v>0.0014228357071683958</v>
      </c>
    </row>
    <row r="14" spans="8:8" ht="15.0" customHeight="1">
      <c r="A14" s="107">
        <v>46227.0</v>
      </c>
      <c r="B14" s="109" t="s">
        <v>44</v>
      </c>
      <c r="C14" s="109">
        <v>1.0</v>
      </c>
      <c r="D14" s="109">
        <v>9500.0</v>
      </c>
      <c r="E14" s="111">
        <f t="shared" si="0"/>
        <v>9500.0</v>
      </c>
      <c r="F14" s="109" t="s">
        <v>15</v>
      </c>
      <c r="G14" s="67" t="s">
        <v>429</v>
      </c>
      <c r="I14" s="109" t="s">
        <v>701</v>
      </c>
      <c r="J14" s="109">
        <f>SUM(J2:J13)</f>
        <v>880.0</v>
      </c>
      <c r="K14" s="111">
        <f>SUM(K2:K13)</f>
        <v>6824400.0</v>
      </c>
      <c r="L14" s="112">
        <f t="shared" si="1"/>
        <v>1.0</v>
      </c>
    </row>
    <row r="15" spans="8:8" ht="15.0" customHeight="1">
      <c r="A15" s="107">
        <v>46227.0</v>
      </c>
      <c r="B15" s="109" t="s">
        <v>37</v>
      </c>
      <c r="C15" s="109">
        <v>1.0</v>
      </c>
      <c r="D15" s="109">
        <v>9500.0</v>
      </c>
      <c r="E15" s="111">
        <f t="shared" si="0"/>
        <v>9500.0</v>
      </c>
      <c r="F15" s="109" t="s">
        <v>15</v>
      </c>
      <c r="G15" s="67" t="s">
        <v>429</v>
      </c>
    </row>
    <row r="16" spans="8:8" ht="25.5" customHeight="1">
      <c r="A16" s="107">
        <v>46227.0</v>
      </c>
      <c r="B16" s="109" t="s">
        <v>24</v>
      </c>
      <c r="C16" s="109">
        <v>270.0</v>
      </c>
      <c r="D16" s="109">
        <v>5000.0</v>
      </c>
      <c r="E16" s="111">
        <f t="shared" si="0"/>
        <v>1350000.0</v>
      </c>
      <c r="F16" s="109" t="s">
        <v>25</v>
      </c>
      <c r="G16" s="67" t="s">
        <v>430</v>
      </c>
      <c r="I16" s="106" t="s">
        <v>691</v>
      </c>
      <c r="J16" s="106" t="s">
        <v>690</v>
      </c>
      <c r="K16" s="106" t="s">
        <v>695</v>
      </c>
      <c r="L16" s="106" t="s">
        <v>702</v>
      </c>
    </row>
    <row r="17" spans="8:8" ht="15.0" customHeight="1">
      <c r="A17" s="107">
        <v>46227.0</v>
      </c>
      <c r="B17" s="109" t="s">
        <v>24</v>
      </c>
      <c r="C17" s="109">
        <v>15.0</v>
      </c>
      <c r="D17" s="109">
        <v>5000.0</v>
      </c>
      <c r="E17" s="111">
        <f t="shared" si="0"/>
        <v>75000.0</v>
      </c>
      <c r="F17" s="109" t="s">
        <v>104</v>
      </c>
      <c r="G17" s="67" t="s">
        <v>432</v>
      </c>
      <c r="I17" s="109" t="s">
        <v>66</v>
      </c>
      <c r="J17" s="111">
        <f>E2+E3</f>
        <v>3707200.0</v>
      </c>
      <c r="K17" s="112">
        <f t="shared" si="2" ref="K17:K26">J17/J$26</f>
        <v>0.543227243420667</v>
      </c>
      <c r="L17" s="112">
        <v>0.0219</v>
      </c>
    </row>
    <row r="18" spans="8:8" ht="15.0" customHeight="1">
      <c r="A18" s="107">
        <v>46227.0</v>
      </c>
      <c r="B18" s="109" t="s">
        <v>22</v>
      </c>
      <c r="C18" s="109">
        <v>10.0</v>
      </c>
      <c r="D18" s="109">
        <v>9200.0</v>
      </c>
      <c r="E18" s="111">
        <f t="shared" si="0"/>
        <v>92000.0</v>
      </c>
      <c r="F18" s="109" t="s">
        <v>104</v>
      </c>
      <c r="G18" s="67" t="s">
        <v>432</v>
      </c>
      <c r="I18" s="109" t="s">
        <v>102</v>
      </c>
      <c r="J18" s="111">
        <f>E4+E5</f>
        <v>23450.0</v>
      </c>
      <c r="K18" s="112">
        <f t="shared" si="2"/>
        <v>0.0034361995193716664</v>
      </c>
      <c r="L18" s="112">
        <v>0.0872</v>
      </c>
    </row>
    <row r="19" spans="8:8" ht="15.0" customHeight="1">
      <c r="A19" s="107">
        <v>46227.0</v>
      </c>
      <c r="B19" s="109" t="s">
        <v>44</v>
      </c>
      <c r="C19" s="109">
        <v>5.0</v>
      </c>
      <c r="D19" s="109">
        <v>9200.0</v>
      </c>
      <c r="E19" s="111">
        <f t="shared" si="0"/>
        <v>46000.0</v>
      </c>
      <c r="F19" s="109" t="s">
        <v>104</v>
      </c>
      <c r="G19" s="67" t="s">
        <v>432</v>
      </c>
      <c r="I19" s="109" t="s">
        <v>29</v>
      </c>
      <c r="J19" s="111">
        <f>E6+E7+E8+E9+E10+E11+E12+E13</f>
        <v>356480.0</v>
      </c>
      <c r="K19" s="112">
        <f t="shared" si="2"/>
        <v>0.052236094015591115</v>
      </c>
      <c r="L19" s="112">
        <v>0.0439</v>
      </c>
    </row>
    <row r="20" spans="8:8" ht="15.0" customHeight="1">
      <c r="A20" s="107">
        <v>46227.0</v>
      </c>
      <c r="B20" s="109" t="s">
        <v>45</v>
      </c>
      <c r="C20" s="109">
        <v>5.0</v>
      </c>
      <c r="D20" s="109">
        <v>13335.0</v>
      </c>
      <c r="E20" s="111">
        <f t="shared" si="0"/>
        <v>66675.0</v>
      </c>
      <c r="F20" s="109" t="s">
        <v>104</v>
      </c>
      <c r="G20" s="67" t="s">
        <v>432</v>
      </c>
      <c r="I20" s="109" t="s">
        <v>15</v>
      </c>
      <c r="J20" s="111">
        <f>E14+E15+E29+E30+E31+E32+E33</f>
        <v>69925.0</v>
      </c>
      <c r="K20" s="112">
        <f t="shared" si="2"/>
        <v>0.01024632202098353</v>
      </c>
      <c r="L20" s="112">
        <v>0.0788</v>
      </c>
    </row>
    <row r="21" spans="8:8" ht="15.0" customHeight="1">
      <c r="A21" s="107">
        <v>46227.0</v>
      </c>
      <c r="B21" s="109" t="s">
        <v>100</v>
      </c>
      <c r="C21" s="109">
        <v>5.0</v>
      </c>
      <c r="D21" s="109">
        <v>11480.0</v>
      </c>
      <c r="E21" s="111">
        <f t="shared" si="0"/>
        <v>57400.0</v>
      </c>
      <c r="F21" s="109" t="s">
        <v>104</v>
      </c>
      <c r="G21" s="67" t="s">
        <v>432</v>
      </c>
      <c r="I21" s="109" t="s">
        <v>25</v>
      </c>
      <c r="J21" s="111">
        <f>E16</f>
        <v>1350000.0</v>
      </c>
      <c r="K21" s="112">
        <f t="shared" si="2"/>
        <v>0.19781958853525586</v>
      </c>
      <c r="L21" s="112">
        <v>-0.04</v>
      </c>
    </row>
    <row r="22" spans="8:8" ht="15.0" customHeight="1">
      <c r="A22" s="107">
        <v>46227.0</v>
      </c>
      <c r="B22" s="109" t="s">
        <v>22</v>
      </c>
      <c r="C22" s="109">
        <v>2.0</v>
      </c>
      <c r="D22" s="109">
        <v>9335.0</v>
      </c>
      <c r="E22" s="111">
        <f t="shared" si="0"/>
        <v>18670.0</v>
      </c>
      <c r="F22" s="109" t="s">
        <v>75</v>
      </c>
      <c r="G22" s="67" t="s">
        <v>433</v>
      </c>
      <c r="I22" s="109" t="s">
        <v>104</v>
      </c>
      <c r="J22" s="111">
        <f>E17+E18+E19+E20+E21</f>
        <v>337075.0</v>
      </c>
      <c r="K22" s="112">
        <f t="shared" si="2"/>
        <v>0.04939262059668249</v>
      </c>
      <c r="L22" s="112">
        <v>0.0635</v>
      </c>
    </row>
    <row r="23" spans="8:8" ht="15.0" customHeight="1">
      <c r="A23" s="107">
        <v>46227.0</v>
      </c>
      <c r="B23" s="109" t="s">
        <v>65</v>
      </c>
      <c r="C23" s="109">
        <v>2.0</v>
      </c>
      <c r="D23" s="109">
        <v>11910.0</v>
      </c>
      <c r="E23" s="111">
        <f t="shared" si="0"/>
        <v>23820.0</v>
      </c>
      <c r="F23" s="109" t="s">
        <v>212</v>
      </c>
      <c r="G23" s="67" t="s">
        <v>434</v>
      </c>
      <c r="I23" s="109" t="s">
        <v>75</v>
      </c>
      <c r="J23" s="111">
        <f>E22+E36+E37</f>
        <v>597440.0</v>
      </c>
      <c r="K23" s="112">
        <f t="shared" si="2"/>
        <v>0.08754469257370612</v>
      </c>
      <c r="L23" s="112">
        <v>0.0729</v>
      </c>
    </row>
    <row r="24" spans="8:8" ht="15.0" customHeight="1">
      <c r="A24" s="107">
        <v>46227.0</v>
      </c>
      <c r="B24" s="109" t="s">
        <v>101</v>
      </c>
      <c r="C24" s="109">
        <v>2.0</v>
      </c>
      <c r="D24" s="109">
        <v>13550.0</v>
      </c>
      <c r="E24" s="111">
        <f t="shared" si="0"/>
        <v>27100.0</v>
      </c>
      <c r="F24" s="109" t="s">
        <v>212</v>
      </c>
      <c r="G24" s="67" t="s">
        <v>434</v>
      </c>
      <c r="I24" s="109" t="s">
        <v>212</v>
      </c>
      <c r="J24" s="111">
        <f>E23+E24+E25+E26+E27+E28</f>
        <v>152830.0</v>
      </c>
      <c r="K24" s="112">
        <f t="shared" si="2"/>
        <v>0.022394642752476407</v>
      </c>
      <c r="L24" s="112">
        <v>0.07</v>
      </c>
    </row>
    <row r="25" spans="8:8" ht="15.0" customHeight="1">
      <c r="A25" s="107">
        <v>46227.0</v>
      </c>
      <c r="B25" s="109" t="s">
        <v>45</v>
      </c>
      <c r="C25" s="109">
        <v>4.0</v>
      </c>
      <c r="D25" s="109">
        <v>13950.0</v>
      </c>
      <c r="E25" s="111">
        <f t="shared" si="0"/>
        <v>55800.0</v>
      </c>
      <c r="F25" s="109" t="s">
        <v>212</v>
      </c>
      <c r="G25" s="67" t="s">
        <v>434</v>
      </c>
      <c r="I25" s="109" t="s">
        <v>394</v>
      </c>
      <c r="J25" s="111">
        <f>E34+E35</f>
        <v>230000.0</v>
      </c>
      <c r="K25" s="112">
        <f t="shared" si="2"/>
        <v>0.03370259656526581</v>
      </c>
      <c r="L25" s="112">
        <v>0.0518</v>
      </c>
    </row>
    <row r="26" spans="8:8" ht="15.0" customHeight="1">
      <c r="A26" s="107">
        <v>46227.0</v>
      </c>
      <c r="B26" s="109" t="s">
        <v>22</v>
      </c>
      <c r="C26" s="109">
        <v>2.0</v>
      </c>
      <c r="D26" s="109">
        <v>9200.0</v>
      </c>
      <c r="E26" s="111">
        <f t="shared" si="0"/>
        <v>18400.0</v>
      </c>
      <c r="F26" s="109" t="s">
        <v>212</v>
      </c>
      <c r="G26" s="67" t="s">
        <v>434</v>
      </c>
      <c r="I26" s="109" t="s">
        <v>703</v>
      </c>
      <c r="J26" s="111">
        <f>SUM(J17:J25)</f>
        <v>6824400.0</v>
      </c>
      <c r="K26" s="112">
        <f t="shared" si="2"/>
        <v>1.0</v>
      </c>
      <c r="L26" s="68"/>
    </row>
    <row r="27" spans="8:8" ht="15.0" customHeight="1">
      <c r="A27" s="107">
        <v>46227.0</v>
      </c>
      <c r="B27" s="109" t="s">
        <v>21</v>
      </c>
      <c r="C27" s="109">
        <v>2.0</v>
      </c>
      <c r="D27" s="109">
        <v>9000.0</v>
      </c>
      <c r="E27" s="111">
        <f t="shared" si="0"/>
        <v>18000.0</v>
      </c>
      <c r="F27" s="109" t="s">
        <v>212</v>
      </c>
      <c r="G27" s="67" t="s">
        <v>434</v>
      </c>
    </row>
    <row r="28" spans="8:8" ht="25.5" customHeight="1">
      <c r="A28" s="107">
        <v>46227.0</v>
      </c>
      <c r="B28" s="109" t="s">
        <v>235</v>
      </c>
      <c r="C28" s="109">
        <v>1.0</v>
      </c>
      <c r="D28" s="109">
        <v>9710.0</v>
      </c>
      <c r="E28" s="111">
        <f t="shared" si="0"/>
        <v>9710.0</v>
      </c>
      <c r="F28" s="109" t="s">
        <v>212</v>
      </c>
      <c r="G28" s="67" t="s">
        <v>434</v>
      </c>
      <c r="I28" s="106" t="s">
        <v>692</v>
      </c>
      <c r="J28" s="106" t="s">
        <v>690</v>
      </c>
      <c r="K28" s="106" t="s">
        <v>702</v>
      </c>
    </row>
    <row r="29" spans="8:8" ht="15.0" customHeight="1">
      <c r="A29" s="107">
        <v>46227.0</v>
      </c>
      <c r="B29" s="109" t="s">
        <v>21</v>
      </c>
      <c r="C29" s="109">
        <v>1.0</v>
      </c>
      <c r="D29" s="109">
        <v>9000.0</v>
      </c>
      <c r="E29" s="111">
        <f t="shared" si="0"/>
        <v>9000.0</v>
      </c>
      <c r="F29" s="109" t="s">
        <v>15</v>
      </c>
      <c r="G29" s="67" t="s">
        <v>435</v>
      </c>
      <c r="I29" s="135" t="s">
        <v>422</v>
      </c>
      <c r="J29" s="111">
        <v>4463200.0</v>
      </c>
      <c r="K29" s="112">
        <v>0.02</v>
      </c>
    </row>
    <row r="30" spans="8:8" ht="15.0" customHeight="1">
      <c r="A30" s="107">
        <v>46227.0</v>
      </c>
      <c r="B30" s="109" t="s">
        <v>22</v>
      </c>
      <c r="C30" s="109">
        <v>1.0</v>
      </c>
      <c r="D30" s="109">
        <v>9500.0</v>
      </c>
      <c r="E30" s="111">
        <f t="shared" si="0"/>
        <v>9500.0</v>
      </c>
      <c r="F30" s="109" t="s">
        <v>15</v>
      </c>
      <c r="G30" s="67" t="s">
        <v>435</v>
      </c>
      <c r="I30" s="135" t="s">
        <v>425</v>
      </c>
      <c r="J30" s="111">
        <v>9500.0</v>
      </c>
      <c r="K30" s="112">
        <v>0.09</v>
      </c>
    </row>
    <row r="31" spans="8:8" ht="15.0" customHeight="1">
      <c r="A31" s="107">
        <v>46227.0</v>
      </c>
      <c r="B31" s="109" t="s">
        <v>44</v>
      </c>
      <c r="C31" s="109">
        <v>1.0</v>
      </c>
      <c r="D31" s="109">
        <v>9500.0</v>
      </c>
      <c r="E31" s="111">
        <f t="shared" si="0"/>
        <v>9500.0</v>
      </c>
      <c r="F31" s="109" t="s">
        <v>15</v>
      </c>
      <c r="G31" s="67" t="s">
        <v>435</v>
      </c>
      <c r="I31" s="135" t="s">
        <v>426</v>
      </c>
      <c r="J31" s="111">
        <v>13950.0</v>
      </c>
      <c r="K31" s="112">
        <v>0.09</v>
      </c>
    </row>
    <row r="32" spans="8:8" ht="15.0" customHeight="1">
      <c r="A32" s="107">
        <v>46227.0</v>
      </c>
      <c r="B32" s="109" t="s">
        <v>65</v>
      </c>
      <c r="C32" s="109">
        <v>1.0</v>
      </c>
      <c r="D32" s="109">
        <v>12525.0</v>
      </c>
      <c r="E32" s="111">
        <f t="shared" si="0"/>
        <v>12525.0</v>
      </c>
      <c r="F32" s="109" t="s">
        <v>15</v>
      </c>
      <c r="G32" s="67" t="s">
        <v>435</v>
      </c>
      <c r="I32" s="135" t="s">
        <v>427</v>
      </c>
      <c r="J32" s="111">
        <v>416280.0</v>
      </c>
      <c r="K32" s="112">
        <v>0.04</v>
      </c>
    </row>
    <row r="33" spans="8:8" ht="15.0" customHeight="1">
      <c r="A33" s="107">
        <v>46227.0</v>
      </c>
      <c r="B33" s="109" t="s">
        <v>24</v>
      </c>
      <c r="C33" s="109">
        <v>2.0</v>
      </c>
      <c r="D33" s="109">
        <v>5200.0</v>
      </c>
      <c r="E33" s="111">
        <f t="shared" si="0"/>
        <v>10400.0</v>
      </c>
      <c r="F33" s="109" t="s">
        <v>15</v>
      </c>
      <c r="G33" s="67" t="s">
        <v>435</v>
      </c>
      <c r="I33" s="135" t="s">
        <v>429</v>
      </c>
      <c r="J33" s="111">
        <v>19000.0</v>
      </c>
      <c r="K33" s="112">
        <v>0.08</v>
      </c>
    </row>
    <row r="34" spans="8:8" ht="15.0" customHeight="1">
      <c r="A34" s="107">
        <v>46227.0</v>
      </c>
      <c r="B34" s="109" t="s">
        <v>22</v>
      </c>
      <c r="C34" s="109">
        <v>20.0</v>
      </c>
      <c r="D34" s="109">
        <v>9200.0</v>
      </c>
      <c r="E34" s="111">
        <f t="shared" si="0"/>
        <v>184000.0</v>
      </c>
      <c r="F34" s="109" t="s">
        <v>394</v>
      </c>
      <c r="G34" s="67" t="s">
        <v>437</v>
      </c>
      <c r="I34" s="135" t="s">
        <v>430</v>
      </c>
      <c r="J34" s="111">
        <v>1350000.0</v>
      </c>
      <c r="K34" s="112">
        <v>-0.04</v>
      </c>
    </row>
    <row r="35" spans="8:8" ht="15.0" customHeight="1">
      <c r="A35" s="107">
        <v>46227.0</v>
      </c>
      <c r="B35" s="109" t="s">
        <v>44</v>
      </c>
      <c r="C35" s="109">
        <v>5.0</v>
      </c>
      <c r="D35" s="109">
        <v>9200.0</v>
      </c>
      <c r="E35" s="111">
        <f t="shared" si="0"/>
        <v>46000.0</v>
      </c>
      <c r="F35" s="109" t="s">
        <v>394</v>
      </c>
      <c r="G35" s="67" t="s">
        <v>437</v>
      </c>
      <c r="I35" s="135" t="s">
        <v>432</v>
      </c>
      <c r="J35" s="111">
        <v>383075.0</v>
      </c>
      <c r="K35" s="112">
        <v>0.06</v>
      </c>
    </row>
    <row r="36" spans="8:8" ht="15.0" customHeight="1">
      <c r="A36" s="107">
        <v>46227.0</v>
      </c>
      <c r="B36" s="109" t="s">
        <v>22</v>
      </c>
      <c r="C36" s="109">
        <v>2.0</v>
      </c>
      <c r="D36" s="109">
        <v>9335.0</v>
      </c>
      <c r="E36" s="111">
        <f t="shared" si="0"/>
        <v>18670.0</v>
      </c>
      <c r="F36" s="109" t="s">
        <v>75</v>
      </c>
      <c r="G36" s="67" t="s">
        <v>438</v>
      </c>
      <c r="I36" s="135" t="s">
        <v>433</v>
      </c>
      <c r="J36" s="111">
        <v>18670.0</v>
      </c>
      <c r="K36" s="112">
        <v>0.07</v>
      </c>
    </row>
    <row r="37" spans="8:8" ht="15.0" customHeight="1">
      <c r="A37" s="107">
        <v>46227.0</v>
      </c>
      <c r="B37" s="109" t="s">
        <v>22</v>
      </c>
      <c r="C37" s="109">
        <v>60.0</v>
      </c>
      <c r="D37" s="109">
        <v>9335.0</v>
      </c>
      <c r="E37" s="111">
        <f t="shared" si="0"/>
        <v>560100.0</v>
      </c>
      <c r="F37" s="109" t="s">
        <v>75</v>
      </c>
      <c r="G37" s="67" t="s">
        <v>440</v>
      </c>
      <c r="I37" s="135" t="s">
        <v>434</v>
      </c>
      <c r="J37" s="111">
        <v>154730.0</v>
      </c>
      <c r="K37" s="112">
        <v>0.07</v>
      </c>
    </row>
    <row r="38" spans="8:8" ht="15.0" customHeight="1">
      <c r="A38" s="68"/>
      <c r="B38" s="109" t="s">
        <v>701</v>
      </c>
      <c r="C38" s="109">
        <f>SUM(C2:C37)</f>
        <v>880.0</v>
      </c>
      <c r="D38" s="109">
        <f>SUM(D2:D37)</f>
        <v>369845.0</v>
      </c>
      <c r="E38" s="111">
        <f>SUM(E2:E37)</f>
        <v>6824400.0</v>
      </c>
      <c r="F38" s="68"/>
      <c r="G38" s="68"/>
      <c r="I38" s="135" t="s">
        <v>435</v>
      </c>
      <c r="J38" s="111">
        <v>58225.0</v>
      </c>
      <c r="K38" s="112">
        <v>0.08</v>
      </c>
    </row>
    <row r="39" spans="8:8" ht="15.0" customHeight="1">
      <c r="I39" s="135" t="s">
        <v>437</v>
      </c>
      <c r="J39" s="111">
        <v>230000.0</v>
      </c>
      <c r="K39" s="112">
        <v>0.05</v>
      </c>
    </row>
    <row r="40" spans="8:8" ht="15.0" customHeight="1">
      <c r="I40" s="135" t="s">
        <v>438</v>
      </c>
      <c r="J40" s="111">
        <v>20470.0</v>
      </c>
      <c r="K40" s="112">
        <v>0.08</v>
      </c>
    </row>
    <row r="41" spans="8:8" ht="15.0" customHeight="1">
      <c r="I41" s="135" t="s">
        <v>440</v>
      </c>
      <c r="J41" s="111">
        <v>560100.0</v>
      </c>
      <c r="K41" s="112">
        <v>0.07</v>
      </c>
    </row>
    <row r="42" spans="8:8" ht="15.0" customHeight="1">
      <c r="I42" s="109" t="s">
        <v>703</v>
      </c>
      <c r="J42" s="111">
        <f>SUM(J29:J41)</f>
        <v>7697200.0</v>
      </c>
      <c r="K42" s="68"/>
    </row>
  </sheetData>
  <hyperlinks>
    <hyperlink ref="G2" r:id="rId2"/>
    <hyperlink ref="G3" r:id="rId3"/>
    <hyperlink ref="G4" r:id="rId4"/>
    <hyperlink ref="G5" r:id="rId5"/>
    <hyperlink ref="G6" r:id="rId6"/>
    <hyperlink ref="G7" r:id="rId7"/>
    <hyperlink ref="G8" r:id="rId8"/>
    <hyperlink ref="G9" r:id="rId9"/>
    <hyperlink ref="G10" r:id="rId10"/>
    <hyperlink ref="G11" r:id="rId11"/>
    <hyperlink ref="G12" r:id="rId12"/>
    <hyperlink ref="G13" r:id="rId13"/>
    <hyperlink ref="G14" r:id="rId14"/>
    <hyperlink ref="G15" r:id="rId15"/>
    <hyperlink ref="G16" r:id="rId16"/>
    <hyperlink ref="G17" r:id="rId17"/>
    <hyperlink ref="G18" r:id="rId18"/>
    <hyperlink ref="G19" r:id="rId19"/>
    <hyperlink ref="G20" r:id="rId20"/>
    <hyperlink ref="G21" r:id="rId21"/>
    <hyperlink ref="G22" r:id="rId22"/>
    <hyperlink ref="G23" r:id="rId23"/>
    <hyperlink ref="G24" r:id="rId24"/>
    <hyperlink ref="G25" r:id="rId25"/>
    <hyperlink ref="G26" r:id="rId26"/>
    <hyperlink ref="G27" r:id="rId27"/>
    <hyperlink ref="G28" r:id="rId28"/>
    <hyperlink ref="G29" r:id="rId29"/>
    <hyperlink ref="I29" r:id="rId30"/>
    <hyperlink ref="G30" r:id="rId31"/>
    <hyperlink ref="I30" r:id="rId32"/>
    <hyperlink ref="G31" r:id="rId33"/>
    <hyperlink ref="I31" r:id="rId34"/>
    <hyperlink ref="G32" r:id="rId35"/>
    <hyperlink ref="I32" r:id="rId36"/>
    <hyperlink ref="G33" r:id="rId37"/>
    <hyperlink ref="I33" r:id="rId38"/>
    <hyperlink ref="G34" r:id="rId39"/>
    <hyperlink ref="I34" r:id="rId40"/>
    <hyperlink ref="G35" r:id="rId41"/>
    <hyperlink ref="I35" r:id="rId42"/>
    <hyperlink ref="G36" r:id="rId43"/>
    <hyperlink ref="I36" r:id="rId44"/>
    <hyperlink ref="G37" r:id="rId45"/>
    <hyperlink ref="I37" r:id="rId46"/>
    <hyperlink ref="I38" r:id="rId47"/>
    <hyperlink ref="I39" r:id="rId48"/>
    <hyperlink ref="I40" r:id="rId49"/>
    <hyperlink ref="I41" r:id="rId50"/>
  </hyperlinks>
  <pageMargins left="0.75" right="0.75" top="1.0" bottom="1.0" header="0.511811023622047" footer="0.511811023622047"/>
  <drawing r:id="rId1"/>
</worksheet>
</file>

<file path=xl/worksheets/sheet28.xml><?xml version="1.0" encoding="utf-8"?>
<worksheet xmlns:r="http://schemas.openxmlformats.org/officeDocument/2006/relationships" xmlns="http://schemas.openxmlformats.org/spreadsheetml/2006/main">
  <dimension ref="A1:Q52"/>
  <sheetViews>
    <sheetView workbookViewId="0" topLeftCell="A26" zoomScale="73">
      <selection activeCell="N17" sqref="N17"/>
    </sheetView>
  </sheetViews>
  <sheetFormatPr defaultRowHeight="14.5"/>
  <cols>
    <col min="1" max="1" customWidth="1" width="9.453125" style="60"/>
    <col min="2" max="2" customWidth="1" width="19.0" style="60"/>
    <col min="3" max="3" customWidth="1" width="11.269531" style="60"/>
    <col min="4" max="4" customWidth="1" width="15.363281" style="60"/>
    <col min="5" max="5" customWidth="1" width="12.6328125" style="60"/>
    <col min="6" max="6" customWidth="1" width="15.6328125" style="60"/>
    <col min="7" max="7" customWidth="1" width="12.7265625" style="60"/>
    <col min="8" max="8" customWidth="1" width="3.0" style="60"/>
    <col min="9" max="9" customWidth="1" width="19.0" style="60"/>
    <col min="10" max="10" customWidth="1" width="12.6328125" style="60"/>
    <col min="11" max="12" customWidth="1" width="18.542969" style="60"/>
    <col min="13" max="13" customWidth="1" width="3.0" style="60"/>
    <col min="14" max="14" customWidth="1" width="12.90625" style="60"/>
    <col min="15" max="15" customWidth="1" width="15.90625" style="60"/>
    <col min="16" max="16" customWidth="1" width="15.816406" style="60"/>
  </cols>
  <sheetData>
    <row r="1" spans="8:8" ht="25.5" customHeight="1">
      <c r="A1" s="106" t="s">
        <v>686</v>
      </c>
      <c r="B1" s="106" t="s">
        <v>687</v>
      </c>
      <c r="C1" s="106" t="s">
        <v>688</v>
      </c>
      <c r="D1" s="106" t="s">
        <v>689</v>
      </c>
      <c r="E1" s="106" t="s">
        <v>690</v>
      </c>
      <c r="F1" s="106" t="s">
        <v>691</v>
      </c>
      <c r="G1" s="106" t="s">
        <v>692</v>
      </c>
      <c r="I1" s="106" t="s">
        <v>687</v>
      </c>
      <c r="J1" s="106" t="s">
        <v>693</v>
      </c>
      <c r="K1" s="106" t="s">
        <v>694</v>
      </c>
      <c r="L1" s="106" t="s">
        <v>695</v>
      </c>
      <c r="N1" s="106" t="s">
        <v>696</v>
      </c>
      <c r="O1" s="106" t="s">
        <v>697</v>
      </c>
      <c r="P1" s="106" t="s">
        <v>698</v>
      </c>
    </row>
    <row r="2" spans="8:8" ht="15.0" customHeight="1">
      <c r="A2" s="107">
        <v>46228.0</v>
      </c>
      <c r="B2" s="109" t="s">
        <v>87</v>
      </c>
      <c r="C2" s="109">
        <v>1.0</v>
      </c>
      <c r="D2" s="109">
        <v>21485.0</v>
      </c>
      <c r="E2" s="111">
        <f t="shared" si="0" ref="E2:E34">C2*D2</f>
        <v>21485.0</v>
      </c>
      <c r="F2" s="109" t="s">
        <v>104</v>
      </c>
      <c r="G2" s="67" t="s">
        <v>444</v>
      </c>
      <c r="I2" s="109" t="s">
        <v>87</v>
      </c>
      <c r="J2" s="109">
        <f>C2</f>
        <v>1.0</v>
      </c>
      <c r="K2" s="111">
        <f>E2</f>
        <v>21485.0</v>
      </c>
      <c r="L2" s="112">
        <f t="shared" si="1" ref="L2:L16">K2/K$16</f>
        <v>0.008223687358257658</v>
      </c>
      <c r="N2" s="132">
        <f>K16</f>
        <v>2612575.0</v>
      </c>
      <c r="O2" s="133">
        <f>J16</f>
        <v>384.0</v>
      </c>
      <c r="P2" s="133">
        <f>COUNT(J2:J15)</f>
        <v>14.0</v>
      </c>
    </row>
    <row r="3" spans="8:8" ht="15.0" customHeight="1">
      <c r="A3" s="107">
        <v>46228.0</v>
      </c>
      <c r="B3" s="109" t="s">
        <v>141</v>
      </c>
      <c r="C3" s="109">
        <v>2.0</v>
      </c>
      <c r="D3" s="109">
        <v>14145.0</v>
      </c>
      <c r="E3" s="111">
        <f t="shared" si="0"/>
        <v>28290.0</v>
      </c>
      <c r="F3" s="109" t="s">
        <v>104</v>
      </c>
      <c r="G3" s="67" t="s">
        <v>444</v>
      </c>
      <c r="I3" s="109" t="s">
        <v>141</v>
      </c>
      <c r="J3" s="109">
        <f>C3</f>
        <v>2.0</v>
      </c>
      <c r="K3" s="111">
        <f>E3</f>
        <v>28290.0</v>
      </c>
      <c r="L3" s="112">
        <f t="shared" si="1"/>
        <v>0.010828397270891745</v>
      </c>
    </row>
    <row r="4" spans="8:8" ht="15.0" customHeight="1">
      <c r="A4" s="107">
        <v>46228.0</v>
      </c>
      <c r="B4" s="109" t="s">
        <v>24</v>
      </c>
      <c r="C4" s="109">
        <v>1.0</v>
      </c>
      <c r="D4" s="109">
        <v>5300.0</v>
      </c>
      <c r="E4" s="111">
        <f t="shared" si="0"/>
        <v>5300.0</v>
      </c>
      <c r="F4" s="109" t="s">
        <v>15</v>
      </c>
      <c r="G4" s="67" t="s">
        <v>445</v>
      </c>
      <c r="I4" s="109" t="s">
        <v>24</v>
      </c>
      <c r="J4" s="109">
        <f>C4+C5+C7+C24</f>
        <v>267.0</v>
      </c>
      <c r="K4" s="111">
        <f>E4+E5+E7+E24</f>
        <v>1335600.0</v>
      </c>
      <c r="L4" s="112">
        <f t="shared" si="1"/>
        <v>0.5112197735950164</v>
      </c>
    </row>
    <row r="5" spans="8:8" ht="15.0" customHeight="1">
      <c r="A5" s="107">
        <v>46228.0</v>
      </c>
      <c r="B5" s="109" t="s">
        <v>24</v>
      </c>
      <c r="C5" s="109">
        <v>260.0</v>
      </c>
      <c r="D5" s="109">
        <v>5000.0</v>
      </c>
      <c r="E5" s="111">
        <f t="shared" si="0"/>
        <v>1300000.0</v>
      </c>
      <c r="F5" s="109" t="s">
        <v>59</v>
      </c>
      <c r="G5" s="67" t="s">
        <v>446</v>
      </c>
      <c r="I5" s="109" t="s">
        <v>22</v>
      </c>
      <c r="J5" s="109">
        <f>C6+C10+C11+C12+C16+C17+C20+C26+C29+C32</f>
        <v>64.0</v>
      </c>
      <c r="K5" s="111">
        <f>E6+E10+E11+E12+E16+E17+E20+E26+E29+E32</f>
        <v>576035.0</v>
      </c>
      <c r="L5" s="112">
        <f t="shared" si="1"/>
        <v>0.2204855363003933</v>
      </c>
    </row>
    <row r="6" spans="8:8" ht="15.0" customHeight="1">
      <c r="A6" s="107">
        <v>46228.0</v>
      </c>
      <c r="B6" s="109" t="s">
        <v>22</v>
      </c>
      <c r="C6" s="109">
        <v>10.0</v>
      </c>
      <c r="D6" s="109">
        <v>9200.0</v>
      </c>
      <c r="E6" s="111">
        <f t="shared" si="0"/>
        <v>92000.0</v>
      </c>
      <c r="F6" s="109" t="s">
        <v>104</v>
      </c>
      <c r="G6" s="67" t="s">
        <v>448</v>
      </c>
      <c r="I6" s="109" t="s">
        <v>34</v>
      </c>
      <c r="J6" s="109">
        <f>C8+C21</f>
        <v>6.0</v>
      </c>
      <c r="K6" s="111">
        <f>E8+E21</f>
        <v>136440.0</v>
      </c>
      <c r="L6" s="112">
        <f t="shared" si="1"/>
        <v>0.052224338057280655</v>
      </c>
    </row>
    <row r="7" spans="8:8" ht="15.0" customHeight="1">
      <c r="A7" s="107">
        <v>46228.0</v>
      </c>
      <c r="B7" s="109" t="s">
        <v>24</v>
      </c>
      <c r="C7" s="109">
        <v>5.0</v>
      </c>
      <c r="D7" s="109">
        <v>5000.0</v>
      </c>
      <c r="E7" s="111">
        <f t="shared" si="0"/>
        <v>25000.0</v>
      </c>
      <c r="F7" s="109" t="s">
        <v>104</v>
      </c>
      <c r="G7" s="67" t="s">
        <v>448</v>
      </c>
      <c r="I7" s="109" t="s">
        <v>35</v>
      </c>
      <c r="J7" s="109">
        <f>C9</f>
        <v>3.0</v>
      </c>
      <c r="K7" s="111">
        <f>E9</f>
        <v>63510.0</v>
      </c>
      <c r="L7" s="112">
        <f t="shared" si="1"/>
        <v>0.024309349970814235</v>
      </c>
    </row>
    <row r="8" spans="8:8" ht="15.0" customHeight="1">
      <c r="A8" s="107">
        <v>46228.0</v>
      </c>
      <c r="B8" s="109" t="s">
        <v>34</v>
      </c>
      <c r="C8" s="109">
        <v>5.0</v>
      </c>
      <c r="D8" s="109">
        <v>22740.0</v>
      </c>
      <c r="E8" s="111">
        <f t="shared" si="0"/>
        <v>113700.0</v>
      </c>
      <c r="F8" s="109" t="s">
        <v>253</v>
      </c>
      <c r="G8" s="67" t="s">
        <v>449</v>
      </c>
      <c r="I8" s="109" t="s">
        <v>37</v>
      </c>
      <c r="J8" s="109">
        <f>C13+C27</f>
        <v>11.0</v>
      </c>
      <c r="K8" s="111">
        <f>E13+E27</f>
        <v>98000.0</v>
      </c>
      <c r="L8" s="112">
        <f t="shared" si="1"/>
        <v>0.03751088485498024</v>
      </c>
    </row>
    <row r="9" spans="8:8" ht="15.0" customHeight="1">
      <c r="A9" s="107">
        <v>46228.0</v>
      </c>
      <c r="B9" s="109" t="s">
        <v>35</v>
      </c>
      <c r="C9" s="109">
        <v>3.0</v>
      </c>
      <c r="D9" s="109">
        <v>21170.0</v>
      </c>
      <c r="E9" s="111">
        <f t="shared" si="0"/>
        <v>63510.0</v>
      </c>
      <c r="F9" s="109" t="s">
        <v>253</v>
      </c>
      <c r="G9" s="67" t="s">
        <v>449</v>
      </c>
      <c r="I9" s="109" t="s">
        <v>44</v>
      </c>
      <c r="J9" s="109">
        <f>C14+C33</f>
        <v>12.0</v>
      </c>
      <c r="K9" s="111">
        <f>E14+E33</f>
        <v>110400.0</v>
      </c>
      <c r="L9" s="112">
        <f t="shared" si="1"/>
        <v>0.04225716008152876</v>
      </c>
    </row>
    <row r="10" spans="8:8" ht="15.0" customHeight="1">
      <c r="A10" s="107">
        <v>46228.0</v>
      </c>
      <c r="B10" s="109" t="s">
        <v>22</v>
      </c>
      <c r="C10" s="109">
        <v>10.0</v>
      </c>
      <c r="D10" s="109">
        <v>9200.0</v>
      </c>
      <c r="E10" s="111">
        <f t="shared" si="0"/>
        <v>92000.0</v>
      </c>
      <c r="F10" s="109" t="s">
        <v>154</v>
      </c>
      <c r="G10" s="67" t="s">
        <v>450</v>
      </c>
      <c r="I10" s="109" t="s">
        <v>45</v>
      </c>
      <c r="J10" s="109">
        <f>C15+C18+C30+C34</f>
        <v>8.0</v>
      </c>
      <c r="K10" s="111">
        <f>E15+E18+E30+E34</f>
        <v>107295.0</v>
      </c>
      <c r="L10" s="112">
        <f t="shared" si="1"/>
        <v>0.041068677454235765</v>
      </c>
    </row>
    <row r="11" spans="8:8" ht="15.0" customHeight="1">
      <c r="A11" s="107">
        <v>46228.0</v>
      </c>
      <c r="B11" s="109" t="s">
        <v>22</v>
      </c>
      <c r="C11" s="109">
        <v>3.0</v>
      </c>
      <c r="D11" s="109">
        <v>9200.0</v>
      </c>
      <c r="E11" s="111">
        <f t="shared" si="0"/>
        <v>27600.0</v>
      </c>
      <c r="F11" s="109" t="s">
        <v>212</v>
      </c>
      <c r="G11" s="67" t="s">
        <v>451</v>
      </c>
      <c r="I11" s="109" t="s">
        <v>21</v>
      </c>
      <c r="J11" s="109">
        <f>C19+C28</f>
        <v>2.0</v>
      </c>
      <c r="K11" s="111">
        <f>E19+E28</f>
        <v>17500.0</v>
      </c>
      <c r="L11" s="112">
        <f t="shared" si="1"/>
        <v>0.006698372295532186</v>
      </c>
    </row>
    <row r="12" spans="8:8" ht="15.0" customHeight="1">
      <c r="A12" s="107">
        <v>46228.0</v>
      </c>
      <c r="B12" s="109" t="s">
        <v>22</v>
      </c>
      <c r="C12" s="109">
        <v>30.0</v>
      </c>
      <c r="D12" s="109">
        <v>8800.0</v>
      </c>
      <c r="E12" s="111">
        <f t="shared" si="0"/>
        <v>264000.0</v>
      </c>
      <c r="F12" s="109" t="s">
        <v>29</v>
      </c>
      <c r="G12" s="67" t="s">
        <v>452</v>
      </c>
      <c r="I12" s="109" t="s">
        <v>460</v>
      </c>
      <c r="J12" s="109">
        <f>C22</f>
        <v>1.0</v>
      </c>
      <c r="K12" s="111">
        <f>E22</f>
        <v>4200.0</v>
      </c>
      <c r="L12" s="112">
        <f t="shared" si="1"/>
        <v>0.0016076093509277245</v>
      </c>
    </row>
    <row r="13" spans="8:8" ht="15.0" customHeight="1">
      <c r="A13" s="107">
        <v>46228.0</v>
      </c>
      <c r="B13" s="109" t="s">
        <v>37</v>
      </c>
      <c r="C13" s="109">
        <v>10.0</v>
      </c>
      <c r="D13" s="109">
        <v>8880.0</v>
      </c>
      <c r="E13" s="111">
        <f t="shared" si="0"/>
        <v>88800.0</v>
      </c>
      <c r="F13" s="109" t="s">
        <v>29</v>
      </c>
      <c r="G13" s="67" t="s">
        <v>452</v>
      </c>
      <c r="I13" s="109" t="s">
        <v>33</v>
      </c>
      <c r="J13" s="109">
        <f>C23</f>
        <v>1.0</v>
      </c>
      <c r="K13" s="111">
        <f>E23</f>
        <v>16145.0</v>
      </c>
      <c r="L13" s="112">
        <f t="shared" si="1"/>
        <v>0.006179726897792408</v>
      </c>
    </row>
    <row r="14" spans="8:8" ht="15.0" customHeight="1">
      <c r="A14" s="107">
        <v>46228.0</v>
      </c>
      <c r="B14" s="109" t="s">
        <v>44</v>
      </c>
      <c r="C14" s="109">
        <v>10.0</v>
      </c>
      <c r="D14" s="109">
        <v>9200.0</v>
      </c>
      <c r="E14" s="111">
        <f t="shared" si="0"/>
        <v>92000.0</v>
      </c>
      <c r="F14" s="109" t="s">
        <v>29</v>
      </c>
      <c r="G14" s="67" t="s">
        <v>452</v>
      </c>
      <c r="I14" s="109" t="s">
        <v>32</v>
      </c>
      <c r="J14" s="109">
        <f>C25</f>
        <v>5.0</v>
      </c>
      <c r="K14" s="111">
        <f>E25</f>
        <v>80725.0</v>
      </c>
      <c r="L14" s="112">
        <f t="shared" si="1"/>
        <v>0.03089863448896204</v>
      </c>
    </row>
    <row r="15" spans="8:8" ht="15.0" customHeight="1">
      <c r="A15" s="107">
        <v>46228.0</v>
      </c>
      <c r="B15" s="109" t="s">
        <v>45</v>
      </c>
      <c r="C15" s="109">
        <v>5.0</v>
      </c>
      <c r="D15" s="109">
        <v>13335.0</v>
      </c>
      <c r="E15" s="111">
        <f t="shared" si="0"/>
        <v>66675.0</v>
      </c>
      <c r="F15" s="109" t="s">
        <v>29</v>
      </c>
      <c r="G15" s="67" t="s">
        <v>452</v>
      </c>
      <c r="I15" s="109" t="s">
        <v>181</v>
      </c>
      <c r="J15" s="109">
        <f>C31</f>
        <v>1.0</v>
      </c>
      <c r="K15" s="111">
        <f>E31</f>
        <v>16950.0</v>
      </c>
      <c r="L15" s="112">
        <f t="shared" si="1"/>
        <v>0.0064878520233868885</v>
      </c>
    </row>
    <row r="16" spans="8:8" ht="15.0" customHeight="1">
      <c r="A16" s="107">
        <v>46228.0</v>
      </c>
      <c r="B16" s="109" t="s">
        <v>22</v>
      </c>
      <c r="C16" s="109">
        <v>1.0</v>
      </c>
      <c r="D16" s="109">
        <v>9335.0</v>
      </c>
      <c r="E16" s="111">
        <f t="shared" si="0"/>
        <v>9335.0</v>
      </c>
      <c r="F16" s="109" t="s">
        <v>75</v>
      </c>
      <c r="G16" s="67" t="s">
        <v>454</v>
      </c>
      <c r="I16" s="109" t="s">
        <v>701</v>
      </c>
      <c r="J16" s="109">
        <f>SUM(J2:J15)</f>
        <v>384.0</v>
      </c>
      <c r="K16" s="111">
        <f>SUM(K2:K15)</f>
        <v>2612575.0</v>
      </c>
      <c r="L16" s="112">
        <f t="shared" si="1"/>
        <v>1.0</v>
      </c>
    </row>
    <row r="17" spans="8:8" ht="15.0" customHeight="1">
      <c r="A17" s="107">
        <v>46228.0</v>
      </c>
      <c r="B17" s="109" t="s">
        <v>22</v>
      </c>
      <c r="C17" s="109">
        <v>3.0</v>
      </c>
      <c r="D17" s="109">
        <v>8800.0</v>
      </c>
      <c r="E17" s="111">
        <f t="shared" si="0"/>
        <v>26400.0</v>
      </c>
      <c r="F17" s="109" t="s">
        <v>75</v>
      </c>
      <c r="G17" s="67" t="s">
        <v>456</v>
      </c>
    </row>
    <row r="18" spans="8:8" ht="25.5" customHeight="1">
      <c r="A18" s="107">
        <v>46228.0</v>
      </c>
      <c r="B18" s="109" t="s">
        <v>45</v>
      </c>
      <c r="C18" s="109">
        <v>1.0</v>
      </c>
      <c r="D18" s="109">
        <v>13335.0</v>
      </c>
      <c r="E18" s="111">
        <f t="shared" si="0"/>
        <v>13335.0</v>
      </c>
      <c r="F18" s="109" t="s">
        <v>458</v>
      </c>
      <c r="G18" s="67" t="s">
        <v>459</v>
      </c>
      <c r="I18" s="106" t="s">
        <v>691</v>
      </c>
      <c r="J18" s="106" t="s">
        <v>690</v>
      </c>
      <c r="K18" s="106" t="s">
        <v>695</v>
      </c>
      <c r="L18" s="106" t="s">
        <v>702</v>
      </c>
    </row>
    <row r="19" spans="8:8" ht="15.0" customHeight="1">
      <c r="A19" s="107">
        <v>46228.0</v>
      </c>
      <c r="B19" s="109" t="s">
        <v>21</v>
      </c>
      <c r="C19" s="109">
        <v>1.0</v>
      </c>
      <c r="D19" s="109">
        <v>8500.0</v>
      </c>
      <c r="E19" s="111">
        <f t="shared" si="0"/>
        <v>8500.0</v>
      </c>
      <c r="F19" s="109" t="s">
        <v>458</v>
      </c>
      <c r="G19" s="67" t="s">
        <v>459</v>
      </c>
      <c r="I19" s="109" t="s">
        <v>104</v>
      </c>
      <c r="J19" s="111">
        <f>E2+E3+E6+E7+E25</f>
        <v>247500.0</v>
      </c>
      <c r="K19" s="112">
        <f t="shared" si="2" ref="K19:K31">J19/J$31</f>
        <v>0.09473412246538376</v>
      </c>
      <c r="L19" s="112">
        <v>0.053</v>
      </c>
    </row>
    <row r="20" spans="8:8" ht="15.0" customHeight="1">
      <c r="A20" s="107">
        <v>46228.0</v>
      </c>
      <c r="B20" s="109" t="s">
        <v>22</v>
      </c>
      <c r="C20" s="109">
        <v>1.0</v>
      </c>
      <c r="D20" s="109">
        <v>9200.0</v>
      </c>
      <c r="E20" s="111">
        <f t="shared" si="0"/>
        <v>9200.0</v>
      </c>
      <c r="F20" s="109" t="s">
        <v>458</v>
      </c>
      <c r="G20" s="67" t="s">
        <v>459</v>
      </c>
      <c r="I20" s="109" t="s">
        <v>15</v>
      </c>
      <c r="J20" s="111">
        <f>E4+E24+E31</f>
        <v>27550.0</v>
      </c>
      <c r="K20" s="112">
        <f t="shared" si="2"/>
        <v>0.010545151813823527</v>
      </c>
      <c r="L20" s="112">
        <v>0.2894</v>
      </c>
    </row>
    <row r="21" spans="8:8" ht="15.0" customHeight="1">
      <c r="A21" s="107">
        <v>46228.0</v>
      </c>
      <c r="B21" s="109" t="s">
        <v>34</v>
      </c>
      <c r="C21" s="109">
        <v>1.0</v>
      </c>
      <c r="D21" s="109">
        <v>22740.0</v>
      </c>
      <c r="E21" s="111">
        <f t="shared" si="0"/>
        <v>22740.0</v>
      </c>
      <c r="F21" s="109" t="s">
        <v>458</v>
      </c>
      <c r="G21" s="67" t="s">
        <v>459</v>
      </c>
      <c r="I21" s="109" t="s">
        <v>59</v>
      </c>
      <c r="J21" s="111">
        <f>E5</f>
        <v>1300000.0</v>
      </c>
      <c r="K21" s="112">
        <f t="shared" si="2"/>
        <v>0.4975933705252481</v>
      </c>
      <c r="L21" s="112">
        <v>-0.04</v>
      </c>
    </row>
    <row r="22" spans="8:8" ht="15.0" customHeight="1">
      <c r="A22" s="107">
        <v>46228.0</v>
      </c>
      <c r="B22" s="109" t="s">
        <v>460</v>
      </c>
      <c r="C22" s="109">
        <v>1.0</v>
      </c>
      <c r="D22" s="109">
        <v>4200.0</v>
      </c>
      <c r="E22" s="111">
        <f t="shared" si="0"/>
        <v>4200.0</v>
      </c>
      <c r="F22" s="109" t="s">
        <v>458</v>
      </c>
      <c r="G22" s="67" t="s">
        <v>459</v>
      </c>
      <c r="I22" s="109" t="s">
        <v>253</v>
      </c>
      <c r="J22" s="111">
        <f>E8+E9</f>
        <v>177210.0</v>
      </c>
      <c r="K22" s="112">
        <f t="shared" si="2"/>
        <v>0.06782963168521478</v>
      </c>
      <c r="L22" s="112">
        <v>0.0453</v>
      </c>
    </row>
    <row r="23" spans="8:8" ht="15.0" customHeight="1">
      <c r="A23" s="107">
        <v>46228.0</v>
      </c>
      <c r="B23" s="109" t="s">
        <v>33</v>
      </c>
      <c r="C23" s="109">
        <v>1.0</v>
      </c>
      <c r="D23" s="109">
        <v>16145.0</v>
      </c>
      <c r="E23" s="111">
        <f t="shared" si="0"/>
        <v>16145.0</v>
      </c>
      <c r="F23" s="109" t="s">
        <v>458</v>
      </c>
      <c r="G23" s="67" t="s">
        <v>459</v>
      </c>
      <c r="I23" s="109" t="s">
        <v>154</v>
      </c>
      <c r="J23" s="111">
        <f>E10</f>
        <v>92000.0</v>
      </c>
      <c r="K23" s="112">
        <f t="shared" si="2"/>
        <v>0.035214300067940636</v>
      </c>
      <c r="L23" s="112">
        <v>0.0753</v>
      </c>
    </row>
    <row r="24" spans="8:8" ht="15.0" customHeight="1">
      <c r="A24" s="107">
        <v>46228.0</v>
      </c>
      <c r="B24" s="109" t="s">
        <v>24</v>
      </c>
      <c r="C24" s="109">
        <v>1.0</v>
      </c>
      <c r="D24" s="109">
        <v>5300.0</v>
      </c>
      <c r="E24" s="111">
        <f t="shared" si="0"/>
        <v>5300.0</v>
      </c>
      <c r="F24" s="109" t="s">
        <v>15</v>
      </c>
      <c r="G24" s="67" t="s">
        <v>461</v>
      </c>
      <c r="I24" s="109" t="s">
        <v>212</v>
      </c>
      <c r="J24" s="111">
        <f>E11</f>
        <v>27600.0</v>
      </c>
      <c r="K24" s="112">
        <f t="shared" si="2"/>
        <v>0.01056429002038219</v>
      </c>
      <c r="L24" s="112">
        <v>0.0591</v>
      </c>
    </row>
    <row r="25" spans="8:8" ht="15.0" customHeight="1">
      <c r="A25" s="107">
        <v>46228.0</v>
      </c>
      <c r="B25" s="109" t="s">
        <v>32</v>
      </c>
      <c r="C25" s="109">
        <v>5.0</v>
      </c>
      <c r="D25" s="109">
        <v>16145.0</v>
      </c>
      <c r="E25" s="111">
        <f t="shared" si="0"/>
        <v>80725.0</v>
      </c>
      <c r="F25" s="109" t="s">
        <v>104</v>
      </c>
      <c r="G25" s="67" t="s">
        <v>462</v>
      </c>
      <c r="I25" s="109" t="s">
        <v>29</v>
      </c>
      <c r="J25" s="111">
        <f>E12+E13+E14+E15</f>
        <v>511475.0</v>
      </c>
      <c r="K25" s="112">
        <f t="shared" si="2"/>
        <v>0.19577428399184713</v>
      </c>
      <c r="L25" s="112">
        <v>0.0597</v>
      </c>
    </row>
    <row r="26" spans="8:8" ht="15.0" customHeight="1">
      <c r="A26" s="107">
        <v>46228.0</v>
      </c>
      <c r="B26" s="109" t="s">
        <v>22</v>
      </c>
      <c r="C26" s="109">
        <v>2.0</v>
      </c>
      <c r="D26" s="109">
        <v>9200.0</v>
      </c>
      <c r="E26" s="111">
        <f t="shared" si="0"/>
        <v>18400.0</v>
      </c>
      <c r="F26" s="109" t="s">
        <v>122</v>
      </c>
      <c r="G26" s="67" t="s">
        <v>463</v>
      </c>
      <c r="I26" s="109" t="s">
        <v>75</v>
      </c>
      <c r="J26" s="111">
        <f>E16+E17</f>
        <v>35735.0</v>
      </c>
      <c r="K26" s="112">
        <f t="shared" si="2"/>
        <v>0.013678076227476722</v>
      </c>
      <c r="L26" s="112">
        <v>0.0477</v>
      </c>
    </row>
    <row r="27" spans="8:8" ht="15.0" customHeight="1">
      <c r="A27" s="107">
        <v>46228.0</v>
      </c>
      <c r="B27" s="109" t="s">
        <v>37</v>
      </c>
      <c r="C27" s="109">
        <v>1.0</v>
      </c>
      <c r="D27" s="109">
        <v>9200.0</v>
      </c>
      <c r="E27" s="111">
        <f t="shared" si="0"/>
        <v>9200.0</v>
      </c>
      <c r="F27" s="109" t="s">
        <v>122</v>
      </c>
      <c r="G27" s="67" t="s">
        <v>463</v>
      </c>
      <c r="I27" s="109" t="s">
        <v>458</v>
      </c>
      <c r="J27" s="111">
        <f>E18+E19+E20+E21+E22+E23</f>
        <v>74120.0</v>
      </c>
      <c r="K27" s="112">
        <f t="shared" si="2"/>
        <v>0.028370477402562606</v>
      </c>
      <c r="L27" s="112">
        <v>0.0465</v>
      </c>
    </row>
    <row r="28" spans="8:8" ht="15.0" customHeight="1">
      <c r="A28" s="107">
        <v>46228.0</v>
      </c>
      <c r="B28" s="109" t="s">
        <v>21</v>
      </c>
      <c r="C28" s="109">
        <v>1.0</v>
      </c>
      <c r="D28" s="109">
        <v>9000.0</v>
      </c>
      <c r="E28" s="111">
        <f t="shared" si="0"/>
        <v>9000.0</v>
      </c>
      <c r="F28" s="109" t="s">
        <v>122</v>
      </c>
      <c r="G28" s="67" t="s">
        <v>463</v>
      </c>
      <c r="I28" s="109" t="s">
        <v>122</v>
      </c>
      <c r="J28" s="111">
        <f>E26+E27+E28</f>
        <v>36600.0</v>
      </c>
      <c r="K28" s="112">
        <f t="shared" si="2"/>
        <v>0.0140091672009416</v>
      </c>
      <c r="L28" s="112">
        <v>0.0721</v>
      </c>
    </row>
    <row r="29" spans="8:8" ht="15.0" customHeight="1">
      <c r="A29" s="107">
        <v>46228.0</v>
      </c>
      <c r="B29" s="109" t="s">
        <v>22</v>
      </c>
      <c r="C29" s="109">
        <v>1.0</v>
      </c>
      <c r="D29" s="109">
        <v>9500.0</v>
      </c>
      <c r="E29" s="111">
        <f t="shared" si="0"/>
        <v>9500.0</v>
      </c>
      <c r="F29" s="109" t="s">
        <v>102</v>
      </c>
      <c r="G29" s="67" t="s">
        <v>464</v>
      </c>
      <c r="I29" s="109" t="s">
        <v>102</v>
      </c>
      <c r="J29" s="111">
        <f>E29+E30</f>
        <v>23450.0</v>
      </c>
      <c r="K29" s="112">
        <f t="shared" si="2"/>
        <v>0.008975818876013128</v>
      </c>
      <c r="L29" s="112">
        <v>0.0872</v>
      </c>
    </row>
    <row r="30" spans="8:8" ht="15.0" customHeight="1">
      <c r="A30" s="107">
        <v>46228.0</v>
      </c>
      <c r="B30" s="109" t="s">
        <v>45</v>
      </c>
      <c r="C30" s="109">
        <v>1.0</v>
      </c>
      <c r="D30" s="109">
        <v>13950.0</v>
      </c>
      <c r="E30" s="111">
        <f t="shared" si="0"/>
        <v>13950.0</v>
      </c>
      <c r="F30" s="109" t="s">
        <v>102</v>
      </c>
      <c r="G30" s="67" t="s">
        <v>465</v>
      </c>
      <c r="I30" s="109" t="s">
        <v>95</v>
      </c>
      <c r="J30" s="111">
        <f>E32+E33+E34</f>
        <v>59335.0</v>
      </c>
      <c r="K30" s="112">
        <f t="shared" si="2"/>
        <v>0.022711309723165842</v>
      </c>
      <c r="L30" s="112">
        <v>0.0445</v>
      </c>
    </row>
    <row r="31" spans="8:8" ht="15.0" customHeight="1">
      <c r="A31" s="107">
        <v>46228.0</v>
      </c>
      <c r="B31" s="109" t="s">
        <v>181</v>
      </c>
      <c r="C31" s="109">
        <v>1.0</v>
      </c>
      <c r="D31" s="109">
        <v>16950.0</v>
      </c>
      <c r="E31" s="111">
        <f t="shared" si="0"/>
        <v>16950.0</v>
      </c>
      <c r="F31" s="109" t="s">
        <v>15</v>
      </c>
      <c r="G31" s="67" t="s">
        <v>466</v>
      </c>
      <c r="I31" s="109" t="s">
        <v>703</v>
      </c>
      <c r="J31" s="111">
        <f>SUM(J19:J30)</f>
        <v>2612575.0</v>
      </c>
      <c r="K31" s="112">
        <f t="shared" si="2"/>
        <v>1.0</v>
      </c>
      <c r="L31" s="68"/>
    </row>
    <row r="32" spans="8:8" ht="15.0" customHeight="1">
      <c r="A32" s="107">
        <v>46228.0</v>
      </c>
      <c r="B32" s="109" t="s">
        <v>22</v>
      </c>
      <c r="C32" s="109">
        <v>3.0</v>
      </c>
      <c r="D32" s="109">
        <v>9200.0</v>
      </c>
      <c r="E32" s="111">
        <f t="shared" si="0"/>
        <v>27600.0</v>
      </c>
      <c r="F32" s="109" t="s">
        <v>95</v>
      </c>
      <c r="G32" s="67" t="s">
        <v>467</v>
      </c>
    </row>
    <row r="33" spans="8:8" ht="25.5" customHeight="1">
      <c r="A33" s="107">
        <v>46228.0</v>
      </c>
      <c r="B33" s="109" t="s">
        <v>44</v>
      </c>
      <c r="C33" s="109">
        <v>2.0</v>
      </c>
      <c r="D33" s="109">
        <v>9200.0</v>
      </c>
      <c r="E33" s="111">
        <f t="shared" si="0"/>
        <v>18400.0</v>
      </c>
      <c r="F33" s="109" t="s">
        <v>95</v>
      </c>
      <c r="G33" s="67" t="s">
        <v>467</v>
      </c>
      <c r="I33" s="106" t="s">
        <v>692</v>
      </c>
      <c r="J33" s="106" t="s">
        <v>690</v>
      </c>
      <c r="K33" s="106" t="s">
        <v>702</v>
      </c>
    </row>
    <row r="34" spans="8:8" ht="15.0" customHeight="1">
      <c r="A34" s="107">
        <v>46228.0</v>
      </c>
      <c r="B34" s="109" t="s">
        <v>45</v>
      </c>
      <c r="C34" s="109">
        <v>1.0</v>
      </c>
      <c r="D34" s="109">
        <v>13335.0</v>
      </c>
      <c r="E34" s="111">
        <f t="shared" si="0"/>
        <v>13335.0</v>
      </c>
      <c r="F34" s="109" t="s">
        <v>95</v>
      </c>
      <c r="G34" s="67" t="s">
        <v>467</v>
      </c>
      <c r="I34" s="135" t="s">
        <v>444</v>
      </c>
      <c r="J34" s="111">
        <v>49775.0</v>
      </c>
      <c r="K34" s="112">
        <v>0.05</v>
      </c>
    </row>
    <row r="35" spans="8:8" ht="15.0" customHeight="1">
      <c r="A35" s="68"/>
      <c r="B35" s="109" t="s">
        <v>701</v>
      </c>
      <c r="C35" s="109">
        <f>SUM(C2:C34)</f>
        <v>384.0</v>
      </c>
      <c r="D35" s="109">
        <f>SUM(D2:D34)</f>
        <v>375890.0</v>
      </c>
      <c r="E35" s="111">
        <f>SUM(E2:E34)</f>
        <v>2612575.0</v>
      </c>
      <c r="F35" s="68"/>
      <c r="G35" s="68"/>
      <c r="I35" s="135" t="s">
        <v>445</v>
      </c>
      <c r="J35" s="111">
        <v>5300.0</v>
      </c>
      <c r="K35" s="112">
        <v>0.02</v>
      </c>
    </row>
    <row r="36" spans="8:8" ht="15.0" customHeight="1">
      <c r="I36" s="135" t="s">
        <v>446</v>
      </c>
      <c r="J36" s="111">
        <v>1300000.0</v>
      </c>
      <c r="K36" s="112">
        <v>-0.04</v>
      </c>
    </row>
    <row r="37" spans="8:8" ht="15.0" customHeight="1">
      <c r="I37" s="135" t="s">
        <v>448</v>
      </c>
      <c r="J37" s="111">
        <v>135000.0</v>
      </c>
      <c r="K37" s="112">
        <v>0.05</v>
      </c>
    </row>
    <row r="38" spans="8:8" ht="15.0" customHeight="1">
      <c r="I38" s="135" t="s">
        <v>449</v>
      </c>
      <c r="J38" s="111">
        <v>177210.0</v>
      </c>
      <c r="K38" s="112">
        <v>0.05</v>
      </c>
    </row>
    <row r="39" spans="8:8" ht="15.0" customHeight="1">
      <c r="I39" s="135" t="s">
        <v>450</v>
      </c>
      <c r="J39" s="111">
        <v>110000.0</v>
      </c>
      <c r="K39" s="112">
        <v>0.08</v>
      </c>
    </row>
    <row r="40" spans="8:8" ht="15.0" customHeight="1">
      <c r="I40" s="135" t="s">
        <v>451</v>
      </c>
      <c r="J40" s="111">
        <v>27600.0</v>
      </c>
      <c r="K40" s="112">
        <v>0.06</v>
      </c>
    </row>
    <row r="41" spans="8:8" ht="15.0" customHeight="1">
      <c r="I41" s="135" t="s">
        <v>452</v>
      </c>
      <c r="J41" s="111">
        <v>611475.0</v>
      </c>
      <c r="K41" s="112">
        <v>0.06</v>
      </c>
    </row>
    <row r="42" spans="8:8" ht="15.0" customHeight="1">
      <c r="I42" s="135" t="s">
        <v>454</v>
      </c>
      <c r="J42" s="111">
        <v>9335.0</v>
      </c>
      <c r="K42" s="112">
        <v>0.07</v>
      </c>
    </row>
    <row r="43" spans="8:8" ht="15.0" customHeight="1">
      <c r="I43" s="135" t="s">
        <v>456</v>
      </c>
      <c r="J43" s="111">
        <v>31800.0</v>
      </c>
      <c r="K43" s="112">
        <v>0.04</v>
      </c>
    </row>
    <row r="44" spans="8:8" ht="15.0" customHeight="1">
      <c r="I44" s="67" t="s">
        <v>459</v>
      </c>
      <c r="J44" s="111">
        <v>74120.0</v>
      </c>
      <c r="K44" s="112">
        <v>0.05</v>
      </c>
    </row>
    <row r="45" spans="8:8" ht="15.0" customHeight="1">
      <c r="I45" s="135" t="s">
        <v>461</v>
      </c>
      <c r="J45" s="111">
        <v>5300.0</v>
      </c>
      <c r="K45" s="112">
        <v>0.02</v>
      </c>
    </row>
    <row r="46" spans="8:8" ht="15.0" customHeight="1">
      <c r="I46" s="135" t="s">
        <v>462</v>
      </c>
      <c r="J46" s="111">
        <v>80725.0</v>
      </c>
      <c r="K46" s="112">
        <v>0.06</v>
      </c>
    </row>
    <row r="47" spans="8:8" ht="15.0" customHeight="1">
      <c r="I47" s="135" t="s">
        <v>463</v>
      </c>
      <c r="J47" s="111">
        <v>36600.0</v>
      </c>
      <c r="K47" s="112">
        <v>0.07</v>
      </c>
    </row>
    <row r="48" spans="8:8" ht="15.0" customHeight="1">
      <c r="I48" s="135" t="s">
        <v>464</v>
      </c>
      <c r="J48" s="111">
        <v>9500.0</v>
      </c>
      <c r="K48" s="112">
        <v>0.09</v>
      </c>
    </row>
    <row r="49" spans="8:8" ht="15.0" customHeight="1">
      <c r="I49" s="135" t="s">
        <v>465</v>
      </c>
      <c r="J49" s="111">
        <v>13950.0</v>
      </c>
      <c r="K49" s="112">
        <v>0.09</v>
      </c>
    </row>
    <row r="50" spans="8:8" ht="15.0" customHeight="1">
      <c r="I50" s="135" t="s">
        <v>466</v>
      </c>
      <c r="J50" s="111">
        <v>21950.0</v>
      </c>
      <c r="K50" s="112">
        <v>0.42</v>
      </c>
    </row>
    <row r="51" spans="8:8" ht="15.0" customHeight="1">
      <c r="I51" s="67" t="s">
        <v>467</v>
      </c>
      <c r="J51" s="111">
        <v>59335.0</v>
      </c>
      <c r="K51" s="112">
        <v>0.04</v>
      </c>
    </row>
    <row r="52" spans="8:8" ht="15.0" customHeight="1">
      <c r="I52" s="109" t="s">
        <v>703</v>
      </c>
      <c r="J52" s="111">
        <f>SUM(J34:J51)</f>
        <v>2758975.0</v>
      </c>
      <c r="K52" s="68"/>
    </row>
  </sheetData>
  <hyperlinks>
    <hyperlink ref="G2" r:id="rId2"/>
    <hyperlink ref="G3" r:id="rId3"/>
    <hyperlink ref="G4" r:id="rId4"/>
    <hyperlink ref="G5" r:id="rId5"/>
    <hyperlink ref="G6" r:id="rId6"/>
    <hyperlink ref="G7" r:id="rId7"/>
    <hyperlink ref="G8" r:id="rId8"/>
    <hyperlink ref="G9" r:id="rId9"/>
    <hyperlink ref="G10" r:id="rId10"/>
    <hyperlink ref="G11" r:id="rId11"/>
    <hyperlink ref="G12" r:id="rId12"/>
    <hyperlink ref="G13" r:id="rId13"/>
    <hyperlink ref="G14" r:id="rId14"/>
    <hyperlink ref="G15" r:id="rId15"/>
    <hyperlink ref="G16" r:id="rId16"/>
    <hyperlink ref="G17" r:id="rId17"/>
    <hyperlink ref="G18" r:id="rId18"/>
    <hyperlink ref="G19" r:id="rId19"/>
    <hyperlink ref="G20" r:id="rId20"/>
    <hyperlink ref="G21" r:id="rId21"/>
    <hyperlink ref="G22" r:id="rId22"/>
    <hyperlink ref="G23" r:id="rId23"/>
    <hyperlink ref="G24" r:id="rId24"/>
    <hyperlink ref="G25" r:id="rId25"/>
    <hyperlink ref="G26" r:id="rId26"/>
    <hyperlink ref="G27" r:id="rId27"/>
    <hyperlink ref="G28" r:id="rId28"/>
    <hyperlink ref="G29" r:id="rId29"/>
    <hyperlink ref="G30" r:id="rId30"/>
    <hyperlink ref="G31" r:id="rId31"/>
    <hyperlink ref="G32" r:id="rId32"/>
    <hyperlink ref="G33" r:id="rId33"/>
    <hyperlink ref="G34" r:id="rId34"/>
    <hyperlink ref="I34" r:id="rId35"/>
    <hyperlink ref="I35" r:id="rId36"/>
    <hyperlink ref="I36" r:id="rId37"/>
    <hyperlink ref="I37" r:id="rId38"/>
    <hyperlink ref="I38" r:id="rId39"/>
    <hyperlink ref="I39" r:id="rId40"/>
    <hyperlink ref="I40" r:id="rId41"/>
    <hyperlink ref="I41" r:id="rId42"/>
    <hyperlink ref="I42" r:id="rId43"/>
    <hyperlink ref="I43" r:id="rId44"/>
    <hyperlink ref="I44" r:id="rId45"/>
    <hyperlink ref="I45" r:id="rId46"/>
    <hyperlink ref="I46" r:id="rId47"/>
    <hyperlink ref="I47" r:id="rId48"/>
    <hyperlink ref="I48" r:id="rId49"/>
    <hyperlink ref="I49" r:id="rId50"/>
    <hyperlink ref="I50" r:id="rId51"/>
    <hyperlink ref="I51" r:id="rId52"/>
  </hyperlinks>
  <pageMargins left="0.75" right="0.75" top="1.0" bottom="1.0" header="0.511811023622047" footer="0.511811023622047"/>
  <drawing r:id="rId1"/>
</worksheet>
</file>

<file path=xl/worksheets/sheet29.xml><?xml version="1.0" encoding="utf-8"?>
<worksheet xmlns:r="http://schemas.openxmlformats.org/officeDocument/2006/relationships" xmlns="http://schemas.openxmlformats.org/spreadsheetml/2006/main">
  <dimension ref="A1:Q2"/>
  <sheetViews>
    <sheetView workbookViewId="0">
      <selection activeCell="A1" sqref="A1"/>
    </sheetView>
  </sheetViews>
  <sheetFormatPr defaultRowHeight="14.5"/>
  <cols>
    <col min="1" max="1" customWidth="1" width="11.269531" style="60"/>
    <col min="2" max="2" customWidth="1" width="18.089844" style="60"/>
    <col min="3" max="3" customWidth="1" width="10.90625" style="60"/>
    <col min="4" max="4" customWidth="1" width="11.90625" style="60"/>
    <col min="5" max="5" customWidth="1" width="12.453125" style="60"/>
    <col min="6" max="6" customWidth="1" width="21.542969" style="60"/>
    <col min="7" max="7" customWidth="1" width="11.90625" style="60"/>
    <col min="8" max="8" customWidth="1" width="3.0" style="60"/>
    <col min="9" max="9" customWidth="1" width="21.542969" style="60"/>
    <col min="10" max="10" customWidth="1" width="12.453125" style="60"/>
    <col min="11" max="11" customWidth="1" width="17.726562" style="60"/>
    <col min="12" max="12" customWidth="1" width="9.542969" style="60"/>
    <col min="13" max="13" customWidth="1" width="3.0" style="60"/>
    <col min="14" max="16" customWidth="1" width="13.0" style="60"/>
  </cols>
  <sheetData>
    <row r="1" spans="8:8" ht="17.25" customHeight="1">
      <c r="A1" s="104" t="s">
        <v>711</v>
      </c>
    </row>
    <row r="2" spans="8:8" ht="15.0" customHeight="1">
      <c r="A2" s="105" t="s">
        <v>707</v>
      </c>
    </row>
  </sheetData>
  <pageMargins left="0.75" right="0.75" top="1.0" bottom="1.0" header="0.511811023622047" footer="0.511811023622047"/>
</worksheet>
</file>

<file path=xl/worksheets/sheet30.xml><?xml version="1.0" encoding="utf-8"?>
<worksheet xmlns:r="http://schemas.openxmlformats.org/officeDocument/2006/relationships" xmlns="http://schemas.openxmlformats.org/spreadsheetml/2006/main">
  <dimension ref="A1:Q51"/>
  <sheetViews>
    <sheetView workbookViewId="0" topLeftCell="A26" zoomScale="57">
      <selection activeCell="AF34" sqref="AF34"/>
    </sheetView>
  </sheetViews>
  <sheetFormatPr defaultRowHeight="14.5"/>
  <cols>
    <col min="1" max="1" customWidth="1" width="10.453125" style="60"/>
    <col min="2" max="2" customWidth="1" width="20.632812" style="60"/>
    <col min="3" max="3" customWidth="1" width="11.453125" style="60"/>
    <col min="4" max="4" customWidth="1" width="14.7265625" style="60"/>
    <col min="5" max="5" customWidth="1" width="12.542969" style="60"/>
    <col min="6" max="6" customWidth="1" width="17.179688" style="60"/>
    <col min="7" max="7" customWidth="1" width="12.816406" style="60"/>
    <col min="8" max="8" customWidth="1" width="3.0" style="60"/>
    <col min="9" max="9" customWidth="1" width="20.632812" style="60"/>
    <col min="10" max="10" customWidth="1" width="12.542969" style="60"/>
    <col min="11" max="12" customWidth="1" width="17.816406" style="60"/>
    <col min="13" max="13" customWidth="1" width="3.0" style="60"/>
    <col min="14" max="14" customWidth="1" width="12.363281" style="60"/>
    <col min="15" max="16" customWidth="1" width="15.90625" style="60"/>
  </cols>
  <sheetData>
    <row r="1" spans="8:8" ht="25.5" customHeight="1">
      <c r="A1" s="106" t="s">
        <v>686</v>
      </c>
      <c r="B1" s="106" t="s">
        <v>687</v>
      </c>
      <c r="C1" s="106" t="s">
        <v>688</v>
      </c>
      <c r="D1" s="106" t="s">
        <v>689</v>
      </c>
      <c r="E1" s="106" t="s">
        <v>690</v>
      </c>
      <c r="F1" s="106" t="s">
        <v>691</v>
      </c>
      <c r="G1" s="106" t="s">
        <v>692</v>
      </c>
      <c r="I1" s="106" t="s">
        <v>687</v>
      </c>
      <c r="J1" s="106" t="s">
        <v>693</v>
      </c>
      <c r="K1" s="106" t="s">
        <v>694</v>
      </c>
      <c r="L1" s="106" t="s">
        <v>695</v>
      </c>
      <c r="N1" s="106" t="s">
        <v>696</v>
      </c>
      <c r="O1" s="106" t="s">
        <v>697</v>
      </c>
      <c r="P1" s="106" t="s">
        <v>698</v>
      </c>
    </row>
    <row r="2" spans="8:8" ht="15.0" customHeight="1">
      <c r="A2" s="107">
        <v>46230.0</v>
      </c>
      <c r="B2" s="109" t="s">
        <v>24</v>
      </c>
      <c r="C2" s="109">
        <v>2.0</v>
      </c>
      <c r="D2" s="109">
        <v>5300.0</v>
      </c>
      <c r="E2" s="111">
        <f t="shared" si="0" ref="E2:E36">C2*D2</f>
        <v>10600.0</v>
      </c>
      <c r="F2" s="109" t="s">
        <v>15</v>
      </c>
      <c r="G2" s="67" t="s">
        <v>468</v>
      </c>
      <c r="I2" s="109" t="s">
        <v>24</v>
      </c>
      <c r="J2" s="109">
        <f>C2+C9+C18+C23+C31+C32</f>
        <v>374.0</v>
      </c>
      <c r="K2" s="111">
        <f>E2+E9+E18+E23+E31+E32</f>
        <v>1871200.0</v>
      </c>
      <c r="L2" s="112">
        <f t="shared" si="1" ref="L2:L14">K2/K$14</f>
        <v>0.2366157573550425</v>
      </c>
      <c r="N2" s="111">
        <f>K14</f>
        <v>7908180.0</v>
      </c>
      <c r="O2" s="109">
        <f>J14</f>
        <v>971.0</v>
      </c>
      <c r="P2" s="109">
        <f>COUNT(J2:J13)</f>
        <v>12.0</v>
      </c>
    </row>
    <row r="3" spans="8:8" ht="15.0" customHeight="1">
      <c r="A3" s="107">
        <v>46230.0</v>
      </c>
      <c r="B3" s="109" t="s">
        <v>32</v>
      </c>
      <c r="C3" s="109">
        <v>1.0</v>
      </c>
      <c r="D3" s="109">
        <v>16145.0</v>
      </c>
      <c r="E3" s="111">
        <f t="shared" si="0"/>
        <v>16145.0</v>
      </c>
      <c r="F3" s="109" t="s">
        <v>104</v>
      </c>
      <c r="G3" s="67" t="s">
        <v>469</v>
      </c>
      <c r="I3" s="109" t="s">
        <v>32</v>
      </c>
      <c r="J3" s="109">
        <f>C3</f>
        <v>1.0</v>
      </c>
      <c r="K3" s="111">
        <f>E3</f>
        <v>16145.0</v>
      </c>
      <c r="L3" s="112">
        <f t="shared" si="1"/>
        <v>0.002041556970124605</v>
      </c>
    </row>
    <row r="4" spans="8:8" ht="15.0" customHeight="1">
      <c r="A4" s="107">
        <v>46230.0</v>
      </c>
      <c r="B4" s="109" t="s">
        <v>100</v>
      </c>
      <c r="C4" s="109">
        <v>10.0</v>
      </c>
      <c r="D4" s="109">
        <v>11480.0</v>
      </c>
      <c r="E4" s="111">
        <f t="shared" si="0"/>
        <v>114800.0</v>
      </c>
      <c r="F4" s="109" t="s">
        <v>29</v>
      </c>
      <c r="G4" s="67" t="s">
        <v>470</v>
      </c>
      <c r="I4" s="109" t="s">
        <v>100</v>
      </c>
      <c r="J4" s="109">
        <f>C4</f>
        <v>10.0</v>
      </c>
      <c r="K4" s="111">
        <f>E4</f>
        <v>114800.0</v>
      </c>
      <c r="L4" s="112">
        <f t="shared" si="1"/>
        <v>0.014516614442261051</v>
      </c>
    </row>
    <row r="5" spans="8:8" ht="15.0" customHeight="1">
      <c r="A5" s="107">
        <v>46230.0</v>
      </c>
      <c r="B5" s="109" t="s">
        <v>87</v>
      </c>
      <c r="C5" s="109">
        <v>10.0</v>
      </c>
      <c r="D5" s="109">
        <v>21400.0</v>
      </c>
      <c r="E5" s="111">
        <f t="shared" si="0"/>
        <v>214000.0</v>
      </c>
      <c r="F5" s="109" t="s">
        <v>29</v>
      </c>
      <c r="G5" s="67" t="s">
        <v>470</v>
      </c>
      <c r="I5" s="109" t="s">
        <v>87</v>
      </c>
      <c r="J5" s="109">
        <f>C5+C22</f>
        <v>15.0</v>
      </c>
      <c r="K5" s="111">
        <f>E5+E22</f>
        <v>326825.0</v>
      </c>
      <c r="L5" s="112">
        <f t="shared" si="1"/>
        <v>0.041327460932856865</v>
      </c>
    </row>
    <row r="6" spans="8:8" ht="15.0" customHeight="1">
      <c r="A6" s="107">
        <v>46230.0</v>
      </c>
      <c r="B6" s="109" t="s">
        <v>21</v>
      </c>
      <c r="C6" s="109">
        <v>3.0</v>
      </c>
      <c r="D6" s="109">
        <v>9000.0</v>
      </c>
      <c r="E6" s="111">
        <f t="shared" si="0"/>
        <v>27000.0</v>
      </c>
      <c r="F6" s="109" t="s">
        <v>212</v>
      </c>
      <c r="G6" s="67" t="s">
        <v>471</v>
      </c>
      <c r="I6" s="109" t="s">
        <v>21</v>
      </c>
      <c r="J6" s="109">
        <f>C6+C26+C36</f>
        <v>6.0</v>
      </c>
      <c r="K6" s="111">
        <f>E6+E26+E36</f>
        <v>54000.0</v>
      </c>
      <c r="L6" s="112">
        <f t="shared" si="1"/>
        <v>0.006828372647056592</v>
      </c>
    </row>
    <row r="7" spans="8:8" ht="15.0" customHeight="1">
      <c r="A7" s="107">
        <v>46230.0</v>
      </c>
      <c r="B7" s="109" t="s">
        <v>43</v>
      </c>
      <c r="C7" s="109">
        <v>1.0</v>
      </c>
      <c r="D7" s="109">
        <v>18300.0</v>
      </c>
      <c r="E7" s="111">
        <f t="shared" si="0"/>
        <v>18300.0</v>
      </c>
      <c r="F7" s="109" t="s">
        <v>212</v>
      </c>
      <c r="G7" s="67" t="s">
        <v>471</v>
      </c>
      <c r="I7" s="109" t="s">
        <v>43</v>
      </c>
      <c r="J7" s="109">
        <f>C7+C13+C30</f>
        <v>22.0</v>
      </c>
      <c r="K7" s="111">
        <f>E7+E13+E30</f>
        <v>390600.0</v>
      </c>
      <c r="L7" s="112">
        <f t="shared" si="1"/>
        <v>0.049391895480376015</v>
      </c>
    </row>
    <row r="8" spans="8:8" ht="15.0" customHeight="1">
      <c r="A8" s="107">
        <v>46230.0</v>
      </c>
      <c r="B8" s="109" t="s">
        <v>45</v>
      </c>
      <c r="C8" s="109">
        <v>50.0</v>
      </c>
      <c r="D8" s="109">
        <v>12930.0</v>
      </c>
      <c r="E8" s="111">
        <f t="shared" si="0"/>
        <v>646500.0</v>
      </c>
      <c r="F8" s="109" t="s">
        <v>152</v>
      </c>
      <c r="G8" s="67" t="s">
        <v>472</v>
      </c>
      <c r="I8" s="109" t="s">
        <v>45</v>
      </c>
      <c r="J8" s="109">
        <f>C8+C12+C17+C19+C25</f>
        <v>97.0</v>
      </c>
      <c r="K8" s="111">
        <f>E8+E12+E17+E19+E25</f>
        <v>1264245.0</v>
      </c>
      <c r="L8" s="112">
        <f t="shared" si="1"/>
        <v>0.15986548105885298</v>
      </c>
    </row>
    <row r="9" spans="8:8" ht="15.0" customHeight="1">
      <c r="A9" s="107">
        <v>46230.0</v>
      </c>
      <c r="B9" s="109" t="s">
        <v>24</v>
      </c>
      <c r="C9" s="109">
        <v>210.0</v>
      </c>
      <c r="D9" s="109">
        <v>5000.0</v>
      </c>
      <c r="E9" s="111">
        <f t="shared" si="0"/>
        <v>1050000.0</v>
      </c>
      <c r="F9" s="109" t="s">
        <v>25</v>
      </c>
      <c r="G9" s="67" t="s">
        <v>474</v>
      </c>
      <c r="I9" s="109" t="s">
        <v>22</v>
      </c>
      <c r="J9" s="109">
        <f>C10+C14+C15+C20+C24+C27</f>
        <v>321.0</v>
      </c>
      <c r="K9" s="111">
        <f>E10+E14+E15+E20+E24+E27</f>
        <v>2757240.0</v>
      </c>
      <c r="L9" s="112">
        <f t="shared" si="1"/>
        <v>0.34865670735870957</v>
      </c>
    </row>
    <row r="10" spans="8:8" ht="15.0" customHeight="1">
      <c r="A10" s="107">
        <v>46230.0</v>
      </c>
      <c r="B10" s="109" t="s">
        <v>22</v>
      </c>
      <c r="C10" s="109">
        <v>200.0</v>
      </c>
      <c r="D10" s="109">
        <v>8500.0</v>
      </c>
      <c r="E10" s="111">
        <f t="shared" si="0"/>
        <v>1700000.0</v>
      </c>
      <c r="F10" s="109" t="s">
        <v>165</v>
      </c>
      <c r="G10" s="67" t="s">
        <v>475</v>
      </c>
      <c r="I10" s="109" t="s">
        <v>37</v>
      </c>
      <c r="J10" s="109">
        <f>C11+C29+C35</f>
        <v>102.0</v>
      </c>
      <c r="K10" s="111">
        <f>E11+E29+E35</f>
        <v>906700.0</v>
      </c>
      <c r="L10" s="112">
        <f t="shared" si="1"/>
        <v>0.11465343479789282</v>
      </c>
    </row>
    <row r="11" spans="8:8" ht="15.0" customHeight="1">
      <c r="A11" s="107">
        <v>46230.0</v>
      </c>
      <c r="B11" s="109" t="s">
        <v>37</v>
      </c>
      <c r="C11" s="109">
        <v>100.0</v>
      </c>
      <c r="D11" s="109">
        <v>8880.0</v>
      </c>
      <c r="E11" s="111">
        <f t="shared" si="0"/>
        <v>888000.0</v>
      </c>
      <c r="F11" s="109" t="s">
        <v>165</v>
      </c>
      <c r="G11" s="67" t="s">
        <v>475</v>
      </c>
      <c r="I11" s="109" t="s">
        <v>27</v>
      </c>
      <c r="J11" s="109">
        <f>C16+C33</f>
        <v>18.0</v>
      </c>
      <c r="K11" s="111">
        <f>E16+E33</f>
        <v>144360.0</v>
      </c>
      <c r="L11" s="112">
        <f t="shared" si="1"/>
        <v>0.018254516209797955</v>
      </c>
    </row>
    <row r="12" spans="8:8" ht="15.0" customHeight="1">
      <c r="A12" s="107">
        <v>46230.0</v>
      </c>
      <c r="B12" s="109" t="s">
        <v>45</v>
      </c>
      <c r="C12" s="109">
        <v>30.0</v>
      </c>
      <c r="D12" s="109">
        <v>12830.0</v>
      </c>
      <c r="E12" s="111">
        <f t="shared" si="0"/>
        <v>384900.0</v>
      </c>
      <c r="F12" s="109" t="s">
        <v>165</v>
      </c>
      <c r="G12" s="67" t="s">
        <v>475</v>
      </c>
      <c r="I12" s="109" t="s">
        <v>101</v>
      </c>
      <c r="J12" s="109">
        <f>C21</f>
        <v>3.0</v>
      </c>
      <c r="K12" s="111">
        <f>E21</f>
        <v>43365.0</v>
      </c>
      <c r="L12" s="112">
        <f t="shared" si="1"/>
        <v>0.005483562589622391</v>
      </c>
    </row>
    <row r="13" spans="8:8" ht="15.0" customHeight="1">
      <c r="A13" s="107">
        <v>46230.0</v>
      </c>
      <c r="B13" s="109" t="s">
        <v>43</v>
      </c>
      <c r="C13" s="109">
        <v>20.0</v>
      </c>
      <c r="D13" s="109">
        <v>17700.0</v>
      </c>
      <c r="E13" s="111">
        <f t="shared" si="0"/>
        <v>354000.0</v>
      </c>
      <c r="F13" s="109" t="s">
        <v>165</v>
      </c>
      <c r="G13" s="67" t="s">
        <v>475</v>
      </c>
      <c r="I13" s="109" t="s">
        <v>44</v>
      </c>
      <c r="J13" s="109">
        <f>C28+C34</f>
        <v>2.0</v>
      </c>
      <c r="K13" s="111">
        <f>E28+E34</f>
        <v>18700.0</v>
      </c>
      <c r="L13" s="112">
        <f t="shared" si="1"/>
        <v>0.0023646401574066345</v>
      </c>
    </row>
    <row r="14" spans="8:8" ht="15.0" customHeight="1">
      <c r="A14" s="107">
        <v>46230.0</v>
      </c>
      <c r="B14" s="109" t="s">
        <v>22</v>
      </c>
      <c r="C14" s="109">
        <v>40.0</v>
      </c>
      <c r="D14" s="109">
        <v>9000.0</v>
      </c>
      <c r="E14" s="111">
        <f t="shared" si="0"/>
        <v>360000.0</v>
      </c>
      <c r="F14" s="109" t="s">
        <v>59</v>
      </c>
      <c r="G14" s="67" t="s">
        <v>479</v>
      </c>
      <c r="I14" s="109" t="s">
        <v>701</v>
      </c>
      <c r="J14" s="109">
        <f>SUM(J2:J13)</f>
        <v>971.0</v>
      </c>
      <c r="K14" s="111">
        <f>SUM(K2:K13)</f>
        <v>7908180.0</v>
      </c>
      <c r="L14" s="112">
        <f t="shared" si="1"/>
        <v>1.0</v>
      </c>
    </row>
    <row r="15" spans="8:8" ht="15.0" customHeight="1">
      <c r="A15" s="107">
        <v>46230.0</v>
      </c>
      <c r="B15" s="109" t="s">
        <v>22</v>
      </c>
      <c r="C15" s="109">
        <v>70.0</v>
      </c>
      <c r="D15" s="109">
        <v>8500.0</v>
      </c>
      <c r="E15" s="111">
        <f t="shared" si="0"/>
        <v>595000.0</v>
      </c>
      <c r="F15" s="109" t="s">
        <v>139</v>
      </c>
      <c r="G15" s="67" t="s">
        <v>482</v>
      </c>
    </row>
    <row r="16" spans="8:8" ht="25.5" customHeight="1">
      <c r="A16" s="107">
        <v>46230.0</v>
      </c>
      <c r="B16" s="109" t="s">
        <v>27</v>
      </c>
      <c r="C16" s="109">
        <v>8.0</v>
      </c>
      <c r="D16" s="109">
        <v>8020.0</v>
      </c>
      <c r="E16" s="111">
        <f t="shared" si="0"/>
        <v>64160.0</v>
      </c>
      <c r="F16" s="109" t="s">
        <v>25</v>
      </c>
      <c r="G16" s="67" t="s">
        <v>483</v>
      </c>
      <c r="I16" s="106" t="s">
        <v>691</v>
      </c>
      <c r="J16" s="106" t="s">
        <v>690</v>
      </c>
      <c r="K16" s="106" t="s">
        <v>695</v>
      </c>
      <c r="L16" s="106" t="s">
        <v>702</v>
      </c>
    </row>
    <row r="17" spans="8:8" ht="15.0" customHeight="1">
      <c r="A17" s="107">
        <v>46230.0</v>
      </c>
      <c r="B17" s="109" t="s">
        <v>45</v>
      </c>
      <c r="C17" s="109">
        <v>5.0</v>
      </c>
      <c r="D17" s="109">
        <v>13335.0</v>
      </c>
      <c r="E17" s="111">
        <f t="shared" si="0"/>
        <v>66675.0</v>
      </c>
      <c r="F17" s="109" t="s">
        <v>145</v>
      </c>
      <c r="G17" s="67" t="s">
        <v>485</v>
      </c>
      <c r="I17" s="109" t="s">
        <v>15</v>
      </c>
      <c r="J17" s="111">
        <f>E2+E18+E34+E35+E36</f>
        <v>43900.0</v>
      </c>
      <c r="K17" s="112">
        <f t="shared" si="2" ref="K17:K30">J17/J$30</f>
        <v>0.005551214059366378</v>
      </c>
      <c r="L17" s="112">
        <v>0.0608</v>
      </c>
    </row>
    <row r="18" spans="8:8" ht="15.0" customHeight="1">
      <c r="A18" s="107">
        <v>46230.0</v>
      </c>
      <c r="B18" s="109" t="s">
        <v>24</v>
      </c>
      <c r="C18" s="109">
        <v>1.0</v>
      </c>
      <c r="D18" s="109">
        <v>5300.0</v>
      </c>
      <c r="E18" s="111">
        <f t="shared" si="0"/>
        <v>5300.0</v>
      </c>
      <c r="F18" s="109" t="s">
        <v>15</v>
      </c>
      <c r="G18" s="67" t="s">
        <v>486</v>
      </c>
      <c r="I18" s="109" t="s">
        <v>104</v>
      </c>
      <c r="J18" s="111">
        <f>E3</f>
        <v>16145.0</v>
      </c>
      <c r="K18" s="112">
        <f t="shared" si="2"/>
        <v>0.002041556970124605</v>
      </c>
      <c r="L18" s="112">
        <v>0.0556</v>
      </c>
    </row>
    <row r="19" spans="8:8" ht="15.0" customHeight="1">
      <c r="A19" s="107">
        <v>46230.0</v>
      </c>
      <c r="B19" s="109" t="s">
        <v>45</v>
      </c>
      <c r="C19" s="109">
        <v>10.0</v>
      </c>
      <c r="D19" s="109">
        <v>13950.0</v>
      </c>
      <c r="E19" s="111">
        <f t="shared" si="0"/>
        <v>139500.0</v>
      </c>
      <c r="F19" s="109" t="s">
        <v>85</v>
      </c>
      <c r="G19" s="67" t="s">
        <v>487</v>
      </c>
      <c r="I19" s="109" t="s">
        <v>29</v>
      </c>
      <c r="J19" s="111">
        <f>E4+E5</f>
        <v>328800.0</v>
      </c>
      <c r="K19" s="112">
        <f t="shared" si="2"/>
        <v>0.04157720233985569</v>
      </c>
      <c r="L19" s="112">
        <v>0.1014</v>
      </c>
    </row>
    <row r="20" spans="8:8" ht="15.0" customHeight="1">
      <c r="A20" s="107">
        <v>46230.0</v>
      </c>
      <c r="B20" s="109" t="s">
        <v>22</v>
      </c>
      <c r="C20" s="109">
        <v>5.0</v>
      </c>
      <c r="D20" s="109">
        <v>9300.0</v>
      </c>
      <c r="E20" s="111">
        <f t="shared" si="0"/>
        <v>46500.0</v>
      </c>
      <c r="F20" s="109" t="s">
        <v>85</v>
      </c>
      <c r="G20" s="67" t="s">
        <v>487</v>
      </c>
      <c r="I20" s="109" t="s">
        <v>212</v>
      </c>
      <c r="J20" s="111">
        <f>E6+E7</f>
        <v>45300.0</v>
      </c>
      <c r="K20" s="112">
        <f t="shared" si="2"/>
        <v>0.005728245942808585</v>
      </c>
      <c r="L20" s="112">
        <v>0.0838</v>
      </c>
    </row>
    <row r="21" spans="8:8" ht="15.0" customHeight="1">
      <c r="A21" s="107">
        <v>46230.0</v>
      </c>
      <c r="B21" s="109" t="s">
        <v>101</v>
      </c>
      <c r="C21" s="109">
        <v>3.0</v>
      </c>
      <c r="D21" s="109">
        <v>14455.0</v>
      </c>
      <c r="E21" s="111">
        <f t="shared" si="0"/>
        <v>43365.0</v>
      </c>
      <c r="F21" s="109" t="s">
        <v>85</v>
      </c>
      <c r="G21" s="67" t="s">
        <v>487</v>
      </c>
      <c r="I21" s="109" t="s">
        <v>152</v>
      </c>
      <c r="J21" s="111">
        <f>E8</f>
        <v>646500.0</v>
      </c>
      <c r="K21" s="112">
        <f t="shared" si="2"/>
        <v>0.08175079474670531</v>
      </c>
      <c r="L21" s="112">
        <v>0.1405</v>
      </c>
    </row>
    <row r="22" spans="8:8" ht="15.0" customHeight="1">
      <c r="A22" s="107">
        <v>46230.0</v>
      </c>
      <c r="B22" s="109" t="s">
        <v>87</v>
      </c>
      <c r="C22" s="109">
        <v>5.0</v>
      </c>
      <c r="D22" s="109">
        <v>22565.0</v>
      </c>
      <c r="E22" s="111">
        <f t="shared" si="0"/>
        <v>112825.0</v>
      </c>
      <c r="F22" s="109" t="s">
        <v>85</v>
      </c>
      <c r="G22" s="67" t="s">
        <v>487</v>
      </c>
      <c r="I22" s="109" t="s">
        <v>25</v>
      </c>
      <c r="J22" s="111">
        <f>E9+E16</f>
        <v>1114160.0</v>
      </c>
      <c r="K22" s="112">
        <f t="shared" si="2"/>
        <v>0.1408870308971217</v>
      </c>
      <c r="L22" s="112">
        <v>-0.0353</v>
      </c>
    </row>
    <row r="23" spans="8:8" ht="15.0" customHeight="1">
      <c r="A23" s="107">
        <v>46230.0</v>
      </c>
      <c r="B23" s="109" t="s">
        <v>24</v>
      </c>
      <c r="C23" s="109">
        <v>100.0</v>
      </c>
      <c r="D23" s="109">
        <v>5000.0</v>
      </c>
      <c r="E23" s="111">
        <f t="shared" si="0"/>
        <v>500000.0</v>
      </c>
      <c r="F23" s="109" t="s">
        <v>59</v>
      </c>
      <c r="G23" s="67" t="s">
        <v>488</v>
      </c>
      <c r="I23" s="109" t="s">
        <v>165</v>
      </c>
      <c r="J23" s="111">
        <f>E10+E11+E12+E13</f>
        <v>3326900.0</v>
      </c>
      <c r="K23" s="112">
        <f t="shared" si="2"/>
        <v>0.420690980731344</v>
      </c>
      <c r="L23" s="112">
        <v>0.0829</v>
      </c>
    </row>
    <row r="24" spans="8:8" ht="15.0" customHeight="1">
      <c r="A24" s="107">
        <v>46230.0</v>
      </c>
      <c r="B24" s="109" t="s">
        <v>22</v>
      </c>
      <c r="C24" s="109">
        <v>4.0</v>
      </c>
      <c r="D24" s="109">
        <v>9335.0</v>
      </c>
      <c r="E24" s="111">
        <f t="shared" si="0"/>
        <v>37340.0</v>
      </c>
      <c r="F24" s="109" t="s">
        <v>75</v>
      </c>
      <c r="G24" s="67" t="s">
        <v>489</v>
      </c>
      <c r="I24" s="109" t="s">
        <v>59</v>
      </c>
      <c r="J24" s="111">
        <f>E14+E23+E32+E33</f>
        <v>1240200.0</v>
      </c>
      <c r="K24" s="112">
        <f t="shared" si="2"/>
        <v>0.15682495846073308</v>
      </c>
      <c r="L24" s="112">
        <v>0.0033</v>
      </c>
    </row>
    <row r="25" spans="8:8" ht="15.0" customHeight="1">
      <c r="A25" s="107">
        <v>46230.0</v>
      </c>
      <c r="B25" s="109" t="s">
        <v>45</v>
      </c>
      <c r="C25" s="109">
        <v>2.0</v>
      </c>
      <c r="D25" s="109">
        <v>13335.0</v>
      </c>
      <c r="E25" s="111">
        <f t="shared" si="0"/>
        <v>26670.0</v>
      </c>
      <c r="F25" s="109" t="s">
        <v>336</v>
      </c>
      <c r="G25" s="67" t="s">
        <v>491</v>
      </c>
      <c r="I25" s="109" t="s">
        <v>139</v>
      </c>
      <c r="J25" s="111">
        <f>E15</f>
        <v>595000.0</v>
      </c>
      <c r="K25" s="112">
        <f t="shared" si="2"/>
        <v>0.07523855046293837</v>
      </c>
      <c r="L25" s="112">
        <v>0.012</v>
      </c>
    </row>
    <row r="26" spans="8:8" ht="15.0" customHeight="1">
      <c r="A26" s="107">
        <v>46230.0</v>
      </c>
      <c r="B26" s="109" t="s">
        <v>21</v>
      </c>
      <c r="C26" s="109">
        <v>2.0</v>
      </c>
      <c r="D26" s="109">
        <v>9000.0</v>
      </c>
      <c r="E26" s="111">
        <f t="shared" si="0"/>
        <v>18000.0</v>
      </c>
      <c r="F26" s="109" t="s">
        <v>336</v>
      </c>
      <c r="G26" s="67" t="s">
        <v>491</v>
      </c>
      <c r="I26" s="109" t="s">
        <v>145</v>
      </c>
      <c r="J26" s="111">
        <f>E17</f>
        <v>66675.0</v>
      </c>
      <c r="K26" s="112">
        <f t="shared" si="2"/>
        <v>0.008431143448935153</v>
      </c>
      <c r="L26" s="112">
        <v>0.1632</v>
      </c>
    </row>
    <row r="27" spans="8:8" ht="15.0" customHeight="1">
      <c r="A27" s="107">
        <v>46230.0</v>
      </c>
      <c r="B27" s="109" t="s">
        <v>22</v>
      </c>
      <c r="C27" s="109">
        <v>2.0</v>
      </c>
      <c r="D27" s="109">
        <v>9200.0</v>
      </c>
      <c r="E27" s="111">
        <f t="shared" si="0"/>
        <v>18400.0</v>
      </c>
      <c r="F27" s="109" t="s">
        <v>336</v>
      </c>
      <c r="G27" s="67" t="s">
        <v>491</v>
      </c>
      <c r="I27" s="109" t="s">
        <v>85</v>
      </c>
      <c r="J27" s="111">
        <f>E19+E20+E21+E22</f>
        <v>342190.0</v>
      </c>
      <c r="K27" s="112">
        <f t="shared" si="2"/>
        <v>0.043270385853635095</v>
      </c>
      <c r="L27" s="112">
        <v>0.1589</v>
      </c>
    </row>
    <row r="28" spans="8:8" ht="15.0" customHeight="1">
      <c r="A28" s="107">
        <v>46230.0</v>
      </c>
      <c r="B28" s="109" t="s">
        <v>44</v>
      </c>
      <c r="C28" s="109">
        <v>1.0</v>
      </c>
      <c r="D28" s="109">
        <v>9200.0</v>
      </c>
      <c r="E28" s="111">
        <f t="shared" si="0"/>
        <v>9200.0</v>
      </c>
      <c r="F28" s="109" t="s">
        <v>336</v>
      </c>
      <c r="G28" s="67" t="s">
        <v>491</v>
      </c>
      <c r="I28" s="109" t="s">
        <v>75</v>
      </c>
      <c r="J28" s="111">
        <f>E24</f>
        <v>37340.0</v>
      </c>
      <c r="K28" s="112">
        <f t="shared" si="2"/>
        <v>0.004721693234094318</v>
      </c>
      <c r="L28" s="112">
        <v>0.0861</v>
      </c>
    </row>
    <row r="29" spans="8:8" ht="15.0" customHeight="1">
      <c r="A29" s="107">
        <v>46230.0</v>
      </c>
      <c r="B29" s="109" t="s">
        <v>37</v>
      </c>
      <c r="C29" s="109">
        <v>1.0</v>
      </c>
      <c r="D29" s="109">
        <v>9200.0</v>
      </c>
      <c r="E29" s="111">
        <f t="shared" si="0"/>
        <v>9200.0</v>
      </c>
      <c r="F29" s="109" t="s">
        <v>336</v>
      </c>
      <c r="G29" s="67" t="s">
        <v>491</v>
      </c>
      <c r="I29" s="109" t="s">
        <v>336</v>
      </c>
      <c r="J29" s="111">
        <f>E25+E26+E27+E28+E29+E30+E31</f>
        <v>105070.0</v>
      </c>
      <c r="K29" s="112">
        <f t="shared" si="2"/>
        <v>0.013286242852337706</v>
      </c>
      <c r="L29" s="112">
        <v>0.0587</v>
      </c>
    </row>
    <row r="30" spans="8:8" ht="15.0" customHeight="1">
      <c r="A30" s="107">
        <v>46230.0</v>
      </c>
      <c r="B30" s="109" t="s">
        <v>43</v>
      </c>
      <c r="C30" s="109">
        <v>1.0</v>
      </c>
      <c r="D30" s="109">
        <v>18300.0</v>
      </c>
      <c r="E30" s="111">
        <f t="shared" si="0"/>
        <v>18300.0</v>
      </c>
      <c r="F30" s="109" t="s">
        <v>336</v>
      </c>
      <c r="G30" s="67" t="s">
        <v>491</v>
      </c>
      <c r="I30" s="109" t="s">
        <v>703</v>
      </c>
      <c r="J30" s="111">
        <f>SUM(J17:J29)</f>
        <v>7908180.0</v>
      </c>
      <c r="K30" s="112">
        <f t="shared" si="2"/>
        <v>1.0</v>
      </c>
      <c r="L30" s="68"/>
    </row>
    <row r="31" spans="8:8" ht="15.0" customHeight="1">
      <c r="A31" s="107">
        <v>46230.0</v>
      </c>
      <c r="B31" s="109" t="s">
        <v>24</v>
      </c>
      <c r="C31" s="109">
        <v>1.0</v>
      </c>
      <c r="D31" s="109">
        <v>5300.0</v>
      </c>
      <c r="E31" s="111">
        <f t="shared" si="0"/>
        <v>5300.0</v>
      </c>
      <c r="F31" s="109" t="s">
        <v>336</v>
      </c>
      <c r="G31" s="67" t="s">
        <v>491</v>
      </c>
    </row>
    <row r="32" spans="8:8" ht="25.5" customHeight="1">
      <c r="A32" s="107">
        <v>46230.0</v>
      </c>
      <c r="B32" s="109" t="s">
        <v>24</v>
      </c>
      <c r="C32" s="109">
        <v>60.0</v>
      </c>
      <c r="D32" s="109">
        <v>5000.0</v>
      </c>
      <c r="E32" s="111">
        <f t="shared" si="0"/>
        <v>300000.0</v>
      </c>
      <c r="F32" s="109" t="s">
        <v>59</v>
      </c>
      <c r="G32" s="67" t="s">
        <v>492</v>
      </c>
      <c r="I32" s="106" t="s">
        <v>692</v>
      </c>
      <c r="J32" s="106" t="s">
        <v>690</v>
      </c>
      <c r="K32" s="106" t="s">
        <v>702</v>
      </c>
    </row>
    <row r="33" spans="8:8" ht="15.0" customHeight="1">
      <c r="A33" s="107">
        <v>46230.0</v>
      </c>
      <c r="B33" s="109" t="s">
        <v>27</v>
      </c>
      <c r="C33" s="109">
        <v>10.0</v>
      </c>
      <c r="D33" s="109">
        <v>8020.0</v>
      </c>
      <c r="E33" s="111">
        <f t="shared" si="0"/>
        <v>80200.0</v>
      </c>
      <c r="F33" s="109" t="s">
        <v>59</v>
      </c>
      <c r="G33" s="67" t="s">
        <v>492</v>
      </c>
      <c r="I33" s="67" t="s">
        <v>468</v>
      </c>
      <c r="J33" s="111">
        <v>10600.0</v>
      </c>
      <c r="K33" s="112">
        <v>0.02</v>
      </c>
    </row>
    <row r="34" spans="8:8" ht="15.0" customHeight="1">
      <c r="A34" s="107">
        <v>46230.0</v>
      </c>
      <c r="B34" s="109" t="s">
        <v>44</v>
      </c>
      <c r="C34" s="109">
        <v>1.0</v>
      </c>
      <c r="D34" s="109">
        <v>9500.0</v>
      </c>
      <c r="E34" s="111">
        <f t="shared" si="0"/>
        <v>9500.0</v>
      </c>
      <c r="F34" s="109" t="s">
        <v>15</v>
      </c>
      <c r="G34" s="67" t="s">
        <v>493</v>
      </c>
      <c r="I34" s="67" t="s">
        <v>469</v>
      </c>
      <c r="J34" s="111">
        <v>16145.0</v>
      </c>
      <c r="K34" s="112">
        <v>0.06</v>
      </c>
    </row>
    <row r="35" spans="8:8" ht="15.0" customHeight="1">
      <c r="A35" s="107">
        <v>46230.0</v>
      </c>
      <c r="B35" s="109" t="s">
        <v>37</v>
      </c>
      <c r="C35" s="109">
        <v>1.0</v>
      </c>
      <c r="D35" s="109">
        <v>9500.0</v>
      </c>
      <c r="E35" s="111">
        <f t="shared" si="0"/>
        <v>9500.0</v>
      </c>
      <c r="F35" s="109" t="s">
        <v>15</v>
      </c>
      <c r="G35" s="67" t="s">
        <v>493</v>
      </c>
      <c r="I35" s="67" t="s">
        <v>470</v>
      </c>
      <c r="J35" s="111">
        <v>366800.0</v>
      </c>
      <c r="K35" s="112">
        <v>0.1</v>
      </c>
    </row>
    <row r="36" spans="8:8" ht="15.0" customHeight="1">
      <c r="A36" s="107">
        <v>46230.0</v>
      </c>
      <c r="B36" s="109" t="s">
        <v>21</v>
      </c>
      <c r="C36" s="109">
        <v>1.0</v>
      </c>
      <c r="D36" s="109">
        <v>9000.0</v>
      </c>
      <c r="E36" s="111">
        <f t="shared" si="0"/>
        <v>9000.0</v>
      </c>
      <c r="F36" s="109" t="s">
        <v>15</v>
      </c>
      <c r="G36" s="67" t="s">
        <v>493</v>
      </c>
      <c r="I36" s="67" t="s">
        <v>471</v>
      </c>
      <c r="J36" s="111">
        <v>45300.0</v>
      </c>
      <c r="K36" s="112">
        <v>0.08</v>
      </c>
    </row>
    <row r="37" spans="8:8" ht="15.0" customHeight="1">
      <c r="A37" s="68"/>
      <c r="B37" s="109" t="s">
        <v>701</v>
      </c>
      <c r="C37" s="109">
        <f>SUM(C2:C36)</f>
        <v>971.0</v>
      </c>
      <c r="D37" s="109">
        <f>SUM(D2:D36)</f>
        <v>380780.0</v>
      </c>
      <c r="E37" s="111">
        <f>SUM(E2:E36)</f>
        <v>7908180.0</v>
      </c>
      <c r="F37" s="68"/>
      <c r="G37" s="68"/>
      <c r="I37" s="67" t="s">
        <v>472</v>
      </c>
      <c r="J37" s="111">
        <v>746500.0</v>
      </c>
      <c r="K37" s="112">
        <v>0.14</v>
      </c>
    </row>
    <row r="38" spans="8:8" ht="15.0" customHeight="1">
      <c r="I38" s="67" t="s">
        <v>474</v>
      </c>
      <c r="J38" s="111">
        <v>1050000.0</v>
      </c>
      <c r="K38" s="112">
        <v>-0.04</v>
      </c>
    </row>
    <row r="39" spans="8:8" ht="15.0" customHeight="1">
      <c r="I39" s="67" t="s">
        <v>475</v>
      </c>
      <c r="J39" s="111">
        <v>4026900.0</v>
      </c>
      <c r="K39" s="112">
        <v>0.08</v>
      </c>
    </row>
    <row r="40" spans="8:8" ht="15.0" customHeight="1">
      <c r="I40" s="67" t="s">
        <v>479</v>
      </c>
      <c r="J40" s="111">
        <v>440000.0</v>
      </c>
      <c r="K40" s="112">
        <v>0.07</v>
      </c>
    </row>
    <row r="41" spans="8:8" ht="15.0" customHeight="1">
      <c r="I41" s="67" t="s">
        <v>482</v>
      </c>
      <c r="J41" s="111">
        <v>721000.0</v>
      </c>
      <c r="K41" s="112">
        <v>0.01</v>
      </c>
    </row>
    <row r="42" spans="8:8" ht="15.0" customHeight="1">
      <c r="I42" s="67" t="s">
        <v>483</v>
      </c>
      <c r="J42" s="111">
        <v>64160.0</v>
      </c>
      <c r="K42" s="112">
        <v>0.04</v>
      </c>
    </row>
    <row r="43" spans="8:8" ht="15.0" customHeight="1">
      <c r="I43" s="67" t="s">
        <v>485</v>
      </c>
      <c r="J43" s="111">
        <v>76675.0</v>
      </c>
      <c r="K43" s="112">
        <v>0.16</v>
      </c>
    </row>
    <row r="44" spans="8:8" ht="15.0" customHeight="1">
      <c r="I44" s="67" t="s">
        <v>486</v>
      </c>
      <c r="J44" s="111">
        <v>5300.0</v>
      </c>
      <c r="K44" s="112">
        <v>0.02</v>
      </c>
    </row>
    <row r="45" spans="8:8" ht="15.0" customHeight="1">
      <c r="I45" s="67" t="s">
        <v>487</v>
      </c>
      <c r="J45" s="111">
        <v>386590.0</v>
      </c>
      <c r="K45" s="112">
        <v>0.16</v>
      </c>
    </row>
    <row r="46" spans="8:8" ht="15.0" customHeight="1">
      <c r="I46" s="67" t="s">
        <v>488</v>
      </c>
      <c r="J46" s="111">
        <v>500000.0</v>
      </c>
      <c r="K46" s="112">
        <v>-0.04</v>
      </c>
    </row>
    <row r="47" spans="8:8" ht="15.0" customHeight="1">
      <c r="I47" s="67" t="s">
        <v>489</v>
      </c>
      <c r="J47" s="111">
        <v>44540.0</v>
      </c>
      <c r="K47" s="112">
        <v>0.09</v>
      </c>
    </row>
    <row r="48" spans="8:8" ht="15.0" customHeight="1">
      <c r="I48" s="67" t="s">
        <v>491</v>
      </c>
      <c r="J48" s="111">
        <v>105070.0</v>
      </c>
      <c r="K48" s="112">
        <v>0.06</v>
      </c>
    </row>
    <row r="49" spans="8:8" ht="15.0" customHeight="1">
      <c r="I49" s="67" t="s">
        <v>492</v>
      </c>
      <c r="J49" s="111">
        <v>380200.0</v>
      </c>
      <c r="K49" s="112">
        <v>-0.02</v>
      </c>
    </row>
    <row r="50" spans="8:8" ht="15.0" customHeight="1">
      <c r="I50" s="67" t="s">
        <v>493</v>
      </c>
      <c r="J50" s="111">
        <v>28000.0</v>
      </c>
      <c r="K50" s="112">
        <v>0.08</v>
      </c>
    </row>
    <row r="51" spans="8:8" ht="15.0" customHeight="1">
      <c r="I51" s="109" t="s">
        <v>703</v>
      </c>
      <c r="J51" s="111">
        <f>SUM(J33:J50)</f>
        <v>9013780.0</v>
      </c>
      <c r="K51" s="68"/>
    </row>
  </sheetData>
  <hyperlinks>
    <hyperlink ref="G2" r:id="rId2"/>
    <hyperlink ref="G3" r:id="rId3"/>
    <hyperlink ref="G4" r:id="rId4"/>
    <hyperlink ref="G5" r:id="rId5"/>
    <hyperlink ref="G6" r:id="rId6"/>
    <hyperlink ref="G7" r:id="rId7"/>
    <hyperlink ref="G8" r:id="rId8"/>
    <hyperlink ref="G9" r:id="rId9"/>
    <hyperlink ref="G10" r:id="rId10"/>
    <hyperlink ref="G11" r:id="rId11"/>
    <hyperlink ref="G12" r:id="rId12"/>
    <hyperlink ref="G13" r:id="rId13"/>
    <hyperlink ref="G14" r:id="rId14"/>
    <hyperlink ref="G15" r:id="rId15"/>
    <hyperlink ref="G16" r:id="rId16"/>
    <hyperlink ref="G17" r:id="rId17"/>
    <hyperlink ref="G18" r:id="rId18"/>
    <hyperlink ref="G19" r:id="rId19"/>
    <hyperlink ref="G20" r:id="rId20"/>
    <hyperlink ref="G21" r:id="rId21"/>
    <hyperlink ref="G22" r:id="rId22"/>
    <hyperlink ref="G23" r:id="rId23"/>
    <hyperlink ref="G24" r:id="rId24"/>
    <hyperlink ref="G25" r:id="rId25"/>
    <hyperlink ref="G26" r:id="rId26"/>
    <hyperlink ref="G27" r:id="rId27"/>
    <hyperlink ref="G28" r:id="rId28"/>
    <hyperlink ref="G29" r:id="rId29"/>
    <hyperlink ref="G30" r:id="rId30"/>
    <hyperlink ref="G31" r:id="rId31"/>
    <hyperlink ref="G32" r:id="rId32"/>
    <hyperlink ref="G33" r:id="rId33"/>
    <hyperlink ref="I33" r:id="rId34"/>
    <hyperlink ref="G34" r:id="rId35"/>
    <hyperlink ref="I34" r:id="rId36"/>
    <hyperlink ref="G35" r:id="rId37"/>
    <hyperlink ref="I35" r:id="rId38"/>
    <hyperlink ref="G36" r:id="rId39"/>
    <hyperlink ref="I36" r:id="rId40"/>
    <hyperlink ref="I37" r:id="rId41"/>
    <hyperlink ref="I38" r:id="rId42"/>
    <hyperlink ref="I39" r:id="rId43"/>
    <hyperlink ref="I40" r:id="rId44"/>
    <hyperlink ref="I41" r:id="rId45"/>
    <hyperlink ref="I42" r:id="rId46"/>
    <hyperlink ref="I43" r:id="rId47"/>
    <hyperlink ref="I44" r:id="rId48"/>
    <hyperlink ref="I45" r:id="rId49"/>
    <hyperlink ref="I46" r:id="rId50"/>
    <hyperlink ref="I47" r:id="rId51"/>
    <hyperlink ref="I48" r:id="rId52"/>
    <hyperlink ref="I49" r:id="rId53"/>
    <hyperlink ref="I50" r:id="rId54"/>
  </hyperlinks>
  <pageMargins left="0.75" right="0.75" top="1.0" bottom="1.0" header="0.511811023622047" footer="0.511811023622047"/>
  <drawing r:id="rId1"/>
</worksheet>
</file>

<file path=xl/worksheets/sheet31.xml><?xml version="1.0" encoding="utf-8"?>
<worksheet xmlns:r="http://schemas.openxmlformats.org/officeDocument/2006/relationships" xmlns="http://schemas.openxmlformats.org/spreadsheetml/2006/main">
  <dimension ref="A1:Q40"/>
  <sheetViews>
    <sheetView workbookViewId="0">
      <selection activeCell="O8" sqref="O8"/>
    </sheetView>
  </sheetViews>
  <sheetFormatPr defaultRowHeight="14.5"/>
  <cols>
    <col min="1" max="1" customWidth="1" width="9.453125" style="60"/>
    <col min="2" max="2" customWidth="1" width="19.0" style="60"/>
    <col min="3" max="3" customWidth="1" width="10.90625" style="60"/>
    <col min="4" max="4" customWidth="1" width="14.7265625" style="60"/>
    <col min="5" max="5" customWidth="1" width="12.453125" style="60"/>
    <col min="6" max="6" customWidth="1" width="15.6328125" style="60"/>
    <col min="7" max="7" customWidth="1" width="11.90625" style="60"/>
    <col min="8" max="8" customWidth="1" width="3.0" style="60"/>
    <col min="9" max="9" customWidth="1" width="19.0" style="60"/>
    <col min="10" max="10" customWidth="1" width="12.453125" style="60"/>
    <col min="11" max="12" customWidth="1" width="17.726562" style="60"/>
    <col min="13" max="13" customWidth="1" width="3.0" style="60"/>
    <col min="14" max="14" customWidth="1" width="13.269531" style="60"/>
    <col min="15" max="15" customWidth="1" width="15.453125" style="60"/>
    <col min="16" max="16" customWidth="1" width="15.542969" style="60"/>
  </cols>
  <sheetData>
    <row r="1" spans="8:8" ht="25.5" customHeight="1">
      <c r="A1" s="106" t="s">
        <v>686</v>
      </c>
      <c r="B1" s="106" t="s">
        <v>687</v>
      </c>
      <c r="C1" s="106" t="s">
        <v>688</v>
      </c>
      <c r="D1" s="106" t="s">
        <v>689</v>
      </c>
      <c r="E1" s="106" t="s">
        <v>690</v>
      </c>
      <c r="F1" s="106" t="s">
        <v>691</v>
      </c>
      <c r="G1" s="106" t="s">
        <v>692</v>
      </c>
      <c r="I1" s="106" t="s">
        <v>687</v>
      </c>
      <c r="J1" s="106" t="s">
        <v>693</v>
      </c>
      <c r="K1" s="106" t="s">
        <v>694</v>
      </c>
      <c r="L1" s="106" t="s">
        <v>695</v>
      </c>
      <c r="N1" s="136" t="s">
        <v>710</v>
      </c>
      <c r="O1" s="106" t="s">
        <v>697</v>
      </c>
      <c r="P1" s="106" t="s">
        <v>698</v>
      </c>
    </row>
    <row r="2" spans="8:8" ht="14.25" customHeight="1">
      <c r="A2" s="107">
        <v>46231.0</v>
      </c>
      <c r="B2" s="109" t="s">
        <v>22</v>
      </c>
      <c r="C2" s="109">
        <v>4.0</v>
      </c>
      <c r="D2" s="109">
        <v>9200.0</v>
      </c>
      <c r="E2" s="111">
        <f t="shared" si="0" ref="E2:E30">C2*D2</f>
        <v>36800.0</v>
      </c>
      <c r="F2" s="109" t="s">
        <v>212</v>
      </c>
      <c r="G2" s="67" t="s">
        <v>494</v>
      </c>
      <c r="I2" s="109" t="s">
        <v>22</v>
      </c>
      <c r="J2" s="109">
        <f>C2+C18</f>
        <v>86.0</v>
      </c>
      <c r="K2" s="111">
        <f>E2+E18</f>
        <v>802270.0</v>
      </c>
      <c r="L2" s="112">
        <f t="shared" si="1" ref="L2:L17">K2/K$17</f>
        <v>0.16069600818833163</v>
      </c>
      <c r="N2" s="111">
        <f>K17</f>
        <v>4992470.0</v>
      </c>
      <c r="O2" s="109">
        <f>J17</f>
        <v>762.0</v>
      </c>
      <c r="P2" s="109">
        <f>COUNT(J2:J16)</f>
        <v>15.0</v>
      </c>
    </row>
    <row r="3" spans="8:8" ht="14.25" customHeight="1">
      <c r="A3" s="107">
        <v>46231.0</v>
      </c>
      <c r="B3" s="109" t="s">
        <v>44</v>
      </c>
      <c r="C3" s="109">
        <v>1.0</v>
      </c>
      <c r="D3" s="109">
        <v>9200.0</v>
      </c>
      <c r="E3" s="111">
        <f t="shared" si="0"/>
        <v>9200.0</v>
      </c>
      <c r="F3" s="109" t="s">
        <v>212</v>
      </c>
      <c r="G3" s="67" t="s">
        <v>494</v>
      </c>
      <c r="I3" s="109" t="s">
        <v>44</v>
      </c>
      <c r="J3" s="109">
        <f>C3+C10+C20</f>
        <v>34.0</v>
      </c>
      <c r="K3" s="111">
        <f>E3+E10+E20</f>
        <v>312800.0</v>
      </c>
      <c r="L3" s="112">
        <f t="shared" si="1"/>
        <v>0.06265435746233829</v>
      </c>
    </row>
    <row r="4" spans="8:8" ht="14.25" customHeight="1">
      <c r="A4" s="107">
        <v>46231.0</v>
      </c>
      <c r="B4" s="109" t="s">
        <v>24</v>
      </c>
      <c r="C4" s="109">
        <v>248.0</v>
      </c>
      <c r="D4" s="109">
        <v>4950.0</v>
      </c>
      <c r="E4" s="111">
        <f t="shared" si="0"/>
        <v>1227600.0</v>
      </c>
      <c r="F4" s="109" t="s">
        <v>95</v>
      </c>
      <c r="G4" s="67" t="s">
        <v>495</v>
      </c>
      <c r="I4" s="109" t="s">
        <v>24</v>
      </c>
      <c r="J4" s="109">
        <f>C4+C6+C7+C9+C15+C19+C26</f>
        <v>552.0</v>
      </c>
      <c r="K4" s="111">
        <f>E4+E6+E7+E9+E15+E19+E26</f>
        <v>2775060.0</v>
      </c>
      <c r="L4" s="112">
        <f t="shared" si="1"/>
        <v>0.5558491087577893</v>
      </c>
    </row>
    <row r="5" spans="8:8" ht="14.25" customHeight="1">
      <c r="A5" s="107">
        <v>46231.0</v>
      </c>
      <c r="B5" s="109" t="s">
        <v>27</v>
      </c>
      <c r="C5" s="109">
        <v>10.0</v>
      </c>
      <c r="D5" s="109">
        <v>8020.0</v>
      </c>
      <c r="E5" s="111">
        <f t="shared" si="0"/>
        <v>80200.0</v>
      </c>
      <c r="F5" s="109" t="s">
        <v>95</v>
      </c>
      <c r="G5" s="67" t="s">
        <v>495</v>
      </c>
      <c r="I5" s="109" t="s">
        <v>27</v>
      </c>
      <c r="J5" s="109">
        <f>C5</f>
        <v>10.0</v>
      </c>
      <c r="K5" s="111">
        <f>E5</f>
        <v>80200.0</v>
      </c>
      <c r="L5" s="112">
        <f t="shared" si="1"/>
        <v>0.016064192674167296</v>
      </c>
    </row>
    <row r="6" spans="8:8" ht="14.25" customHeight="1">
      <c r="A6" s="107">
        <v>46231.0</v>
      </c>
      <c r="B6" s="109" t="s">
        <v>24</v>
      </c>
      <c r="C6" s="109">
        <v>1.0</v>
      </c>
      <c r="D6" s="109">
        <v>5300.0</v>
      </c>
      <c r="E6" s="111">
        <f t="shared" si="0"/>
        <v>5300.0</v>
      </c>
      <c r="F6" s="109" t="s">
        <v>15</v>
      </c>
      <c r="G6" s="67" t="s">
        <v>496</v>
      </c>
      <c r="I6" s="109" t="s">
        <v>190</v>
      </c>
      <c r="J6" s="109">
        <f>C8</f>
        <v>3.0</v>
      </c>
      <c r="K6" s="111">
        <f>E8</f>
        <v>85335.0</v>
      </c>
      <c r="L6" s="112">
        <f t="shared" si="1"/>
        <v>0.017092741668953443</v>
      </c>
    </row>
    <row r="7" spans="8:8" ht="14.25" customHeight="1">
      <c r="A7" s="107">
        <v>46231.0</v>
      </c>
      <c r="B7" s="109" t="s">
        <v>24</v>
      </c>
      <c r="C7" s="109">
        <v>248.0</v>
      </c>
      <c r="D7" s="109">
        <v>5000.0</v>
      </c>
      <c r="E7" s="111">
        <f t="shared" si="0"/>
        <v>1240000.0</v>
      </c>
      <c r="F7" s="109" t="s">
        <v>25</v>
      </c>
      <c r="G7" s="67" t="s">
        <v>497</v>
      </c>
      <c r="I7" s="109" t="s">
        <v>45</v>
      </c>
      <c r="J7" s="109">
        <f>C11+C21</f>
        <v>29.0</v>
      </c>
      <c r="K7" s="111">
        <f>E11+E21</f>
        <v>386715.0</v>
      </c>
      <c r="L7" s="112">
        <f t="shared" si="1"/>
        <v>0.07745965423928436</v>
      </c>
    </row>
    <row r="8" spans="8:8" ht="14.25" customHeight="1">
      <c r="A8" s="107">
        <v>46231.0</v>
      </c>
      <c r="B8" s="109" t="s">
        <v>190</v>
      </c>
      <c r="C8" s="109">
        <v>3.0</v>
      </c>
      <c r="D8" s="109">
        <v>28445.0</v>
      </c>
      <c r="E8" s="111">
        <f t="shared" si="0"/>
        <v>85335.0</v>
      </c>
      <c r="F8" s="109" t="s">
        <v>25</v>
      </c>
      <c r="G8" s="67" t="s">
        <v>497</v>
      </c>
      <c r="I8" s="109" t="s">
        <v>37</v>
      </c>
      <c r="J8" s="109">
        <f>C12+C22</f>
        <v>17.0</v>
      </c>
      <c r="K8" s="111">
        <f>E12+E22</f>
        <v>150960.0</v>
      </c>
      <c r="L8" s="112">
        <f t="shared" si="1"/>
        <v>0.030237537731824127</v>
      </c>
    </row>
    <row r="9" spans="8:8" ht="14.25" customHeight="1">
      <c r="A9" s="107">
        <v>46231.0</v>
      </c>
      <c r="B9" s="109" t="s">
        <v>24</v>
      </c>
      <c r="C9" s="109">
        <v>15.0</v>
      </c>
      <c r="D9" s="109">
        <v>5000.0</v>
      </c>
      <c r="E9" s="111">
        <f t="shared" si="0"/>
        <v>75000.0</v>
      </c>
      <c r="F9" s="109" t="s">
        <v>50</v>
      </c>
      <c r="G9" s="67" t="s">
        <v>499</v>
      </c>
      <c r="I9" s="109" t="s">
        <v>87</v>
      </c>
      <c r="J9" s="109">
        <f>C13+C29</f>
        <v>2.0</v>
      </c>
      <c r="K9" s="111">
        <f>E13+E29</f>
        <v>42885.0</v>
      </c>
      <c r="L9" s="112">
        <f t="shared" si="1"/>
        <v>0.008589936444285092</v>
      </c>
    </row>
    <row r="10" spans="8:8" ht="14.25" customHeight="1">
      <c r="A10" s="107">
        <v>46231.0</v>
      </c>
      <c r="B10" s="109" t="s">
        <v>44</v>
      </c>
      <c r="C10" s="109">
        <v>18.0</v>
      </c>
      <c r="D10" s="109">
        <v>9200.0</v>
      </c>
      <c r="E10" s="111">
        <f t="shared" si="0"/>
        <v>165600.0</v>
      </c>
      <c r="F10" s="109" t="s">
        <v>29</v>
      </c>
      <c r="G10" s="67" t="s">
        <v>500</v>
      </c>
      <c r="I10" s="109" t="s">
        <v>65</v>
      </c>
      <c r="J10" s="109">
        <f>C14+C25</f>
        <v>14.0</v>
      </c>
      <c r="K10" s="111">
        <f>E14+E25</f>
        <v>166740.0</v>
      </c>
      <c r="L10" s="112">
        <f t="shared" si="1"/>
        <v>0.03339829783654183</v>
      </c>
    </row>
    <row r="11" spans="8:8" ht="14.25" customHeight="1">
      <c r="A11" s="107">
        <v>46231.0</v>
      </c>
      <c r="B11" s="109" t="s">
        <v>45</v>
      </c>
      <c r="C11" s="109">
        <v>19.0</v>
      </c>
      <c r="D11" s="109">
        <v>13335.0</v>
      </c>
      <c r="E11" s="111">
        <f t="shared" si="0"/>
        <v>253365.0</v>
      </c>
      <c r="F11" s="109" t="s">
        <v>29</v>
      </c>
      <c r="G11" s="67" t="s">
        <v>500</v>
      </c>
      <c r="I11" s="109" t="s">
        <v>28</v>
      </c>
      <c r="J11" s="109">
        <f>C16</f>
        <v>1.0</v>
      </c>
      <c r="K11" s="111">
        <f>E16</f>
        <v>13200.0</v>
      </c>
      <c r="L11" s="112">
        <f t="shared" si="1"/>
        <v>0.0026439818366459887</v>
      </c>
    </row>
    <row r="12" spans="8:8" ht="14.25" customHeight="1">
      <c r="A12" s="107">
        <v>46231.0</v>
      </c>
      <c r="B12" s="109" t="s">
        <v>37</v>
      </c>
      <c r="C12" s="109">
        <v>12.0</v>
      </c>
      <c r="D12" s="109">
        <v>8880.0</v>
      </c>
      <c r="E12" s="111">
        <f t="shared" si="0"/>
        <v>106560.0</v>
      </c>
      <c r="F12" s="109" t="s">
        <v>29</v>
      </c>
      <c r="G12" s="67" t="s">
        <v>500</v>
      </c>
      <c r="I12" s="109" t="s">
        <v>93</v>
      </c>
      <c r="J12" s="109">
        <f>C17+C28</f>
        <v>5.0</v>
      </c>
      <c r="K12" s="111">
        <f>E17+E28</f>
        <v>57075.0</v>
      </c>
      <c r="L12" s="112">
        <f t="shared" si="1"/>
        <v>0.011432216918679532</v>
      </c>
    </row>
    <row r="13" spans="8:8" ht="14.25" customHeight="1">
      <c r="A13" s="107">
        <v>46231.0</v>
      </c>
      <c r="B13" s="109" t="s">
        <v>87</v>
      </c>
      <c r="C13" s="109">
        <v>1.0</v>
      </c>
      <c r="D13" s="109">
        <v>21400.0</v>
      </c>
      <c r="E13" s="111">
        <f t="shared" si="0"/>
        <v>21400.0</v>
      </c>
      <c r="F13" s="109" t="s">
        <v>29</v>
      </c>
      <c r="G13" s="67" t="s">
        <v>500</v>
      </c>
      <c r="I13" s="109" t="s">
        <v>100</v>
      </c>
      <c r="J13" s="109">
        <f>C23</f>
        <v>3.0</v>
      </c>
      <c r="K13" s="111">
        <f>E23</f>
        <v>34440.0</v>
      </c>
      <c r="L13" s="112">
        <f t="shared" si="1"/>
        <v>0.006898388973794535</v>
      </c>
    </row>
    <row r="14" spans="8:8" ht="14.25" customHeight="1">
      <c r="A14" s="107">
        <v>46231.0</v>
      </c>
      <c r="B14" s="109" t="s">
        <v>65</v>
      </c>
      <c r="C14" s="109">
        <v>11.0</v>
      </c>
      <c r="D14" s="109">
        <v>11910.0</v>
      </c>
      <c r="E14" s="111">
        <f t="shared" si="0"/>
        <v>131010.0</v>
      </c>
      <c r="F14" s="109" t="s">
        <v>29</v>
      </c>
      <c r="G14" s="67" t="s">
        <v>500</v>
      </c>
      <c r="I14" s="109" t="s">
        <v>113</v>
      </c>
      <c r="J14" s="109">
        <f>C24</f>
        <v>3.0</v>
      </c>
      <c r="K14" s="111">
        <f>E24</f>
        <v>43725.0</v>
      </c>
      <c r="L14" s="112">
        <f t="shared" si="1"/>
        <v>0.008758189833889839</v>
      </c>
    </row>
    <row r="15" spans="8:8" ht="14.25" customHeight="1">
      <c r="A15" s="107">
        <v>46231.0</v>
      </c>
      <c r="B15" s="109" t="s">
        <v>24</v>
      </c>
      <c r="C15" s="109">
        <v>7.0</v>
      </c>
      <c r="D15" s="109">
        <v>5000.0</v>
      </c>
      <c r="E15" s="111">
        <f t="shared" si="0"/>
        <v>35000.0</v>
      </c>
      <c r="F15" s="109" t="s">
        <v>29</v>
      </c>
      <c r="G15" s="67" t="s">
        <v>500</v>
      </c>
      <c r="I15" s="109" t="s">
        <v>70</v>
      </c>
      <c r="J15" s="109">
        <f>C27</f>
        <v>2.0</v>
      </c>
      <c r="K15" s="111">
        <f>E27</f>
        <v>26920.0</v>
      </c>
      <c r="L15" s="112">
        <f t="shared" si="1"/>
        <v>0.005392120533523486</v>
      </c>
    </row>
    <row r="16" spans="8:8" ht="14.25" customHeight="1">
      <c r="A16" s="107">
        <v>46231.0</v>
      </c>
      <c r="B16" s="109" t="s">
        <v>28</v>
      </c>
      <c r="C16" s="109">
        <v>1.0</v>
      </c>
      <c r="D16" s="109">
        <v>13200.0</v>
      </c>
      <c r="E16" s="111">
        <f t="shared" si="0"/>
        <v>13200.0</v>
      </c>
      <c r="F16" s="109" t="s">
        <v>29</v>
      </c>
      <c r="G16" s="67" t="s">
        <v>500</v>
      </c>
      <c r="I16" s="109" t="s">
        <v>141</v>
      </c>
      <c r="J16" s="109">
        <f>C30</f>
        <v>1.0</v>
      </c>
      <c r="K16" s="111">
        <f>E30</f>
        <v>14145.0</v>
      </c>
      <c r="L16" s="112">
        <f t="shared" si="1"/>
        <v>0.0028332668999513267</v>
      </c>
    </row>
    <row r="17" spans="8:8" ht="14.25" customHeight="1">
      <c r="A17" s="107">
        <v>46231.0</v>
      </c>
      <c r="B17" s="109" t="s">
        <v>93</v>
      </c>
      <c r="C17" s="109">
        <v>2.0</v>
      </c>
      <c r="D17" s="109">
        <v>11415.0</v>
      </c>
      <c r="E17" s="111">
        <f t="shared" si="0"/>
        <v>22830.0</v>
      </c>
      <c r="F17" s="109" t="s">
        <v>29</v>
      </c>
      <c r="G17" s="67" t="s">
        <v>500</v>
      </c>
      <c r="I17" s="109" t="s">
        <v>701</v>
      </c>
      <c r="J17" s="109">
        <f>SUM(J2:J16)</f>
        <v>762.0</v>
      </c>
      <c r="K17" s="111">
        <f>SUM(K2:K16)</f>
        <v>4992470.0</v>
      </c>
      <c r="L17" s="112">
        <f t="shared" si="1"/>
        <v>1.0</v>
      </c>
    </row>
    <row r="18" spans="8:8" ht="14.25" customHeight="1">
      <c r="A18" s="107">
        <v>46231.0</v>
      </c>
      <c r="B18" s="109" t="s">
        <v>22</v>
      </c>
      <c r="C18" s="109">
        <v>82.0</v>
      </c>
      <c r="D18" s="109">
        <v>9335.0</v>
      </c>
      <c r="E18" s="111">
        <f t="shared" si="0"/>
        <v>765470.0</v>
      </c>
      <c r="F18" s="109" t="s">
        <v>75</v>
      </c>
      <c r="G18" s="67" t="s">
        <v>505</v>
      </c>
    </row>
    <row r="19" spans="8:8" ht="25.5" customHeight="1">
      <c r="A19" s="107">
        <v>46231.0</v>
      </c>
      <c r="B19" s="109" t="s">
        <v>24</v>
      </c>
      <c r="C19" s="109">
        <v>28.0</v>
      </c>
      <c r="D19" s="109">
        <v>5970.0</v>
      </c>
      <c r="E19" s="111">
        <f t="shared" si="0"/>
        <v>167160.0</v>
      </c>
      <c r="F19" s="109" t="s">
        <v>75</v>
      </c>
      <c r="G19" s="67" t="s">
        <v>505</v>
      </c>
      <c r="I19" s="106" t="s">
        <v>691</v>
      </c>
      <c r="J19" s="106" t="s">
        <v>690</v>
      </c>
      <c r="K19" s="106" t="s">
        <v>695</v>
      </c>
      <c r="L19" s="106" t="s">
        <v>702</v>
      </c>
    </row>
    <row r="20" spans="8:8" ht="14.25" customHeight="1">
      <c r="A20" s="107">
        <v>46231.0</v>
      </c>
      <c r="B20" s="109" t="s">
        <v>44</v>
      </c>
      <c r="C20" s="109">
        <v>15.0</v>
      </c>
      <c r="D20" s="109">
        <v>9200.0</v>
      </c>
      <c r="E20" s="111">
        <f t="shared" si="0"/>
        <v>138000.0</v>
      </c>
      <c r="F20" s="109" t="s">
        <v>29</v>
      </c>
      <c r="G20" s="67" t="s">
        <v>509</v>
      </c>
      <c r="I20" s="109" t="s">
        <v>212</v>
      </c>
      <c r="J20" s="111">
        <f>E2+E3</f>
        <v>46000.0</v>
      </c>
      <c r="K20" s="112">
        <f t="shared" si="2" ref="K20:K28">J20/J$28</f>
        <v>0.009213876097402688</v>
      </c>
      <c r="L20" s="112">
        <v>0.0518</v>
      </c>
    </row>
    <row r="21" spans="8:8" ht="14.25" customHeight="1">
      <c r="A21" s="107">
        <v>46231.0</v>
      </c>
      <c r="B21" s="109" t="s">
        <v>45</v>
      </c>
      <c r="C21" s="109">
        <v>10.0</v>
      </c>
      <c r="D21" s="109">
        <v>13335.0</v>
      </c>
      <c r="E21" s="111">
        <f t="shared" si="0"/>
        <v>133350.0</v>
      </c>
      <c r="F21" s="109" t="s">
        <v>29</v>
      </c>
      <c r="G21" s="67" t="s">
        <v>509</v>
      </c>
      <c r="I21" s="109" t="s">
        <v>95</v>
      </c>
      <c r="J21" s="111">
        <f>E4+E5</f>
        <v>1307800.0</v>
      </c>
      <c r="K21" s="112">
        <f t="shared" si="2"/>
        <v>0.26195450348224425</v>
      </c>
      <c r="L21" s="112">
        <v>-0.0448</v>
      </c>
    </row>
    <row r="22" spans="8:8" ht="14.25" customHeight="1">
      <c r="A22" s="107">
        <v>46231.0</v>
      </c>
      <c r="B22" s="109" t="s">
        <v>37</v>
      </c>
      <c r="C22" s="109">
        <v>5.0</v>
      </c>
      <c r="D22" s="109">
        <v>8880.0</v>
      </c>
      <c r="E22" s="111">
        <f t="shared" si="0"/>
        <v>44400.0</v>
      </c>
      <c r="F22" s="109" t="s">
        <v>29</v>
      </c>
      <c r="G22" s="67" t="s">
        <v>509</v>
      </c>
      <c r="I22" s="109" t="s">
        <v>15</v>
      </c>
      <c r="J22" s="111">
        <f>E6</f>
        <v>5300.0</v>
      </c>
      <c r="K22" s="112">
        <f t="shared" si="2"/>
        <v>0.0010615987677442228</v>
      </c>
      <c r="L22" s="112">
        <v>0.0189</v>
      </c>
    </row>
    <row r="23" spans="8:8" ht="14.25" customHeight="1">
      <c r="A23" s="107">
        <v>46231.0</v>
      </c>
      <c r="B23" s="109" t="s">
        <v>100</v>
      </c>
      <c r="C23" s="109">
        <v>3.0</v>
      </c>
      <c r="D23" s="109">
        <v>11480.0</v>
      </c>
      <c r="E23" s="111">
        <f t="shared" si="0"/>
        <v>34440.0</v>
      </c>
      <c r="F23" s="109" t="s">
        <v>29</v>
      </c>
      <c r="G23" s="67" t="s">
        <v>509</v>
      </c>
      <c r="I23" s="109" t="s">
        <v>25</v>
      </c>
      <c r="J23" s="111">
        <f>E7+E8</f>
        <v>1325335.0</v>
      </c>
      <c r="K23" s="112">
        <f t="shared" si="2"/>
        <v>0.2654667929902433</v>
      </c>
      <c r="L23" s="112">
        <v>-0.0317</v>
      </c>
    </row>
    <row r="24" spans="8:8" ht="14.25" customHeight="1">
      <c r="A24" s="107">
        <v>46231.0</v>
      </c>
      <c r="B24" s="109" t="s">
        <v>113</v>
      </c>
      <c r="C24" s="109">
        <v>3.0</v>
      </c>
      <c r="D24" s="109">
        <v>14575.0</v>
      </c>
      <c r="E24" s="111">
        <f t="shared" si="0"/>
        <v>43725.0</v>
      </c>
      <c r="F24" s="109" t="s">
        <v>29</v>
      </c>
      <c r="G24" s="67" t="s">
        <v>509</v>
      </c>
      <c r="I24" s="109" t="s">
        <v>50</v>
      </c>
      <c r="J24" s="111">
        <f>E9</f>
        <v>75000.0</v>
      </c>
      <c r="K24" s="112">
        <f t="shared" si="2"/>
        <v>0.01502262407185221</v>
      </c>
      <c r="L24" s="112">
        <v>-0.04</v>
      </c>
    </row>
    <row r="25" spans="8:8" ht="14.25" customHeight="1">
      <c r="A25" s="107">
        <v>46231.0</v>
      </c>
      <c r="B25" s="109" t="s">
        <v>65</v>
      </c>
      <c r="C25" s="109">
        <v>3.0</v>
      </c>
      <c r="D25" s="109">
        <v>11910.0</v>
      </c>
      <c r="E25" s="111">
        <f t="shared" si="0"/>
        <v>35730.0</v>
      </c>
      <c r="F25" s="109" t="s">
        <v>29</v>
      </c>
      <c r="G25" s="67" t="s">
        <v>509</v>
      </c>
      <c r="I25" s="109" t="s">
        <v>29</v>
      </c>
      <c r="J25" s="111">
        <f>E10+E11+E12+E13+E14+E15+E16+E17+E20+E21+E22+E23+E24+E25+E26+E27+E28</f>
        <v>1264775.0</v>
      </c>
      <c r="K25" s="112">
        <f t="shared" si="2"/>
        <v>0.2533365248063584</v>
      </c>
      <c r="L25" s="112">
        <v>0.082</v>
      </c>
    </row>
    <row r="26" spans="8:8" ht="14.25" customHeight="1">
      <c r="A26" s="107">
        <v>46231.0</v>
      </c>
      <c r="B26" s="109" t="s">
        <v>24</v>
      </c>
      <c r="C26" s="109">
        <v>5.0</v>
      </c>
      <c r="D26" s="109">
        <v>5000.0</v>
      </c>
      <c r="E26" s="111">
        <f t="shared" si="0"/>
        <v>25000.0</v>
      </c>
      <c r="F26" s="109" t="s">
        <v>29</v>
      </c>
      <c r="G26" s="67" t="s">
        <v>509</v>
      </c>
      <c r="I26" s="109" t="s">
        <v>75</v>
      </c>
      <c r="J26" s="111">
        <f>E18+E19</f>
        <v>932630.0</v>
      </c>
      <c r="K26" s="112">
        <f t="shared" si="2"/>
        <v>0.1868073318417537</v>
      </c>
      <c r="L26" s="112">
        <v>0.0928</v>
      </c>
    </row>
    <row r="27" spans="8:8" ht="14.25" customHeight="1">
      <c r="A27" s="107">
        <v>46231.0</v>
      </c>
      <c r="B27" s="109" t="s">
        <v>70</v>
      </c>
      <c r="C27" s="109">
        <v>2.0</v>
      </c>
      <c r="D27" s="109">
        <v>13460.0</v>
      </c>
      <c r="E27" s="111">
        <f t="shared" si="0"/>
        <v>26920.0</v>
      </c>
      <c r="F27" s="109" t="s">
        <v>29</v>
      </c>
      <c r="G27" s="67" t="s">
        <v>509</v>
      </c>
      <c r="I27" s="109" t="s">
        <v>104</v>
      </c>
      <c r="J27" s="111">
        <f>E29+E30</f>
        <v>35630.0</v>
      </c>
      <c r="K27" s="112">
        <f t="shared" si="2"/>
        <v>0.007136747942401257</v>
      </c>
      <c r="L27" s="112">
        <v>0.0469</v>
      </c>
    </row>
    <row r="28" spans="8:8" ht="14.25" customHeight="1">
      <c r="A28" s="107">
        <v>46231.0</v>
      </c>
      <c r="B28" s="109" t="s">
        <v>93</v>
      </c>
      <c r="C28" s="109">
        <v>3.0</v>
      </c>
      <c r="D28" s="109">
        <v>11415.0</v>
      </c>
      <c r="E28" s="111">
        <f t="shared" si="0"/>
        <v>34245.0</v>
      </c>
      <c r="F28" s="109" t="s">
        <v>29</v>
      </c>
      <c r="G28" s="67" t="s">
        <v>509</v>
      </c>
      <c r="I28" s="109" t="s">
        <v>703</v>
      </c>
      <c r="J28" s="111">
        <f>SUM(J20:J27)</f>
        <v>4992470.0</v>
      </c>
      <c r="K28" s="112">
        <f t="shared" si="2"/>
        <v>1.0</v>
      </c>
      <c r="L28" s="68"/>
    </row>
    <row r="29" spans="8:8" ht="14.25" customHeight="1">
      <c r="A29" s="107">
        <v>46231.0</v>
      </c>
      <c r="B29" s="109" t="s">
        <v>87</v>
      </c>
      <c r="C29" s="109">
        <v>1.0</v>
      </c>
      <c r="D29" s="109">
        <v>21485.0</v>
      </c>
      <c r="E29" s="111">
        <f t="shared" si="0"/>
        <v>21485.0</v>
      </c>
      <c r="F29" s="109" t="s">
        <v>104</v>
      </c>
      <c r="G29" s="67" t="s">
        <v>511</v>
      </c>
    </row>
    <row r="30" spans="8:8" ht="25.5" customHeight="1">
      <c r="A30" s="107">
        <v>46231.0</v>
      </c>
      <c r="B30" s="109" t="s">
        <v>141</v>
      </c>
      <c r="C30" s="109">
        <v>1.0</v>
      </c>
      <c r="D30" s="109">
        <v>14145.0</v>
      </c>
      <c r="E30" s="111">
        <f t="shared" si="0"/>
        <v>14145.0</v>
      </c>
      <c r="F30" s="109" t="s">
        <v>104</v>
      </c>
      <c r="G30" s="67" t="s">
        <v>511</v>
      </c>
      <c r="I30" s="106" t="s">
        <v>692</v>
      </c>
      <c r="J30" s="106" t="s">
        <v>690</v>
      </c>
      <c r="K30" s="106" t="s">
        <v>702</v>
      </c>
    </row>
    <row r="31" spans="8:8" ht="14.25" customHeight="1">
      <c r="A31" s="68"/>
      <c r="B31" s="109" t="s">
        <v>701</v>
      </c>
      <c r="C31" s="109">
        <f>SUM(C2:C30)</f>
        <v>762.0</v>
      </c>
      <c r="D31" s="109">
        <f>SUM(D2:D30)</f>
        <v>319645.0</v>
      </c>
      <c r="E31" s="111">
        <f>SUM(E2:E30)</f>
        <v>4992470.0</v>
      </c>
      <c r="F31" s="68"/>
      <c r="G31" s="68"/>
      <c r="I31" s="135" t="s">
        <v>494</v>
      </c>
      <c r="J31" s="111">
        <v>46000.0</v>
      </c>
      <c r="K31" s="112">
        <v>0.05</v>
      </c>
    </row>
    <row r="32" spans="8:8" ht="14.25" customHeight="1">
      <c r="I32" s="135" t="s">
        <v>495</v>
      </c>
      <c r="J32" s="111">
        <v>1307800.0</v>
      </c>
      <c r="K32" s="112">
        <v>-0.04</v>
      </c>
    </row>
    <row r="33" spans="8:8" ht="14.25" customHeight="1">
      <c r="I33" s="135" t="s">
        <v>496</v>
      </c>
      <c r="J33" s="111">
        <v>5300.0</v>
      </c>
      <c r="K33" s="112">
        <v>0.02</v>
      </c>
    </row>
    <row r="34" spans="8:8" ht="14.25" customHeight="1">
      <c r="I34" s="135" t="s">
        <v>497</v>
      </c>
      <c r="J34" s="111">
        <v>1325335.0</v>
      </c>
      <c r="K34" s="112">
        <v>-0.03</v>
      </c>
    </row>
    <row r="35" spans="8:8" ht="14.25" customHeight="1">
      <c r="I35" s="135" t="s">
        <v>499</v>
      </c>
      <c r="J35" s="111">
        <v>75000.0</v>
      </c>
      <c r="K35" s="112">
        <v>-0.04</v>
      </c>
    </row>
    <row r="36" spans="8:8" ht="14.25" customHeight="1">
      <c r="I36" s="135" t="s">
        <v>500</v>
      </c>
      <c r="J36" s="111">
        <v>866365.0</v>
      </c>
      <c r="K36" s="112">
        <v>0.09</v>
      </c>
    </row>
    <row r="37" spans="8:8" ht="14.25" customHeight="1">
      <c r="I37" s="135" t="s">
        <v>505</v>
      </c>
      <c r="J37" s="111">
        <v>1080230.0</v>
      </c>
      <c r="K37" s="112">
        <v>0.09</v>
      </c>
    </row>
    <row r="38" spans="8:8" ht="14.25" customHeight="1">
      <c r="I38" s="135" t="s">
        <v>509</v>
      </c>
      <c r="J38" s="111">
        <v>593410.0</v>
      </c>
      <c r="K38" s="112">
        <v>0.07</v>
      </c>
    </row>
    <row r="39" spans="8:8" ht="14.25" customHeight="1">
      <c r="I39" s="135" t="s">
        <v>511</v>
      </c>
      <c r="J39" s="111">
        <v>35630.0</v>
      </c>
      <c r="K39" s="112">
        <v>0.05</v>
      </c>
    </row>
    <row r="40" spans="8:8" ht="14.25" customHeight="1">
      <c r="I40" s="109" t="s">
        <v>703</v>
      </c>
      <c r="J40" s="111">
        <f>SUM(J31:J39)</f>
        <v>5335070.0</v>
      </c>
      <c r="K40" s="68"/>
    </row>
  </sheetData>
  <hyperlinks>
    <hyperlink ref="G2" r:id="rId2"/>
    <hyperlink ref="G3" r:id="rId3"/>
    <hyperlink ref="G4" r:id="rId4"/>
    <hyperlink ref="G5" r:id="rId5"/>
    <hyperlink ref="G6" r:id="rId6"/>
    <hyperlink ref="G7" r:id="rId7"/>
    <hyperlink ref="G8" r:id="rId8"/>
    <hyperlink ref="G9" r:id="rId9"/>
    <hyperlink ref="G10" r:id="rId10"/>
    <hyperlink ref="G11" r:id="rId11"/>
    <hyperlink ref="G12" r:id="rId12"/>
    <hyperlink ref="G13" r:id="rId13"/>
    <hyperlink ref="G14" r:id="rId14"/>
    <hyperlink ref="G15" r:id="rId15"/>
    <hyperlink ref="G16" r:id="rId16"/>
    <hyperlink ref="G17" r:id="rId17"/>
    <hyperlink ref="G18" r:id="rId18"/>
    <hyperlink ref="G19" r:id="rId19"/>
    <hyperlink ref="G20" r:id="rId20"/>
    <hyperlink ref="G21" r:id="rId21"/>
    <hyperlink ref="G22" r:id="rId22"/>
    <hyperlink ref="G23" r:id="rId23"/>
    <hyperlink ref="G24" r:id="rId24"/>
    <hyperlink ref="G25" r:id="rId25"/>
    <hyperlink ref="G26" r:id="rId26"/>
    <hyperlink ref="G27" r:id="rId27"/>
    <hyperlink ref="G28" r:id="rId28"/>
    <hyperlink ref="G29" r:id="rId29"/>
    <hyperlink ref="G30" r:id="rId30"/>
    <hyperlink ref="I31" r:id="rId31"/>
    <hyperlink ref="I32" r:id="rId32"/>
    <hyperlink ref="I33" r:id="rId33"/>
    <hyperlink ref="I34" r:id="rId34"/>
    <hyperlink ref="I35" r:id="rId35"/>
    <hyperlink ref="I36" r:id="rId36"/>
    <hyperlink ref="I37" r:id="rId37"/>
    <hyperlink ref="I38" r:id="rId38"/>
    <hyperlink ref="I39" r:id="rId39"/>
  </hyperlinks>
  <pageMargins left="0.75" right="0.75" top="1.0" bottom="1.0" header="0.511811023622047" footer="0.511811023622047"/>
  <drawing r:id="rId1"/>
</worksheet>
</file>

<file path=xl/worksheets/sheet32.xml><?xml version="1.0" encoding="utf-8"?>
<worksheet xmlns:r="http://schemas.openxmlformats.org/officeDocument/2006/relationships" xmlns="http://schemas.openxmlformats.org/spreadsheetml/2006/main">
  <dimension ref="A1:Q33"/>
  <sheetViews>
    <sheetView workbookViewId="0">
      <selection activeCell="A1" sqref="A1"/>
    </sheetView>
  </sheetViews>
  <sheetFormatPr defaultRowHeight="14.5"/>
  <cols>
    <col min="1" max="1" customWidth="1" width="11.269531" style="0"/>
    <col min="2" max="2" customWidth="1" width="18.089844" style="0"/>
    <col min="3" max="3" customWidth="1" width="10.90625" style="0"/>
    <col min="4" max="4" customWidth="1" width="11.90625" style="0"/>
    <col min="5" max="5" customWidth="1" width="12.453125" style="0"/>
    <col min="6" max="6" customWidth="1" width="21.542969" style="0"/>
    <col min="7" max="7" customWidth="1" width="11.90625" style="0"/>
    <col min="8" max="8" customWidth="1" width="3.0" style="0"/>
    <col min="9" max="9" customWidth="1" width="21.542969" style="0"/>
    <col min="10" max="10" customWidth="1" width="12.453125" style="0"/>
    <col min="11" max="11" customWidth="1" width="17.726562" style="0"/>
    <col min="12" max="12" customWidth="1" width="9.542969" style="0"/>
    <col min="13" max="13" customWidth="1" width="3.0" style="0"/>
    <col min="14" max="16" customWidth="1" width="13.0" style="0"/>
  </cols>
  <sheetData>
    <row r="1" spans="8:8" ht="25.5" customHeight="1">
      <c r="A1" s="106" t="s">
        <v>686</v>
      </c>
      <c r="B1" s="106" t="s">
        <v>687</v>
      </c>
      <c r="C1" s="106" t="s">
        <v>688</v>
      </c>
      <c r="D1" s="106" t="s">
        <v>689</v>
      </c>
      <c r="E1" s="106" t="s">
        <v>690</v>
      </c>
      <c r="F1" s="106" t="s">
        <v>691</v>
      </c>
      <c r="G1" s="106" t="s">
        <v>692</v>
      </c>
      <c r="I1" s="106" t="s">
        <v>687</v>
      </c>
      <c r="J1" s="106" t="s">
        <v>693</v>
      </c>
      <c r="K1" s="106" t="s">
        <v>694</v>
      </c>
      <c r="L1" s="106" t="s">
        <v>695</v>
      </c>
      <c r="N1" s="106" t="s">
        <v>696</v>
      </c>
      <c r="O1" s="106" t="s">
        <v>697</v>
      </c>
      <c r="P1" s="106" t="s">
        <v>698</v>
      </c>
    </row>
    <row r="2" spans="8:8">
      <c r="A2" s="122">
        <v>46232.0</v>
      </c>
      <c r="B2" s="123" t="s">
        <v>22</v>
      </c>
      <c r="C2" s="123">
        <v>140.0</v>
      </c>
      <c r="D2" s="123">
        <v>8500.0</v>
      </c>
      <c r="E2" s="124">
        <f t="shared" si="0" ref="E2:E21">C2*D2</f>
        <v>1190000.0</v>
      </c>
      <c r="F2" s="123" t="s">
        <v>63</v>
      </c>
      <c r="G2" s="123" t="s">
        <v>512</v>
      </c>
      <c r="I2" s="123" t="s">
        <v>22</v>
      </c>
      <c r="J2" s="123">
        <f>C2+C11</f>
        <v>142.0</v>
      </c>
      <c r="K2" s="124">
        <f>E2+E11</f>
        <v>1208400.0</v>
      </c>
      <c r="L2" s="125">
        <f t="shared" si="1" ref="L2:L17">K2/K$17</f>
        <v>0.1286567327854811</v>
      </c>
      <c r="N2" s="124">
        <f>K17</f>
        <v>9392435.0</v>
      </c>
      <c r="O2" s="123">
        <f>J17</f>
        <v>842.0</v>
      </c>
      <c r="P2" s="123">
        <f>COUNT(J2:J16)</f>
        <v>15.0</v>
      </c>
    </row>
    <row r="3" spans="8:8">
      <c r="A3" s="122">
        <v>46232.0</v>
      </c>
      <c r="B3" s="123" t="s">
        <v>21</v>
      </c>
      <c r="C3" s="123">
        <v>140.0</v>
      </c>
      <c r="D3" s="123">
        <v>8100.0</v>
      </c>
      <c r="E3" s="124">
        <f t="shared" si="0"/>
        <v>1134000.0</v>
      </c>
      <c r="F3" s="123" t="s">
        <v>63</v>
      </c>
      <c r="G3" s="123" t="s">
        <v>512</v>
      </c>
      <c r="I3" s="123" t="s">
        <v>21</v>
      </c>
      <c r="J3" s="123">
        <f>C3</f>
        <v>140.0</v>
      </c>
      <c r="K3" s="124">
        <f>E3</f>
        <v>1134000.0</v>
      </c>
      <c r="L3" s="125">
        <f t="shared" si="1"/>
        <v>0.12073546423265107</v>
      </c>
    </row>
    <row r="4" spans="8:8">
      <c r="A4" s="122">
        <v>46232.0</v>
      </c>
      <c r="B4" s="123" t="s">
        <v>113</v>
      </c>
      <c r="C4" s="123">
        <v>30.0</v>
      </c>
      <c r="D4" s="123">
        <v>14475.0</v>
      </c>
      <c r="E4" s="124">
        <f t="shared" si="0"/>
        <v>434250.0</v>
      </c>
      <c r="F4" s="123" t="s">
        <v>63</v>
      </c>
      <c r="G4" s="123" t="s">
        <v>512</v>
      </c>
      <c r="I4" s="123" t="s">
        <v>113</v>
      </c>
      <c r="J4" s="123">
        <f>C4</f>
        <v>30.0</v>
      </c>
      <c r="K4" s="124">
        <f>E4</f>
        <v>434250.0</v>
      </c>
      <c r="L4" s="125">
        <f t="shared" si="1"/>
        <v>0.046234017057344555</v>
      </c>
    </row>
    <row r="5" spans="8:8">
      <c r="A5" s="122">
        <v>46232.0</v>
      </c>
      <c r="B5" s="123" t="s">
        <v>229</v>
      </c>
      <c r="C5" s="123">
        <v>97.0</v>
      </c>
      <c r="D5" s="123">
        <v>13500.0</v>
      </c>
      <c r="E5" s="124">
        <f t="shared" si="0"/>
        <v>1309500.0</v>
      </c>
      <c r="F5" s="123" t="s">
        <v>63</v>
      </c>
      <c r="G5" s="123" t="s">
        <v>512</v>
      </c>
      <c r="I5" s="123" t="s">
        <v>229</v>
      </c>
      <c r="J5" s="123">
        <f>C5</f>
        <v>97.0</v>
      </c>
      <c r="K5" s="124">
        <f>E5</f>
        <v>1309500.0</v>
      </c>
      <c r="L5" s="125">
        <f t="shared" si="1"/>
        <v>0.13942071464960898</v>
      </c>
    </row>
    <row r="6" spans="8:8">
      <c r="A6" s="122">
        <v>46232.0</v>
      </c>
      <c r="B6" s="123" t="s">
        <v>32</v>
      </c>
      <c r="C6" s="123">
        <v>96.0</v>
      </c>
      <c r="D6" s="123">
        <v>15555.0</v>
      </c>
      <c r="E6" s="124">
        <f t="shared" si="0"/>
        <v>1493280.0</v>
      </c>
      <c r="F6" s="123" t="s">
        <v>63</v>
      </c>
      <c r="G6" s="123" t="s">
        <v>512</v>
      </c>
      <c r="I6" s="123" t="s">
        <v>32</v>
      </c>
      <c r="J6" s="123">
        <f>C6+C16</f>
        <v>97.0</v>
      </c>
      <c r="K6" s="124">
        <f>E6+E16</f>
        <v>1509425.0</v>
      </c>
      <c r="L6" s="125">
        <f t="shared" si="1"/>
        <v>0.16070646216875603</v>
      </c>
    </row>
    <row r="7" spans="8:8">
      <c r="A7" s="122">
        <v>46232.0</v>
      </c>
      <c r="B7" s="123" t="s">
        <v>31</v>
      </c>
      <c r="C7" s="123">
        <v>150.0</v>
      </c>
      <c r="D7" s="123">
        <v>17100.0</v>
      </c>
      <c r="E7" s="124">
        <f t="shared" si="0"/>
        <v>2565000.0</v>
      </c>
      <c r="F7" s="123" t="s">
        <v>63</v>
      </c>
      <c r="G7" s="123" t="s">
        <v>512</v>
      </c>
      <c r="I7" s="123" t="s">
        <v>31</v>
      </c>
      <c r="J7" s="123">
        <f>C7+C15</f>
        <v>152.0</v>
      </c>
      <c r="K7" s="124">
        <f>E7+E15</f>
        <v>2599200.0</v>
      </c>
      <c r="L7" s="125">
        <f t="shared" si="1"/>
        <v>0.276733349764997</v>
      </c>
    </row>
    <row r="8" spans="8:8">
      <c r="A8" s="122">
        <v>46232.0</v>
      </c>
      <c r="B8" s="123" t="s">
        <v>87</v>
      </c>
      <c r="C8" s="123">
        <v>5.0</v>
      </c>
      <c r="D8" s="123">
        <v>21485.0</v>
      </c>
      <c r="E8" s="124">
        <f t="shared" si="0"/>
        <v>107425.0</v>
      </c>
      <c r="F8" s="123" t="s">
        <v>75</v>
      </c>
      <c r="G8" s="123" t="s">
        <v>518</v>
      </c>
      <c r="I8" s="123" t="s">
        <v>87</v>
      </c>
      <c r="J8" s="123">
        <f>C8</f>
        <v>5.0</v>
      </c>
      <c r="K8" s="124">
        <f>E8</f>
        <v>107425.0</v>
      </c>
      <c r="L8" s="125">
        <f t="shared" si="1"/>
        <v>0.011437396159781782</v>
      </c>
    </row>
    <row r="9" spans="8:8">
      <c r="A9" s="122">
        <v>46232.0</v>
      </c>
      <c r="B9" s="123" t="s">
        <v>36</v>
      </c>
      <c r="C9" s="123">
        <v>5.0</v>
      </c>
      <c r="D9" s="123">
        <v>15525.0</v>
      </c>
      <c r="E9" s="124">
        <f t="shared" si="0"/>
        <v>77625.0</v>
      </c>
      <c r="F9" s="123" t="s">
        <v>75</v>
      </c>
      <c r="G9" s="123" t="s">
        <v>518</v>
      </c>
      <c r="I9" s="123" t="s">
        <v>36</v>
      </c>
      <c r="J9" s="123">
        <f>C9+C19</f>
        <v>6.0</v>
      </c>
      <c r="K9" s="124">
        <f>E9+E19</f>
        <v>93150.0</v>
      </c>
      <c r="L9" s="125">
        <f t="shared" si="1"/>
        <v>0.009917555990539194</v>
      </c>
    </row>
    <row r="10" spans="8:8">
      <c r="A10" s="122">
        <v>46232.0</v>
      </c>
      <c r="B10" s="123" t="s">
        <v>28</v>
      </c>
      <c r="C10" s="123">
        <v>1.0</v>
      </c>
      <c r="D10" s="123">
        <v>14430.0</v>
      </c>
      <c r="E10" s="124">
        <f t="shared" si="0"/>
        <v>14430.0</v>
      </c>
      <c r="F10" s="123" t="s">
        <v>75</v>
      </c>
      <c r="G10" s="123" t="s">
        <v>518</v>
      </c>
      <c r="I10" s="123" t="s">
        <v>28</v>
      </c>
      <c r="J10" s="123">
        <f>C10</f>
        <v>1.0</v>
      </c>
      <c r="K10" s="124">
        <f>E10</f>
        <v>14430.0</v>
      </c>
      <c r="L10" s="125">
        <f t="shared" si="1"/>
        <v>0.0015363428120609831</v>
      </c>
    </row>
    <row r="11" spans="8:8">
      <c r="A11" s="122">
        <v>46232.0</v>
      </c>
      <c r="B11" s="123" t="s">
        <v>22</v>
      </c>
      <c r="C11" s="123">
        <v>2.0</v>
      </c>
      <c r="D11" s="123">
        <v>9200.0</v>
      </c>
      <c r="E11" s="124">
        <f t="shared" si="0"/>
        <v>18400.0</v>
      </c>
      <c r="F11" s="123" t="s">
        <v>95</v>
      </c>
      <c r="G11" s="123" t="s">
        <v>520</v>
      </c>
      <c r="I11" s="123" t="s">
        <v>44</v>
      </c>
      <c r="J11" s="123">
        <f>C12+C14</f>
        <v>17.0</v>
      </c>
      <c r="K11" s="124">
        <f>E12+E14</f>
        <v>156400.0</v>
      </c>
      <c r="L11" s="125">
        <f t="shared" si="1"/>
        <v>0.016651698947078155</v>
      </c>
    </row>
    <row r="12" spans="8:8">
      <c r="A12" s="122">
        <v>46232.0</v>
      </c>
      <c r="B12" s="123" t="s">
        <v>44</v>
      </c>
      <c r="C12" s="123">
        <v>2.0</v>
      </c>
      <c r="D12" s="123">
        <v>9200.0</v>
      </c>
      <c r="E12" s="124">
        <f t="shared" si="0"/>
        <v>18400.0</v>
      </c>
      <c r="F12" s="123" t="s">
        <v>95</v>
      </c>
      <c r="G12" s="123" t="s">
        <v>520</v>
      </c>
      <c r="I12" s="123" t="s">
        <v>45</v>
      </c>
      <c r="J12" s="123">
        <f>C13</f>
        <v>2.0</v>
      </c>
      <c r="K12" s="124">
        <f>E13</f>
        <v>26670.0</v>
      </c>
      <c r="L12" s="125">
        <f t="shared" si="1"/>
        <v>0.0028395192513975343</v>
      </c>
    </row>
    <row r="13" spans="8:8">
      <c r="A13" s="122">
        <v>46232.0</v>
      </c>
      <c r="B13" s="123" t="s">
        <v>45</v>
      </c>
      <c r="C13" s="123">
        <v>2.0</v>
      </c>
      <c r="D13" s="123">
        <v>13335.0</v>
      </c>
      <c r="E13" s="124">
        <f t="shared" si="0"/>
        <v>26670.0</v>
      </c>
      <c r="F13" s="123" t="s">
        <v>95</v>
      </c>
      <c r="G13" s="123" t="s">
        <v>520</v>
      </c>
      <c r="I13" s="123" t="s">
        <v>34</v>
      </c>
      <c r="J13" s="123">
        <f>C17</f>
        <v>1.0</v>
      </c>
      <c r="K13" s="124">
        <f>E17</f>
        <v>21695.0</v>
      </c>
      <c r="L13" s="125">
        <f t="shared" si="1"/>
        <v>0.0023098376512586992</v>
      </c>
    </row>
    <row r="14" spans="8:8">
      <c r="A14" s="122">
        <v>46232.0</v>
      </c>
      <c r="B14" s="123" t="s">
        <v>44</v>
      </c>
      <c r="C14" s="123">
        <v>15.0</v>
      </c>
      <c r="D14" s="123">
        <v>9200.0</v>
      </c>
      <c r="E14" s="124">
        <f t="shared" si="0"/>
        <v>138000.0</v>
      </c>
      <c r="F14" s="123" t="s">
        <v>29</v>
      </c>
      <c r="G14" s="123" t="s">
        <v>521</v>
      </c>
      <c r="I14" s="123" t="s">
        <v>224</v>
      </c>
      <c r="J14" s="123">
        <f>C18</f>
        <v>1.0</v>
      </c>
      <c r="K14" s="124">
        <f>E18</f>
        <v>14430.0</v>
      </c>
      <c r="L14" s="125">
        <f t="shared" si="1"/>
        <v>0.0015363428120609831</v>
      </c>
    </row>
    <row r="15" spans="8:8">
      <c r="A15" s="122">
        <v>46232.0</v>
      </c>
      <c r="B15" s="123" t="s">
        <v>31</v>
      </c>
      <c r="C15" s="123">
        <v>2.0</v>
      </c>
      <c r="D15" s="123">
        <v>17100.0</v>
      </c>
      <c r="E15" s="124">
        <f t="shared" si="0"/>
        <v>34200.0</v>
      </c>
      <c r="F15" s="123" t="s">
        <v>29</v>
      </c>
      <c r="G15" s="123" t="s">
        <v>521</v>
      </c>
      <c r="I15" s="123" t="s">
        <v>70</v>
      </c>
      <c r="J15" s="123">
        <f>C20</f>
        <v>1.0</v>
      </c>
      <c r="K15" s="124">
        <f>E20</f>
        <v>13460.0</v>
      </c>
      <c r="L15" s="125">
        <f t="shared" si="1"/>
        <v>0.0014330682086168283</v>
      </c>
    </row>
    <row r="16" spans="8:8">
      <c r="A16" s="122">
        <v>46232.0</v>
      </c>
      <c r="B16" s="123" t="s">
        <v>32</v>
      </c>
      <c r="C16" s="123">
        <v>1.0</v>
      </c>
      <c r="D16" s="123">
        <v>16145.0</v>
      </c>
      <c r="E16" s="124">
        <f t="shared" si="0"/>
        <v>16145.0</v>
      </c>
      <c r="F16" s="123" t="s">
        <v>29</v>
      </c>
      <c r="G16" s="123" t="s">
        <v>521</v>
      </c>
      <c r="I16" s="123" t="s">
        <v>24</v>
      </c>
      <c r="J16" s="123">
        <f>C21</f>
        <v>150.0</v>
      </c>
      <c r="K16" s="124">
        <f>E21</f>
        <v>750000.0</v>
      </c>
      <c r="L16" s="125">
        <f t="shared" si="1"/>
        <v>0.0798514975083671</v>
      </c>
    </row>
    <row r="17" spans="8:8">
      <c r="A17" s="122">
        <v>46232.0</v>
      </c>
      <c r="B17" s="123" t="s">
        <v>34</v>
      </c>
      <c r="C17" s="123">
        <v>1.0</v>
      </c>
      <c r="D17" s="123">
        <v>21695.0</v>
      </c>
      <c r="E17" s="124">
        <f t="shared" si="0"/>
        <v>21695.0</v>
      </c>
      <c r="F17" s="123" t="s">
        <v>29</v>
      </c>
      <c r="G17" s="123" t="s">
        <v>521</v>
      </c>
      <c r="I17" s="123" t="s">
        <v>701</v>
      </c>
      <c r="J17" s="123">
        <f>SUM(J2:J16)</f>
        <v>842.0</v>
      </c>
      <c r="K17" s="124">
        <f>SUM(K2:K16)</f>
        <v>9392435.0</v>
      </c>
      <c r="L17" s="125">
        <f t="shared" si="1"/>
        <v>1.0</v>
      </c>
    </row>
    <row r="18" spans="8:8">
      <c r="A18" s="122">
        <v>46232.0</v>
      </c>
      <c r="B18" s="123" t="s">
        <v>224</v>
      </c>
      <c r="C18" s="123">
        <v>1.0</v>
      </c>
      <c r="D18" s="123">
        <v>14430.0</v>
      </c>
      <c r="E18" s="124">
        <f t="shared" si="0"/>
        <v>14430.0</v>
      </c>
      <c r="F18" s="123" t="s">
        <v>29</v>
      </c>
      <c r="G18" s="123" t="s">
        <v>521</v>
      </c>
    </row>
    <row r="19" spans="8:8" ht="25.5" customHeight="1">
      <c r="A19" s="122">
        <v>46232.0</v>
      </c>
      <c r="B19" s="123" t="s">
        <v>36</v>
      </c>
      <c r="C19" s="123">
        <v>1.0</v>
      </c>
      <c r="D19" s="123">
        <v>15525.0</v>
      </c>
      <c r="E19" s="124">
        <f t="shared" si="0"/>
        <v>15525.0</v>
      </c>
      <c r="F19" s="123" t="s">
        <v>29</v>
      </c>
      <c r="G19" s="123" t="s">
        <v>521</v>
      </c>
      <c r="I19" s="106" t="s">
        <v>691</v>
      </c>
      <c r="J19" s="106" t="s">
        <v>690</v>
      </c>
      <c r="K19" s="106" t="s">
        <v>695</v>
      </c>
      <c r="L19" s="106" t="s">
        <v>702</v>
      </c>
    </row>
    <row r="20" spans="8:8">
      <c r="A20" s="122">
        <v>46232.0</v>
      </c>
      <c r="B20" s="123" t="s">
        <v>70</v>
      </c>
      <c r="C20" s="123">
        <v>1.0</v>
      </c>
      <c r="D20" s="123">
        <v>13460.0</v>
      </c>
      <c r="E20" s="124">
        <f t="shared" si="0"/>
        <v>13460.0</v>
      </c>
      <c r="F20" s="123" t="s">
        <v>29</v>
      </c>
      <c r="G20" s="123" t="s">
        <v>521</v>
      </c>
      <c r="I20" s="123" t="s">
        <v>63</v>
      </c>
      <c r="J20" s="124">
        <f>E2+E3+E4+E5+E6+E7</f>
        <v>8126030.0</v>
      </c>
      <c r="K20" s="125">
        <f t="shared" si="2" ref="K20:K25">J20/J$25</f>
        <v>0.8651675523972218</v>
      </c>
      <c r="L20" s="125">
        <v>0.0057</v>
      </c>
    </row>
    <row r="21" spans="8:8">
      <c r="A21" s="122">
        <v>46232.0</v>
      </c>
      <c r="B21" s="123" t="s">
        <v>24</v>
      </c>
      <c r="C21" s="123">
        <v>150.0</v>
      </c>
      <c r="D21" s="123">
        <v>5000.0</v>
      </c>
      <c r="E21" s="124">
        <f t="shared" si="0"/>
        <v>750000.0</v>
      </c>
      <c r="F21" s="123" t="s">
        <v>25</v>
      </c>
      <c r="G21" s="123" t="s">
        <v>522</v>
      </c>
      <c r="I21" s="123" t="s">
        <v>75</v>
      </c>
      <c r="J21" s="124">
        <f>E8+E9+E10</f>
        <v>199480.0</v>
      </c>
      <c r="K21" s="125">
        <f t="shared" si="2"/>
        <v>0.02123836896395876</v>
      </c>
      <c r="L21" s="125">
        <v>0.0926</v>
      </c>
    </row>
    <row r="22" spans="8:8">
      <c r="B22" s="123" t="s">
        <v>701</v>
      </c>
      <c r="C22" s="123">
        <f>SUM(C2:C21)</f>
        <v>842.0</v>
      </c>
      <c r="D22" s="123">
        <f>SUM(D2:D21)</f>
        <v>272960.0</v>
      </c>
      <c r="E22" s="124">
        <f>SUM(E2:E21)</f>
        <v>9392435.0</v>
      </c>
      <c r="I22" s="123" t="s">
        <v>95</v>
      </c>
      <c r="J22" s="124">
        <f>E11+E12+E13</f>
        <v>63470.0</v>
      </c>
      <c r="K22" s="125">
        <f t="shared" si="2"/>
        <v>0.006757566062474747</v>
      </c>
      <c r="L22" s="125">
        <v>0.0423</v>
      </c>
    </row>
    <row r="23" spans="8:8">
      <c r="I23" s="123" t="s">
        <v>29</v>
      </c>
      <c r="J23" s="124">
        <f>E14+E15+E16+E17+E18+E19+E20</f>
        <v>253455.0</v>
      </c>
      <c r="K23" s="125">
        <f t="shared" si="2"/>
        <v>0.02698501506797758</v>
      </c>
      <c r="L23" s="125">
        <v>0.0367</v>
      </c>
    </row>
    <row r="24" spans="8:8">
      <c r="I24" s="123" t="s">
        <v>25</v>
      </c>
      <c r="J24" s="124">
        <f>E21</f>
        <v>750000.0</v>
      </c>
      <c r="K24" s="125">
        <f t="shared" si="2"/>
        <v>0.0798514975083671</v>
      </c>
      <c r="L24" s="125">
        <v>-0.04</v>
      </c>
    </row>
    <row r="25" spans="8:8">
      <c r="I25" s="123" t="s">
        <v>703</v>
      </c>
      <c r="J25" s="124">
        <f>SUM(J20:J24)</f>
        <v>9392435.0</v>
      </c>
      <c r="K25" s="125">
        <f t="shared" si="2"/>
        <v>1.0</v>
      </c>
    </row>
    <row r="27" spans="8:8" ht="25.5" customHeight="1">
      <c r="I27" s="106" t="s">
        <v>692</v>
      </c>
      <c r="J27" s="106" t="s">
        <v>690</v>
      </c>
      <c r="K27" s="106" t="s">
        <v>702</v>
      </c>
    </row>
    <row r="28" spans="8:8">
      <c r="I28" s="123" t="s">
        <v>512</v>
      </c>
      <c r="J28" s="124">
        <v>8698030.0</v>
      </c>
      <c r="K28" s="125">
        <v>0.01</v>
      </c>
    </row>
    <row r="29" spans="8:8">
      <c r="I29" s="123" t="s">
        <v>518</v>
      </c>
      <c r="J29" s="124">
        <v>218480.0</v>
      </c>
      <c r="K29" s="125">
        <v>0.09</v>
      </c>
    </row>
    <row r="30" spans="8:8">
      <c r="I30" s="123" t="s">
        <v>520</v>
      </c>
      <c r="J30" s="124">
        <v>63470.0</v>
      </c>
      <c r="K30" s="125">
        <v>0.04</v>
      </c>
    </row>
    <row r="31" spans="8:8">
      <c r="I31" s="123" t="s">
        <v>521</v>
      </c>
      <c r="J31" s="124">
        <v>282255.0</v>
      </c>
      <c r="K31" s="125">
        <v>0.04</v>
      </c>
    </row>
    <row r="32" spans="8:8">
      <c r="I32" s="123" t="s">
        <v>522</v>
      </c>
      <c r="J32" s="124">
        <v>750000.0</v>
      </c>
      <c r="K32" s="125">
        <v>-0.04</v>
      </c>
    </row>
    <row r="33" spans="8:8">
      <c r="I33" s="123" t="s">
        <v>703</v>
      </c>
      <c r="J33" s="124">
        <f>SUM(J28:J32)</f>
        <v>1.0012235E7</v>
      </c>
    </row>
  </sheetData>
  <pageMargins left="0.75" right="0.75" top="1.0" bottom="1.0" header="0.511811023622047" footer="0.511811023622047"/>
  <drawing r:id="rId1"/>
</worksheet>
</file>

<file path=xl/worksheets/sheet33.xml><?xml version="1.0" encoding="utf-8"?>
<worksheet xmlns:r="http://schemas.openxmlformats.org/officeDocument/2006/relationships" xmlns="http://schemas.openxmlformats.org/spreadsheetml/2006/main">
  <dimension ref="A1:Q36"/>
  <sheetViews>
    <sheetView workbookViewId="0">
      <selection activeCell="A1" sqref="A1"/>
    </sheetView>
  </sheetViews>
  <sheetFormatPr defaultRowHeight="14.5"/>
  <cols>
    <col min="1" max="1" customWidth="1" width="11.269531" style="0"/>
    <col min="2" max="2" customWidth="1" width="18.089844" style="0"/>
    <col min="3" max="3" customWidth="1" width="10.90625" style="0"/>
    <col min="4" max="4" customWidth="1" width="11.90625" style="0"/>
    <col min="5" max="5" customWidth="1" width="12.453125" style="0"/>
    <col min="6" max="6" customWidth="1" width="21.542969" style="0"/>
    <col min="7" max="7" customWidth="1" width="11.90625" style="0"/>
    <col min="8" max="8" customWidth="1" width="3.0" style="0"/>
    <col min="9" max="9" customWidth="1" width="21.542969" style="0"/>
    <col min="10" max="10" customWidth="1" width="12.453125" style="0"/>
    <col min="11" max="11" customWidth="1" width="17.726562" style="0"/>
    <col min="12" max="12" customWidth="1" width="9.542969" style="0"/>
    <col min="13" max="13" customWidth="1" width="3.0" style="0"/>
    <col min="14" max="16" customWidth="1" width="13.0" style="0"/>
  </cols>
  <sheetData>
    <row r="1" spans="8:8" ht="25.5" customHeight="1">
      <c r="A1" s="106" t="s">
        <v>686</v>
      </c>
      <c r="B1" s="106" t="s">
        <v>687</v>
      </c>
      <c r="C1" s="106" t="s">
        <v>688</v>
      </c>
      <c r="D1" s="106" t="s">
        <v>689</v>
      </c>
      <c r="E1" s="106" t="s">
        <v>690</v>
      </c>
      <c r="F1" s="106" t="s">
        <v>691</v>
      </c>
      <c r="G1" s="106" t="s">
        <v>692</v>
      </c>
      <c r="I1" s="106" t="s">
        <v>687</v>
      </c>
      <c r="J1" s="106" t="s">
        <v>693</v>
      </c>
      <c r="K1" s="106" t="s">
        <v>694</v>
      </c>
      <c r="L1" s="106" t="s">
        <v>695</v>
      </c>
      <c r="N1" s="106" t="s">
        <v>696</v>
      </c>
      <c r="O1" s="106" t="s">
        <v>697</v>
      </c>
      <c r="P1" s="106" t="s">
        <v>698</v>
      </c>
    </row>
    <row r="2" spans="8:8">
      <c r="A2" s="122">
        <v>46233.0</v>
      </c>
      <c r="B2" s="123" t="s">
        <v>24</v>
      </c>
      <c r="C2" s="123">
        <v>1240.0</v>
      </c>
      <c r="D2" s="123">
        <v>4950.0</v>
      </c>
      <c r="E2" s="124">
        <f t="shared" si="0" ref="E2:E20">C2*D2</f>
        <v>6138000.0</v>
      </c>
      <c r="F2" s="123" t="s">
        <v>210</v>
      </c>
      <c r="G2" s="123" t="s">
        <v>524</v>
      </c>
      <c r="I2" s="123" t="s">
        <v>24</v>
      </c>
      <c r="J2" s="123">
        <f>C2+C12+C20</f>
        <v>1255.0</v>
      </c>
      <c r="K2" s="124">
        <f>E2+E12+E20</f>
        <v>6213300.0</v>
      </c>
      <c r="L2" s="125">
        <f t="shared" si="1" ref="L2:L15">K2/K$15</f>
        <v>0.8866383502159408</v>
      </c>
      <c r="N2" s="124">
        <f>K15</f>
        <v>7007705.0</v>
      </c>
      <c r="O2" s="123">
        <f>J15</f>
        <v>1315.0</v>
      </c>
      <c r="P2" s="123">
        <f>COUNT(J2:J14)</f>
        <v>13.0</v>
      </c>
    </row>
    <row r="3" spans="8:8">
      <c r="A3" s="122">
        <v>46233.0</v>
      </c>
      <c r="B3" s="123" t="s">
        <v>45</v>
      </c>
      <c r="C3" s="123">
        <v>7.0</v>
      </c>
      <c r="D3" s="123">
        <v>13335.0</v>
      </c>
      <c r="E3" s="124">
        <f t="shared" si="0"/>
        <v>93345.0</v>
      </c>
      <c r="F3" s="123" t="s">
        <v>29</v>
      </c>
      <c r="G3" s="123" t="s">
        <v>526</v>
      </c>
      <c r="I3" s="123" t="s">
        <v>45</v>
      </c>
      <c r="J3" s="123">
        <f>C3+C17</f>
        <v>8.0</v>
      </c>
      <c r="K3" s="124">
        <f>E3+E17</f>
        <v>107295.0</v>
      </c>
      <c r="L3" s="125">
        <f t="shared" si="1"/>
        <v>0.015311004101913536</v>
      </c>
    </row>
    <row r="4" spans="8:8">
      <c r="A4" s="122">
        <v>46233.0</v>
      </c>
      <c r="B4" s="123" t="s">
        <v>44</v>
      </c>
      <c r="C4" s="123">
        <v>8.0</v>
      </c>
      <c r="D4" s="123">
        <v>9200.0</v>
      </c>
      <c r="E4" s="124">
        <f t="shared" si="0"/>
        <v>73600.0</v>
      </c>
      <c r="F4" s="123" t="s">
        <v>29</v>
      </c>
      <c r="G4" s="123" t="s">
        <v>526</v>
      </c>
      <c r="I4" s="123" t="s">
        <v>44</v>
      </c>
      <c r="J4" s="123">
        <f>C4+C15</f>
        <v>11.0</v>
      </c>
      <c r="K4" s="124">
        <f>E4+E15</f>
        <v>101200.0</v>
      </c>
      <c r="L4" s="125">
        <f t="shared" si="1"/>
        <v>0.01444124717007922</v>
      </c>
    </row>
    <row r="5" spans="8:8">
      <c r="A5" s="122">
        <v>46233.0</v>
      </c>
      <c r="B5" s="123" t="s">
        <v>37</v>
      </c>
      <c r="C5" s="123">
        <v>4.0</v>
      </c>
      <c r="D5" s="123">
        <v>8880.0</v>
      </c>
      <c r="E5" s="124">
        <f t="shared" si="0"/>
        <v>35520.0</v>
      </c>
      <c r="F5" s="123" t="s">
        <v>29</v>
      </c>
      <c r="G5" s="123" t="s">
        <v>526</v>
      </c>
      <c r="I5" s="123" t="s">
        <v>37</v>
      </c>
      <c r="J5" s="123">
        <f>C5</f>
        <v>4.0</v>
      </c>
      <c r="K5" s="124">
        <f>E5</f>
        <v>35520.0</v>
      </c>
      <c r="L5" s="125">
        <f t="shared" si="1"/>
        <v>0.005068706516612786</v>
      </c>
    </row>
    <row r="6" spans="8:8">
      <c r="A6" s="122">
        <v>46233.0</v>
      </c>
      <c r="B6" s="123" t="s">
        <v>65</v>
      </c>
      <c r="C6" s="123">
        <v>3.0</v>
      </c>
      <c r="D6" s="123">
        <v>11910.0</v>
      </c>
      <c r="E6" s="124">
        <f t="shared" si="0"/>
        <v>35730.0</v>
      </c>
      <c r="F6" s="123" t="s">
        <v>29</v>
      </c>
      <c r="G6" s="123" t="s">
        <v>526</v>
      </c>
      <c r="I6" s="123" t="s">
        <v>65</v>
      </c>
      <c r="J6" s="123">
        <f>C6+C18</f>
        <v>4.0</v>
      </c>
      <c r="K6" s="124">
        <f>E6+E18</f>
        <v>48255.0</v>
      </c>
      <c r="L6" s="125">
        <f t="shared" si="1"/>
        <v>0.006885991918894988</v>
      </c>
    </row>
    <row r="7" spans="8:8">
      <c r="A7" s="122">
        <v>46233.0</v>
      </c>
      <c r="B7" s="123" t="s">
        <v>87</v>
      </c>
      <c r="C7" s="123">
        <v>2.0</v>
      </c>
      <c r="D7" s="123">
        <v>21400.0</v>
      </c>
      <c r="E7" s="124">
        <f t="shared" si="0"/>
        <v>42800.0</v>
      </c>
      <c r="F7" s="123" t="s">
        <v>29</v>
      </c>
      <c r="G7" s="123" t="s">
        <v>526</v>
      </c>
      <c r="I7" s="123" t="s">
        <v>87</v>
      </c>
      <c r="J7" s="123">
        <f>C7</f>
        <v>2.0</v>
      </c>
      <c r="K7" s="124">
        <f>E7</f>
        <v>42800.0</v>
      </c>
      <c r="L7" s="125">
        <f t="shared" si="1"/>
        <v>0.0061075630324050455</v>
      </c>
    </row>
    <row r="8" spans="8:8">
      <c r="A8" s="122">
        <v>46233.0</v>
      </c>
      <c r="B8" s="123" t="s">
        <v>36</v>
      </c>
      <c r="C8" s="123">
        <v>1.0</v>
      </c>
      <c r="D8" s="123">
        <v>15525.0</v>
      </c>
      <c r="E8" s="124">
        <f t="shared" si="0"/>
        <v>15525.0</v>
      </c>
      <c r="F8" s="123" t="s">
        <v>29</v>
      </c>
      <c r="G8" s="123" t="s">
        <v>526</v>
      </c>
      <c r="I8" s="123" t="s">
        <v>36</v>
      </c>
      <c r="J8" s="123">
        <f>C8</f>
        <v>1.0</v>
      </c>
      <c r="K8" s="124">
        <f>E8</f>
        <v>15525.0</v>
      </c>
      <c r="L8" s="125">
        <f t="shared" si="1"/>
        <v>0.002215418599955335</v>
      </c>
    </row>
    <row r="9" spans="8:8">
      <c r="A9" s="122">
        <v>46233.0</v>
      </c>
      <c r="B9" s="123" t="s">
        <v>150</v>
      </c>
      <c r="C9" s="123">
        <v>3.0</v>
      </c>
      <c r="D9" s="123">
        <v>10315.0</v>
      </c>
      <c r="E9" s="124">
        <f t="shared" si="0"/>
        <v>30945.0</v>
      </c>
      <c r="F9" s="123" t="s">
        <v>29</v>
      </c>
      <c r="G9" s="123" t="s">
        <v>526</v>
      </c>
      <c r="I9" s="123" t="s">
        <v>150</v>
      </c>
      <c r="J9" s="123">
        <f>C9</f>
        <v>3.0</v>
      </c>
      <c r="K9" s="124">
        <f>E9</f>
        <v>30945.0</v>
      </c>
      <c r="L9" s="125">
        <f t="shared" si="1"/>
        <v>0.004415853692471358</v>
      </c>
    </row>
    <row r="10" spans="8:8">
      <c r="A10" s="122">
        <v>46233.0</v>
      </c>
      <c r="B10" s="123" t="s">
        <v>33</v>
      </c>
      <c r="C10" s="123">
        <v>20.0</v>
      </c>
      <c r="D10" s="123">
        <v>15655.0</v>
      </c>
      <c r="E10" s="124">
        <f t="shared" si="0"/>
        <v>313100.0</v>
      </c>
      <c r="F10" s="123" t="s">
        <v>29</v>
      </c>
      <c r="G10" s="123" t="s">
        <v>526</v>
      </c>
      <c r="I10" s="123" t="s">
        <v>33</v>
      </c>
      <c r="J10" s="123">
        <f>C10+C14</f>
        <v>22.0</v>
      </c>
      <c r="K10" s="124">
        <f>E10+E14</f>
        <v>344410.0</v>
      </c>
      <c r="L10" s="125">
        <f t="shared" si="1"/>
        <v>0.04914733140165004</v>
      </c>
    </row>
    <row r="11" spans="8:8">
      <c r="A11" s="122">
        <v>46233.0</v>
      </c>
      <c r="B11" s="123" t="s">
        <v>22</v>
      </c>
      <c r="C11" s="123">
        <v>1.0</v>
      </c>
      <c r="D11" s="123">
        <v>9500.0</v>
      </c>
      <c r="E11" s="124">
        <f t="shared" si="0"/>
        <v>9500.0</v>
      </c>
      <c r="F11" s="123" t="s">
        <v>109</v>
      </c>
      <c r="G11" s="123" t="s">
        <v>530</v>
      </c>
      <c r="I11" s="123" t="s">
        <v>22</v>
      </c>
      <c r="J11" s="123">
        <f>C11</f>
        <v>1.0</v>
      </c>
      <c r="K11" s="124">
        <f>E11</f>
        <v>9500.0</v>
      </c>
      <c r="L11" s="125">
        <f t="shared" si="1"/>
        <v>0.001355650673080559</v>
      </c>
    </row>
    <row r="12" spans="8:8">
      <c r="A12" s="122">
        <v>46233.0</v>
      </c>
      <c r="B12" s="123" t="s">
        <v>24</v>
      </c>
      <c r="C12" s="123">
        <v>14.0</v>
      </c>
      <c r="D12" s="123">
        <v>5000.0</v>
      </c>
      <c r="E12" s="124">
        <f t="shared" si="0"/>
        <v>70000.0</v>
      </c>
      <c r="F12" s="123" t="s">
        <v>29</v>
      </c>
      <c r="G12" s="123" t="s">
        <v>531</v>
      </c>
      <c r="I12" s="123" t="s">
        <v>32</v>
      </c>
      <c r="J12" s="123">
        <f>C13</f>
        <v>2.0</v>
      </c>
      <c r="K12" s="124">
        <f>E13</f>
        <v>31310.0</v>
      </c>
      <c r="L12" s="125">
        <f t="shared" si="1"/>
        <v>0.004467939218331822</v>
      </c>
    </row>
    <row r="13" spans="8:8">
      <c r="A13" s="122">
        <v>46233.0</v>
      </c>
      <c r="B13" s="123" t="s">
        <v>32</v>
      </c>
      <c r="C13" s="123">
        <v>2.0</v>
      </c>
      <c r="D13" s="123">
        <v>15655.0</v>
      </c>
      <c r="E13" s="124">
        <f t="shared" si="0"/>
        <v>31310.0</v>
      </c>
      <c r="F13" s="123" t="s">
        <v>29</v>
      </c>
      <c r="G13" s="123" t="s">
        <v>531</v>
      </c>
      <c r="I13" s="123" t="s">
        <v>80</v>
      </c>
      <c r="J13" s="123">
        <f>C16</f>
        <v>1.0</v>
      </c>
      <c r="K13" s="124">
        <f>E16</f>
        <v>9345.0</v>
      </c>
      <c r="L13" s="125">
        <f t="shared" si="1"/>
        <v>0.0013335321620987185</v>
      </c>
    </row>
    <row r="14" spans="8:8">
      <c r="A14" s="122">
        <v>46233.0</v>
      </c>
      <c r="B14" s="123" t="s">
        <v>33</v>
      </c>
      <c r="C14" s="123">
        <v>2.0</v>
      </c>
      <c r="D14" s="123">
        <v>15655.0</v>
      </c>
      <c r="E14" s="124">
        <f t="shared" si="0"/>
        <v>31310.0</v>
      </c>
      <c r="F14" s="123" t="s">
        <v>29</v>
      </c>
      <c r="G14" s="123" t="s">
        <v>531</v>
      </c>
      <c r="I14" s="123" t="s">
        <v>43</v>
      </c>
      <c r="J14" s="123">
        <f>C19</f>
        <v>1.0</v>
      </c>
      <c r="K14" s="124">
        <f>E19</f>
        <v>18300.0</v>
      </c>
      <c r="L14" s="125">
        <f t="shared" si="1"/>
        <v>0.0026114112965657087</v>
      </c>
    </row>
    <row r="15" spans="8:8">
      <c r="A15" s="122">
        <v>46233.0</v>
      </c>
      <c r="B15" s="123" t="s">
        <v>44</v>
      </c>
      <c r="C15" s="123">
        <v>3.0</v>
      </c>
      <c r="D15" s="123">
        <v>9200.0</v>
      </c>
      <c r="E15" s="124">
        <f t="shared" si="0"/>
        <v>27600.0</v>
      </c>
      <c r="F15" s="123" t="s">
        <v>29</v>
      </c>
      <c r="G15" s="123" t="s">
        <v>531</v>
      </c>
      <c r="I15" s="123" t="s">
        <v>701</v>
      </c>
      <c r="J15" s="123">
        <f>SUM(J2:J14)</f>
        <v>1315.0</v>
      </c>
      <c r="K15" s="124">
        <f>SUM(K2:K14)</f>
        <v>7007705.0</v>
      </c>
      <c r="L15" s="125">
        <f t="shared" si="1"/>
        <v>1.0</v>
      </c>
    </row>
    <row r="16" spans="8:8">
      <c r="A16" s="122">
        <v>46233.0</v>
      </c>
      <c r="B16" s="123" t="s">
        <v>80</v>
      </c>
      <c r="C16" s="123">
        <v>1.0</v>
      </c>
      <c r="D16" s="123">
        <v>9345.0</v>
      </c>
      <c r="E16" s="124">
        <f t="shared" si="0"/>
        <v>9345.0</v>
      </c>
      <c r="F16" s="123" t="s">
        <v>219</v>
      </c>
      <c r="G16" s="123" t="s">
        <v>533</v>
      </c>
    </row>
    <row r="17" spans="8:8" ht="25.5" customHeight="1">
      <c r="A17" s="122">
        <v>46233.0</v>
      </c>
      <c r="B17" s="123" t="s">
        <v>45</v>
      </c>
      <c r="C17" s="123">
        <v>1.0</v>
      </c>
      <c r="D17" s="123">
        <v>13950.0</v>
      </c>
      <c r="E17" s="124">
        <f t="shared" si="0"/>
        <v>13950.0</v>
      </c>
      <c r="F17" s="123" t="s">
        <v>109</v>
      </c>
      <c r="G17" s="123" t="s">
        <v>535</v>
      </c>
      <c r="I17" s="106" t="s">
        <v>691</v>
      </c>
      <c r="J17" s="106" t="s">
        <v>690</v>
      </c>
      <c r="K17" s="106" t="s">
        <v>695</v>
      </c>
      <c r="L17" s="106" t="s">
        <v>702</v>
      </c>
    </row>
    <row r="18" spans="8:8">
      <c r="A18" s="122">
        <v>46233.0</v>
      </c>
      <c r="B18" s="123" t="s">
        <v>65</v>
      </c>
      <c r="C18" s="123">
        <v>1.0</v>
      </c>
      <c r="D18" s="123">
        <v>12525.0</v>
      </c>
      <c r="E18" s="124">
        <f t="shared" si="0"/>
        <v>12525.0</v>
      </c>
      <c r="F18" s="123" t="s">
        <v>109</v>
      </c>
      <c r="G18" s="123" t="s">
        <v>536</v>
      </c>
      <c r="I18" s="123" t="s">
        <v>210</v>
      </c>
      <c r="J18" s="124">
        <f>E2</f>
        <v>6138000.0</v>
      </c>
      <c r="K18" s="125">
        <f t="shared" si="2" ref="K18:K24">J18/J$24</f>
        <v>0.8758930348808918</v>
      </c>
      <c r="L18" s="125">
        <v>-0.0505</v>
      </c>
    </row>
    <row r="19" spans="8:8">
      <c r="A19" s="122">
        <v>46233.0</v>
      </c>
      <c r="B19" s="123" t="s">
        <v>43</v>
      </c>
      <c r="C19" s="123">
        <v>1.0</v>
      </c>
      <c r="D19" s="123">
        <v>18300.0</v>
      </c>
      <c r="E19" s="124">
        <f t="shared" si="0"/>
        <v>18300.0</v>
      </c>
      <c r="F19" s="123" t="s">
        <v>212</v>
      </c>
      <c r="G19" s="123" t="s">
        <v>537</v>
      </c>
      <c r="I19" s="123" t="s">
        <v>29</v>
      </c>
      <c r="J19" s="124">
        <f>E3+E4+E5+E6+E7+E8+E9+E10+E12+E13+E14+E15</f>
        <v>800785.0</v>
      </c>
      <c r="K19" s="125">
        <f t="shared" si="2"/>
        <v>0.11427207623608585</v>
      </c>
      <c r="L19" s="125">
        <v>0.043</v>
      </c>
    </row>
    <row r="20" spans="8:8">
      <c r="A20" s="122">
        <v>46233.0</v>
      </c>
      <c r="B20" s="123" t="s">
        <v>24</v>
      </c>
      <c r="C20" s="123">
        <v>1.0</v>
      </c>
      <c r="D20" s="123">
        <v>5300.0</v>
      </c>
      <c r="E20" s="124">
        <f t="shared" si="0"/>
        <v>5300.0</v>
      </c>
      <c r="F20" s="123" t="s">
        <v>15</v>
      </c>
      <c r="G20" s="123" t="s">
        <v>538</v>
      </c>
      <c r="I20" s="123" t="s">
        <v>109</v>
      </c>
      <c r="J20" s="124">
        <f>E11+E17+E18</f>
        <v>35975.0</v>
      </c>
      <c r="K20" s="125">
        <f t="shared" si="2"/>
        <v>0.005133635048849802</v>
      </c>
      <c r="L20" s="125">
        <v>0.0905</v>
      </c>
    </row>
    <row r="21" spans="8:8">
      <c r="B21" s="123" t="s">
        <v>701</v>
      </c>
      <c r="C21" s="123">
        <f>SUM(C2:C20)</f>
        <v>1315.0</v>
      </c>
      <c r="D21" s="123">
        <f>SUM(D2:D20)</f>
        <v>225600.0</v>
      </c>
      <c r="E21" s="124">
        <f>SUM(E2:E20)</f>
        <v>7007705.0</v>
      </c>
      <c r="I21" s="123" t="s">
        <v>219</v>
      </c>
      <c r="J21" s="124">
        <f>E16</f>
        <v>9345.0</v>
      </c>
      <c r="K21" s="125">
        <f t="shared" si="2"/>
        <v>0.0013335321620987185</v>
      </c>
      <c r="L21" s="125">
        <v>0.0401</v>
      </c>
    </row>
    <row r="22" spans="8:8">
      <c r="I22" s="123" t="s">
        <v>212</v>
      </c>
      <c r="J22" s="124">
        <f>E19</f>
        <v>18300.0</v>
      </c>
      <c r="K22" s="125">
        <f t="shared" si="2"/>
        <v>0.0026114112965657087</v>
      </c>
      <c r="L22" s="125">
        <v>0.0628</v>
      </c>
    </row>
    <row r="23" spans="8:8">
      <c r="I23" s="123" t="s">
        <v>15</v>
      </c>
      <c r="J23" s="124">
        <f>E20</f>
        <v>5300.0</v>
      </c>
      <c r="K23" s="125">
        <f t="shared" si="2"/>
        <v>7.563103755081014E-4</v>
      </c>
      <c r="L23" s="125">
        <v>0.0189</v>
      </c>
    </row>
    <row r="24" spans="8:8">
      <c r="I24" s="123" t="s">
        <v>703</v>
      </c>
      <c r="J24" s="124">
        <f>SUM(J18:J23)</f>
        <v>7007705.0</v>
      </c>
      <c r="K24" s="125">
        <f t="shared" si="2"/>
        <v>1.0</v>
      </c>
    </row>
    <row r="26" spans="8:8" ht="25.5" customHeight="1">
      <c r="I26" s="106" t="s">
        <v>692</v>
      </c>
      <c r="J26" s="106" t="s">
        <v>690</v>
      </c>
      <c r="K26" s="106" t="s">
        <v>702</v>
      </c>
    </row>
    <row r="27" spans="8:8">
      <c r="I27" s="123" t="s">
        <v>524</v>
      </c>
      <c r="J27" s="124">
        <v>6138000.0</v>
      </c>
      <c r="K27" s="125">
        <v>-0.05</v>
      </c>
    </row>
    <row r="28" spans="8:8">
      <c r="I28" s="123" t="s">
        <v>526</v>
      </c>
      <c r="J28" s="124">
        <v>692765.0</v>
      </c>
      <c r="K28" s="125">
        <v>0.05</v>
      </c>
    </row>
    <row r="29" spans="8:8">
      <c r="I29" s="123" t="s">
        <v>530</v>
      </c>
      <c r="J29" s="124">
        <v>9500.0</v>
      </c>
      <c r="K29" s="125">
        <v>0.09</v>
      </c>
    </row>
    <row r="30" spans="8:8">
      <c r="I30" s="123" t="s">
        <v>531</v>
      </c>
      <c r="J30" s="124">
        <v>165620.0</v>
      </c>
      <c r="K30" s="125">
        <v>0.0</v>
      </c>
    </row>
    <row r="31" spans="8:8">
      <c r="I31" s="123" t="s">
        <v>533</v>
      </c>
      <c r="J31" s="124">
        <v>9345.0</v>
      </c>
      <c r="K31" s="125">
        <v>0.04</v>
      </c>
    </row>
    <row r="32" spans="8:8">
      <c r="I32" s="123" t="s">
        <v>535</v>
      </c>
      <c r="J32" s="124">
        <v>13950.0</v>
      </c>
      <c r="K32" s="125">
        <v>0.09</v>
      </c>
    </row>
    <row r="33" spans="8:8">
      <c r="I33" s="123" t="s">
        <v>536</v>
      </c>
      <c r="J33" s="124">
        <v>12525.0</v>
      </c>
      <c r="K33" s="125">
        <v>0.1</v>
      </c>
    </row>
    <row r="34" spans="8:8">
      <c r="I34" s="123" t="s">
        <v>537</v>
      </c>
      <c r="J34" s="124">
        <v>18300.0</v>
      </c>
      <c r="K34" s="125">
        <v>0.06</v>
      </c>
    </row>
    <row r="35" spans="8:8">
      <c r="I35" s="123" t="s">
        <v>538</v>
      </c>
      <c r="J35" s="124">
        <v>5300.0</v>
      </c>
      <c r="K35" s="125">
        <v>0.02</v>
      </c>
    </row>
    <row r="36" spans="8:8">
      <c r="I36" s="123" t="s">
        <v>703</v>
      </c>
      <c r="J36" s="124">
        <f>SUM(J27:J35)</f>
        <v>7065305.0</v>
      </c>
    </row>
  </sheetData>
  <pageMargins left="0.75" right="0.75" top="1.0" bottom="1.0" header="0.511811023622047" footer="0.511811023622047"/>
  <drawing r:id="rId1"/>
</worksheet>
</file>

<file path=xl/worksheets/sheet34.xml><?xml version="1.0" encoding="utf-8"?>
<worksheet xmlns:r="http://schemas.openxmlformats.org/officeDocument/2006/relationships" xmlns="http://schemas.openxmlformats.org/spreadsheetml/2006/main">
  <dimension ref="A1:Q37"/>
  <sheetViews>
    <sheetView workbookViewId="0">
      <selection activeCell="A1" sqref="A1"/>
    </sheetView>
  </sheetViews>
  <sheetFormatPr defaultRowHeight="14.5"/>
  <cols>
    <col min="1" max="1" customWidth="1" width="11.269531" style="0"/>
    <col min="2" max="2" customWidth="1" width="18.089844" style="0"/>
    <col min="3" max="3" customWidth="1" width="10.90625" style="0"/>
    <col min="4" max="4" customWidth="1" width="11.90625" style="0"/>
    <col min="5" max="5" customWidth="1" width="12.453125" style="0"/>
    <col min="6" max="6" customWidth="1" width="21.542969" style="0"/>
    <col min="7" max="7" customWidth="1" width="11.90625" style="0"/>
    <col min="8" max="8" customWidth="1" width="3.0" style="0"/>
    <col min="9" max="9" customWidth="1" width="21.542969" style="0"/>
    <col min="10" max="10" customWidth="1" width="12.453125" style="0"/>
    <col min="11" max="11" customWidth="1" width="17.726562" style="0"/>
    <col min="12" max="12" customWidth="1" width="9.542969" style="0"/>
    <col min="13" max="13" customWidth="1" width="3.0" style="0"/>
    <col min="14" max="16" customWidth="1" width="13.0" style="0"/>
  </cols>
  <sheetData>
    <row r="1" spans="8:8" ht="25.5" customHeight="1">
      <c r="A1" s="106" t="s">
        <v>686</v>
      </c>
      <c r="B1" s="106" t="s">
        <v>687</v>
      </c>
      <c r="C1" s="106" t="s">
        <v>688</v>
      </c>
      <c r="D1" s="106" t="s">
        <v>689</v>
      </c>
      <c r="E1" s="106" t="s">
        <v>690</v>
      </c>
      <c r="F1" s="106" t="s">
        <v>691</v>
      </c>
      <c r="G1" s="106" t="s">
        <v>692</v>
      </c>
      <c r="I1" s="106" t="s">
        <v>687</v>
      </c>
      <c r="J1" s="106" t="s">
        <v>693</v>
      </c>
      <c r="K1" s="106" t="s">
        <v>694</v>
      </c>
      <c r="L1" s="106" t="s">
        <v>695</v>
      </c>
      <c r="N1" s="106" t="s">
        <v>696</v>
      </c>
      <c r="O1" s="106" t="s">
        <v>697</v>
      </c>
      <c r="P1" s="106" t="s">
        <v>698</v>
      </c>
    </row>
    <row r="2" spans="8:8">
      <c r="A2" s="122">
        <v>46234.0</v>
      </c>
      <c r="B2" s="123" t="s">
        <v>22</v>
      </c>
      <c r="C2" s="123">
        <v>1.0</v>
      </c>
      <c r="D2" s="123">
        <v>9500.0</v>
      </c>
      <c r="E2" s="124">
        <f t="shared" si="0" ref="E2:E21">C2*D2</f>
        <v>9500.0</v>
      </c>
      <c r="F2" s="123" t="s">
        <v>102</v>
      </c>
      <c r="G2" s="123" t="s">
        <v>539</v>
      </c>
      <c r="I2" s="123" t="s">
        <v>22</v>
      </c>
      <c r="J2" s="123">
        <f>C2+C9+C13</f>
        <v>19.0</v>
      </c>
      <c r="K2" s="124">
        <f>E2+E9+E13</f>
        <v>171700.0</v>
      </c>
      <c r="L2" s="125">
        <f t="shared" si="1" ref="L2:L13">K2/K$13</f>
        <v>0.06872425842242404</v>
      </c>
      <c r="N2" s="124">
        <f>K13</f>
        <v>2498390.0</v>
      </c>
      <c r="O2" s="123">
        <f>J13</f>
        <v>302.0</v>
      </c>
      <c r="P2" s="123">
        <f>COUNT(J2:J12)</f>
        <v>11.0</v>
      </c>
    </row>
    <row r="3" spans="8:8">
      <c r="A3" s="122">
        <v>46234.0</v>
      </c>
      <c r="B3" s="123" t="s">
        <v>31</v>
      </c>
      <c r="C3" s="123">
        <v>20.0</v>
      </c>
      <c r="D3" s="123">
        <v>17200.0</v>
      </c>
      <c r="E3" s="124">
        <f t="shared" si="0"/>
        <v>344000.0</v>
      </c>
      <c r="F3" s="123" t="s">
        <v>50</v>
      </c>
      <c r="G3" s="123" t="s">
        <v>540</v>
      </c>
      <c r="I3" s="123" t="s">
        <v>31</v>
      </c>
      <c r="J3" s="123">
        <f>C3+C11+C17</f>
        <v>42.0</v>
      </c>
      <c r="K3" s="124">
        <f>E3+E11+E17</f>
        <v>722800.0</v>
      </c>
      <c r="L3" s="125">
        <f t="shared" si="1"/>
        <v>0.28930631326574313</v>
      </c>
    </row>
    <row r="4" spans="8:8">
      <c r="A4" s="122">
        <v>46234.0</v>
      </c>
      <c r="B4" s="123" t="s">
        <v>33</v>
      </c>
      <c r="C4" s="123">
        <v>10.0</v>
      </c>
      <c r="D4" s="123">
        <v>15655.0</v>
      </c>
      <c r="E4" s="124">
        <f t="shared" si="0"/>
        <v>156550.0</v>
      </c>
      <c r="F4" s="123" t="s">
        <v>50</v>
      </c>
      <c r="G4" s="123" t="s">
        <v>540</v>
      </c>
      <c r="I4" s="123" t="s">
        <v>33</v>
      </c>
      <c r="J4" s="123">
        <f>C4</f>
        <v>10.0</v>
      </c>
      <c r="K4" s="124">
        <f>E4</f>
        <v>156550.0</v>
      </c>
      <c r="L4" s="125">
        <f t="shared" si="1"/>
        <v>0.06266035326750427</v>
      </c>
    </row>
    <row r="5" spans="8:8">
      <c r="A5" s="122">
        <v>46234.0</v>
      </c>
      <c r="B5" s="123" t="s">
        <v>24</v>
      </c>
      <c r="C5" s="123">
        <v>150.0</v>
      </c>
      <c r="D5" s="123">
        <v>5000.0</v>
      </c>
      <c r="E5" s="124">
        <f t="shared" si="0"/>
        <v>750000.0</v>
      </c>
      <c r="F5" s="123" t="s">
        <v>25</v>
      </c>
      <c r="G5" s="123" t="s">
        <v>541</v>
      </c>
      <c r="I5" s="123" t="s">
        <v>24</v>
      </c>
      <c r="J5" s="123">
        <f>C5+C6+C7+C8+C21</f>
        <v>194.0</v>
      </c>
      <c r="K5" s="124">
        <f>E5+E6+E7+E8+E21</f>
        <v>970300.0</v>
      </c>
      <c r="L5" s="125">
        <f t="shared" si="1"/>
        <v>0.3883701103510661</v>
      </c>
    </row>
    <row r="6" spans="8:8">
      <c r="A6" s="122">
        <v>46234.0</v>
      </c>
      <c r="B6" s="123" t="s">
        <v>24</v>
      </c>
      <c r="C6" s="123">
        <v>12.0</v>
      </c>
      <c r="D6" s="123">
        <v>5000.0</v>
      </c>
      <c r="E6" s="124">
        <f t="shared" si="0"/>
        <v>60000.0</v>
      </c>
      <c r="F6" s="123" t="s">
        <v>29</v>
      </c>
      <c r="G6" s="123" t="s">
        <v>542</v>
      </c>
      <c r="I6" s="123" t="s">
        <v>21</v>
      </c>
      <c r="J6" s="123">
        <f>C10</f>
        <v>1.0</v>
      </c>
      <c r="K6" s="124">
        <f>E10</f>
        <v>9000.0</v>
      </c>
      <c r="L6" s="125">
        <f t="shared" si="1"/>
        <v>0.0036023198940117436</v>
      </c>
    </row>
    <row r="7" spans="8:8">
      <c r="A7" s="122">
        <v>46234.0</v>
      </c>
      <c r="B7" s="123" t="s">
        <v>24</v>
      </c>
      <c r="C7" s="123">
        <v>30.0</v>
      </c>
      <c r="D7" s="123">
        <v>5000.0</v>
      </c>
      <c r="E7" s="124">
        <f t="shared" si="0"/>
        <v>150000.0</v>
      </c>
      <c r="F7" s="123" t="s">
        <v>394</v>
      </c>
      <c r="G7" s="123" t="s">
        <v>544</v>
      </c>
      <c r="I7" s="123" t="s">
        <v>34</v>
      </c>
      <c r="J7" s="123">
        <f>C12+C18</f>
        <v>8.0</v>
      </c>
      <c r="K7" s="124">
        <f>E12+E18</f>
        <v>176670.0</v>
      </c>
      <c r="L7" s="125">
        <f t="shared" si="1"/>
        <v>0.07071353951945053</v>
      </c>
    </row>
    <row r="8" spans="8:8">
      <c r="A8" s="122">
        <v>46234.0</v>
      </c>
      <c r="B8" s="123" t="s">
        <v>24</v>
      </c>
      <c r="C8" s="123">
        <v>1.0</v>
      </c>
      <c r="D8" s="123">
        <v>5300.0</v>
      </c>
      <c r="E8" s="124">
        <f t="shared" si="0"/>
        <v>5300.0</v>
      </c>
      <c r="F8" s="123" t="s">
        <v>122</v>
      </c>
      <c r="G8" s="123" t="s">
        <v>546</v>
      </c>
      <c r="I8" s="123" t="s">
        <v>45</v>
      </c>
      <c r="J8" s="123">
        <f>C14</f>
        <v>5.0</v>
      </c>
      <c r="K8" s="124">
        <f>E14</f>
        <v>66675.0</v>
      </c>
      <c r="L8" s="125">
        <f t="shared" si="1"/>
        <v>0.026687186548137</v>
      </c>
    </row>
    <row r="9" spans="8:8">
      <c r="A9" s="122">
        <v>46234.0</v>
      </c>
      <c r="B9" s="123" t="s">
        <v>22</v>
      </c>
      <c r="C9" s="123">
        <v>1.0</v>
      </c>
      <c r="D9" s="123">
        <v>9200.0</v>
      </c>
      <c r="E9" s="124">
        <f t="shared" si="0"/>
        <v>9200.0</v>
      </c>
      <c r="F9" s="123" t="s">
        <v>122</v>
      </c>
      <c r="G9" s="123" t="s">
        <v>546</v>
      </c>
      <c r="I9" s="123" t="s">
        <v>44</v>
      </c>
      <c r="J9" s="123">
        <f>C15</f>
        <v>13.0</v>
      </c>
      <c r="K9" s="124">
        <f>E15</f>
        <v>119600.0</v>
      </c>
      <c r="L9" s="125">
        <f t="shared" si="1"/>
        <v>0.04787082881375606</v>
      </c>
    </row>
    <row r="10" spans="8:8">
      <c r="A10" s="122">
        <v>46234.0</v>
      </c>
      <c r="B10" s="123" t="s">
        <v>21</v>
      </c>
      <c r="C10" s="123">
        <v>1.0</v>
      </c>
      <c r="D10" s="123">
        <v>9000.0</v>
      </c>
      <c r="E10" s="124">
        <f t="shared" si="0"/>
        <v>9000.0</v>
      </c>
      <c r="F10" s="123" t="s">
        <v>122</v>
      </c>
      <c r="G10" s="123" t="s">
        <v>546</v>
      </c>
      <c r="I10" s="123" t="s">
        <v>37</v>
      </c>
      <c r="J10" s="123">
        <f>C16</f>
        <v>8.0</v>
      </c>
      <c r="K10" s="124">
        <f>E16</f>
        <v>71040.0</v>
      </c>
      <c r="L10" s="125">
        <f t="shared" si="1"/>
        <v>0.028434311696732696</v>
      </c>
    </row>
    <row r="11" spans="8:8">
      <c r="A11" s="122">
        <v>46234.0</v>
      </c>
      <c r="B11" s="123" t="s">
        <v>31</v>
      </c>
      <c r="C11" s="123">
        <v>20.0</v>
      </c>
      <c r="D11" s="123">
        <v>17200.0</v>
      </c>
      <c r="E11" s="124">
        <f t="shared" si="0"/>
        <v>344000.0</v>
      </c>
      <c r="F11" s="123" t="s">
        <v>50</v>
      </c>
      <c r="G11" s="123" t="s">
        <v>547</v>
      </c>
      <c r="I11" s="123" t="s">
        <v>35</v>
      </c>
      <c r="J11" s="123">
        <f>C19</f>
        <v>1.0</v>
      </c>
      <c r="K11" s="124">
        <f>E19</f>
        <v>21170.0</v>
      </c>
      <c r="L11" s="125">
        <f t="shared" si="1"/>
        <v>0.008473456906247623</v>
      </c>
    </row>
    <row r="12" spans="8:8">
      <c r="A12" s="122">
        <v>46234.0</v>
      </c>
      <c r="B12" s="123" t="s">
        <v>34</v>
      </c>
      <c r="C12" s="123">
        <v>5.0</v>
      </c>
      <c r="D12" s="123">
        <v>21690.0</v>
      </c>
      <c r="E12" s="124">
        <f t="shared" si="0"/>
        <v>108450.0</v>
      </c>
      <c r="F12" s="123" t="s">
        <v>50</v>
      </c>
      <c r="G12" s="123" t="s">
        <v>547</v>
      </c>
      <c r="I12" s="123" t="s">
        <v>61</v>
      </c>
      <c r="J12" s="123">
        <f>C20</f>
        <v>1.0</v>
      </c>
      <c r="K12" s="124">
        <f>E20</f>
        <v>12885.0</v>
      </c>
      <c r="L12" s="125">
        <f t="shared" si="1"/>
        <v>0.005157321314926813</v>
      </c>
    </row>
    <row r="13" spans="8:8">
      <c r="A13" s="122">
        <v>46234.0</v>
      </c>
      <c r="B13" s="123" t="s">
        <v>22</v>
      </c>
      <c r="C13" s="123">
        <v>17.0</v>
      </c>
      <c r="D13" s="123">
        <v>9000.0</v>
      </c>
      <c r="E13" s="124">
        <f t="shared" si="0"/>
        <v>153000.0</v>
      </c>
      <c r="F13" s="123" t="s">
        <v>29</v>
      </c>
      <c r="G13" s="123" t="s">
        <v>548</v>
      </c>
      <c r="I13" s="123" t="s">
        <v>701</v>
      </c>
      <c r="J13" s="123">
        <f>SUM(J2:J12)</f>
        <v>302.0</v>
      </c>
      <c r="K13" s="124">
        <f>SUM(K2:K12)</f>
        <v>2498390.0</v>
      </c>
      <c r="L13" s="125">
        <f t="shared" si="1"/>
        <v>1.0</v>
      </c>
    </row>
    <row r="14" spans="8:8">
      <c r="A14" s="122">
        <v>46234.0</v>
      </c>
      <c r="B14" s="123" t="s">
        <v>45</v>
      </c>
      <c r="C14" s="123">
        <v>5.0</v>
      </c>
      <c r="D14" s="123">
        <v>13335.0</v>
      </c>
      <c r="E14" s="124">
        <f t="shared" si="0"/>
        <v>66675.0</v>
      </c>
      <c r="F14" s="123" t="s">
        <v>29</v>
      </c>
      <c r="G14" s="123" t="s">
        <v>548</v>
      </c>
    </row>
    <row r="15" spans="8:8" ht="25.5" customHeight="1">
      <c r="A15" s="122">
        <v>46234.0</v>
      </c>
      <c r="B15" s="123" t="s">
        <v>44</v>
      </c>
      <c r="C15" s="123">
        <v>13.0</v>
      </c>
      <c r="D15" s="123">
        <v>9200.0</v>
      </c>
      <c r="E15" s="124">
        <f t="shared" si="0"/>
        <v>119600.0</v>
      </c>
      <c r="F15" s="123" t="s">
        <v>29</v>
      </c>
      <c r="G15" s="123" t="s">
        <v>548</v>
      </c>
      <c r="I15" s="106" t="s">
        <v>691</v>
      </c>
      <c r="J15" s="106" t="s">
        <v>690</v>
      </c>
      <c r="K15" s="106" t="s">
        <v>695</v>
      </c>
      <c r="L15" s="106" t="s">
        <v>702</v>
      </c>
    </row>
    <row r="16" spans="8:8">
      <c r="A16" s="122">
        <v>46234.0</v>
      </c>
      <c r="B16" s="123" t="s">
        <v>37</v>
      </c>
      <c r="C16" s="123">
        <v>8.0</v>
      </c>
      <c r="D16" s="123">
        <v>8880.0</v>
      </c>
      <c r="E16" s="124">
        <f t="shared" si="0"/>
        <v>71040.0</v>
      </c>
      <c r="F16" s="123" t="s">
        <v>29</v>
      </c>
      <c r="G16" s="123" t="s">
        <v>548</v>
      </c>
      <c r="I16" s="123" t="s">
        <v>102</v>
      </c>
      <c r="J16" s="124">
        <f>E2</f>
        <v>9500.0</v>
      </c>
      <c r="K16" s="125">
        <f t="shared" si="2" ref="K16:K24">J16/J$24</f>
        <v>0.0038024487770123958</v>
      </c>
      <c r="L16" s="125">
        <v>0.0887</v>
      </c>
    </row>
    <row r="17" spans="8:8">
      <c r="A17" s="122">
        <v>46234.0</v>
      </c>
      <c r="B17" s="123" t="s">
        <v>31</v>
      </c>
      <c r="C17" s="123">
        <v>2.0</v>
      </c>
      <c r="D17" s="123">
        <v>17400.0</v>
      </c>
      <c r="E17" s="124">
        <f t="shared" si="0"/>
        <v>34800.0</v>
      </c>
      <c r="F17" s="123" t="s">
        <v>78</v>
      </c>
      <c r="G17" s="123" t="s">
        <v>552</v>
      </c>
      <c r="I17" s="123" t="s">
        <v>50</v>
      </c>
      <c r="J17" s="124">
        <f>E3+E4+E11+E12</f>
        <v>953000.0</v>
      </c>
      <c r="K17" s="125">
        <f t="shared" si="2"/>
        <v>0.3814456509992435</v>
      </c>
      <c r="L17" s="125">
        <v>0.0057</v>
      </c>
    </row>
    <row r="18" spans="8:8">
      <c r="A18" s="122">
        <v>46234.0</v>
      </c>
      <c r="B18" s="123" t="s">
        <v>34</v>
      </c>
      <c r="C18" s="123">
        <v>3.0</v>
      </c>
      <c r="D18" s="123">
        <v>22740.0</v>
      </c>
      <c r="E18" s="124">
        <f t="shared" si="0"/>
        <v>68220.0</v>
      </c>
      <c r="F18" s="123" t="s">
        <v>78</v>
      </c>
      <c r="G18" s="123" t="s">
        <v>552</v>
      </c>
      <c r="I18" s="123" t="s">
        <v>25</v>
      </c>
      <c r="J18" s="124">
        <f>E5</f>
        <v>750000.0</v>
      </c>
      <c r="K18" s="125">
        <f t="shared" si="2"/>
        <v>0.30019332450097863</v>
      </c>
      <c r="L18" s="125">
        <v>-0.04</v>
      </c>
    </row>
    <row r="19" spans="8:8">
      <c r="A19" s="122">
        <v>46234.0</v>
      </c>
      <c r="B19" s="123" t="s">
        <v>35</v>
      </c>
      <c r="C19" s="123">
        <v>1.0</v>
      </c>
      <c r="D19" s="123">
        <v>21170.0</v>
      </c>
      <c r="E19" s="124">
        <f t="shared" si="0"/>
        <v>21170.0</v>
      </c>
      <c r="F19" s="123" t="s">
        <v>78</v>
      </c>
      <c r="G19" s="123" t="s">
        <v>552</v>
      </c>
      <c r="I19" s="123" t="s">
        <v>29</v>
      </c>
      <c r="J19" s="124">
        <f>E6+E13+E14+E15+E16</f>
        <v>470315.0</v>
      </c>
      <c r="K19" s="125">
        <f t="shared" si="2"/>
        <v>0.18824723121690368</v>
      </c>
      <c r="L19" s="125">
        <v>0.0591</v>
      </c>
    </row>
    <row r="20" spans="8:8">
      <c r="A20" s="122">
        <v>46234.0</v>
      </c>
      <c r="B20" s="123" t="s">
        <v>61</v>
      </c>
      <c r="C20" s="123">
        <v>1.0</v>
      </c>
      <c r="D20" s="123">
        <v>12885.0</v>
      </c>
      <c r="E20" s="124">
        <f t="shared" si="0"/>
        <v>12885.0</v>
      </c>
      <c r="F20" s="123" t="s">
        <v>78</v>
      </c>
      <c r="G20" s="123" t="s">
        <v>552</v>
      </c>
      <c r="I20" s="123" t="s">
        <v>394</v>
      </c>
      <c r="J20" s="124">
        <f>E7</f>
        <v>150000.0</v>
      </c>
      <c r="K20" s="125">
        <f t="shared" si="2"/>
        <v>0.06003866490019573</v>
      </c>
      <c r="L20" s="125">
        <v>-0.04</v>
      </c>
    </row>
    <row r="21" spans="8:8">
      <c r="A21" s="122">
        <v>46234.0</v>
      </c>
      <c r="B21" s="123" t="s">
        <v>24</v>
      </c>
      <c r="C21" s="123">
        <v>1.0</v>
      </c>
      <c r="D21" s="123">
        <v>5000.0</v>
      </c>
      <c r="E21" s="124">
        <f t="shared" si="0"/>
        <v>5000.0</v>
      </c>
      <c r="F21" s="123" t="s">
        <v>104</v>
      </c>
      <c r="G21" s="123" t="s">
        <v>553</v>
      </c>
      <c r="I21" s="123" t="s">
        <v>122</v>
      </c>
      <c r="J21" s="124">
        <f>E8+E9+E10</f>
        <v>23500.0</v>
      </c>
      <c r="K21" s="125">
        <f t="shared" si="2"/>
        <v>0.009406057501030664</v>
      </c>
      <c r="L21" s="125">
        <v>0.0649</v>
      </c>
    </row>
    <row r="22" spans="8:8">
      <c r="B22" s="123" t="s">
        <v>701</v>
      </c>
      <c r="C22" s="123">
        <f>SUM(C2:C21)</f>
        <v>302.0</v>
      </c>
      <c r="D22" s="123">
        <f>SUM(D2:D21)</f>
        <v>239355.0</v>
      </c>
      <c r="E22" s="124">
        <f>SUM(E2:E21)</f>
        <v>2498390.0</v>
      </c>
      <c r="I22" s="123" t="s">
        <v>78</v>
      </c>
      <c r="J22" s="124">
        <f>E17+E18+E19+E20</f>
        <v>137075.0</v>
      </c>
      <c r="K22" s="125">
        <f t="shared" si="2"/>
        <v>0.054865333274628864</v>
      </c>
      <c r="L22" s="125">
        <v>0.0406</v>
      </c>
    </row>
    <row r="23" spans="8:8">
      <c r="I23" s="123" t="s">
        <v>104</v>
      </c>
      <c r="J23" s="124">
        <f>E21</f>
        <v>5000.0</v>
      </c>
      <c r="K23" s="125">
        <f t="shared" si="2"/>
        <v>0.0020012888300065244</v>
      </c>
      <c r="L23" s="125">
        <v>-0.04</v>
      </c>
    </row>
    <row r="24" spans="8:8">
      <c r="I24" s="123" t="s">
        <v>703</v>
      </c>
      <c r="J24" s="124">
        <f>SUM(J16:J23)</f>
        <v>2498390.0</v>
      </c>
      <c r="K24" s="125">
        <f t="shared" si="2"/>
        <v>1.0</v>
      </c>
    </row>
    <row r="26" spans="8:8" ht="25.5" customHeight="1">
      <c r="I26" s="106" t="s">
        <v>692</v>
      </c>
      <c r="J26" s="106" t="s">
        <v>690</v>
      </c>
      <c r="K26" s="106" t="s">
        <v>702</v>
      </c>
    </row>
    <row r="27" spans="8:8">
      <c r="I27" s="123" t="s">
        <v>539</v>
      </c>
      <c r="J27" s="124">
        <v>9500.0</v>
      </c>
      <c r="K27" s="125">
        <v>0.09</v>
      </c>
    </row>
    <row r="28" spans="8:8">
      <c r="I28" s="123" t="s">
        <v>540</v>
      </c>
      <c r="J28" s="124">
        <v>500550.0</v>
      </c>
      <c r="K28" s="125">
        <v>0.01</v>
      </c>
    </row>
    <row r="29" spans="8:8">
      <c r="I29" s="123" t="s">
        <v>541</v>
      </c>
      <c r="J29" s="124">
        <v>750000.0</v>
      </c>
      <c r="K29" s="125">
        <v>-0.04</v>
      </c>
    </row>
    <row r="30" spans="8:8">
      <c r="I30" s="123" t="s">
        <v>542</v>
      </c>
      <c r="J30" s="124">
        <v>60000.0</v>
      </c>
      <c r="K30" s="125">
        <v>-0.04</v>
      </c>
    </row>
    <row r="31" spans="8:8">
      <c r="I31" s="123" t="s">
        <v>544</v>
      </c>
      <c r="J31" s="124">
        <v>150000.0</v>
      </c>
      <c r="K31" s="125">
        <v>-0.04</v>
      </c>
    </row>
    <row r="32" spans="8:8">
      <c r="I32" s="123" t="s">
        <v>546</v>
      </c>
      <c r="J32" s="124">
        <v>23500.0</v>
      </c>
      <c r="K32" s="125">
        <v>0.06</v>
      </c>
    </row>
    <row r="33" spans="8:8">
      <c r="I33" s="123" t="s">
        <v>547</v>
      </c>
      <c r="J33" s="124">
        <v>452450.0</v>
      </c>
      <c r="K33" s="125">
        <v>0.01</v>
      </c>
    </row>
    <row r="34" spans="8:8">
      <c r="I34" s="123" t="s">
        <v>548</v>
      </c>
      <c r="J34" s="124">
        <v>488715.0</v>
      </c>
      <c r="K34" s="125">
        <v>0.07</v>
      </c>
    </row>
    <row r="35" spans="8:8">
      <c r="I35" s="123" t="s">
        <v>552</v>
      </c>
      <c r="J35" s="124">
        <v>137075.0</v>
      </c>
      <c r="K35" s="125">
        <v>0.04</v>
      </c>
    </row>
    <row r="36" spans="8:8">
      <c r="I36" s="123" t="s">
        <v>553</v>
      </c>
      <c r="J36" s="124">
        <v>5000.0</v>
      </c>
      <c r="K36" s="125">
        <v>-0.04</v>
      </c>
    </row>
    <row r="37" spans="8:8">
      <c r="I37" s="123" t="s">
        <v>703</v>
      </c>
      <c r="J37" s="124">
        <f>SUM(J27:J36)</f>
        <v>2576790.0</v>
      </c>
    </row>
  </sheetData>
  <pageMargins left="0.75" right="0.75" top="1.0" bottom="1.0" header="0.511811023622047" footer="0.511811023622047"/>
  <drawing r:id="rId1"/>
</worksheet>
</file>

<file path=xl/worksheets/sheet35.xml><?xml version="1.0" encoding="utf-8"?>
<worksheet xmlns:r="http://schemas.openxmlformats.org/officeDocument/2006/relationships" xmlns="http://schemas.openxmlformats.org/spreadsheetml/2006/main">
  <dimension ref="A1:Q44"/>
  <sheetViews>
    <sheetView workbookViewId="0">
      <selection activeCell="A3" sqref="A3"/>
    </sheetView>
  </sheetViews>
  <sheetFormatPr defaultRowHeight="14.5"/>
  <cols>
    <col min="1" max="1" customWidth="1" width="21.542969" style="60"/>
    <col min="2" max="2" customWidth="1" width="28.453125" style="60"/>
    <col min="3" max="3" customWidth="1" width="15.0" style="60"/>
    <col min="4" max="4" customWidth="1" width="19.089844" style="60"/>
    <col min="5" max="5" customWidth="1" width="10.542969" style="60"/>
    <col min="6" max="6" customWidth="1" width="25.179688" style="60"/>
    <col min="7" max="7" customWidth="1" width="16.269531" style="60"/>
    <col min="8" max="8" customWidth="1" width="16.726562" style="60"/>
    <col min="9" max="9" customWidth="1" width="21.269531" style="60"/>
    <col min="10" max="10" customWidth="1" width="5.90625" style="60"/>
    <col min="11" max="11" customWidth="1" width="27.0" style="60"/>
    <col min="12" max="12" customWidth="1" width="46.54297" style="60"/>
    <col min="13" max="13" customWidth="1" width="3.0" style="60"/>
    <col min="14" max="16" customWidth="1" width="13.0" style="60"/>
  </cols>
  <sheetData>
    <row r="2" spans="8:8" ht="14.25" customHeight="1">
      <c r="A2" s="137"/>
    </row>
    <row r="3" spans="8:8" ht="15.0" customHeight="1">
      <c r="A3" s="138" t="s">
        <v>712</v>
      </c>
    </row>
    <row r="4" spans="8:8" ht="30.0" customHeight="1">
      <c r="A4" s="106" t="s">
        <v>713</v>
      </c>
      <c r="B4" s="106" t="s">
        <v>714</v>
      </c>
      <c r="C4" s="106" t="s">
        <v>715</v>
      </c>
      <c r="D4" s="106" t="s">
        <v>716</v>
      </c>
      <c r="E4" s="106" t="s">
        <v>717</v>
      </c>
      <c r="F4" s="106" t="s">
        <v>718</v>
      </c>
      <c r="G4" s="106" t="s">
        <v>719</v>
      </c>
      <c r="H4" s="106" t="s">
        <v>720</v>
      </c>
      <c r="I4" s="106" t="s">
        <v>721</v>
      </c>
      <c r="J4" s="106" t="s">
        <v>722</v>
      </c>
      <c r="K4" s="106" t="s">
        <v>723</v>
      </c>
      <c r="L4" s="106" t="s">
        <v>724</v>
      </c>
    </row>
    <row r="5" spans="8:8" ht="14.25" customHeight="1">
      <c r="A5" s="60" t="s">
        <v>44</v>
      </c>
      <c r="B5" s="60" t="s">
        <v>565</v>
      </c>
      <c r="C5" s="78">
        <v>8990.0</v>
      </c>
      <c r="D5" s="78">
        <v>9335.0</v>
      </c>
      <c r="E5" s="78">
        <v>9685.0</v>
      </c>
      <c r="F5" s="78">
        <v>9066.0</v>
      </c>
      <c r="G5" s="78">
        <v>8990.0</v>
      </c>
      <c r="H5" s="78">
        <v>9500.0</v>
      </c>
      <c r="I5" s="78">
        <v>76.0</v>
      </c>
      <c r="J5" s="79">
        <v>0.0085</v>
      </c>
      <c r="K5" s="60" t="s">
        <v>725</v>
      </c>
      <c r="L5" s="60" t="s">
        <v>726</v>
      </c>
    </row>
    <row r="6" spans="8:8" ht="14.25" customHeight="1">
      <c r="A6" s="60" t="s">
        <v>33</v>
      </c>
      <c r="B6" s="60" t="s">
        <v>567</v>
      </c>
      <c r="C6" s="78">
        <v>15555.0</v>
      </c>
      <c r="D6" s="78">
        <v>16145.0</v>
      </c>
      <c r="E6" s="78">
        <v>16735.0</v>
      </c>
      <c r="F6" s="78">
        <v>15673.0</v>
      </c>
      <c r="G6" s="78">
        <v>15655.0</v>
      </c>
      <c r="H6" s="78">
        <v>16145.0</v>
      </c>
      <c r="I6" s="78">
        <v>118.0</v>
      </c>
      <c r="J6" s="79">
        <v>0.0076</v>
      </c>
      <c r="K6" s="60" t="s">
        <v>725</v>
      </c>
      <c r="L6" s="60" t="s">
        <v>727</v>
      </c>
    </row>
    <row r="7" spans="8:8" ht="14.25" customHeight="1">
      <c r="A7" s="60" t="s">
        <v>56</v>
      </c>
      <c r="B7" s="60" t="s">
        <v>652</v>
      </c>
      <c r="C7" s="78">
        <v>22250.0</v>
      </c>
      <c r="D7" s="78">
        <v>24235.0</v>
      </c>
      <c r="E7" s="78">
        <v>28145.0</v>
      </c>
      <c r="F7" s="78">
        <v>24210.0</v>
      </c>
      <c r="G7" s="78">
        <v>24185.0</v>
      </c>
      <c r="H7" s="78">
        <v>24235.0</v>
      </c>
      <c r="I7" s="78">
        <v>1960.0</v>
      </c>
      <c r="J7" s="79">
        <v>0.0881</v>
      </c>
      <c r="K7" s="60" t="s">
        <v>725</v>
      </c>
      <c r="L7" s="60" t="s">
        <v>727</v>
      </c>
    </row>
    <row r="8" spans="8:8" ht="14.25" customHeight="1">
      <c r="A8" s="60" t="s">
        <v>62</v>
      </c>
      <c r="B8" s="60" t="s">
        <v>645</v>
      </c>
      <c r="C8" s="78">
        <v>19305.0</v>
      </c>
      <c r="D8" s="78">
        <v>20655.0</v>
      </c>
      <c r="E8" s="78">
        <v>22040.0</v>
      </c>
      <c r="F8" s="78">
        <v>20655.0</v>
      </c>
      <c r="G8" s="78">
        <v>20655.0</v>
      </c>
      <c r="H8" s="78">
        <v>20655.0</v>
      </c>
      <c r="I8" s="78">
        <v>1350.0</v>
      </c>
      <c r="J8" s="79">
        <v>0.0699</v>
      </c>
      <c r="K8" s="60" t="s">
        <v>725</v>
      </c>
      <c r="L8" s="60" t="s">
        <v>727</v>
      </c>
    </row>
    <row r="9" spans="8:8" ht="14.25" customHeight="1">
      <c r="A9" s="60" t="s">
        <v>69</v>
      </c>
      <c r="B9" s="60" t="s">
        <v>614</v>
      </c>
      <c r="C9" s="78">
        <v>13780.0</v>
      </c>
      <c r="D9" s="78">
        <v>14450.0</v>
      </c>
      <c r="E9" s="78">
        <v>15415.0</v>
      </c>
      <c r="F9" s="78">
        <v>14450.0</v>
      </c>
      <c r="G9" s="78">
        <v>14450.0</v>
      </c>
      <c r="H9" s="78">
        <v>14450.0</v>
      </c>
      <c r="I9" s="78">
        <v>670.0</v>
      </c>
      <c r="J9" s="79">
        <v>0.0486</v>
      </c>
      <c r="K9" s="60" t="s">
        <v>725</v>
      </c>
      <c r="L9" s="60" t="s">
        <v>728</v>
      </c>
    </row>
    <row r="10" spans="8:8" ht="14.25" customHeight="1">
      <c r="A10" s="60" t="s">
        <v>224</v>
      </c>
      <c r="B10" s="60" t="s">
        <v>615</v>
      </c>
      <c r="C10" s="78">
        <v>14075.0</v>
      </c>
      <c r="D10" s="78">
        <v>14430.0</v>
      </c>
      <c r="E10" s="78">
        <v>15015.0</v>
      </c>
      <c r="F10" s="78">
        <v>14430.0</v>
      </c>
      <c r="G10" s="78">
        <v>14430.0</v>
      </c>
      <c r="H10" s="78">
        <v>14430.0</v>
      </c>
      <c r="I10" s="78">
        <v>355.0</v>
      </c>
      <c r="J10" s="79">
        <v>0.0252</v>
      </c>
      <c r="K10" s="60" t="s">
        <v>725</v>
      </c>
      <c r="L10" s="60" t="s">
        <v>728</v>
      </c>
    </row>
    <row r="11" spans="8:8" ht="14.25" customHeight="1">
      <c r="A11" s="60" t="s">
        <v>291</v>
      </c>
      <c r="B11" s="60" t="s">
        <v>660</v>
      </c>
      <c r="C11" s="78">
        <v>10410.0</v>
      </c>
      <c r="D11" s="78">
        <v>10860.0</v>
      </c>
      <c r="E11" s="78">
        <v>11320.0</v>
      </c>
      <c r="F11" s="78">
        <v>11320.0</v>
      </c>
      <c r="G11" s="78">
        <v>11320.0</v>
      </c>
      <c r="H11" s="78">
        <v>11320.0</v>
      </c>
      <c r="I11" s="78">
        <v>910.0</v>
      </c>
      <c r="J11" s="79">
        <v>0.0874</v>
      </c>
      <c r="K11" s="60" t="s">
        <v>725</v>
      </c>
      <c r="L11" s="60" t="s">
        <v>726</v>
      </c>
    </row>
    <row r="12" spans="8:8" ht="14.25" customHeight="1">
      <c r="A12" s="60" t="s">
        <v>61</v>
      </c>
      <c r="B12" s="60" t="s">
        <v>639</v>
      </c>
      <c r="C12" s="78">
        <v>12120.0</v>
      </c>
      <c r="D12" s="78">
        <v>12885.0</v>
      </c>
      <c r="E12" s="78">
        <v>13420.0</v>
      </c>
      <c r="F12" s="78">
        <v>12885.0</v>
      </c>
      <c r="G12" s="78">
        <v>12885.0</v>
      </c>
      <c r="H12" s="78">
        <v>12885.0</v>
      </c>
      <c r="I12" s="78">
        <v>765.0</v>
      </c>
      <c r="J12" s="79">
        <v>0.0631</v>
      </c>
      <c r="K12" s="60" t="s">
        <v>725</v>
      </c>
      <c r="L12" s="60" t="s">
        <v>728</v>
      </c>
    </row>
    <row r="13" spans="8:8" ht="14.25" customHeight="1">
      <c r="A13" s="60" t="s">
        <v>235</v>
      </c>
      <c r="B13" s="60" t="s">
        <v>665</v>
      </c>
      <c r="C13" s="78">
        <v>9280.0</v>
      </c>
      <c r="D13" s="78">
        <v>9710.0</v>
      </c>
      <c r="E13" s="78">
        <v>10150.0</v>
      </c>
      <c r="F13" s="78">
        <v>9701.0</v>
      </c>
      <c r="G13" s="78">
        <v>9700.0</v>
      </c>
      <c r="H13" s="78">
        <v>9710.0</v>
      </c>
      <c r="I13" s="78">
        <v>421.0</v>
      </c>
      <c r="J13" s="79">
        <v>0.0454</v>
      </c>
      <c r="K13" s="60" t="s">
        <v>725</v>
      </c>
      <c r="L13" s="60" t="s">
        <v>729</v>
      </c>
    </row>
    <row r="14" spans="8:8" ht="14.25" customHeight="1">
      <c r="A14" s="60" t="s">
        <v>190</v>
      </c>
      <c r="B14" s="60" t="s">
        <v>648</v>
      </c>
      <c r="C14" s="78">
        <v>25930.0</v>
      </c>
      <c r="D14" s="78">
        <v>28445.0</v>
      </c>
      <c r="E14" s="78">
        <v>30935.0</v>
      </c>
      <c r="F14" s="78">
        <v>31324.0</v>
      </c>
      <c r="G14" s="78">
        <v>28445.0</v>
      </c>
      <c r="H14" s="78">
        <v>39000.0</v>
      </c>
      <c r="I14" s="78">
        <v>5394.0</v>
      </c>
      <c r="J14" s="79">
        <v>0.208</v>
      </c>
      <c r="K14" s="139" t="s">
        <v>730</v>
      </c>
      <c r="L14" s="60" t="s">
        <v>731</v>
      </c>
    </row>
    <row r="15" spans="8:8" ht="14.25" customHeight="1">
      <c r="A15" s="60" t="s">
        <v>87</v>
      </c>
      <c r="B15" s="60" t="s">
        <v>568</v>
      </c>
      <c r="C15" s="78">
        <v>20440.0</v>
      </c>
      <c r="D15" s="78">
        <v>21485.0</v>
      </c>
      <c r="E15" s="78">
        <v>22565.0</v>
      </c>
      <c r="F15" s="78">
        <v>21452.0</v>
      </c>
      <c r="G15" s="78">
        <v>20540.0</v>
      </c>
      <c r="H15" s="78">
        <v>22565.0</v>
      </c>
      <c r="I15" s="78">
        <v>1012.0</v>
      </c>
      <c r="J15" s="79">
        <v>0.0495</v>
      </c>
      <c r="K15" s="60" t="s">
        <v>725</v>
      </c>
      <c r="L15" s="60" t="s">
        <v>728</v>
      </c>
    </row>
    <row r="16" spans="8:8" ht="14.25" customHeight="1">
      <c r="A16" s="60" t="s">
        <v>34</v>
      </c>
      <c r="B16" s="60" t="s">
        <v>570</v>
      </c>
      <c r="C16" s="78">
        <v>21595.0</v>
      </c>
      <c r="D16" s="78">
        <v>22740.0</v>
      </c>
      <c r="E16" s="78">
        <v>23895.0</v>
      </c>
      <c r="F16" s="78">
        <v>22289.0</v>
      </c>
      <c r="G16" s="78">
        <v>21690.0</v>
      </c>
      <c r="H16" s="78">
        <v>22740.0</v>
      </c>
      <c r="I16" s="78">
        <v>694.0</v>
      </c>
      <c r="J16" s="79">
        <v>0.0321</v>
      </c>
      <c r="K16" s="60" t="s">
        <v>725</v>
      </c>
      <c r="L16" s="60" t="s">
        <v>727</v>
      </c>
    </row>
    <row r="17" spans="8:8" ht="14.25" customHeight="1">
      <c r="A17" s="60" t="s">
        <v>150</v>
      </c>
      <c r="B17" s="60" t="s">
        <v>634</v>
      </c>
      <c r="C17" s="78">
        <v>9925.0</v>
      </c>
      <c r="D17" s="78">
        <v>10315.0</v>
      </c>
      <c r="E17" s="78">
        <v>10705.0</v>
      </c>
      <c r="F17" s="78">
        <v>10257.0</v>
      </c>
      <c r="G17" s="78">
        <v>10125.0</v>
      </c>
      <c r="H17" s="78">
        <v>10315.0</v>
      </c>
      <c r="I17" s="78">
        <v>332.0</v>
      </c>
      <c r="J17" s="79">
        <v>0.0335</v>
      </c>
      <c r="K17" s="60" t="s">
        <v>725</v>
      </c>
      <c r="L17" s="60" t="s">
        <v>728</v>
      </c>
    </row>
    <row r="18" spans="8:8" ht="14.25" customHeight="1">
      <c r="A18" s="60" t="s">
        <v>70</v>
      </c>
      <c r="B18" s="60" t="s">
        <v>636</v>
      </c>
      <c r="C18" s="78">
        <v>12855.0</v>
      </c>
      <c r="D18" s="78">
        <v>13460.0</v>
      </c>
      <c r="E18" s="78">
        <v>14085.0</v>
      </c>
      <c r="F18" s="78">
        <v>13323.0</v>
      </c>
      <c r="G18" s="78">
        <v>13100.0</v>
      </c>
      <c r="H18" s="78">
        <v>13460.0</v>
      </c>
      <c r="I18" s="78">
        <v>468.0</v>
      </c>
      <c r="J18" s="79">
        <v>0.0364</v>
      </c>
      <c r="K18" s="60" t="s">
        <v>725</v>
      </c>
      <c r="L18" s="60" t="s">
        <v>732</v>
      </c>
    </row>
    <row r="19" spans="8:8" ht="14.25" customHeight="1">
      <c r="A19" s="60" t="s">
        <v>22</v>
      </c>
      <c r="B19" s="60" t="s">
        <v>571</v>
      </c>
      <c r="C19" s="78">
        <v>8990.0</v>
      </c>
      <c r="D19" s="78">
        <v>9335.0</v>
      </c>
      <c r="E19" s="78">
        <v>9685.0</v>
      </c>
      <c r="F19" s="78">
        <v>8787.0</v>
      </c>
      <c r="G19" s="78">
        <v>8500.0</v>
      </c>
      <c r="H19" s="78">
        <v>9500.0</v>
      </c>
      <c r="I19" s="78">
        <v>-203.0</v>
      </c>
      <c r="J19" s="79">
        <v>-0.0226</v>
      </c>
      <c r="K19" s="140" t="s">
        <v>733</v>
      </c>
      <c r="L19" s="60" t="s">
        <v>726</v>
      </c>
    </row>
    <row r="20" spans="8:8" ht="14.25" customHeight="1">
      <c r="A20" s="60" t="s">
        <v>141</v>
      </c>
      <c r="B20" s="60" t="s">
        <v>573</v>
      </c>
      <c r="C20" s="78">
        <v>13520.0</v>
      </c>
      <c r="D20" s="78">
        <v>14145.0</v>
      </c>
      <c r="E20" s="78">
        <v>14765.0</v>
      </c>
      <c r="F20" s="78">
        <v>14145.0</v>
      </c>
      <c r="G20" s="78">
        <v>14145.0</v>
      </c>
      <c r="H20" s="78">
        <v>14145.0</v>
      </c>
      <c r="I20" s="78">
        <v>625.0</v>
      </c>
      <c r="J20" s="79">
        <v>0.0462</v>
      </c>
      <c r="K20" s="60" t="s">
        <v>725</v>
      </c>
      <c r="L20" s="60" t="s">
        <v>726</v>
      </c>
    </row>
    <row r="21" spans="8:8" ht="14.25" customHeight="1">
      <c r="A21" s="60" t="s">
        <v>32</v>
      </c>
      <c r="B21" s="60" t="s">
        <v>32</v>
      </c>
      <c r="C21" s="78">
        <v>15555.0</v>
      </c>
      <c r="D21" s="78">
        <v>16145.0</v>
      </c>
      <c r="E21" s="78">
        <v>16735.0</v>
      </c>
      <c r="F21" s="78">
        <v>15748.0</v>
      </c>
      <c r="G21" s="78">
        <v>15555.0</v>
      </c>
      <c r="H21" s="78">
        <v>16145.0</v>
      </c>
      <c r="I21" s="78">
        <v>193.0</v>
      </c>
      <c r="J21" s="79">
        <v>0.0124</v>
      </c>
      <c r="K21" s="60" t="s">
        <v>725</v>
      </c>
      <c r="L21" s="60" t="s">
        <v>729</v>
      </c>
    </row>
    <row r="22" spans="8:8" ht="14.25" customHeight="1">
      <c r="A22" s="60" t="s">
        <v>65</v>
      </c>
      <c r="B22" s="60" t="s">
        <v>575</v>
      </c>
      <c r="C22" s="78">
        <v>11315.0</v>
      </c>
      <c r="D22" s="78">
        <v>11910.0</v>
      </c>
      <c r="E22" s="78">
        <v>12525.0</v>
      </c>
      <c r="F22" s="78">
        <v>11568.0</v>
      </c>
      <c r="G22" s="78">
        <v>11315.0</v>
      </c>
      <c r="H22" s="78">
        <v>12525.0</v>
      </c>
      <c r="I22" s="78">
        <v>253.0</v>
      </c>
      <c r="J22" s="79">
        <v>0.0224</v>
      </c>
      <c r="K22" s="60" t="s">
        <v>725</v>
      </c>
      <c r="L22" s="60" t="s">
        <v>727</v>
      </c>
    </row>
    <row r="23" spans="8:8" ht="14.25" customHeight="1">
      <c r="A23" s="60" t="s">
        <v>77</v>
      </c>
      <c r="B23" s="60" t="s">
        <v>579</v>
      </c>
      <c r="C23" s="78">
        <v>17265.0</v>
      </c>
      <c r="D23" s="78">
        <v>17840.0</v>
      </c>
      <c r="E23" s="78">
        <v>18395.0</v>
      </c>
      <c r="F23" s="78">
        <v>17840.0</v>
      </c>
      <c r="G23" s="78">
        <v>17840.0</v>
      </c>
      <c r="H23" s="78">
        <v>17840.0</v>
      </c>
      <c r="I23" s="78">
        <v>575.0</v>
      </c>
      <c r="J23" s="79">
        <v>0.0333</v>
      </c>
      <c r="K23" s="60" t="s">
        <v>725</v>
      </c>
      <c r="L23" s="60" t="s">
        <v>726</v>
      </c>
    </row>
    <row r="24" spans="8:8" ht="14.25" customHeight="1">
      <c r="A24" s="60" t="s">
        <v>45</v>
      </c>
      <c r="B24" s="60" t="s">
        <v>578</v>
      </c>
      <c r="C24" s="78">
        <v>12730.0</v>
      </c>
      <c r="D24" s="78">
        <v>13332.0</v>
      </c>
      <c r="E24" s="78">
        <v>13932.0</v>
      </c>
      <c r="F24" s="78">
        <v>12985.0</v>
      </c>
      <c r="G24" s="78">
        <v>12730.0</v>
      </c>
      <c r="H24" s="78">
        <v>13950.0</v>
      </c>
      <c r="I24" s="78">
        <v>255.0</v>
      </c>
      <c r="J24" s="79">
        <v>0.02</v>
      </c>
      <c r="K24" s="60" t="s">
        <v>725</v>
      </c>
      <c r="L24" s="60" t="s">
        <v>726</v>
      </c>
    </row>
    <row r="25" spans="8:8" ht="14.25" customHeight="1">
      <c r="A25" s="60" t="s">
        <v>178</v>
      </c>
      <c r="B25" s="60" t="s">
        <v>178</v>
      </c>
      <c r="C25" s="78">
        <v>22775.0</v>
      </c>
      <c r="D25" s="78">
        <v>23770.0</v>
      </c>
      <c r="E25" s="78">
        <v>24795.0</v>
      </c>
      <c r="F25" s="78">
        <v>23770.0</v>
      </c>
      <c r="G25" s="78">
        <v>23770.0</v>
      </c>
      <c r="H25" s="78">
        <v>23770.0</v>
      </c>
      <c r="I25" s="78">
        <v>995.0</v>
      </c>
      <c r="J25" s="79">
        <v>0.0437</v>
      </c>
      <c r="K25" s="60" t="s">
        <v>725</v>
      </c>
      <c r="L25" s="60" t="s">
        <v>729</v>
      </c>
    </row>
    <row r="26" spans="8:8" ht="14.25" customHeight="1">
      <c r="A26" s="60" t="s">
        <v>31</v>
      </c>
      <c r="B26" s="60" t="s">
        <v>582</v>
      </c>
      <c r="C26" s="78">
        <v>17100.0</v>
      </c>
      <c r="D26" s="78">
        <v>17845.0</v>
      </c>
      <c r="E26" s="78">
        <v>18615.0</v>
      </c>
      <c r="F26" s="78">
        <v>17261.0</v>
      </c>
      <c r="G26" s="78">
        <v>17100.0</v>
      </c>
      <c r="H26" s="78">
        <v>17845.0</v>
      </c>
      <c r="I26" s="78">
        <v>161.0</v>
      </c>
      <c r="J26" s="79">
        <v>0.0094</v>
      </c>
      <c r="K26" s="60" t="s">
        <v>725</v>
      </c>
      <c r="L26" s="60" t="s">
        <v>728</v>
      </c>
    </row>
    <row r="27" spans="8:8" ht="14.25" customHeight="1">
      <c r="A27" s="60" t="s">
        <v>71</v>
      </c>
      <c r="B27" s="60" t="s">
        <v>601</v>
      </c>
      <c r="C27" s="78">
        <v>15375.0</v>
      </c>
      <c r="D27" s="78">
        <v>15945.0</v>
      </c>
      <c r="E27" s="78">
        <v>16535.0</v>
      </c>
      <c r="F27" s="78">
        <v>15945.0</v>
      </c>
      <c r="G27" s="78">
        <v>15945.0</v>
      </c>
      <c r="H27" s="78">
        <v>15945.0</v>
      </c>
      <c r="I27" s="78">
        <v>570.0</v>
      </c>
      <c r="J27" s="79">
        <v>0.0371</v>
      </c>
      <c r="K27" s="60" t="s">
        <v>725</v>
      </c>
      <c r="L27" s="60" t="s">
        <v>727</v>
      </c>
    </row>
    <row r="28" spans="8:8" ht="14.25" customHeight="1">
      <c r="A28" s="60" t="s">
        <v>100</v>
      </c>
      <c r="B28" s="60" t="s">
        <v>602</v>
      </c>
      <c r="C28" s="78">
        <v>10915.0</v>
      </c>
      <c r="D28" s="78">
        <v>11480.0</v>
      </c>
      <c r="E28" s="78">
        <v>12045.0</v>
      </c>
      <c r="F28" s="78">
        <v>11194.0</v>
      </c>
      <c r="G28" s="78">
        <v>10915.0</v>
      </c>
      <c r="H28" s="78">
        <v>11480.0</v>
      </c>
      <c r="I28" s="78">
        <v>279.0</v>
      </c>
      <c r="J28" s="79">
        <v>0.0256</v>
      </c>
      <c r="K28" s="60" t="s">
        <v>725</v>
      </c>
      <c r="L28" s="60" t="s">
        <v>726</v>
      </c>
    </row>
    <row r="29" spans="8:8" ht="14.25" customHeight="1">
      <c r="A29" s="60" t="s">
        <v>35</v>
      </c>
      <c r="B29" s="60" t="s">
        <v>35</v>
      </c>
      <c r="C29" s="78">
        <v>20405.0</v>
      </c>
      <c r="D29" s="78">
        <v>21170.0</v>
      </c>
      <c r="E29" s="78">
        <v>21830.0</v>
      </c>
      <c r="F29" s="78">
        <v>21170.0</v>
      </c>
      <c r="G29" s="78">
        <v>21170.0</v>
      </c>
      <c r="H29" s="78">
        <v>21170.0</v>
      </c>
      <c r="I29" s="78">
        <v>765.0</v>
      </c>
      <c r="J29" s="79">
        <v>0.0375</v>
      </c>
      <c r="K29" s="60" t="s">
        <v>725</v>
      </c>
      <c r="L29" s="60" t="s">
        <v>729</v>
      </c>
    </row>
    <row r="30" spans="8:8" ht="14.25" customHeight="1">
      <c r="A30" s="60" t="s">
        <v>101</v>
      </c>
      <c r="B30" s="60" t="s">
        <v>618</v>
      </c>
      <c r="C30" s="78">
        <v>12920.0</v>
      </c>
      <c r="D30" s="78">
        <v>13550.0</v>
      </c>
      <c r="E30" s="78">
        <v>14455.0</v>
      </c>
      <c r="F30" s="78">
        <v>13193.0</v>
      </c>
      <c r="G30" s="78">
        <v>12920.0</v>
      </c>
      <c r="H30" s="78">
        <v>14455.0</v>
      </c>
      <c r="I30" s="78">
        <v>273.0</v>
      </c>
      <c r="J30" s="79">
        <v>0.0211</v>
      </c>
      <c r="K30" s="60" t="s">
        <v>725</v>
      </c>
      <c r="L30" s="60" t="s">
        <v>728</v>
      </c>
    </row>
    <row r="31" spans="8:8" ht="14.25" customHeight="1">
      <c r="A31" s="60" t="s">
        <v>28</v>
      </c>
      <c r="B31" s="60" t="s">
        <v>619</v>
      </c>
      <c r="C31" s="78">
        <v>14075.0</v>
      </c>
      <c r="D31" s="78">
        <v>14430.0</v>
      </c>
      <c r="E31" s="78">
        <v>15015.0</v>
      </c>
      <c r="F31" s="78">
        <v>13172.0</v>
      </c>
      <c r="G31" s="78">
        <v>12900.0</v>
      </c>
      <c r="H31" s="78">
        <v>14430.0</v>
      </c>
      <c r="I31" s="78">
        <v>-903.0</v>
      </c>
      <c r="J31" s="79">
        <v>-0.0642</v>
      </c>
      <c r="K31" s="140" t="s">
        <v>733</v>
      </c>
      <c r="L31" s="60" t="s">
        <v>728</v>
      </c>
    </row>
    <row r="32" spans="8:8" ht="14.25" customHeight="1">
      <c r="A32" s="60" t="s">
        <v>460</v>
      </c>
      <c r="B32" s="60" t="s">
        <v>622</v>
      </c>
      <c r="C32" s="78">
        <v>4590.0</v>
      </c>
      <c r="D32" s="78">
        <v>4715.0</v>
      </c>
      <c r="E32" s="78">
        <v>4845.0</v>
      </c>
      <c r="F32" s="78">
        <v>4200.0</v>
      </c>
      <c r="G32" s="78">
        <v>4200.0</v>
      </c>
      <c r="H32" s="78">
        <v>4200.0</v>
      </c>
      <c r="I32" s="78">
        <v>-390.0</v>
      </c>
      <c r="J32" s="79">
        <v>-0.085</v>
      </c>
      <c r="K32" s="140" t="s">
        <v>733</v>
      </c>
      <c r="L32" s="60" t="s">
        <v>729</v>
      </c>
    </row>
    <row r="33" spans="8:8" ht="14.25" customHeight="1">
      <c r="A33" s="60" t="s">
        <v>24</v>
      </c>
      <c r="B33" s="60" t="s">
        <v>620</v>
      </c>
      <c r="C33" s="78">
        <v>5970.0</v>
      </c>
      <c r="D33" s="78">
        <v>6195.0</v>
      </c>
      <c r="E33" s="78">
        <v>6530.0</v>
      </c>
      <c r="F33" s="78">
        <v>4990.0</v>
      </c>
      <c r="G33" s="78">
        <v>4900.0</v>
      </c>
      <c r="H33" s="78">
        <v>6195.0</v>
      </c>
      <c r="I33" s="78">
        <v>-980.0</v>
      </c>
      <c r="J33" s="79">
        <v>-0.1641</v>
      </c>
      <c r="K33" s="140" t="s">
        <v>733</v>
      </c>
      <c r="L33" s="60" t="s">
        <v>729</v>
      </c>
    </row>
    <row r="34" spans="8:8" ht="14.25" customHeight="1">
      <c r="A34" s="60" t="s">
        <v>27</v>
      </c>
      <c r="B34" s="60" t="s">
        <v>621</v>
      </c>
      <c r="C34" s="78">
        <v>7685.0</v>
      </c>
      <c r="D34" s="78">
        <v>8020.0</v>
      </c>
      <c r="E34" s="78">
        <v>8355.0</v>
      </c>
      <c r="F34" s="78">
        <v>7828.0</v>
      </c>
      <c r="G34" s="78">
        <v>7750.0</v>
      </c>
      <c r="H34" s="78">
        <v>8020.0</v>
      </c>
      <c r="I34" s="78">
        <v>143.0</v>
      </c>
      <c r="J34" s="79">
        <v>0.0187</v>
      </c>
      <c r="K34" s="60" t="s">
        <v>725</v>
      </c>
      <c r="L34" s="60" t="s">
        <v>729</v>
      </c>
    </row>
    <row r="35" spans="8:8" ht="14.25" customHeight="1">
      <c r="A35" s="60" t="s">
        <v>43</v>
      </c>
      <c r="B35" s="60" t="s">
        <v>673</v>
      </c>
      <c r="C35" s="78">
        <v>17100.0</v>
      </c>
      <c r="D35" s="78">
        <v>17700.0</v>
      </c>
      <c r="E35" s="78">
        <v>18100.0</v>
      </c>
      <c r="F35" s="78">
        <v>17843.0</v>
      </c>
      <c r="G35" s="78">
        <v>17700.0</v>
      </c>
      <c r="H35" s="78">
        <v>18300.0</v>
      </c>
      <c r="I35" s="78">
        <v>743.0</v>
      </c>
      <c r="J35" s="79">
        <v>0.0434</v>
      </c>
      <c r="K35" s="60" t="s">
        <v>725</v>
      </c>
      <c r="L35" s="60" t="s">
        <v>728</v>
      </c>
    </row>
    <row r="36" spans="8:8" ht="14.25" customHeight="1">
      <c r="A36" s="60" t="s">
        <v>119</v>
      </c>
      <c r="B36" s="60" t="s">
        <v>610</v>
      </c>
      <c r="C36" s="78">
        <v>12390.0</v>
      </c>
      <c r="D36" s="78">
        <v>13125.0</v>
      </c>
      <c r="E36" s="78">
        <v>13900.0</v>
      </c>
      <c r="F36" s="78">
        <v>13319.0</v>
      </c>
      <c r="G36" s="78">
        <v>13125.0</v>
      </c>
      <c r="H36" s="78">
        <v>13900.0</v>
      </c>
      <c r="I36" s="78">
        <v>929.0</v>
      </c>
      <c r="J36" s="79">
        <v>0.075</v>
      </c>
      <c r="K36" s="60" t="s">
        <v>725</v>
      </c>
      <c r="L36" s="60" t="s">
        <v>734</v>
      </c>
    </row>
    <row r="37" spans="8:8" ht="14.25" customHeight="1">
      <c r="A37" s="60" t="s">
        <v>181</v>
      </c>
      <c r="B37" s="60" t="s">
        <v>681</v>
      </c>
      <c r="C37" s="78">
        <v>16350.0</v>
      </c>
      <c r="D37" s="78">
        <v>17060.0</v>
      </c>
      <c r="E37" s="78">
        <v>17770.0</v>
      </c>
      <c r="F37" s="78">
        <v>16902.0</v>
      </c>
      <c r="G37" s="78">
        <v>16900.0</v>
      </c>
      <c r="H37" s="78">
        <v>17000.0</v>
      </c>
      <c r="I37" s="78">
        <v>552.0</v>
      </c>
      <c r="J37" s="79">
        <v>0.0338</v>
      </c>
      <c r="K37" s="60" t="s">
        <v>725</v>
      </c>
      <c r="L37" s="60" t="s">
        <v>729</v>
      </c>
    </row>
    <row r="38" spans="8:8" ht="14.25" customHeight="1">
      <c r="A38" s="60" t="s">
        <v>93</v>
      </c>
      <c r="B38" s="60" t="s">
        <v>93</v>
      </c>
      <c r="C38" s="78">
        <v>11130.0</v>
      </c>
      <c r="D38" s="78">
        <v>11600.0</v>
      </c>
      <c r="E38" s="78">
        <v>12090.0</v>
      </c>
      <c r="F38" s="78">
        <v>11462.0</v>
      </c>
      <c r="G38" s="78">
        <v>11230.0</v>
      </c>
      <c r="H38" s="78">
        <v>11600.0</v>
      </c>
      <c r="I38" s="78">
        <v>332.0</v>
      </c>
      <c r="J38" s="79">
        <v>0.0299</v>
      </c>
      <c r="K38" s="60" t="s">
        <v>725</v>
      </c>
      <c r="L38" s="60" t="s">
        <v>729</v>
      </c>
    </row>
    <row r="39" spans="8:8" ht="14.25" customHeight="1">
      <c r="A39" s="60" t="s">
        <v>113</v>
      </c>
      <c r="B39" s="60" t="s">
        <v>593</v>
      </c>
      <c r="C39" s="78">
        <v>14475.0</v>
      </c>
      <c r="D39" s="78">
        <v>15115.0</v>
      </c>
      <c r="E39" s="78">
        <v>15765.0</v>
      </c>
      <c r="F39" s="78">
        <v>14564.0</v>
      </c>
      <c r="G39" s="78">
        <v>14475.0</v>
      </c>
      <c r="H39" s="78">
        <v>15765.0</v>
      </c>
      <c r="I39" s="78">
        <v>89.0</v>
      </c>
      <c r="J39" s="79">
        <v>0.0061</v>
      </c>
      <c r="K39" s="60" t="s">
        <v>725</v>
      </c>
      <c r="L39" s="60" t="s">
        <v>727</v>
      </c>
    </row>
    <row r="40" spans="8:8" ht="14.25" customHeight="1">
      <c r="A40" s="60" t="s">
        <v>229</v>
      </c>
      <c r="B40" s="60" t="s">
        <v>229</v>
      </c>
      <c r="C40" s="78">
        <v>14970.0</v>
      </c>
      <c r="D40" s="78">
        <v>15490.0</v>
      </c>
      <c r="E40" s="78">
        <v>16030.0</v>
      </c>
      <c r="F40" s="78">
        <v>13598.0</v>
      </c>
      <c r="G40" s="78">
        <v>13500.0</v>
      </c>
      <c r="H40" s="78">
        <v>15490.0</v>
      </c>
      <c r="I40" s="78">
        <v>-1372.0</v>
      </c>
      <c r="J40" s="79">
        <v>-0.0917</v>
      </c>
      <c r="K40" s="140" t="s">
        <v>733</v>
      </c>
      <c r="L40" s="60" t="s">
        <v>729</v>
      </c>
    </row>
    <row r="41" spans="8:8" ht="14.25" customHeight="1">
      <c r="A41" s="60" t="s">
        <v>36</v>
      </c>
      <c r="B41" s="60" t="s">
        <v>597</v>
      </c>
      <c r="C41" s="78">
        <v>14900.0</v>
      </c>
      <c r="D41" s="78">
        <v>15525.0</v>
      </c>
      <c r="E41" s="78">
        <v>16140.0</v>
      </c>
      <c r="F41" s="78">
        <v>15173.0</v>
      </c>
      <c r="G41" s="78">
        <v>14900.0</v>
      </c>
      <c r="H41" s="78">
        <v>16140.0</v>
      </c>
      <c r="I41" s="78">
        <v>273.0</v>
      </c>
      <c r="J41" s="79">
        <v>0.0183</v>
      </c>
      <c r="K41" s="60" t="s">
        <v>725</v>
      </c>
      <c r="L41" s="60" t="s">
        <v>728</v>
      </c>
    </row>
    <row r="42" spans="8:8" ht="14.25" customHeight="1">
      <c r="A42" s="60" t="s">
        <v>21</v>
      </c>
      <c r="B42" s="60" t="s">
        <v>658</v>
      </c>
      <c r="C42" s="78">
        <v>8550.0</v>
      </c>
      <c r="D42" s="78">
        <v>8870.0</v>
      </c>
      <c r="E42" s="78">
        <v>9190.0</v>
      </c>
      <c r="F42" s="78">
        <v>8236.0</v>
      </c>
      <c r="G42" s="78">
        <v>8100.0</v>
      </c>
      <c r="H42" s="78">
        <v>9000.0</v>
      </c>
      <c r="I42" s="78">
        <v>-314.0</v>
      </c>
      <c r="J42" s="79">
        <v>-0.0367</v>
      </c>
      <c r="K42" s="140" t="s">
        <v>733</v>
      </c>
      <c r="L42" s="60" t="s">
        <v>728</v>
      </c>
    </row>
    <row r="43" spans="8:8" ht="14.25" customHeight="1">
      <c r="A43" s="60" t="s">
        <v>37</v>
      </c>
      <c r="B43" s="60" t="s">
        <v>611</v>
      </c>
      <c r="C43" s="78">
        <v>8525.0</v>
      </c>
      <c r="D43" s="78">
        <v>8880.0</v>
      </c>
      <c r="E43" s="78">
        <v>9235.0</v>
      </c>
      <c r="F43" s="78">
        <v>8902.0</v>
      </c>
      <c r="G43" s="78">
        <v>8800.0</v>
      </c>
      <c r="H43" s="78">
        <v>9500.0</v>
      </c>
      <c r="I43" s="78">
        <v>377.0</v>
      </c>
      <c r="J43" s="79">
        <v>0.0442</v>
      </c>
      <c r="K43" s="60" t="s">
        <v>725</v>
      </c>
      <c r="L43" s="60" t="s">
        <v>726</v>
      </c>
    </row>
    <row r="44" spans="8:8" ht="14.25" customHeight="1">
      <c r="A44" s="60" t="s">
        <v>80</v>
      </c>
      <c r="B44" s="60" t="s">
        <v>613</v>
      </c>
      <c r="C44" s="78">
        <v>8970.0</v>
      </c>
      <c r="D44" s="78">
        <v>9345.0</v>
      </c>
      <c r="E44" s="78">
        <v>9720.0</v>
      </c>
      <c r="F44" s="78">
        <v>9345.0</v>
      </c>
      <c r="G44" s="78">
        <v>9345.0</v>
      </c>
      <c r="H44" s="78">
        <v>9345.0</v>
      </c>
      <c r="I44" s="78">
        <v>375.0</v>
      </c>
      <c r="J44" s="79">
        <v>0.0418</v>
      </c>
      <c r="K44" s="60" t="s">
        <v>725</v>
      </c>
      <c r="L44" s="60" t="s">
        <v>726</v>
      </c>
    </row>
  </sheetData>
  <pageMargins left="0.75" right="0.75" top="1.0" bottom="1.0" header="0.511811023622047" footer="0.511811023622047"/>
</worksheet>
</file>

<file path=xl/worksheets/sheet36.xml><?xml version="1.0" encoding="utf-8"?>
<worksheet xmlns:r="http://schemas.openxmlformats.org/officeDocument/2006/relationships" xmlns="http://schemas.openxmlformats.org/spreadsheetml/2006/main">
  <dimension ref="A1:Q784"/>
  <sheetViews>
    <sheetView workbookViewId="0" zoomScale="79">
      <selection activeCell="J785" sqref="J785"/>
    </sheetView>
  </sheetViews>
  <sheetFormatPr defaultRowHeight="14.5"/>
  <cols>
    <col min="1" max="1" customWidth="1" width="10.089844" style="60"/>
    <col min="2" max="2" customWidth="1" width="19.0" style="60"/>
    <col min="3" max="3" customWidth="1" width="14.453125" style="60"/>
    <col min="4" max="4" customWidth="1" width="19.0" style="60"/>
    <col min="5" max="5" customWidth="1" width="37.089844" style="60"/>
    <col min="6" max="6" customWidth="1" width="11.363281" style="60"/>
    <col min="7" max="7" customWidth="1" width="12.542969" style="60"/>
    <col min="8" max="8" customWidth="1" width="13.816406" style="60"/>
    <col min="9" max="9" customWidth="1" width="9.6328125" style="60"/>
    <col min="10" max="10" customWidth="1" width="5.90625" style="60"/>
    <col min="11" max="11" customWidth="1" width="13.90625" style="60"/>
    <col min="12" max="12" customWidth="1" width="9.542969" style="60"/>
    <col min="13" max="13" customWidth="1" width="3.0" style="60"/>
    <col min="14" max="14" customWidth="1" width="34.0" style="60"/>
    <col min="15" max="15" customWidth="1" width="14.0" style="60"/>
    <col min="16" max="16" customWidth="1" width="13.0" style="60"/>
  </cols>
  <sheetData>
    <row r="1" spans="8:8" ht="14.25" customHeight="1">
      <c r="N1" s="141" t="s">
        <v>735</v>
      </c>
    </row>
    <row r="2" spans="8:8" ht="14.25" customHeight="1">
      <c r="A2" s="137"/>
      <c r="N2" s="142" t="s">
        <v>723</v>
      </c>
      <c r="O2" s="142" t="s">
        <v>736</v>
      </c>
    </row>
    <row r="3" spans="8:8" ht="15.0" customHeight="1">
      <c r="A3" s="138" t="s">
        <v>737</v>
      </c>
      <c r="N3" s="60" t="s">
        <v>738</v>
      </c>
      <c r="O3" s="60">
        <v>710.0</v>
      </c>
    </row>
    <row r="4" spans="8:8" ht="30.0" customHeight="1">
      <c r="A4" s="106" t="s">
        <v>686</v>
      </c>
      <c r="B4" s="106" t="s">
        <v>687</v>
      </c>
      <c r="C4" s="106" t="s">
        <v>739</v>
      </c>
      <c r="D4" s="106" t="s">
        <v>740</v>
      </c>
      <c r="E4" s="106" t="s">
        <v>691</v>
      </c>
      <c r="F4" s="106" t="s">
        <v>692</v>
      </c>
      <c r="G4" s="106" t="s">
        <v>741</v>
      </c>
      <c r="H4" s="106" t="s">
        <v>742</v>
      </c>
      <c r="I4" s="106" t="s">
        <v>743</v>
      </c>
      <c r="J4" s="106" t="s">
        <v>722</v>
      </c>
      <c r="K4" s="106" t="s">
        <v>723</v>
      </c>
      <c r="N4" s="60" t="s">
        <v>744</v>
      </c>
      <c r="O4" s="60">
        <v>16.0</v>
      </c>
    </row>
    <row r="5" spans="8:8" ht="14.25" customHeight="1">
      <c r="A5" s="68" t="s">
        <v>745</v>
      </c>
      <c r="B5" s="68" t="s">
        <v>21</v>
      </c>
      <c r="C5" s="68">
        <v>1.0</v>
      </c>
      <c r="D5" s="68" t="s">
        <v>746</v>
      </c>
      <c r="E5" s="68" t="s">
        <v>15</v>
      </c>
      <c r="F5" s="68" t="s">
        <v>16</v>
      </c>
      <c r="G5" s="66">
        <v>9000.0</v>
      </c>
      <c r="H5" s="66">
        <v>9190.0</v>
      </c>
      <c r="I5" s="66">
        <v>-190.0</v>
      </c>
      <c r="J5" s="69">
        <v>-0.0207</v>
      </c>
      <c r="K5" s="143" t="s">
        <v>738</v>
      </c>
      <c r="N5" s="60" t="s">
        <v>747</v>
      </c>
      <c r="O5" s="60">
        <v>54.0</v>
      </c>
    </row>
    <row r="6" spans="8:8" ht="14.25" customHeight="1">
      <c r="A6" s="68" t="s">
        <v>745</v>
      </c>
      <c r="B6" s="68" t="s">
        <v>22</v>
      </c>
      <c r="C6" s="68">
        <v>1.0</v>
      </c>
      <c r="D6" s="68" t="s">
        <v>746</v>
      </c>
      <c r="E6" s="68" t="s">
        <v>15</v>
      </c>
      <c r="F6" s="68" t="s">
        <v>16</v>
      </c>
      <c r="G6" s="66">
        <v>9500.0</v>
      </c>
      <c r="H6" s="66">
        <v>9685.0</v>
      </c>
      <c r="I6" s="66">
        <v>-185.0</v>
      </c>
      <c r="J6" s="69">
        <v>-0.0191</v>
      </c>
      <c r="K6" s="143" t="s">
        <v>738</v>
      </c>
      <c r="N6" s="60" t="s">
        <v>748</v>
      </c>
      <c r="O6" s="60">
        <v>0.0</v>
      </c>
    </row>
    <row r="7" spans="8:8" ht="14.25" customHeight="1">
      <c r="A7" s="68" t="s">
        <v>745</v>
      </c>
      <c r="B7" s="68" t="s">
        <v>24</v>
      </c>
      <c r="C7" s="68">
        <v>1.0</v>
      </c>
      <c r="D7" s="68" t="s">
        <v>746</v>
      </c>
      <c r="E7" s="68" t="s">
        <v>15</v>
      </c>
      <c r="F7" s="68" t="s">
        <v>23</v>
      </c>
      <c r="G7" s="66">
        <v>5400.0</v>
      </c>
      <c r="H7" s="66">
        <v>6530.0</v>
      </c>
      <c r="I7" s="66">
        <v>-1130.0</v>
      </c>
      <c r="J7" s="69">
        <v>-0.173</v>
      </c>
      <c r="K7" s="143" t="s">
        <v>738</v>
      </c>
    </row>
    <row r="8" spans="8:8" ht="14.25" customHeight="1">
      <c r="A8" s="68" t="s">
        <v>745</v>
      </c>
      <c r="B8" s="68" t="s">
        <v>24</v>
      </c>
      <c r="C8" s="68">
        <v>200.0</v>
      </c>
      <c r="D8" s="68" t="s">
        <v>749</v>
      </c>
      <c r="E8" s="68" t="s">
        <v>25</v>
      </c>
      <c r="F8" s="68" t="s">
        <v>26</v>
      </c>
      <c r="G8" s="66">
        <v>4950.0</v>
      </c>
      <c r="H8" s="66">
        <v>6195.0</v>
      </c>
      <c r="I8" s="66">
        <v>-1245.0</v>
      </c>
      <c r="J8" s="69">
        <v>-0.201</v>
      </c>
      <c r="K8" s="143" t="s">
        <v>738</v>
      </c>
      <c r="N8" s="142" t="s">
        <v>750</v>
      </c>
      <c r="O8" s="78">
        <v>-1.7967641E7</v>
      </c>
    </row>
    <row r="9" spans="8:8" ht="14.25" customHeight="1">
      <c r="A9" s="68" t="s">
        <v>745</v>
      </c>
      <c r="B9" s="68" t="s">
        <v>27</v>
      </c>
      <c r="C9" s="68">
        <v>35.0</v>
      </c>
      <c r="D9" s="68" t="s">
        <v>746</v>
      </c>
      <c r="E9" s="68" t="s">
        <v>25</v>
      </c>
      <c r="F9" s="68" t="s">
        <v>26</v>
      </c>
      <c r="G9" s="66">
        <v>8020.0</v>
      </c>
      <c r="H9" s="66">
        <v>8355.0</v>
      </c>
      <c r="I9" s="66">
        <v>-335.0</v>
      </c>
      <c r="J9" s="69">
        <v>-0.0401</v>
      </c>
      <c r="K9" s="143" t="s">
        <v>738</v>
      </c>
      <c r="N9" s="144" t="s">
        <v>751</v>
      </c>
    </row>
    <row r="10" spans="8:8" ht="14.25" customHeight="1">
      <c r="A10" s="68" t="s">
        <v>745</v>
      </c>
      <c r="B10" s="68" t="s">
        <v>28</v>
      </c>
      <c r="C10" s="68">
        <v>20.0</v>
      </c>
      <c r="D10" s="68" t="s">
        <v>746</v>
      </c>
      <c r="E10" s="68" t="s">
        <v>25</v>
      </c>
      <c r="F10" s="68" t="s">
        <v>26</v>
      </c>
      <c r="G10" s="66">
        <v>13150.0</v>
      </c>
      <c r="H10" s="66">
        <v>15015.0</v>
      </c>
      <c r="I10" s="66">
        <v>-1865.0</v>
      </c>
      <c r="J10" s="69">
        <v>-0.1242</v>
      </c>
      <c r="K10" s="143" t="s">
        <v>738</v>
      </c>
    </row>
    <row r="11" spans="8:8" ht="14.25" customHeight="1">
      <c r="A11" s="68" t="s">
        <v>752</v>
      </c>
      <c r="B11" s="68" t="s">
        <v>24</v>
      </c>
      <c r="C11" s="68">
        <v>40.0</v>
      </c>
      <c r="D11" s="68" t="s">
        <v>746</v>
      </c>
      <c r="E11" s="68" t="s">
        <v>29</v>
      </c>
      <c r="F11" s="68" t="s">
        <v>30</v>
      </c>
      <c r="G11" s="66">
        <v>4900.0</v>
      </c>
      <c r="H11" s="66">
        <v>6530.0</v>
      </c>
      <c r="I11" s="66">
        <v>-1630.0</v>
      </c>
      <c r="J11" s="69">
        <v>-0.2496</v>
      </c>
      <c r="K11" s="143" t="s">
        <v>738</v>
      </c>
    </row>
    <row r="12" spans="8:8" ht="14.25" customHeight="1">
      <c r="A12" s="68" t="s">
        <v>752</v>
      </c>
      <c r="B12" s="68" t="s">
        <v>31</v>
      </c>
      <c r="C12" s="68">
        <v>15.0</v>
      </c>
      <c r="D12" s="68" t="s">
        <v>746</v>
      </c>
      <c r="E12" s="68" t="s">
        <v>29</v>
      </c>
      <c r="F12" s="68" t="s">
        <v>30</v>
      </c>
      <c r="G12" s="66">
        <v>17845.0</v>
      </c>
      <c r="H12" s="66">
        <v>18615.0</v>
      </c>
      <c r="I12" s="66">
        <v>-770.0</v>
      </c>
      <c r="J12" s="69">
        <v>-0.0414</v>
      </c>
      <c r="K12" s="143" t="s">
        <v>738</v>
      </c>
    </row>
    <row r="13" spans="8:8" ht="14.25" customHeight="1">
      <c r="A13" s="68" t="s">
        <v>752</v>
      </c>
      <c r="B13" s="68" t="s">
        <v>32</v>
      </c>
      <c r="C13" s="68">
        <v>3.0</v>
      </c>
      <c r="D13" s="68" t="s">
        <v>746</v>
      </c>
      <c r="E13" s="68" t="s">
        <v>29</v>
      </c>
      <c r="F13" s="68" t="s">
        <v>30</v>
      </c>
      <c r="G13" s="66">
        <v>16145.0</v>
      </c>
      <c r="H13" s="66">
        <v>16735.0</v>
      </c>
      <c r="I13" s="66">
        <v>-590.0</v>
      </c>
      <c r="J13" s="69">
        <v>-0.0353</v>
      </c>
      <c r="K13" s="143" t="s">
        <v>738</v>
      </c>
    </row>
    <row r="14" spans="8:8" ht="14.25" customHeight="1">
      <c r="A14" s="68" t="s">
        <v>752</v>
      </c>
      <c r="B14" s="68" t="s">
        <v>33</v>
      </c>
      <c r="C14" s="68">
        <v>2.0</v>
      </c>
      <c r="D14" s="68" t="s">
        <v>746</v>
      </c>
      <c r="E14" s="68" t="s">
        <v>29</v>
      </c>
      <c r="F14" s="68" t="s">
        <v>30</v>
      </c>
      <c r="G14" s="66">
        <v>16145.0</v>
      </c>
      <c r="H14" s="66">
        <v>16735.0</v>
      </c>
      <c r="I14" s="66">
        <v>-590.0</v>
      </c>
      <c r="J14" s="69">
        <v>-0.0353</v>
      </c>
      <c r="K14" s="143" t="s">
        <v>738</v>
      </c>
    </row>
    <row r="15" spans="8:8" ht="14.25" customHeight="1">
      <c r="A15" s="68" t="s">
        <v>752</v>
      </c>
      <c r="B15" s="68" t="s">
        <v>28</v>
      </c>
      <c r="C15" s="68">
        <v>5.0</v>
      </c>
      <c r="D15" s="68" t="s">
        <v>746</v>
      </c>
      <c r="E15" s="68" t="s">
        <v>29</v>
      </c>
      <c r="F15" s="68" t="s">
        <v>30</v>
      </c>
      <c r="G15" s="66">
        <v>13200.0</v>
      </c>
      <c r="H15" s="66">
        <v>15015.0</v>
      </c>
      <c r="I15" s="66">
        <v>-1815.0</v>
      </c>
      <c r="J15" s="69">
        <v>-0.1209</v>
      </c>
      <c r="K15" s="143" t="s">
        <v>738</v>
      </c>
    </row>
    <row r="16" spans="8:8" ht="14.25" customHeight="1">
      <c r="A16" s="68" t="s">
        <v>752</v>
      </c>
      <c r="B16" s="68" t="s">
        <v>34</v>
      </c>
      <c r="C16" s="68">
        <v>2.0</v>
      </c>
      <c r="D16" s="68" t="s">
        <v>746</v>
      </c>
      <c r="E16" s="68" t="s">
        <v>29</v>
      </c>
      <c r="F16" s="68" t="s">
        <v>30</v>
      </c>
      <c r="G16" s="66">
        <v>22740.0</v>
      </c>
      <c r="H16" s="66">
        <v>23895.0</v>
      </c>
      <c r="I16" s="66">
        <v>-1155.0</v>
      </c>
      <c r="J16" s="69">
        <v>-0.0483</v>
      </c>
      <c r="K16" s="143" t="s">
        <v>738</v>
      </c>
    </row>
    <row r="17" spans="8:8" ht="14.25" customHeight="1">
      <c r="A17" s="68" t="s">
        <v>752</v>
      </c>
      <c r="B17" s="68" t="s">
        <v>35</v>
      </c>
      <c r="C17" s="68">
        <v>2.0</v>
      </c>
      <c r="D17" s="68" t="s">
        <v>746</v>
      </c>
      <c r="E17" s="68" t="s">
        <v>29</v>
      </c>
      <c r="F17" s="68" t="s">
        <v>30</v>
      </c>
      <c r="G17" s="66">
        <v>21170.0</v>
      </c>
      <c r="H17" s="66">
        <v>21830.0</v>
      </c>
      <c r="I17" s="66">
        <v>-660.0</v>
      </c>
      <c r="J17" s="69">
        <v>-0.0302</v>
      </c>
      <c r="K17" s="143" t="s">
        <v>738</v>
      </c>
    </row>
    <row r="18" spans="8:8" ht="14.25" customHeight="1">
      <c r="A18" s="68" t="s">
        <v>752</v>
      </c>
      <c r="B18" s="68" t="s">
        <v>36</v>
      </c>
      <c r="C18" s="68">
        <v>6.0</v>
      </c>
      <c r="D18" s="68" t="s">
        <v>746</v>
      </c>
      <c r="E18" s="68" t="s">
        <v>29</v>
      </c>
      <c r="F18" s="68" t="s">
        <v>30</v>
      </c>
      <c r="G18" s="66">
        <v>15525.0</v>
      </c>
      <c r="H18" s="66">
        <v>16140.0</v>
      </c>
      <c r="I18" s="66">
        <v>-615.0</v>
      </c>
      <c r="J18" s="69">
        <v>-0.0381</v>
      </c>
      <c r="K18" s="143" t="s">
        <v>738</v>
      </c>
    </row>
    <row r="19" spans="8:8" ht="14.25" customHeight="1">
      <c r="A19" s="68" t="s">
        <v>752</v>
      </c>
      <c r="B19" s="68" t="s">
        <v>37</v>
      </c>
      <c r="C19" s="68">
        <v>2.0</v>
      </c>
      <c r="D19" s="68" t="s">
        <v>746</v>
      </c>
      <c r="E19" s="68" t="s">
        <v>29</v>
      </c>
      <c r="F19" s="68" t="s">
        <v>30</v>
      </c>
      <c r="G19" s="66">
        <v>8880.0</v>
      </c>
      <c r="H19" s="66">
        <v>9235.0</v>
      </c>
      <c r="I19" s="66">
        <v>-355.0</v>
      </c>
      <c r="J19" s="69">
        <v>-0.0384</v>
      </c>
      <c r="K19" s="143" t="s">
        <v>738</v>
      </c>
    </row>
    <row r="20" spans="8:8" ht="14.25" customHeight="1">
      <c r="A20" s="68" t="s">
        <v>752</v>
      </c>
      <c r="B20" s="68" t="s">
        <v>31</v>
      </c>
      <c r="C20" s="68">
        <v>15.0</v>
      </c>
      <c r="D20" s="68" t="s">
        <v>746</v>
      </c>
      <c r="E20" s="68" t="s">
        <v>29</v>
      </c>
      <c r="F20" s="68" t="s">
        <v>39</v>
      </c>
      <c r="G20" s="66">
        <v>17100.0</v>
      </c>
      <c r="H20" s="66">
        <v>18615.0</v>
      </c>
      <c r="I20" s="66">
        <v>-1515.0</v>
      </c>
      <c r="J20" s="69">
        <v>-0.0814</v>
      </c>
      <c r="K20" s="143" t="s">
        <v>738</v>
      </c>
    </row>
    <row r="21" spans="8:8" ht="14.25" customHeight="1">
      <c r="A21" s="68" t="s">
        <v>752</v>
      </c>
      <c r="B21" s="68" t="s">
        <v>22</v>
      </c>
      <c r="C21" s="68">
        <v>10.0</v>
      </c>
      <c r="D21" s="68" t="s">
        <v>746</v>
      </c>
      <c r="E21" s="68" t="s">
        <v>40</v>
      </c>
      <c r="F21" s="68" t="s">
        <v>41</v>
      </c>
      <c r="G21" s="66">
        <v>8600.0</v>
      </c>
      <c r="H21" s="66">
        <v>9685.0</v>
      </c>
      <c r="I21" s="66">
        <v>-1085.0</v>
      </c>
      <c r="J21" s="69">
        <v>-0.112</v>
      </c>
      <c r="K21" s="143" t="s">
        <v>738</v>
      </c>
    </row>
    <row r="22" spans="8:8" ht="14.25" customHeight="1">
      <c r="A22" s="68" t="s">
        <v>752</v>
      </c>
      <c r="B22" s="68" t="s">
        <v>43</v>
      </c>
      <c r="C22" s="68">
        <v>1.0</v>
      </c>
      <c r="D22" s="68" t="s">
        <v>746</v>
      </c>
      <c r="E22" s="68" t="s">
        <v>29</v>
      </c>
      <c r="F22" s="68" t="s">
        <v>42</v>
      </c>
      <c r="G22" s="66">
        <v>17700.0</v>
      </c>
      <c r="H22" s="66">
        <v>18100.0</v>
      </c>
      <c r="I22" s="66">
        <v>-400.0</v>
      </c>
      <c r="J22" s="69">
        <v>-0.0221</v>
      </c>
      <c r="K22" s="143" t="s">
        <v>738</v>
      </c>
    </row>
    <row r="23" spans="8:8" ht="14.25" customHeight="1">
      <c r="A23" s="68" t="s">
        <v>752</v>
      </c>
      <c r="B23" s="68" t="s">
        <v>21</v>
      </c>
      <c r="C23" s="68">
        <v>1.0</v>
      </c>
      <c r="D23" s="68" t="s">
        <v>746</v>
      </c>
      <c r="E23" s="68" t="s">
        <v>29</v>
      </c>
      <c r="F23" s="68" t="s">
        <v>42</v>
      </c>
      <c r="G23" s="66">
        <v>8500.0</v>
      </c>
      <c r="H23" s="66">
        <v>9190.0</v>
      </c>
      <c r="I23" s="66">
        <v>-690.0</v>
      </c>
      <c r="J23" s="69">
        <v>-0.0751</v>
      </c>
      <c r="K23" s="143" t="s">
        <v>738</v>
      </c>
    </row>
    <row r="24" spans="8:8" ht="14.25" customHeight="1">
      <c r="A24" s="68" t="s">
        <v>752</v>
      </c>
      <c r="B24" s="68" t="s">
        <v>44</v>
      </c>
      <c r="C24" s="68">
        <v>1.0</v>
      </c>
      <c r="D24" s="68" t="s">
        <v>746</v>
      </c>
      <c r="E24" s="68" t="s">
        <v>29</v>
      </c>
      <c r="F24" s="68" t="s">
        <v>42</v>
      </c>
      <c r="G24" s="66">
        <v>9200.0</v>
      </c>
      <c r="H24" s="66">
        <v>9685.0</v>
      </c>
      <c r="I24" s="66">
        <v>-485.0</v>
      </c>
      <c r="J24" s="69">
        <v>-0.0501</v>
      </c>
      <c r="K24" s="143" t="s">
        <v>738</v>
      </c>
    </row>
    <row r="25" spans="8:8" ht="14.25" customHeight="1">
      <c r="A25" s="68" t="s">
        <v>752</v>
      </c>
      <c r="B25" s="68" t="s">
        <v>45</v>
      </c>
      <c r="C25" s="68">
        <v>2.0</v>
      </c>
      <c r="D25" s="68" t="s">
        <v>746</v>
      </c>
      <c r="E25" s="68" t="s">
        <v>29</v>
      </c>
      <c r="F25" s="68" t="s">
        <v>42</v>
      </c>
      <c r="G25" s="66">
        <v>13335.0</v>
      </c>
      <c r="H25" s="66">
        <v>13932.0</v>
      </c>
      <c r="I25" s="66">
        <v>-597.0</v>
      </c>
      <c r="J25" s="69">
        <v>-0.0429</v>
      </c>
      <c r="K25" s="143" t="s">
        <v>738</v>
      </c>
    </row>
    <row r="26" spans="8:8" ht="14.25" customHeight="1">
      <c r="A26" s="68" t="s">
        <v>752</v>
      </c>
      <c r="B26" s="68" t="s">
        <v>33</v>
      </c>
      <c r="C26" s="68">
        <v>25.0</v>
      </c>
      <c r="D26" s="68" t="s">
        <v>746</v>
      </c>
      <c r="E26" s="68" t="s">
        <v>50</v>
      </c>
      <c r="F26" s="68" t="s">
        <v>51</v>
      </c>
      <c r="G26" s="66">
        <v>15655.0</v>
      </c>
      <c r="H26" s="66">
        <v>16735.0</v>
      </c>
      <c r="I26" s="66">
        <v>-1080.0</v>
      </c>
      <c r="J26" s="69">
        <v>-0.0645</v>
      </c>
      <c r="K26" s="143" t="s">
        <v>738</v>
      </c>
    </row>
    <row r="27" spans="8:8" ht="14.25" customHeight="1">
      <c r="A27" s="68" t="s">
        <v>752</v>
      </c>
      <c r="B27" s="68" t="s">
        <v>32</v>
      </c>
      <c r="C27" s="68">
        <v>30.0</v>
      </c>
      <c r="D27" s="68" t="s">
        <v>746</v>
      </c>
      <c r="E27" s="68" t="s">
        <v>50</v>
      </c>
      <c r="F27" s="68" t="s">
        <v>51</v>
      </c>
      <c r="G27" s="66">
        <v>15655.0</v>
      </c>
      <c r="H27" s="66">
        <v>16735.0</v>
      </c>
      <c r="I27" s="66">
        <v>-1080.0</v>
      </c>
      <c r="J27" s="69">
        <v>-0.0645</v>
      </c>
      <c r="K27" s="143" t="s">
        <v>738</v>
      </c>
    </row>
    <row r="28" spans="8:8" ht="14.25" customHeight="1">
      <c r="A28" s="68" t="s">
        <v>752</v>
      </c>
      <c r="B28" s="68" t="s">
        <v>28</v>
      </c>
      <c r="C28" s="68">
        <v>35.0</v>
      </c>
      <c r="D28" s="68" t="s">
        <v>746</v>
      </c>
      <c r="E28" s="68" t="s">
        <v>50</v>
      </c>
      <c r="F28" s="68" t="s">
        <v>51</v>
      </c>
      <c r="G28" s="66">
        <v>12900.0</v>
      </c>
      <c r="H28" s="66">
        <v>15015.0</v>
      </c>
      <c r="I28" s="66">
        <v>-2115.0</v>
      </c>
      <c r="J28" s="69">
        <v>-0.1409</v>
      </c>
      <c r="K28" s="143" t="s">
        <v>738</v>
      </c>
    </row>
    <row r="29" spans="8:8" ht="14.25" customHeight="1">
      <c r="A29" s="68" t="s">
        <v>752</v>
      </c>
      <c r="B29" s="68" t="s">
        <v>34</v>
      </c>
      <c r="C29" s="68">
        <v>5.0</v>
      </c>
      <c r="D29" s="68" t="s">
        <v>746</v>
      </c>
      <c r="E29" s="68" t="s">
        <v>50</v>
      </c>
      <c r="F29" s="68" t="s">
        <v>51</v>
      </c>
      <c r="G29" s="66">
        <v>21695.0</v>
      </c>
      <c r="H29" s="66">
        <v>23895.0</v>
      </c>
      <c r="I29" s="66">
        <v>-2200.0</v>
      </c>
      <c r="J29" s="69">
        <v>-0.0921</v>
      </c>
      <c r="K29" s="143" t="s">
        <v>738</v>
      </c>
    </row>
    <row r="30" spans="8:8" ht="14.25" customHeight="1">
      <c r="A30" s="68" t="s">
        <v>752</v>
      </c>
      <c r="B30" s="68" t="s">
        <v>31</v>
      </c>
      <c r="C30" s="68">
        <v>2.0</v>
      </c>
      <c r="D30" s="68" t="s">
        <v>746</v>
      </c>
      <c r="E30" s="68" t="s">
        <v>29</v>
      </c>
      <c r="F30" s="68" t="s">
        <v>52</v>
      </c>
      <c r="G30" s="66">
        <v>17100.0</v>
      </c>
      <c r="H30" s="66">
        <v>18615.0</v>
      </c>
      <c r="I30" s="66">
        <v>-1515.0</v>
      </c>
      <c r="J30" s="69">
        <v>-0.0814</v>
      </c>
      <c r="K30" s="143" t="s">
        <v>738</v>
      </c>
    </row>
    <row r="31" spans="8:8" ht="14.25" customHeight="1">
      <c r="A31" s="68" t="s">
        <v>752</v>
      </c>
      <c r="B31" s="68" t="s">
        <v>34</v>
      </c>
      <c r="C31" s="68">
        <v>1.0</v>
      </c>
      <c r="D31" s="68" t="s">
        <v>746</v>
      </c>
      <c r="E31" s="68" t="s">
        <v>29</v>
      </c>
      <c r="F31" s="68" t="s">
        <v>52</v>
      </c>
      <c r="G31" s="66">
        <v>22740.0</v>
      </c>
      <c r="H31" s="66">
        <v>23895.0</v>
      </c>
      <c r="I31" s="66">
        <v>-1155.0</v>
      </c>
      <c r="J31" s="69">
        <v>-0.0483</v>
      </c>
      <c r="K31" s="143" t="s">
        <v>738</v>
      </c>
    </row>
    <row r="32" spans="8:8" ht="14.25" customHeight="1">
      <c r="A32" s="68" t="s">
        <v>752</v>
      </c>
      <c r="B32" s="68" t="s">
        <v>22</v>
      </c>
      <c r="C32" s="68">
        <v>2.0</v>
      </c>
      <c r="D32" s="68" t="s">
        <v>746</v>
      </c>
      <c r="E32" s="68" t="s">
        <v>40</v>
      </c>
      <c r="F32" s="68" t="s">
        <v>53</v>
      </c>
      <c r="G32" s="66">
        <v>8600.0</v>
      </c>
      <c r="H32" s="66">
        <v>9685.0</v>
      </c>
      <c r="I32" s="66">
        <v>-1085.0</v>
      </c>
      <c r="J32" s="69">
        <v>-0.112</v>
      </c>
      <c r="K32" s="143" t="s">
        <v>738</v>
      </c>
    </row>
    <row r="33" spans="8:8" ht="14.25" customHeight="1">
      <c r="A33" s="68" t="s">
        <v>752</v>
      </c>
      <c r="B33" s="68" t="s">
        <v>37</v>
      </c>
      <c r="C33" s="68">
        <v>1.0</v>
      </c>
      <c r="D33" s="68" t="s">
        <v>746</v>
      </c>
      <c r="E33" s="68" t="s">
        <v>29</v>
      </c>
      <c r="F33" s="68" t="s">
        <v>54</v>
      </c>
      <c r="G33" s="66">
        <v>8880.0</v>
      </c>
      <c r="H33" s="66">
        <v>9235.0</v>
      </c>
      <c r="I33" s="66">
        <v>-355.0</v>
      </c>
      <c r="J33" s="69">
        <v>-0.0384</v>
      </c>
      <c r="K33" s="143" t="s">
        <v>738</v>
      </c>
    </row>
    <row r="34" spans="8:8" ht="14.25" customHeight="1">
      <c r="A34" s="68" t="s">
        <v>752</v>
      </c>
      <c r="B34" s="68" t="s">
        <v>24</v>
      </c>
      <c r="C34" s="68">
        <v>260.0</v>
      </c>
      <c r="D34" s="68" t="s">
        <v>749</v>
      </c>
      <c r="E34" s="68" t="s">
        <v>25</v>
      </c>
      <c r="F34" s="68" t="s">
        <v>55</v>
      </c>
      <c r="G34" s="66">
        <v>5000.0</v>
      </c>
      <c r="H34" s="66">
        <v>6195.0</v>
      </c>
      <c r="I34" s="66">
        <v>-1195.0</v>
      </c>
      <c r="J34" s="69">
        <v>-0.1929</v>
      </c>
      <c r="K34" s="143" t="s">
        <v>738</v>
      </c>
    </row>
    <row r="35" spans="8:8" ht="14.25" customHeight="1">
      <c r="A35" s="68" t="s">
        <v>752</v>
      </c>
      <c r="B35" s="68" t="s">
        <v>56</v>
      </c>
      <c r="C35" s="68">
        <v>1.0</v>
      </c>
      <c r="D35" s="68" t="s">
        <v>746</v>
      </c>
      <c r="E35" s="68" t="s">
        <v>25</v>
      </c>
      <c r="F35" s="68" t="s">
        <v>55</v>
      </c>
      <c r="G35" s="66">
        <v>24235.0</v>
      </c>
      <c r="H35" s="66">
        <v>28145.0</v>
      </c>
      <c r="I35" s="66">
        <v>-3910.0</v>
      </c>
      <c r="J35" s="69">
        <v>-0.1389</v>
      </c>
      <c r="K35" s="143" t="s">
        <v>738</v>
      </c>
    </row>
    <row r="36" spans="8:8" ht="14.25" customHeight="1">
      <c r="A36" s="68" t="s">
        <v>752</v>
      </c>
      <c r="B36" s="68" t="s">
        <v>27</v>
      </c>
      <c r="C36" s="68">
        <v>5.0</v>
      </c>
      <c r="D36" s="68" t="s">
        <v>746</v>
      </c>
      <c r="E36" s="68" t="s">
        <v>25</v>
      </c>
      <c r="F36" s="68" t="s">
        <v>57</v>
      </c>
      <c r="G36" s="66">
        <v>8020.0</v>
      </c>
      <c r="H36" s="66">
        <v>8355.0</v>
      </c>
      <c r="I36" s="66">
        <v>-335.0</v>
      </c>
      <c r="J36" s="69">
        <v>-0.0401</v>
      </c>
      <c r="K36" s="143" t="s">
        <v>738</v>
      </c>
    </row>
    <row r="37" spans="8:8" ht="14.25" customHeight="1">
      <c r="A37" s="68" t="s">
        <v>752</v>
      </c>
      <c r="B37" s="68" t="s">
        <v>27</v>
      </c>
      <c r="C37" s="68">
        <v>10.0</v>
      </c>
      <c r="D37" s="68" t="s">
        <v>746</v>
      </c>
      <c r="E37" s="68" t="s">
        <v>25</v>
      </c>
      <c r="F37" s="68" t="s">
        <v>58</v>
      </c>
      <c r="G37" s="66">
        <v>8020.0</v>
      </c>
      <c r="H37" s="66">
        <v>8355.0</v>
      </c>
      <c r="I37" s="66">
        <v>-335.0</v>
      </c>
      <c r="J37" s="69">
        <v>-0.0401</v>
      </c>
      <c r="K37" s="143" t="s">
        <v>738</v>
      </c>
    </row>
    <row r="38" spans="8:8" ht="14.25" customHeight="1">
      <c r="A38" s="68" t="s">
        <v>752</v>
      </c>
      <c r="B38" s="68" t="s">
        <v>61</v>
      </c>
      <c r="C38" s="68">
        <v>2.0</v>
      </c>
      <c r="D38" s="68" t="s">
        <v>746</v>
      </c>
      <c r="E38" s="68" t="s">
        <v>59</v>
      </c>
      <c r="F38" s="68" t="s">
        <v>60</v>
      </c>
      <c r="G38" s="66">
        <v>12885.0</v>
      </c>
      <c r="H38" s="66">
        <v>13420.0</v>
      </c>
      <c r="I38" s="66">
        <v>-535.0</v>
      </c>
      <c r="J38" s="69">
        <v>-0.0399</v>
      </c>
      <c r="K38" s="143" t="s">
        <v>738</v>
      </c>
    </row>
    <row r="39" spans="8:8" ht="14.25" customHeight="1">
      <c r="A39" s="68" t="s">
        <v>752</v>
      </c>
      <c r="B39" s="68" t="s">
        <v>62</v>
      </c>
      <c r="C39" s="68">
        <v>2.0</v>
      </c>
      <c r="D39" s="68" t="s">
        <v>746</v>
      </c>
      <c r="E39" s="68" t="s">
        <v>59</v>
      </c>
      <c r="F39" s="68" t="s">
        <v>60</v>
      </c>
      <c r="G39" s="66">
        <v>20655.0</v>
      </c>
      <c r="H39" s="66">
        <v>22040.0</v>
      </c>
      <c r="I39" s="66">
        <v>-1385.0</v>
      </c>
      <c r="J39" s="69">
        <v>-0.0628</v>
      </c>
      <c r="K39" s="143" t="s">
        <v>738</v>
      </c>
    </row>
    <row r="40" spans="8:8" ht="14.25" customHeight="1">
      <c r="A40" s="68" t="s">
        <v>753</v>
      </c>
      <c r="B40" s="68" t="s">
        <v>22</v>
      </c>
      <c r="C40" s="68">
        <v>140.0</v>
      </c>
      <c r="D40" s="68" t="s">
        <v>749</v>
      </c>
      <c r="E40" s="68" t="s">
        <v>63</v>
      </c>
      <c r="F40" s="68" t="s">
        <v>64</v>
      </c>
      <c r="G40" s="66">
        <v>8990.0</v>
      </c>
      <c r="H40" s="66">
        <v>9335.0</v>
      </c>
      <c r="I40" s="66">
        <v>-345.0</v>
      </c>
      <c r="J40" s="69">
        <v>-0.037</v>
      </c>
      <c r="K40" s="143" t="s">
        <v>738</v>
      </c>
    </row>
    <row r="41" spans="8:8" ht="14.25" customHeight="1">
      <c r="A41" s="68" t="s">
        <v>753</v>
      </c>
      <c r="B41" s="68" t="s">
        <v>45</v>
      </c>
      <c r="C41" s="68">
        <v>140.0</v>
      </c>
      <c r="D41" s="68" t="s">
        <v>749</v>
      </c>
      <c r="E41" s="68" t="s">
        <v>63</v>
      </c>
      <c r="F41" s="68" t="s">
        <v>64</v>
      </c>
      <c r="G41" s="66">
        <v>12830.0</v>
      </c>
      <c r="H41" s="66">
        <v>13332.0</v>
      </c>
      <c r="I41" s="66">
        <v>-502.0</v>
      </c>
      <c r="J41" s="69">
        <v>-0.0377</v>
      </c>
      <c r="K41" s="143" t="s">
        <v>738</v>
      </c>
    </row>
    <row r="42" spans="8:8" ht="14.25" customHeight="1">
      <c r="A42" s="68" t="s">
        <v>753</v>
      </c>
      <c r="B42" s="68" t="s">
        <v>65</v>
      </c>
      <c r="C42" s="68">
        <v>84.0</v>
      </c>
      <c r="D42" s="68" t="s">
        <v>749</v>
      </c>
      <c r="E42" s="68" t="s">
        <v>63</v>
      </c>
      <c r="F42" s="68" t="s">
        <v>64</v>
      </c>
      <c r="G42" s="66">
        <v>11315.0</v>
      </c>
      <c r="H42" s="66">
        <v>11910.0</v>
      </c>
      <c r="I42" s="66">
        <v>-595.0</v>
      </c>
      <c r="J42" s="69">
        <v>-0.05</v>
      </c>
      <c r="K42" s="143" t="s">
        <v>738</v>
      </c>
    </row>
    <row r="43" spans="8:8" ht="14.25" customHeight="1">
      <c r="A43" s="68" t="s">
        <v>753</v>
      </c>
      <c r="B43" s="68" t="s">
        <v>45</v>
      </c>
      <c r="C43" s="68">
        <v>280.0</v>
      </c>
      <c r="D43" s="68" t="s">
        <v>749</v>
      </c>
      <c r="E43" s="68" t="s">
        <v>66</v>
      </c>
      <c r="F43" s="68" t="s">
        <v>67</v>
      </c>
      <c r="G43" s="66">
        <v>12930.0</v>
      </c>
      <c r="H43" s="66">
        <v>13332.0</v>
      </c>
      <c r="I43" s="66">
        <v>-402.0</v>
      </c>
      <c r="J43" s="69">
        <v>-0.0302</v>
      </c>
      <c r="K43" s="143" t="s">
        <v>738</v>
      </c>
    </row>
    <row r="44" spans="8:8" ht="14.25" customHeight="1">
      <c r="A44" s="68" t="s">
        <v>753</v>
      </c>
      <c r="B44" s="68" t="s">
        <v>22</v>
      </c>
      <c r="C44" s="68">
        <v>210.0</v>
      </c>
      <c r="D44" s="68" t="s">
        <v>749</v>
      </c>
      <c r="E44" s="68" t="s">
        <v>66</v>
      </c>
      <c r="F44" s="68" t="s">
        <v>67</v>
      </c>
      <c r="G44" s="66">
        <v>8990.0</v>
      </c>
      <c r="H44" s="66">
        <v>9335.0</v>
      </c>
      <c r="I44" s="66">
        <v>-345.0</v>
      </c>
      <c r="J44" s="69">
        <v>-0.037</v>
      </c>
      <c r="K44" s="143" t="s">
        <v>738</v>
      </c>
    </row>
    <row r="45" spans="8:8" ht="14.25" customHeight="1">
      <c r="A45" s="68" t="s">
        <v>753</v>
      </c>
      <c r="B45" s="68" t="s">
        <v>44</v>
      </c>
      <c r="C45" s="68">
        <v>140.0</v>
      </c>
      <c r="D45" s="68" t="s">
        <v>749</v>
      </c>
      <c r="E45" s="68" t="s">
        <v>66</v>
      </c>
      <c r="F45" s="68" t="s">
        <v>67</v>
      </c>
      <c r="G45" s="66">
        <v>8990.0</v>
      </c>
      <c r="H45" s="66">
        <v>9335.0</v>
      </c>
      <c r="I45" s="66">
        <v>-345.0</v>
      </c>
      <c r="J45" s="69">
        <v>-0.037</v>
      </c>
      <c r="K45" s="143" t="s">
        <v>738</v>
      </c>
    </row>
    <row r="46" spans="8:8" ht="14.25" customHeight="1">
      <c r="A46" s="68" t="s">
        <v>753</v>
      </c>
      <c r="B46" s="68" t="s">
        <v>65</v>
      </c>
      <c r="C46" s="68">
        <v>84.0</v>
      </c>
      <c r="D46" s="68" t="s">
        <v>749</v>
      </c>
      <c r="E46" s="68" t="s">
        <v>66</v>
      </c>
      <c r="F46" s="68" t="s">
        <v>67</v>
      </c>
      <c r="G46" s="66">
        <v>11415.0</v>
      </c>
      <c r="H46" s="66">
        <v>11910.0</v>
      </c>
      <c r="I46" s="66">
        <v>-495.0</v>
      </c>
      <c r="J46" s="69">
        <v>-0.0416</v>
      </c>
      <c r="K46" s="143" t="s">
        <v>738</v>
      </c>
    </row>
    <row r="47" spans="8:8" ht="14.25" customHeight="1">
      <c r="A47" s="68" t="s">
        <v>753</v>
      </c>
      <c r="B47" s="68" t="s">
        <v>44</v>
      </c>
      <c r="C47" s="68">
        <v>15.0</v>
      </c>
      <c r="D47" s="68" t="s">
        <v>746</v>
      </c>
      <c r="E47" s="68" t="s">
        <v>29</v>
      </c>
      <c r="F47" s="68" t="s">
        <v>68</v>
      </c>
      <c r="G47" s="66">
        <v>9200.0</v>
      </c>
      <c r="H47" s="66">
        <v>9685.0</v>
      </c>
      <c r="I47" s="66">
        <v>-485.0</v>
      </c>
      <c r="J47" s="69">
        <v>-0.0501</v>
      </c>
      <c r="K47" s="143" t="s">
        <v>738</v>
      </c>
    </row>
    <row r="48" spans="8:8" ht="14.25" customHeight="1">
      <c r="A48" s="68" t="s">
        <v>753</v>
      </c>
      <c r="B48" s="68" t="s">
        <v>45</v>
      </c>
      <c r="C48" s="68">
        <v>10.0</v>
      </c>
      <c r="D48" s="68" t="s">
        <v>746</v>
      </c>
      <c r="E48" s="68" t="s">
        <v>29</v>
      </c>
      <c r="F48" s="68" t="s">
        <v>68</v>
      </c>
      <c r="G48" s="66">
        <v>13335.0</v>
      </c>
      <c r="H48" s="66">
        <v>13932.0</v>
      </c>
      <c r="I48" s="66">
        <v>-597.0</v>
      </c>
      <c r="J48" s="69">
        <v>-0.0429</v>
      </c>
      <c r="K48" s="143" t="s">
        <v>738</v>
      </c>
    </row>
    <row r="49" spans="8:8" ht="14.25" customHeight="1">
      <c r="A49" s="68" t="s">
        <v>753</v>
      </c>
      <c r="B49" s="68" t="s">
        <v>69</v>
      </c>
      <c r="C49" s="68">
        <v>1.0</v>
      </c>
      <c r="D49" s="68" t="s">
        <v>746</v>
      </c>
      <c r="E49" s="68" t="s">
        <v>29</v>
      </c>
      <c r="F49" s="68" t="s">
        <v>68</v>
      </c>
      <c r="G49" s="66">
        <v>14450.0</v>
      </c>
      <c r="H49" s="66">
        <v>15415.0</v>
      </c>
      <c r="I49" s="66">
        <v>-965.0</v>
      </c>
      <c r="J49" s="69">
        <v>-0.0626</v>
      </c>
      <c r="K49" s="143" t="s">
        <v>738</v>
      </c>
    </row>
    <row r="50" spans="8:8" ht="14.25" customHeight="1">
      <c r="A50" s="68" t="s">
        <v>753</v>
      </c>
      <c r="B50" s="68" t="s">
        <v>70</v>
      </c>
      <c r="C50" s="68">
        <v>1.0</v>
      </c>
      <c r="D50" s="68" t="s">
        <v>746</v>
      </c>
      <c r="E50" s="68" t="s">
        <v>29</v>
      </c>
      <c r="F50" s="68" t="s">
        <v>68</v>
      </c>
      <c r="G50" s="66">
        <v>13460.0</v>
      </c>
      <c r="H50" s="66">
        <v>14085.0</v>
      </c>
      <c r="I50" s="66">
        <v>-625.0</v>
      </c>
      <c r="J50" s="69">
        <v>-0.0444</v>
      </c>
      <c r="K50" s="143" t="s">
        <v>738</v>
      </c>
    </row>
    <row r="51" spans="8:8" ht="14.25" customHeight="1">
      <c r="A51" s="68" t="s">
        <v>753</v>
      </c>
      <c r="B51" s="68" t="s">
        <v>37</v>
      </c>
      <c r="C51" s="68">
        <v>5.0</v>
      </c>
      <c r="D51" s="68" t="s">
        <v>746</v>
      </c>
      <c r="E51" s="68" t="s">
        <v>29</v>
      </c>
      <c r="F51" s="68" t="s">
        <v>68</v>
      </c>
      <c r="G51" s="66">
        <v>8880.0</v>
      </c>
      <c r="H51" s="66">
        <v>9235.0</v>
      </c>
      <c r="I51" s="66">
        <v>-355.0</v>
      </c>
      <c r="J51" s="69">
        <v>-0.0384</v>
      </c>
      <c r="K51" s="143" t="s">
        <v>738</v>
      </c>
    </row>
    <row r="52" spans="8:8" ht="14.25" customHeight="1">
      <c r="A52" s="68" t="s">
        <v>753</v>
      </c>
      <c r="B52" s="68" t="s">
        <v>36</v>
      </c>
      <c r="C52" s="68">
        <v>1.0</v>
      </c>
      <c r="D52" s="68" t="s">
        <v>746</v>
      </c>
      <c r="E52" s="68" t="s">
        <v>29</v>
      </c>
      <c r="F52" s="68" t="s">
        <v>68</v>
      </c>
      <c r="G52" s="66">
        <v>15525.0</v>
      </c>
      <c r="H52" s="66">
        <v>16140.0</v>
      </c>
      <c r="I52" s="66">
        <v>-615.0</v>
      </c>
      <c r="J52" s="69">
        <v>-0.0381</v>
      </c>
      <c r="K52" s="143" t="s">
        <v>738</v>
      </c>
    </row>
    <row r="53" spans="8:8" ht="14.25" customHeight="1">
      <c r="A53" s="68" t="s">
        <v>753</v>
      </c>
      <c r="B53" s="68" t="s">
        <v>71</v>
      </c>
      <c r="C53" s="68">
        <v>1.0</v>
      </c>
      <c r="D53" s="68" t="s">
        <v>746</v>
      </c>
      <c r="E53" s="68" t="s">
        <v>29</v>
      </c>
      <c r="F53" s="68" t="s">
        <v>68</v>
      </c>
      <c r="G53" s="66">
        <v>15945.0</v>
      </c>
      <c r="H53" s="66">
        <v>16535.0</v>
      </c>
      <c r="I53" s="66">
        <v>-590.0</v>
      </c>
      <c r="J53" s="69">
        <v>-0.0357</v>
      </c>
      <c r="K53" s="143" t="s">
        <v>738</v>
      </c>
    </row>
    <row r="54" spans="8:8" ht="14.25" customHeight="1">
      <c r="A54" s="68" t="s">
        <v>753</v>
      </c>
      <c r="B54" s="68" t="s">
        <v>65</v>
      </c>
      <c r="C54" s="68">
        <v>5.0</v>
      </c>
      <c r="D54" s="68" t="s">
        <v>746</v>
      </c>
      <c r="E54" s="68" t="s">
        <v>29</v>
      </c>
      <c r="F54" s="68" t="s">
        <v>68</v>
      </c>
      <c r="G54" s="66">
        <v>11910.0</v>
      </c>
      <c r="H54" s="66">
        <v>12525.0</v>
      </c>
      <c r="I54" s="66">
        <v>-615.0</v>
      </c>
      <c r="J54" s="69">
        <v>-0.0491</v>
      </c>
      <c r="K54" s="143" t="s">
        <v>738</v>
      </c>
    </row>
    <row r="55" spans="8:8" ht="14.25" customHeight="1">
      <c r="A55" s="68" t="s">
        <v>753</v>
      </c>
      <c r="B55" s="68" t="s">
        <v>22</v>
      </c>
      <c r="C55" s="68">
        <v>30.0</v>
      </c>
      <c r="D55" s="68" t="s">
        <v>746</v>
      </c>
      <c r="E55" s="68" t="s">
        <v>40</v>
      </c>
      <c r="F55" s="68" t="s">
        <v>72</v>
      </c>
      <c r="G55" s="66">
        <v>8600.0</v>
      </c>
      <c r="H55" s="66">
        <v>9685.0</v>
      </c>
      <c r="I55" s="66">
        <v>-1085.0</v>
      </c>
      <c r="J55" s="69">
        <v>-0.112</v>
      </c>
      <c r="K55" s="143" t="s">
        <v>738</v>
      </c>
    </row>
    <row r="56" spans="8:8" ht="14.25" customHeight="1">
      <c r="A56" s="68" t="s">
        <v>753</v>
      </c>
      <c r="B56" s="68" t="s">
        <v>62</v>
      </c>
      <c r="C56" s="68">
        <v>1.0</v>
      </c>
      <c r="D56" s="68" t="s">
        <v>746</v>
      </c>
      <c r="E56" s="68" t="s">
        <v>29</v>
      </c>
      <c r="F56" s="68" t="s">
        <v>73</v>
      </c>
      <c r="G56" s="66">
        <v>20655.0</v>
      </c>
      <c r="H56" s="66">
        <v>22040.0</v>
      </c>
      <c r="I56" s="66">
        <v>-1385.0</v>
      </c>
      <c r="J56" s="69">
        <v>-0.0628</v>
      </c>
      <c r="K56" s="143" t="s">
        <v>738</v>
      </c>
    </row>
    <row r="57" spans="8:8" ht="14.25" customHeight="1">
      <c r="A57" s="68" t="s">
        <v>753</v>
      </c>
      <c r="B57" s="68" t="s">
        <v>24</v>
      </c>
      <c r="C57" s="68">
        <v>200.0</v>
      </c>
      <c r="D57" s="68" t="s">
        <v>749</v>
      </c>
      <c r="E57" s="68" t="s">
        <v>25</v>
      </c>
      <c r="F57" s="68" t="s">
        <v>74</v>
      </c>
      <c r="G57" s="66">
        <v>5000.0</v>
      </c>
      <c r="H57" s="66">
        <v>6195.0</v>
      </c>
      <c r="I57" s="66">
        <v>-1195.0</v>
      </c>
      <c r="J57" s="69">
        <v>-0.1929</v>
      </c>
      <c r="K57" s="143" t="s">
        <v>738</v>
      </c>
    </row>
    <row r="58" spans="8:8" ht="14.25" customHeight="1">
      <c r="A58" s="68" t="s">
        <v>753</v>
      </c>
      <c r="B58" s="68" t="s">
        <v>77</v>
      </c>
      <c r="C58" s="68">
        <v>24.0</v>
      </c>
      <c r="D58" s="68" t="s">
        <v>746</v>
      </c>
      <c r="E58" s="68" t="s">
        <v>75</v>
      </c>
      <c r="F58" s="68" t="s">
        <v>76</v>
      </c>
      <c r="G58" s="66">
        <v>17840.0</v>
      </c>
      <c r="H58" s="66">
        <v>18395.0</v>
      </c>
      <c r="I58" s="66">
        <v>-555.0</v>
      </c>
      <c r="J58" s="69">
        <v>-0.0302</v>
      </c>
      <c r="K58" s="143" t="s">
        <v>738</v>
      </c>
    </row>
    <row r="59" spans="8:8" ht="14.25" customHeight="1">
      <c r="A59" s="68" t="s">
        <v>753</v>
      </c>
      <c r="B59" s="68" t="s">
        <v>80</v>
      </c>
      <c r="C59" s="68">
        <v>20.0</v>
      </c>
      <c r="D59" s="68" t="s">
        <v>746</v>
      </c>
      <c r="E59" s="68" t="s">
        <v>78</v>
      </c>
      <c r="F59" s="68" t="s">
        <v>79</v>
      </c>
      <c r="G59" s="66">
        <v>9345.0</v>
      </c>
      <c r="H59" s="66">
        <v>9720.0</v>
      </c>
      <c r="I59" s="66">
        <v>-375.0</v>
      </c>
      <c r="J59" s="69">
        <v>-0.0386</v>
      </c>
      <c r="K59" s="143" t="s">
        <v>738</v>
      </c>
    </row>
    <row r="60" spans="8:8" ht="14.25" customHeight="1">
      <c r="A60" s="68" t="s">
        <v>753</v>
      </c>
      <c r="B60" s="68" t="s">
        <v>24</v>
      </c>
      <c r="C60" s="68">
        <v>2.0</v>
      </c>
      <c r="D60" s="68" t="s">
        <v>746</v>
      </c>
      <c r="E60" s="68" t="s">
        <v>81</v>
      </c>
      <c r="F60" s="68" t="s">
        <v>82</v>
      </c>
      <c r="G60" s="66">
        <v>5400.0</v>
      </c>
      <c r="H60" s="66">
        <v>6530.0</v>
      </c>
      <c r="I60" s="66">
        <v>-1130.0</v>
      </c>
      <c r="J60" s="69">
        <v>-0.173</v>
      </c>
      <c r="K60" s="143" t="s">
        <v>738</v>
      </c>
    </row>
    <row r="61" spans="8:8" ht="14.25" customHeight="1">
      <c r="A61" s="68" t="s">
        <v>753</v>
      </c>
      <c r="B61" s="68" t="s">
        <v>43</v>
      </c>
      <c r="C61" s="68">
        <v>2.0</v>
      </c>
      <c r="D61" s="68" t="s">
        <v>746</v>
      </c>
      <c r="E61" s="68" t="s">
        <v>81</v>
      </c>
      <c r="F61" s="68" t="s">
        <v>82</v>
      </c>
      <c r="G61" s="66">
        <v>18300.0</v>
      </c>
      <c r="H61" s="66">
        <v>18100.0</v>
      </c>
      <c r="I61" s="66">
        <v>200.0</v>
      </c>
      <c r="J61" s="69">
        <v>0.011</v>
      </c>
      <c r="K61" s="145" t="s">
        <v>744</v>
      </c>
    </row>
    <row r="62" spans="8:8" ht="14.25" customHeight="1">
      <c r="A62" s="68" t="s">
        <v>753</v>
      </c>
      <c r="B62" s="68" t="s">
        <v>44</v>
      </c>
      <c r="C62" s="68">
        <v>1.0</v>
      </c>
      <c r="D62" s="68" t="s">
        <v>746</v>
      </c>
      <c r="E62" s="68" t="s">
        <v>81</v>
      </c>
      <c r="F62" s="68" t="s">
        <v>82</v>
      </c>
      <c r="G62" s="66">
        <v>9200.0</v>
      </c>
      <c r="H62" s="66">
        <v>9685.0</v>
      </c>
      <c r="I62" s="66">
        <v>-485.0</v>
      </c>
      <c r="J62" s="69">
        <v>-0.0501</v>
      </c>
      <c r="K62" s="143" t="s">
        <v>738</v>
      </c>
    </row>
    <row r="63" spans="8:8" ht="14.25" customHeight="1">
      <c r="A63" s="68" t="s">
        <v>753</v>
      </c>
      <c r="B63" s="68" t="s">
        <v>37</v>
      </c>
      <c r="C63" s="68">
        <v>1.0</v>
      </c>
      <c r="D63" s="68" t="s">
        <v>746</v>
      </c>
      <c r="E63" s="68" t="s">
        <v>81</v>
      </c>
      <c r="F63" s="68" t="s">
        <v>82</v>
      </c>
      <c r="G63" s="66">
        <v>9200.0</v>
      </c>
      <c r="H63" s="66">
        <v>9235.0</v>
      </c>
      <c r="I63" s="66">
        <v>-35.0</v>
      </c>
      <c r="J63" s="69">
        <v>-0.0038</v>
      </c>
      <c r="K63" s="146" t="s">
        <v>747</v>
      </c>
    </row>
    <row r="64" spans="8:8" ht="14.25" customHeight="1">
      <c r="A64" s="68" t="s">
        <v>753</v>
      </c>
      <c r="B64" s="68" t="s">
        <v>22</v>
      </c>
      <c r="C64" s="68">
        <v>1.0</v>
      </c>
      <c r="D64" s="68" t="s">
        <v>746</v>
      </c>
      <c r="E64" s="68" t="s">
        <v>81</v>
      </c>
      <c r="F64" s="68" t="s">
        <v>82</v>
      </c>
      <c r="G64" s="66">
        <v>9200.0</v>
      </c>
      <c r="H64" s="66">
        <v>9685.0</v>
      </c>
      <c r="I64" s="66">
        <v>-485.0</v>
      </c>
      <c r="J64" s="69">
        <v>-0.0501</v>
      </c>
      <c r="K64" s="143" t="s">
        <v>738</v>
      </c>
    </row>
    <row r="65" spans="8:8" ht="14.25" customHeight="1">
      <c r="A65" s="68" t="s">
        <v>753</v>
      </c>
      <c r="B65" s="68" t="s">
        <v>31</v>
      </c>
      <c r="C65" s="68">
        <v>40.0</v>
      </c>
      <c r="D65" s="68" t="s">
        <v>746</v>
      </c>
      <c r="E65" s="68" t="s">
        <v>50</v>
      </c>
      <c r="F65" s="68" t="s">
        <v>83</v>
      </c>
      <c r="G65" s="66">
        <v>17750.0</v>
      </c>
      <c r="H65" s="66">
        <v>18615.0</v>
      </c>
      <c r="I65" s="66">
        <v>-865.0</v>
      </c>
      <c r="J65" s="69">
        <v>-0.0465</v>
      </c>
      <c r="K65" s="143" t="s">
        <v>738</v>
      </c>
    </row>
    <row r="66" spans="8:8" ht="14.25" customHeight="1">
      <c r="A66" s="68" t="s">
        <v>753</v>
      </c>
      <c r="B66" s="68" t="s">
        <v>87</v>
      </c>
      <c r="C66" s="68">
        <v>2.0</v>
      </c>
      <c r="D66" s="68" t="s">
        <v>746</v>
      </c>
      <c r="E66" s="68" t="s">
        <v>85</v>
      </c>
      <c r="F66" s="68" t="s">
        <v>86</v>
      </c>
      <c r="G66" s="66">
        <v>22565.0</v>
      </c>
      <c r="H66" s="66">
        <v>22565.0</v>
      </c>
      <c r="I66" s="66">
        <v>0.0</v>
      </c>
      <c r="J66" s="69">
        <v>0.0</v>
      </c>
      <c r="K66" s="146" t="s">
        <v>747</v>
      </c>
    </row>
    <row r="67" spans="8:8" ht="14.25" customHeight="1">
      <c r="A67" s="68" t="s">
        <v>753</v>
      </c>
      <c r="B67" s="68" t="s">
        <v>45</v>
      </c>
      <c r="C67" s="68">
        <v>2.0</v>
      </c>
      <c r="D67" s="68" t="s">
        <v>746</v>
      </c>
      <c r="E67" s="68" t="s">
        <v>85</v>
      </c>
      <c r="F67" s="68" t="s">
        <v>86</v>
      </c>
      <c r="G67" s="66">
        <v>13950.0</v>
      </c>
      <c r="H67" s="66">
        <v>13932.0</v>
      </c>
      <c r="I67" s="66">
        <v>18.0</v>
      </c>
      <c r="J67" s="69">
        <v>0.0013</v>
      </c>
      <c r="K67" s="146" t="s">
        <v>747</v>
      </c>
    </row>
    <row r="68" spans="8:8" ht="14.25" customHeight="1">
      <c r="A68" s="68" t="s">
        <v>753</v>
      </c>
      <c r="B68" s="68" t="s">
        <v>22</v>
      </c>
      <c r="C68" s="68">
        <v>1.0</v>
      </c>
      <c r="D68" s="68" t="s">
        <v>746</v>
      </c>
      <c r="E68" s="68" t="s">
        <v>85</v>
      </c>
      <c r="F68" s="68" t="s">
        <v>86</v>
      </c>
      <c r="G68" s="66">
        <v>9300.0</v>
      </c>
      <c r="H68" s="66">
        <v>9685.0</v>
      </c>
      <c r="I68" s="66">
        <v>-385.0</v>
      </c>
      <c r="J68" s="69">
        <v>-0.0398</v>
      </c>
      <c r="K68" s="143" t="s">
        <v>738</v>
      </c>
    </row>
    <row r="69" spans="8:8" ht="14.25" customHeight="1">
      <c r="A69" s="68" t="s">
        <v>753</v>
      </c>
      <c r="B69" s="68" t="s">
        <v>31</v>
      </c>
      <c r="C69" s="68">
        <v>30.0</v>
      </c>
      <c r="D69" s="68" t="s">
        <v>746</v>
      </c>
      <c r="E69" s="68" t="s">
        <v>50</v>
      </c>
      <c r="F69" s="68" t="s">
        <v>88</v>
      </c>
      <c r="G69" s="66">
        <v>17200.0</v>
      </c>
      <c r="H69" s="66">
        <v>18615.0</v>
      </c>
      <c r="I69" s="66">
        <v>-1415.0</v>
      </c>
      <c r="J69" s="69">
        <v>-0.076</v>
      </c>
      <c r="K69" s="143" t="s">
        <v>738</v>
      </c>
    </row>
    <row r="70" spans="8:8" ht="14.25" customHeight="1">
      <c r="A70" s="68" t="s">
        <v>754</v>
      </c>
      <c r="B70" s="68" t="s">
        <v>21</v>
      </c>
      <c r="C70" s="68">
        <v>3.0</v>
      </c>
      <c r="D70" s="68" t="s">
        <v>746</v>
      </c>
      <c r="E70" s="68" t="s">
        <v>15</v>
      </c>
      <c r="F70" s="68" t="s">
        <v>89</v>
      </c>
      <c r="G70" s="66">
        <v>9000.0</v>
      </c>
      <c r="H70" s="66">
        <v>9190.0</v>
      </c>
      <c r="I70" s="66">
        <v>-190.0</v>
      </c>
      <c r="J70" s="69">
        <v>-0.0207</v>
      </c>
      <c r="K70" s="143" t="s">
        <v>738</v>
      </c>
    </row>
    <row r="71" spans="8:8" ht="14.25" customHeight="1">
      <c r="A71" s="68" t="s">
        <v>754</v>
      </c>
      <c r="B71" s="68" t="s">
        <v>24</v>
      </c>
      <c r="C71" s="68">
        <v>30.0</v>
      </c>
      <c r="D71" s="68" t="s">
        <v>746</v>
      </c>
      <c r="E71" s="68" t="s">
        <v>15</v>
      </c>
      <c r="F71" s="68" t="s">
        <v>90</v>
      </c>
      <c r="G71" s="66">
        <v>5000.0</v>
      </c>
      <c r="H71" s="66">
        <v>6530.0</v>
      </c>
      <c r="I71" s="66">
        <v>-1530.0</v>
      </c>
      <c r="J71" s="69">
        <v>-0.2343</v>
      </c>
      <c r="K71" s="143" t="s">
        <v>738</v>
      </c>
    </row>
    <row r="72" spans="8:8" ht="14.25" customHeight="1">
      <c r="A72" s="68" t="s">
        <v>754</v>
      </c>
      <c r="B72" s="68" t="s">
        <v>24</v>
      </c>
      <c r="C72" s="68">
        <v>248.0</v>
      </c>
      <c r="D72" s="68" t="s">
        <v>749</v>
      </c>
      <c r="E72" s="68" t="s">
        <v>50</v>
      </c>
      <c r="F72" s="68" t="s">
        <v>91</v>
      </c>
      <c r="G72" s="66">
        <v>5000.0</v>
      </c>
      <c r="H72" s="66">
        <v>6195.0</v>
      </c>
      <c r="I72" s="66">
        <v>-1195.0</v>
      </c>
      <c r="J72" s="69">
        <v>-0.1929</v>
      </c>
      <c r="K72" s="143" t="s">
        <v>738</v>
      </c>
    </row>
    <row r="73" spans="8:8" ht="14.25" customHeight="1">
      <c r="A73" s="68" t="s">
        <v>754</v>
      </c>
      <c r="B73" s="68" t="s">
        <v>31</v>
      </c>
      <c r="C73" s="68">
        <v>5.0</v>
      </c>
      <c r="D73" s="68" t="s">
        <v>746</v>
      </c>
      <c r="E73" s="68" t="s">
        <v>50</v>
      </c>
      <c r="F73" s="68" t="s">
        <v>91</v>
      </c>
      <c r="G73" s="66">
        <v>17200.0</v>
      </c>
      <c r="H73" s="66">
        <v>18615.0</v>
      </c>
      <c r="I73" s="66">
        <v>-1415.0</v>
      </c>
      <c r="J73" s="69">
        <v>-0.076</v>
      </c>
      <c r="K73" s="143" t="s">
        <v>738</v>
      </c>
    </row>
    <row r="74" spans="8:8" ht="14.25" customHeight="1">
      <c r="A74" s="68" t="s">
        <v>754</v>
      </c>
      <c r="B74" s="68" t="s">
        <v>93</v>
      </c>
      <c r="C74" s="68">
        <v>5.0</v>
      </c>
      <c r="D74" s="68" t="s">
        <v>746</v>
      </c>
      <c r="E74" s="68" t="s">
        <v>50</v>
      </c>
      <c r="F74" s="68" t="s">
        <v>92</v>
      </c>
      <c r="G74" s="66">
        <v>11230.0</v>
      </c>
      <c r="H74" s="66">
        <v>12090.0</v>
      </c>
      <c r="I74" s="66">
        <v>-860.0</v>
      </c>
      <c r="J74" s="69">
        <v>-0.0711</v>
      </c>
      <c r="K74" s="143" t="s">
        <v>738</v>
      </c>
    </row>
    <row r="75" spans="8:8" ht="14.25" customHeight="1">
      <c r="A75" s="68" t="s">
        <v>754</v>
      </c>
      <c r="B75" s="68" t="s">
        <v>31</v>
      </c>
      <c r="C75" s="68">
        <v>5.0</v>
      </c>
      <c r="D75" s="68" t="s">
        <v>746</v>
      </c>
      <c r="E75" s="68" t="s">
        <v>50</v>
      </c>
      <c r="F75" s="68" t="s">
        <v>92</v>
      </c>
      <c r="G75" s="66">
        <v>17200.0</v>
      </c>
      <c r="H75" s="66">
        <v>18615.0</v>
      </c>
      <c r="I75" s="66">
        <v>-1415.0</v>
      </c>
      <c r="J75" s="69">
        <v>-0.076</v>
      </c>
      <c r="K75" s="143" t="s">
        <v>738</v>
      </c>
    </row>
    <row r="76" spans="8:8" ht="14.25" customHeight="1">
      <c r="A76" s="68" t="s">
        <v>754</v>
      </c>
      <c r="B76" s="68" t="s">
        <v>33</v>
      </c>
      <c r="C76" s="68">
        <v>20.0</v>
      </c>
      <c r="D76" s="68" t="s">
        <v>746</v>
      </c>
      <c r="E76" s="68" t="s">
        <v>50</v>
      </c>
      <c r="F76" s="68" t="s">
        <v>92</v>
      </c>
      <c r="G76" s="66">
        <v>15655.0</v>
      </c>
      <c r="H76" s="66">
        <v>16735.0</v>
      </c>
      <c r="I76" s="66">
        <v>-1080.0</v>
      </c>
      <c r="J76" s="69">
        <v>-0.0645</v>
      </c>
      <c r="K76" s="143" t="s">
        <v>738</v>
      </c>
    </row>
    <row r="77" spans="8:8" ht="14.25" customHeight="1">
      <c r="A77" s="68" t="s">
        <v>754</v>
      </c>
      <c r="B77" s="68" t="s">
        <v>28</v>
      </c>
      <c r="C77" s="68">
        <v>30.0</v>
      </c>
      <c r="D77" s="68" t="s">
        <v>746</v>
      </c>
      <c r="E77" s="68" t="s">
        <v>50</v>
      </c>
      <c r="F77" s="68" t="s">
        <v>92</v>
      </c>
      <c r="G77" s="66">
        <v>12900.0</v>
      </c>
      <c r="H77" s="66">
        <v>15015.0</v>
      </c>
      <c r="I77" s="66">
        <v>-2115.0</v>
      </c>
      <c r="J77" s="69">
        <v>-0.1409</v>
      </c>
      <c r="K77" s="143" t="s">
        <v>738</v>
      </c>
    </row>
    <row r="78" spans="8:8" ht="14.25" customHeight="1">
      <c r="A78" s="68" t="s">
        <v>754</v>
      </c>
      <c r="B78" s="68" t="s">
        <v>21</v>
      </c>
      <c r="C78" s="68">
        <v>50.0</v>
      </c>
      <c r="D78" s="68" t="s">
        <v>749</v>
      </c>
      <c r="E78" s="68" t="s">
        <v>25</v>
      </c>
      <c r="F78" s="68" t="s">
        <v>94</v>
      </c>
      <c r="G78" s="66">
        <v>8300.0</v>
      </c>
      <c r="H78" s="66">
        <v>8870.0</v>
      </c>
      <c r="I78" s="66">
        <v>-570.0</v>
      </c>
      <c r="J78" s="69">
        <v>-0.0643</v>
      </c>
      <c r="K78" s="143" t="s">
        <v>738</v>
      </c>
    </row>
    <row r="79" spans="8:8" ht="14.25" customHeight="1">
      <c r="A79" s="68" t="s">
        <v>754</v>
      </c>
      <c r="B79" s="68" t="s">
        <v>70</v>
      </c>
      <c r="C79" s="68">
        <v>3.0</v>
      </c>
      <c r="D79" s="68" t="s">
        <v>746</v>
      </c>
      <c r="E79" s="68" t="s">
        <v>95</v>
      </c>
      <c r="F79" s="68" t="s">
        <v>96</v>
      </c>
      <c r="G79" s="66">
        <v>13460.0</v>
      </c>
      <c r="H79" s="66">
        <v>14085.0</v>
      </c>
      <c r="I79" s="66">
        <v>-625.0</v>
      </c>
      <c r="J79" s="69">
        <v>-0.0444</v>
      </c>
      <c r="K79" s="143" t="s">
        <v>738</v>
      </c>
    </row>
    <row r="80" spans="8:8" ht="14.25" customHeight="1">
      <c r="A80" s="68" t="s">
        <v>754</v>
      </c>
      <c r="B80" s="68" t="s">
        <v>45</v>
      </c>
      <c r="C80" s="68">
        <v>300.0</v>
      </c>
      <c r="D80" s="68" t="s">
        <v>755</v>
      </c>
      <c r="E80" s="68" t="s">
        <v>97</v>
      </c>
      <c r="F80" s="68" t="s">
        <v>98</v>
      </c>
      <c r="G80" s="66">
        <v>12830.0</v>
      </c>
      <c r="H80" s="66">
        <v>12730.0</v>
      </c>
      <c r="I80" s="66">
        <v>100.0</v>
      </c>
      <c r="J80" s="69">
        <v>0.0079</v>
      </c>
      <c r="K80" s="146" t="s">
        <v>747</v>
      </c>
    </row>
    <row r="81" spans="8:8" ht="14.25" customHeight="1">
      <c r="A81" s="68" t="s">
        <v>754</v>
      </c>
      <c r="B81" s="68" t="s">
        <v>100</v>
      </c>
      <c r="C81" s="68">
        <v>40.0</v>
      </c>
      <c r="D81" s="68" t="s">
        <v>746</v>
      </c>
      <c r="E81" s="68" t="s">
        <v>97</v>
      </c>
      <c r="F81" s="68" t="s">
        <v>98</v>
      </c>
      <c r="G81" s="66">
        <v>10915.0</v>
      </c>
      <c r="H81" s="66">
        <v>12045.0</v>
      </c>
      <c r="I81" s="66">
        <v>-1130.0</v>
      </c>
      <c r="J81" s="69">
        <v>-0.0938</v>
      </c>
      <c r="K81" s="143" t="s">
        <v>738</v>
      </c>
    </row>
    <row r="82" spans="8:8" ht="14.25" customHeight="1">
      <c r="A82" s="68" t="s">
        <v>754</v>
      </c>
      <c r="B82" s="68" t="s">
        <v>101</v>
      </c>
      <c r="C82" s="68">
        <v>10.0</v>
      </c>
      <c r="D82" s="68" t="s">
        <v>746</v>
      </c>
      <c r="E82" s="68" t="s">
        <v>97</v>
      </c>
      <c r="F82" s="68" t="s">
        <v>98</v>
      </c>
      <c r="G82" s="66">
        <v>12920.0</v>
      </c>
      <c r="H82" s="66">
        <v>14455.0</v>
      </c>
      <c r="I82" s="66">
        <v>-1535.0</v>
      </c>
      <c r="J82" s="69">
        <v>-0.1062</v>
      </c>
      <c r="K82" s="143" t="s">
        <v>738</v>
      </c>
    </row>
    <row r="83" spans="8:8" ht="14.25" customHeight="1">
      <c r="A83" s="68" t="s">
        <v>754</v>
      </c>
      <c r="B83" s="68" t="s">
        <v>22</v>
      </c>
      <c r="C83" s="68">
        <v>1.0</v>
      </c>
      <c r="D83" s="68" t="s">
        <v>746</v>
      </c>
      <c r="E83" s="68" t="s">
        <v>102</v>
      </c>
      <c r="F83" s="68" t="s">
        <v>103</v>
      </c>
      <c r="G83" s="66">
        <v>9500.0</v>
      </c>
      <c r="H83" s="66">
        <v>9685.0</v>
      </c>
      <c r="I83" s="66">
        <v>-185.0</v>
      </c>
      <c r="J83" s="69">
        <v>-0.0191</v>
      </c>
      <c r="K83" s="143" t="s">
        <v>738</v>
      </c>
    </row>
    <row r="84" spans="8:8" ht="14.25" customHeight="1">
      <c r="A84" s="68" t="s">
        <v>754</v>
      </c>
      <c r="B84" s="68" t="s">
        <v>24</v>
      </c>
      <c r="C84" s="68">
        <v>5.0</v>
      </c>
      <c r="D84" s="68" t="s">
        <v>746</v>
      </c>
      <c r="E84" s="68" t="s">
        <v>104</v>
      </c>
      <c r="F84" s="68" t="s">
        <v>105</v>
      </c>
      <c r="G84" s="66">
        <v>5300.0</v>
      </c>
      <c r="H84" s="66">
        <v>6530.0</v>
      </c>
      <c r="I84" s="66">
        <v>-1230.0</v>
      </c>
      <c r="J84" s="69">
        <v>-0.1884</v>
      </c>
      <c r="K84" s="143" t="s">
        <v>738</v>
      </c>
    </row>
    <row r="85" spans="8:8" ht="14.25" customHeight="1">
      <c r="A85" s="68" t="s">
        <v>754</v>
      </c>
      <c r="B85" s="68" t="s">
        <v>31</v>
      </c>
      <c r="C85" s="68">
        <v>1.0</v>
      </c>
      <c r="D85" s="68" t="s">
        <v>746</v>
      </c>
      <c r="E85" s="68" t="s">
        <v>104</v>
      </c>
      <c r="F85" s="68" t="s">
        <v>105</v>
      </c>
      <c r="G85" s="66">
        <v>17840.0</v>
      </c>
      <c r="H85" s="66">
        <v>18615.0</v>
      </c>
      <c r="I85" s="66">
        <v>-775.0</v>
      </c>
      <c r="J85" s="69">
        <v>-0.0416</v>
      </c>
      <c r="K85" s="143" t="s">
        <v>738</v>
      </c>
    </row>
    <row r="86" spans="8:8" ht="14.25" customHeight="1">
      <c r="A86" s="68" t="s">
        <v>756</v>
      </c>
      <c r="B86" s="68" t="s">
        <v>24</v>
      </c>
      <c r="C86" s="68">
        <v>330.0</v>
      </c>
      <c r="D86" s="68" t="s">
        <v>755</v>
      </c>
      <c r="E86" s="68" t="s">
        <v>106</v>
      </c>
      <c r="F86" s="68" t="s">
        <v>107</v>
      </c>
      <c r="G86" s="66">
        <v>4950.0</v>
      </c>
      <c r="H86" s="66">
        <v>5970.0</v>
      </c>
      <c r="I86" s="66">
        <v>-1020.0</v>
      </c>
      <c r="J86" s="69">
        <v>-0.1709</v>
      </c>
      <c r="K86" s="143" t="s">
        <v>738</v>
      </c>
    </row>
    <row r="87" spans="8:8" ht="14.25" customHeight="1">
      <c r="A87" s="68" t="s">
        <v>756</v>
      </c>
      <c r="B87" s="68" t="s">
        <v>27</v>
      </c>
      <c r="C87" s="68">
        <v>130.0</v>
      </c>
      <c r="D87" s="68" t="s">
        <v>749</v>
      </c>
      <c r="E87" s="68" t="s">
        <v>106</v>
      </c>
      <c r="F87" s="68" t="s">
        <v>107</v>
      </c>
      <c r="G87" s="66">
        <v>7800.0</v>
      </c>
      <c r="H87" s="66">
        <v>8020.0</v>
      </c>
      <c r="I87" s="66">
        <v>-220.0</v>
      </c>
      <c r="J87" s="69">
        <v>-0.0274</v>
      </c>
      <c r="K87" s="143" t="s">
        <v>738</v>
      </c>
    </row>
    <row r="88" spans="8:8" ht="14.25" customHeight="1">
      <c r="A88" s="68" t="s">
        <v>756</v>
      </c>
      <c r="B88" s="68" t="s">
        <v>45</v>
      </c>
      <c r="C88" s="68">
        <v>60.0</v>
      </c>
      <c r="D88" s="68" t="s">
        <v>749</v>
      </c>
      <c r="E88" s="68" t="s">
        <v>25</v>
      </c>
      <c r="F88" s="68" t="s">
        <v>108</v>
      </c>
      <c r="G88" s="66">
        <v>13335.0</v>
      </c>
      <c r="H88" s="66">
        <v>13332.0</v>
      </c>
      <c r="I88" s="66">
        <v>3.0</v>
      </c>
      <c r="J88" s="69">
        <v>2.0E-4</v>
      </c>
      <c r="K88" s="146" t="s">
        <v>747</v>
      </c>
    </row>
    <row r="89" spans="8:8" ht="14.25" customHeight="1">
      <c r="A89" s="68" t="s">
        <v>756</v>
      </c>
      <c r="B89" s="68" t="s">
        <v>43</v>
      </c>
      <c r="C89" s="68">
        <v>1.0</v>
      </c>
      <c r="D89" s="68" t="s">
        <v>746</v>
      </c>
      <c r="E89" s="68" t="s">
        <v>109</v>
      </c>
      <c r="F89" s="68" t="s">
        <v>110</v>
      </c>
      <c r="G89" s="66">
        <v>18300.0</v>
      </c>
      <c r="H89" s="66">
        <v>18100.0</v>
      </c>
      <c r="I89" s="66">
        <v>200.0</v>
      </c>
      <c r="J89" s="69">
        <v>0.011</v>
      </c>
      <c r="K89" s="145" t="s">
        <v>744</v>
      </c>
    </row>
    <row r="90" spans="8:8" ht="14.25" customHeight="1">
      <c r="A90" s="68" t="s">
        <v>756</v>
      </c>
      <c r="B90" s="68" t="s">
        <v>44</v>
      </c>
      <c r="C90" s="68">
        <v>30.0</v>
      </c>
      <c r="D90" s="68" t="s">
        <v>746</v>
      </c>
      <c r="E90" s="68" t="s">
        <v>25</v>
      </c>
      <c r="F90" s="68" t="s">
        <v>111</v>
      </c>
      <c r="G90" s="66">
        <v>9200.0</v>
      </c>
      <c r="H90" s="66">
        <v>9685.0</v>
      </c>
      <c r="I90" s="66">
        <v>-485.0</v>
      </c>
      <c r="J90" s="69">
        <v>-0.0501</v>
      </c>
      <c r="K90" s="143" t="s">
        <v>738</v>
      </c>
    </row>
    <row r="91" spans="8:8" ht="14.25" customHeight="1">
      <c r="A91" s="68" t="s">
        <v>756</v>
      </c>
      <c r="B91" s="68" t="s">
        <v>22</v>
      </c>
      <c r="C91" s="68">
        <v>30.0</v>
      </c>
      <c r="D91" s="68" t="s">
        <v>746</v>
      </c>
      <c r="E91" s="68" t="s">
        <v>25</v>
      </c>
      <c r="F91" s="68" t="s">
        <v>111</v>
      </c>
      <c r="G91" s="66">
        <v>9200.0</v>
      </c>
      <c r="H91" s="66">
        <v>9685.0</v>
      </c>
      <c r="I91" s="66">
        <v>-485.0</v>
      </c>
      <c r="J91" s="69">
        <v>-0.0501</v>
      </c>
      <c r="K91" s="143" t="s">
        <v>738</v>
      </c>
    </row>
    <row r="92" spans="8:8" ht="14.25" customHeight="1">
      <c r="A92" s="68" t="s">
        <v>756</v>
      </c>
      <c r="B92" s="68" t="s">
        <v>21</v>
      </c>
      <c r="C92" s="68">
        <v>20.0</v>
      </c>
      <c r="D92" s="68" t="s">
        <v>746</v>
      </c>
      <c r="E92" s="68" t="s">
        <v>25</v>
      </c>
      <c r="F92" s="68" t="s">
        <v>111</v>
      </c>
      <c r="G92" s="66">
        <v>8300.0</v>
      </c>
      <c r="H92" s="66">
        <v>9190.0</v>
      </c>
      <c r="I92" s="66">
        <v>-890.0</v>
      </c>
      <c r="J92" s="69">
        <v>-0.0968</v>
      </c>
      <c r="K92" s="143" t="s">
        <v>738</v>
      </c>
    </row>
    <row r="93" spans="8:8" ht="14.25" customHeight="1">
      <c r="A93" s="68" t="s">
        <v>756</v>
      </c>
      <c r="B93" s="68" t="s">
        <v>37</v>
      </c>
      <c r="C93" s="68">
        <v>12.0</v>
      </c>
      <c r="D93" s="68" t="s">
        <v>746</v>
      </c>
      <c r="E93" s="68" t="s">
        <v>25</v>
      </c>
      <c r="F93" s="68" t="s">
        <v>111</v>
      </c>
      <c r="G93" s="66">
        <v>9200.0</v>
      </c>
      <c r="H93" s="66">
        <v>9235.0</v>
      </c>
      <c r="I93" s="66">
        <v>-35.0</v>
      </c>
      <c r="J93" s="69">
        <v>-0.0038</v>
      </c>
      <c r="K93" s="146" t="s">
        <v>747</v>
      </c>
    </row>
    <row r="94" spans="8:8" ht="14.25" customHeight="1">
      <c r="A94" s="68" t="s">
        <v>756</v>
      </c>
      <c r="B94" s="68" t="s">
        <v>44</v>
      </c>
      <c r="C94" s="68">
        <v>21.0</v>
      </c>
      <c r="D94" s="68" t="s">
        <v>746</v>
      </c>
      <c r="E94" s="68" t="s">
        <v>29</v>
      </c>
      <c r="F94" s="68" t="s">
        <v>112</v>
      </c>
      <c r="G94" s="66">
        <v>9200.0</v>
      </c>
      <c r="H94" s="66">
        <v>9685.0</v>
      </c>
      <c r="I94" s="66">
        <v>-485.0</v>
      </c>
      <c r="J94" s="69">
        <v>-0.0501</v>
      </c>
      <c r="K94" s="143" t="s">
        <v>738</v>
      </c>
    </row>
    <row r="95" spans="8:8" ht="14.25" customHeight="1">
      <c r="A95" s="68" t="s">
        <v>756</v>
      </c>
      <c r="B95" s="68" t="s">
        <v>45</v>
      </c>
      <c r="C95" s="68">
        <v>7.0</v>
      </c>
      <c r="D95" s="68" t="s">
        <v>746</v>
      </c>
      <c r="E95" s="68" t="s">
        <v>29</v>
      </c>
      <c r="F95" s="68" t="s">
        <v>112</v>
      </c>
      <c r="G95" s="66">
        <v>13335.0</v>
      </c>
      <c r="H95" s="66">
        <v>13932.0</v>
      </c>
      <c r="I95" s="66">
        <v>-597.0</v>
      </c>
      <c r="J95" s="69">
        <v>-0.0429</v>
      </c>
      <c r="K95" s="143" t="s">
        <v>738</v>
      </c>
    </row>
    <row r="96" spans="8:8" ht="14.25" customHeight="1">
      <c r="A96" s="68" t="s">
        <v>756</v>
      </c>
      <c r="B96" s="68" t="s">
        <v>65</v>
      </c>
      <c r="C96" s="68">
        <v>1.0</v>
      </c>
      <c r="D96" s="68" t="s">
        <v>746</v>
      </c>
      <c r="E96" s="68" t="s">
        <v>29</v>
      </c>
      <c r="F96" s="68" t="s">
        <v>112</v>
      </c>
      <c r="G96" s="66">
        <v>11910.0</v>
      </c>
      <c r="H96" s="66">
        <v>12525.0</v>
      </c>
      <c r="I96" s="66">
        <v>-615.0</v>
      </c>
      <c r="J96" s="69">
        <v>-0.0491</v>
      </c>
      <c r="K96" s="143" t="s">
        <v>738</v>
      </c>
    </row>
    <row r="97" spans="8:8" ht="14.25" customHeight="1">
      <c r="A97" s="68" t="s">
        <v>756</v>
      </c>
      <c r="B97" s="68" t="s">
        <v>113</v>
      </c>
      <c r="C97" s="68">
        <v>1.0</v>
      </c>
      <c r="D97" s="68" t="s">
        <v>746</v>
      </c>
      <c r="E97" s="68" t="s">
        <v>29</v>
      </c>
      <c r="F97" s="68" t="s">
        <v>112</v>
      </c>
      <c r="G97" s="66">
        <v>14575.0</v>
      </c>
      <c r="H97" s="66">
        <v>15765.0</v>
      </c>
      <c r="I97" s="66">
        <v>-1190.0</v>
      </c>
      <c r="J97" s="69">
        <v>-0.0755</v>
      </c>
      <c r="K97" s="143" t="s">
        <v>738</v>
      </c>
    </row>
    <row r="98" spans="8:8" ht="14.25" customHeight="1">
      <c r="A98" s="68" t="s">
        <v>756</v>
      </c>
      <c r="B98" s="68" t="s">
        <v>22</v>
      </c>
      <c r="C98" s="68">
        <v>4.0</v>
      </c>
      <c r="D98" s="68" t="s">
        <v>746</v>
      </c>
      <c r="E98" s="68" t="s">
        <v>40</v>
      </c>
      <c r="F98" s="68" t="s">
        <v>114</v>
      </c>
      <c r="G98" s="66">
        <v>8600.0</v>
      </c>
      <c r="H98" s="66">
        <v>9685.0</v>
      </c>
      <c r="I98" s="66">
        <v>-1085.0</v>
      </c>
      <c r="J98" s="69">
        <v>-0.112</v>
      </c>
      <c r="K98" s="143" t="s">
        <v>738</v>
      </c>
    </row>
    <row r="99" spans="8:8" ht="14.25" customHeight="1">
      <c r="A99" s="68" t="s">
        <v>756</v>
      </c>
      <c r="B99" s="68" t="s">
        <v>24</v>
      </c>
      <c r="C99" s="68">
        <v>100.0</v>
      </c>
      <c r="D99" s="68" t="s">
        <v>749</v>
      </c>
      <c r="E99" s="68" t="s">
        <v>106</v>
      </c>
      <c r="F99" s="68" t="s">
        <v>115</v>
      </c>
      <c r="G99" s="66">
        <v>4950.0</v>
      </c>
      <c r="H99" s="66">
        <v>6195.0</v>
      </c>
      <c r="I99" s="66">
        <v>-1245.0</v>
      </c>
      <c r="J99" s="69">
        <v>-0.201</v>
      </c>
      <c r="K99" s="143" t="s">
        <v>738</v>
      </c>
    </row>
    <row r="100" spans="8:8" ht="14.25" customHeight="1">
      <c r="A100" s="68" t="s">
        <v>756</v>
      </c>
      <c r="B100" s="68" t="s">
        <v>22</v>
      </c>
      <c r="C100" s="68">
        <v>4.0</v>
      </c>
      <c r="D100" s="68" t="s">
        <v>746</v>
      </c>
      <c r="E100" s="68" t="s">
        <v>95</v>
      </c>
      <c r="F100" s="68" t="s">
        <v>116</v>
      </c>
      <c r="G100" s="66">
        <v>9200.0</v>
      </c>
      <c r="H100" s="66">
        <v>9685.0</v>
      </c>
      <c r="I100" s="66">
        <v>-485.0</v>
      </c>
      <c r="J100" s="69">
        <v>-0.0501</v>
      </c>
      <c r="K100" s="143" t="s">
        <v>738</v>
      </c>
    </row>
    <row r="101" spans="8:8" ht="14.25" customHeight="1">
      <c r="A101" s="68" t="s">
        <v>756</v>
      </c>
      <c r="B101" s="68" t="s">
        <v>45</v>
      </c>
      <c r="C101" s="68">
        <v>2.0</v>
      </c>
      <c r="D101" s="68" t="s">
        <v>746</v>
      </c>
      <c r="E101" s="68" t="s">
        <v>95</v>
      </c>
      <c r="F101" s="68" t="s">
        <v>116</v>
      </c>
      <c r="G101" s="66">
        <v>13335.0</v>
      </c>
      <c r="H101" s="66">
        <v>13932.0</v>
      </c>
      <c r="I101" s="66">
        <v>-597.0</v>
      </c>
      <c r="J101" s="69">
        <v>-0.0429</v>
      </c>
      <c r="K101" s="143" t="s">
        <v>738</v>
      </c>
    </row>
    <row r="102" spans="8:8" ht="14.25" customHeight="1">
      <c r="A102" s="68" t="s">
        <v>756</v>
      </c>
      <c r="B102" s="68" t="s">
        <v>44</v>
      </c>
      <c r="C102" s="68">
        <v>3.0</v>
      </c>
      <c r="D102" s="68" t="s">
        <v>746</v>
      </c>
      <c r="E102" s="68" t="s">
        <v>95</v>
      </c>
      <c r="F102" s="68" t="s">
        <v>116</v>
      </c>
      <c r="G102" s="66">
        <v>9200.0</v>
      </c>
      <c r="H102" s="66">
        <v>9685.0</v>
      </c>
      <c r="I102" s="66">
        <v>-485.0</v>
      </c>
      <c r="J102" s="69">
        <v>-0.0501</v>
      </c>
      <c r="K102" s="143" t="s">
        <v>738</v>
      </c>
    </row>
    <row r="103" spans="8:8" ht="14.25" customHeight="1">
      <c r="A103" s="68" t="s">
        <v>756</v>
      </c>
      <c r="B103" s="68" t="s">
        <v>101</v>
      </c>
      <c r="C103" s="68">
        <v>1.0</v>
      </c>
      <c r="D103" s="68" t="s">
        <v>746</v>
      </c>
      <c r="E103" s="68" t="s">
        <v>95</v>
      </c>
      <c r="F103" s="68" t="s">
        <v>116</v>
      </c>
      <c r="G103" s="66">
        <v>13550.0</v>
      </c>
      <c r="H103" s="66">
        <v>14455.0</v>
      </c>
      <c r="I103" s="66">
        <v>-905.0</v>
      </c>
      <c r="J103" s="69">
        <v>-0.0626</v>
      </c>
      <c r="K103" s="143" t="s">
        <v>738</v>
      </c>
    </row>
    <row r="104" spans="8:8" ht="14.25" customHeight="1">
      <c r="A104" s="68" t="s">
        <v>756</v>
      </c>
      <c r="B104" s="68" t="s">
        <v>22</v>
      </c>
      <c r="C104" s="68">
        <v>70.0</v>
      </c>
      <c r="D104" s="68" t="s">
        <v>749</v>
      </c>
      <c r="E104" s="68" t="s">
        <v>63</v>
      </c>
      <c r="F104" s="68" t="s">
        <v>117</v>
      </c>
      <c r="G104" s="66">
        <v>8990.0</v>
      </c>
      <c r="H104" s="66">
        <v>9335.0</v>
      </c>
      <c r="I104" s="66">
        <v>-345.0</v>
      </c>
      <c r="J104" s="69">
        <v>-0.037</v>
      </c>
      <c r="K104" s="143" t="s">
        <v>738</v>
      </c>
    </row>
    <row r="105" spans="8:8" ht="14.25" customHeight="1">
      <c r="A105" s="68" t="s">
        <v>756</v>
      </c>
      <c r="B105" s="68" t="s">
        <v>44</v>
      </c>
      <c r="C105" s="68">
        <v>26.0</v>
      </c>
      <c r="D105" s="68" t="s">
        <v>746</v>
      </c>
      <c r="E105" s="68" t="s">
        <v>63</v>
      </c>
      <c r="F105" s="68" t="s">
        <v>117</v>
      </c>
      <c r="G105" s="66">
        <v>8990.0</v>
      </c>
      <c r="H105" s="66">
        <v>9685.0</v>
      </c>
      <c r="I105" s="66">
        <v>-695.0</v>
      </c>
      <c r="J105" s="69">
        <v>-0.0718</v>
      </c>
      <c r="K105" s="143" t="s">
        <v>738</v>
      </c>
    </row>
    <row r="106" spans="8:8" ht="14.25" customHeight="1">
      <c r="A106" s="68" t="s">
        <v>756</v>
      </c>
      <c r="B106" s="68" t="s">
        <v>119</v>
      </c>
      <c r="C106" s="68">
        <v>2.0</v>
      </c>
      <c r="D106" s="68" t="s">
        <v>746</v>
      </c>
      <c r="E106" s="68" t="s">
        <v>104</v>
      </c>
      <c r="F106" s="68" t="s">
        <v>118</v>
      </c>
      <c r="G106" s="66">
        <v>13125.0</v>
      </c>
      <c r="H106" s="66">
        <v>13900.0</v>
      </c>
      <c r="I106" s="66">
        <v>-775.0</v>
      </c>
      <c r="J106" s="69">
        <v>-0.0558</v>
      </c>
      <c r="K106" s="143" t="s">
        <v>738</v>
      </c>
    </row>
    <row r="107" spans="8:8" ht="14.25" customHeight="1">
      <c r="A107" s="68" t="s">
        <v>756</v>
      </c>
      <c r="B107" s="68" t="s">
        <v>24</v>
      </c>
      <c r="C107" s="68">
        <v>1.0</v>
      </c>
      <c r="D107" s="68" t="s">
        <v>746</v>
      </c>
      <c r="E107" s="68" t="s">
        <v>104</v>
      </c>
      <c r="F107" s="68" t="s">
        <v>118</v>
      </c>
      <c r="G107" s="66">
        <v>5300.0</v>
      </c>
      <c r="H107" s="66">
        <v>6530.0</v>
      </c>
      <c r="I107" s="66">
        <v>-1230.0</v>
      </c>
      <c r="J107" s="69">
        <v>-0.1884</v>
      </c>
      <c r="K107" s="143" t="s">
        <v>738</v>
      </c>
    </row>
    <row r="108" spans="8:8" ht="14.25" customHeight="1">
      <c r="A108" s="68" t="s">
        <v>756</v>
      </c>
      <c r="B108" s="68" t="s">
        <v>22</v>
      </c>
      <c r="C108" s="68">
        <v>64.0</v>
      </c>
      <c r="D108" s="68" t="s">
        <v>749</v>
      </c>
      <c r="E108" s="68" t="s">
        <v>78</v>
      </c>
      <c r="F108" s="68" t="s">
        <v>120</v>
      </c>
      <c r="G108" s="66">
        <v>9200.0</v>
      </c>
      <c r="H108" s="66">
        <v>9335.0</v>
      </c>
      <c r="I108" s="66">
        <v>-135.0</v>
      </c>
      <c r="J108" s="69">
        <v>-0.0145</v>
      </c>
      <c r="K108" s="143" t="s">
        <v>738</v>
      </c>
    </row>
    <row r="109" spans="8:8" ht="14.25" customHeight="1">
      <c r="A109" s="68" t="s">
        <v>756</v>
      </c>
      <c r="B109" s="68" t="s">
        <v>45</v>
      </c>
      <c r="C109" s="68">
        <v>4.0</v>
      </c>
      <c r="D109" s="68" t="s">
        <v>746</v>
      </c>
      <c r="E109" s="68" t="s">
        <v>78</v>
      </c>
      <c r="F109" s="68" t="s">
        <v>120</v>
      </c>
      <c r="G109" s="66">
        <v>13335.0</v>
      </c>
      <c r="H109" s="66">
        <v>13932.0</v>
      </c>
      <c r="I109" s="66">
        <v>-597.0</v>
      </c>
      <c r="J109" s="69">
        <v>-0.0429</v>
      </c>
      <c r="K109" s="143" t="s">
        <v>738</v>
      </c>
    </row>
    <row r="110" spans="8:8" ht="14.25" customHeight="1">
      <c r="A110" s="68" t="s">
        <v>756</v>
      </c>
      <c r="B110" s="68" t="s">
        <v>37</v>
      </c>
      <c r="C110" s="68">
        <v>1.0</v>
      </c>
      <c r="D110" s="68" t="s">
        <v>746</v>
      </c>
      <c r="E110" s="68" t="s">
        <v>78</v>
      </c>
      <c r="F110" s="68" t="s">
        <v>120</v>
      </c>
      <c r="G110" s="66">
        <v>8880.0</v>
      </c>
      <c r="H110" s="66">
        <v>9235.0</v>
      </c>
      <c r="I110" s="66">
        <v>-355.0</v>
      </c>
      <c r="J110" s="69">
        <v>-0.0384</v>
      </c>
      <c r="K110" s="143" t="s">
        <v>738</v>
      </c>
    </row>
    <row r="111" spans="8:8" ht="14.25" customHeight="1">
      <c r="A111" s="68" t="s">
        <v>756</v>
      </c>
      <c r="B111" s="68" t="s">
        <v>87</v>
      </c>
      <c r="C111" s="68">
        <v>1.0</v>
      </c>
      <c r="D111" s="68" t="s">
        <v>746</v>
      </c>
      <c r="E111" s="68" t="s">
        <v>78</v>
      </c>
      <c r="F111" s="68" t="s">
        <v>120</v>
      </c>
      <c r="G111" s="66">
        <v>21485.0</v>
      </c>
      <c r="H111" s="66">
        <v>22565.0</v>
      </c>
      <c r="I111" s="66">
        <v>-1080.0</v>
      </c>
      <c r="J111" s="69">
        <v>-0.0479</v>
      </c>
      <c r="K111" s="143" t="s">
        <v>738</v>
      </c>
    </row>
    <row r="112" spans="8:8" ht="14.25" customHeight="1">
      <c r="A112" s="68" t="s">
        <v>756</v>
      </c>
      <c r="B112" s="68" t="s">
        <v>22</v>
      </c>
      <c r="C112" s="68">
        <v>1.0</v>
      </c>
      <c r="D112" s="68" t="s">
        <v>746</v>
      </c>
      <c r="E112" s="68" t="s">
        <v>15</v>
      </c>
      <c r="F112" s="68" t="s">
        <v>121</v>
      </c>
      <c r="G112" s="66">
        <v>9500.0</v>
      </c>
      <c r="H112" s="66">
        <v>9685.0</v>
      </c>
      <c r="I112" s="66">
        <v>-185.0</v>
      </c>
      <c r="J112" s="69">
        <v>-0.0191</v>
      </c>
      <c r="K112" s="143" t="s">
        <v>738</v>
      </c>
    </row>
    <row r="113" spans="8:8" ht="14.25" customHeight="1">
      <c r="A113" s="68" t="s">
        <v>756</v>
      </c>
      <c r="B113" s="68" t="s">
        <v>44</v>
      </c>
      <c r="C113" s="68">
        <v>1.0</v>
      </c>
      <c r="D113" s="68" t="s">
        <v>746</v>
      </c>
      <c r="E113" s="68" t="s">
        <v>15</v>
      </c>
      <c r="F113" s="68" t="s">
        <v>121</v>
      </c>
      <c r="G113" s="66">
        <v>9500.0</v>
      </c>
      <c r="H113" s="66">
        <v>9685.0</v>
      </c>
      <c r="I113" s="66">
        <v>-185.0</v>
      </c>
      <c r="J113" s="69">
        <v>-0.0191</v>
      </c>
      <c r="K113" s="143" t="s">
        <v>738</v>
      </c>
    </row>
    <row r="114" spans="8:8" ht="14.25" customHeight="1">
      <c r="A114" s="68" t="s">
        <v>756</v>
      </c>
      <c r="B114" s="68" t="s">
        <v>37</v>
      </c>
      <c r="C114" s="68">
        <v>1.0</v>
      </c>
      <c r="D114" s="68" t="s">
        <v>746</v>
      </c>
      <c r="E114" s="68" t="s">
        <v>15</v>
      </c>
      <c r="F114" s="68" t="s">
        <v>121</v>
      </c>
      <c r="G114" s="66">
        <v>9500.0</v>
      </c>
      <c r="H114" s="66">
        <v>9235.0</v>
      </c>
      <c r="I114" s="66">
        <v>265.0</v>
      </c>
      <c r="J114" s="69">
        <v>0.0287</v>
      </c>
      <c r="K114" s="145" t="s">
        <v>744</v>
      </c>
    </row>
    <row r="115" spans="8:8" ht="14.25" customHeight="1">
      <c r="A115" s="68" t="s">
        <v>756</v>
      </c>
      <c r="B115" s="68" t="s">
        <v>22</v>
      </c>
      <c r="C115" s="68">
        <v>2.0</v>
      </c>
      <c r="D115" s="68" t="s">
        <v>746</v>
      </c>
      <c r="E115" s="68" t="s">
        <v>122</v>
      </c>
      <c r="F115" s="68" t="s">
        <v>123</v>
      </c>
      <c r="G115" s="66">
        <v>9500.0</v>
      </c>
      <c r="H115" s="66">
        <v>9685.0</v>
      </c>
      <c r="I115" s="66">
        <v>-185.0</v>
      </c>
      <c r="J115" s="69">
        <v>-0.0191</v>
      </c>
      <c r="K115" s="143" t="s">
        <v>738</v>
      </c>
    </row>
    <row r="116" spans="8:8" ht="14.25" customHeight="1">
      <c r="A116" s="68" t="s">
        <v>757</v>
      </c>
      <c r="B116" s="68" t="s">
        <v>22</v>
      </c>
      <c r="C116" s="68">
        <v>140.0</v>
      </c>
      <c r="D116" s="68" t="s">
        <v>749</v>
      </c>
      <c r="E116" s="68" t="s">
        <v>63</v>
      </c>
      <c r="F116" s="68" t="s">
        <v>124</v>
      </c>
      <c r="G116" s="66">
        <v>8990.0</v>
      </c>
      <c r="H116" s="66">
        <v>9335.0</v>
      </c>
      <c r="I116" s="66">
        <v>-345.0</v>
      </c>
      <c r="J116" s="69">
        <v>-0.037</v>
      </c>
      <c r="K116" s="143" t="s">
        <v>738</v>
      </c>
    </row>
    <row r="117" spans="8:8" ht="14.25" customHeight="1">
      <c r="A117" s="68" t="s">
        <v>757</v>
      </c>
      <c r="B117" s="68" t="s">
        <v>44</v>
      </c>
      <c r="C117" s="68">
        <v>44.0</v>
      </c>
      <c r="D117" s="68" t="s">
        <v>746</v>
      </c>
      <c r="E117" s="68" t="s">
        <v>63</v>
      </c>
      <c r="F117" s="68" t="s">
        <v>124</v>
      </c>
      <c r="G117" s="66">
        <v>8990.0</v>
      </c>
      <c r="H117" s="66">
        <v>9685.0</v>
      </c>
      <c r="I117" s="66">
        <v>-695.0</v>
      </c>
      <c r="J117" s="69">
        <v>-0.0718</v>
      </c>
      <c r="K117" s="143" t="s">
        <v>738</v>
      </c>
    </row>
    <row r="118" spans="8:8" ht="14.25" customHeight="1">
      <c r="A118" s="68" t="s">
        <v>757</v>
      </c>
      <c r="B118" s="68" t="s">
        <v>24</v>
      </c>
      <c r="C118" s="68">
        <v>120.0</v>
      </c>
      <c r="D118" s="68" t="s">
        <v>749</v>
      </c>
      <c r="E118" s="68" t="s">
        <v>125</v>
      </c>
      <c r="F118" s="68" t="s">
        <v>126</v>
      </c>
      <c r="G118" s="66">
        <v>5100.0</v>
      </c>
      <c r="H118" s="66">
        <v>6195.0</v>
      </c>
      <c r="I118" s="66">
        <v>-1095.0</v>
      </c>
      <c r="J118" s="69">
        <v>-0.1768</v>
      </c>
      <c r="K118" s="143" t="s">
        <v>738</v>
      </c>
    </row>
    <row r="119" spans="8:8" ht="14.25" customHeight="1">
      <c r="A119" s="68" t="s">
        <v>757</v>
      </c>
      <c r="B119" s="68" t="s">
        <v>24</v>
      </c>
      <c r="C119" s="68">
        <v>250.0</v>
      </c>
      <c r="D119" s="68" t="s">
        <v>749</v>
      </c>
      <c r="E119" s="68" t="s">
        <v>127</v>
      </c>
      <c r="F119" s="68" t="s">
        <v>128</v>
      </c>
      <c r="G119" s="66">
        <v>4950.0</v>
      </c>
      <c r="H119" s="66">
        <v>6195.0</v>
      </c>
      <c r="I119" s="66">
        <v>-1245.0</v>
      </c>
      <c r="J119" s="69">
        <v>-0.201</v>
      </c>
      <c r="K119" s="143" t="s">
        <v>738</v>
      </c>
    </row>
    <row r="120" spans="8:8" ht="14.25" customHeight="1">
      <c r="A120" s="68" t="s">
        <v>757</v>
      </c>
      <c r="B120" s="68" t="s">
        <v>31</v>
      </c>
      <c r="C120" s="68">
        <v>10.0</v>
      </c>
      <c r="D120" s="68" t="s">
        <v>746</v>
      </c>
      <c r="E120" s="68" t="s">
        <v>50</v>
      </c>
      <c r="F120" s="68" t="s">
        <v>130</v>
      </c>
      <c r="G120" s="66">
        <v>17200.0</v>
      </c>
      <c r="H120" s="66">
        <v>18615.0</v>
      </c>
      <c r="I120" s="66">
        <v>-1415.0</v>
      </c>
      <c r="J120" s="69">
        <v>-0.076</v>
      </c>
      <c r="K120" s="143" t="s">
        <v>738</v>
      </c>
    </row>
    <row r="121" spans="8:8" ht="14.25" customHeight="1">
      <c r="A121" s="68" t="s">
        <v>757</v>
      </c>
      <c r="B121" s="68" t="s">
        <v>22</v>
      </c>
      <c r="C121" s="68">
        <v>25.0</v>
      </c>
      <c r="D121" s="68" t="s">
        <v>746</v>
      </c>
      <c r="E121" s="68" t="s">
        <v>25</v>
      </c>
      <c r="F121" s="68" t="s">
        <v>131</v>
      </c>
      <c r="G121" s="66">
        <v>9200.0</v>
      </c>
      <c r="H121" s="66">
        <v>9685.0</v>
      </c>
      <c r="I121" s="66">
        <v>-485.0</v>
      </c>
      <c r="J121" s="69">
        <v>-0.0501</v>
      </c>
      <c r="K121" s="143" t="s">
        <v>738</v>
      </c>
    </row>
    <row r="122" spans="8:8" ht="14.25" customHeight="1">
      <c r="A122" s="68" t="s">
        <v>757</v>
      </c>
      <c r="B122" s="68" t="s">
        <v>45</v>
      </c>
      <c r="C122" s="68">
        <v>17.0</v>
      </c>
      <c r="D122" s="68" t="s">
        <v>746</v>
      </c>
      <c r="E122" s="68" t="s">
        <v>25</v>
      </c>
      <c r="F122" s="68" t="s">
        <v>131</v>
      </c>
      <c r="G122" s="66">
        <v>13335.0</v>
      </c>
      <c r="H122" s="66">
        <v>13932.0</v>
      </c>
      <c r="I122" s="66">
        <v>-597.0</v>
      </c>
      <c r="J122" s="69">
        <v>-0.0429</v>
      </c>
      <c r="K122" s="143" t="s">
        <v>738</v>
      </c>
    </row>
    <row r="123" spans="8:8" ht="14.25" customHeight="1">
      <c r="A123" s="68" t="s">
        <v>757</v>
      </c>
      <c r="B123" s="68" t="s">
        <v>37</v>
      </c>
      <c r="C123" s="68">
        <v>10.0</v>
      </c>
      <c r="D123" s="68" t="s">
        <v>746</v>
      </c>
      <c r="E123" s="68" t="s">
        <v>25</v>
      </c>
      <c r="F123" s="68" t="s">
        <v>131</v>
      </c>
      <c r="G123" s="66">
        <v>9200.0</v>
      </c>
      <c r="H123" s="66">
        <v>9235.0</v>
      </c>
      <c r="I123" s="66">
        <v>-35.0</v>
      </c>
      <c r="J123" s="69">
        <v>-0.0038</v>
      </c>
      <c r="K123" s="146" t="s">
        <v>747</v>
      </c>
    </row>
    <row r="124" spans="8:8" ht="14.25" customHeight="1">
      <c r="A124" s="68" t="s">
        <v>757</v>
      </c>
      <c r="B124" s="68" t="s">
        <v>45</v>
      </c>
      <c r="C124" s="68">
        <v>210.0</v>
      </c>
      <c r="D124" s="68" t="s">
        <v>749</v>
      </c>
      <c r="E124" s="68" t="s">
        <v>132</v>
      </c>
      <c r="F124" s="68" t="s">
        <v>133</v>
      </c>
      <c r="G124" s="66">
        <v>12930.0</v>
      </c>
      <c r="H124" s="66">
        <v>13332.0</v>
      </c>
      <c r="I124" s="66">
        <v>-402.0</v>
      </c>
      <c r="J124" s="69">
        <v>-0.0302</v>
      </c>
      <c r="K124" s="143" t="s">
        <v>738</v>
      </c>
    </row>
    <row r="125" spans="8:8" ht="14.25" customHeight="1">
      <c r="A125" s="68" t="s">
        <v>757</v>
      </c>
      <c r="B125" s="68" t="s">
        <v>44</v>
      </c>
      <c r="C125" s="68">
        <v>140.0</v>
      </c>
      <c r="D125" s="68" t="s">
        <v>749</v>
      </c>
      <c r="E125" s="68" t="s">
        <v>132</v>
      </c>
      <c r="F125" s="68" t="s">
        <v>133</v>
      </c>
      <c r="G125" s="66">
        <v>9090.0</v>
      </c>
      <c r="H125" s="66">
        <v>9335.0</v>
      </c>
      <c r="I125" s="66">
        <v>-245.0</v>
      </c>
      <c r="J125" s="69">
        <v>-0.0262</v>
      </c>
      <c r="K125" s="143" t="s">
        <v>738</v>
      </c>
    </row>
    <row r="126" spans="8:8" ht="14.25" customHeight="1">
      <c r="A126" s="68" t="s">
        <v>757</v>
      </c>
      <c r="B126" s="68" t="s">
        <v>22</v>
      </c>
      <c r="C126" s="68">
        <v>11.0</v>
      </c>
      <c r="D126" s="68" t="s">
        <v>746</v>
      </c>
      <c r="E126" s="68" t="s">
        <v>40</v>
      </c>
      <c r="F126" s="68" t="s">
        <v>135</v>
      </c>
      <c r="G126" s="66">
        <v>8600.0</v>
      </c>
      <c r="H126" s="66">
        <v>9685.0</v>
      </c>
      <c r="I126" s="66">
        <v>-1085.0</v>
      </c>
      <c r="J126" s="69">
        <v>-0.112</v>
      </c>
      <c r="K126" s="143" t="s">
        <v>738</v>
      </c>
    </row>
    <row r="127" spans="8:8" ht="14.25" customHeight="1">
      <c r="A127" s="68" t="s">
        <v>757</v>
      </c>
      <c r="B127" s="68" t="s">
        <v>22</v>
      </c>
      <c r="C127" s="68">
        <v>27.0</v>
      </c>
      <c r="D127" s="68" t="s">
        <v>746</v>
      </c>
      <c r="E127" s="68" t="s">
        <v>29</v>
      </c>
      <c r="F127" s="68" t="s">
        <v>136</v>
      </c>
      <c r="G127" s="66">
        <v>8800.0</v>
      </c>
      <c r="H127" s="66">
        <v>9685.0</v>
      </c>
      <c r="I127" s="66">
        <v>-885.0</v>
      </c>
      <c r="J127" s="69">
        <v>-0.0914</v>
      </c>
      <c r="K127" s="143" t="s">
        <v>738</v>
      </c>
    </row>
    <row r="128" spans="8:8" ht="14.25" customHeight="1">
      <c r="A128" s="68" t="s">
        <v>757</v>
      </c>
      <c r="B128" s="68" t="s">
        <v>113</v>
      </c>
      <c r="C128" s="68">
        <v>2.0</v>
      </c>
      <c r="D128" s="68" t="s">
        <v>746</v>
      </c>
      <c r="E128" s="68" t="s">
        <v>29</v>
      </c>
      <c r="F128" s="68" t="s">
        <v>136</v>
      </c>
      <c r="G128" s="66">
        <v>14575.0</v>
      </c>
      <c r="H128" s="66">
        <v>15765.0</v>
      </c>
      <c r="I128" s="66">
        <v>-1190.0</v>
      </c>
      <c r="J128" s="69">
        <v>-0.0755</v>
      </c>
      <c r="K128" s="143" t="s">
        <v>738</v>
      </c>
    </row>
    <row r="129" spans="8:8" ht="14.25" customHeight="1">
      <c r="A129" s="68" t="s">
        <v>757</v>
      </c>
      <c r="B129" s="68" t="s">
        <v>44</v>
      </c>
      <c r="C129" s="68">
        <v>5.0</v>
      </c>
      <c r="D129" s="68" t="s">
        <v>746</v>
      </c>
      <c r="E129" s="68" t="s">
        <v>29</v>
      </c>
      <c r="F129" s="68" t="s">
        <v>136</v>
      </c>
      <c r="G129" s="66">
        <v>9200.0</v>
      </c>
      <c r="H129" s="66">
        <v>9685.0</v>
      </c>
      <c r="I129" s="66">
        <v>-485.0</v>
      </c>
      <c r="J129" s="69">
        <v>-0.0501</v>
      </c>
      <c r="K129" s="143" t="s">
        <v>738</v>
      </c>
    </row>
    <row r="130" spans="8:8" ht="14.25" customHeight="1">
      <c r="A130" s="68" t="s">
        <v>757</v>
      </c>
      <c r="B130" s="68" t="s">
        <v>37</v>
      </c>
      <c r="C130" s="68">
        <v>5.0</v>
      </c>
      <c r="D130" s="68" t="s">
        <v>746</v>
      </c>
      <c r="E130" s="68" t="s">
        <v>29</v>
      </c>
      <c r="F130" s="68" t="s">
        <v>136</v>
      </c>
      <c r="G130" s="66">
        <v>8880.0</v>
      </c>
      <c r="H130" s="66">
        <v>9235.0</v>
      </c>
      <c r="I130" s="66">
        <v>-355.0</v>
      </c>
      <c r="J130" s="69">
        <v>-0.0384</v>
      </c>
      <c r="K130" s="143" t="s">
        <v>738</v>
      </c>
    </row>
    <row r="131" spans="8:8" ht="14.25" customHeight="1">
      <c r="A131" s="68" t="s">
        <v>757</v>
      </c>
      <c r="B131" s="68" t="s">
        <v>24</v>
      </c>
      <c r="C131" s="68">
        <v>30.0</v>
      </c>
      <c r="D131" s="68" t="s">
        <v>746</v>
      </c>
      <c r="E131" s="68" t="s">
        <v>29</v>
      </c>
      <c r="F131" s="68" t="s">
        <v>136</v>
      </c>
      <c r="G131" s="66">
        <v>4900.0</v>
      </c>
      <c r="H131" s="66">
        <v>6530.0</v>
      </c>
      <c r="I131" s="66">
        <v>-1630.0</v>
      </c>
      <c r="J131" s="69">
        <v>-0.2496</v>
      </c>
      <c r="K131" s="143" t="s">
        <v>738</v>
      </c>
    </row>
    <row r="132" spans="8:8" ht="14.25" customHeight="1">
      <c r="A132" s="68" t="s">
        <v>757</v>
      </c>
      <c r="B132" s="68" t="s">
        <v>27</v>
      </c>
      <c r="C132" s="68">
        <v>15.0</v>
      </c>
      <c r="D132" s="68" t="s">
        <v>746</v>
      </c>
      <c r="E132" s="68" t="s">
        <v>29</v>
      </c>
      <c r="F132" s="68" t="s">
        <v>136</v>
      </c>
      <c r="G132" s="66">
        <v>8020.0</v>
      </c>
      <c r="H132" s="66">
        <v>8355.0</v>
      </c>
      <c r="I132" s="66">
        <v>-335.0</v>
      </c>
      <c r="J132" s="69">
        <v>-0.0401</v>
      </c>
      <c r="K132" s="143" t="s">
        <v>738</v>
      </c>
    </row>
    <row r="133" spans="8:8" ht="14.25" customHeight="1">
      <c r="A133" s="68" t="s">
        <v>757</v>
      </c>
      <c r="B133" s="68" t="s">
        <v>65</v>
      </c>
      <c r="C133" s="68">
        <v>3.0</v>
      </c>
      <c r="D133" s="68" t="s">
        <v>746</v>
      </c>
      <c r="E133" s="68" t="s">
        <v>29</v>
      </c>
      <c r="F133" s="68" t="s">
        <v>136</v>
      </c>
      <c r="G133" s="66">
        <v>11910.0</v>
      </c>
      <c r="H133" s="66">
        <v>12525.0</v>
      </c>
      <c r="I133" s="66">
        <v>-615.0</v>
      </c>
      <c r="J133" s="69">
        <v>-0.0491</v>
      </c>
      <c r="K133" s="143" t="s">
        <v>738</v>
      </c>
    </row>
    <row r="134" spans="8:8" ht="14.25" customHeight="1">
      <c r="A134" s="68" t="s">
        <v>757</v>
      </c>
      <c r="B134" s="68" t="s">
        <v>31</v>
      </c>
      <c r="C134" s="68">
        <v>1.0</v>
      </c>
      <c r="D134" s="68" t="s">
        <v>746</v>
      </c>
      <c r="E134" s="68" t="s">
        <v>29</v>
      </c>
      <c r="F134" s="68" t="s">
        <v>136</v>
      </c>
      <c r="G134" s="66">
        <v>17100.0</v>
      </c>
      <c r="H134" s="66">
        <v>18615.0</v>
      </c>
      <c r="I134" s="66">
        <v>-1515.0</v>
      </c>
      <c r="J134" s="69">
        <v>-0.0814</v>
      </c>
      <c r="K134" s="143" t="s">
        <v>738</v>
      </c>
    </row>
    <row r="135" spans="8:8" ht="14.25" customHeight="1">
      <c r="A135" s="68" t="s">
        <v>757</v>
      </c>
      <c r="B135" s="68" t="s">
        <v>32</v>
      </c>
      <c r="C135" s="68">
        <v>1.0</v>
      </c>
      <c r="D135" s="68" t="s">
        <v>746</v>
      </c>
      <c r="E135" s="68" t="s">
        <v>29</v>
      </c>
      <c r="F135" s="68" t="s">
        <v>136</v>
      </c>
      <c r="G135" s="66">
        <v>16145.0</v>
      </c>
      <c r="H135" s="66">
        <v>16735.0</v>
      </c>
      <c r="I135" s="66">
        <v>-590.0</v>
      </c>
      <c r="J135" s="69">
        <v>-0.0353</v>
      </c>
      <c r="K135" s="143" t="s">
        <v>738</v>
      </c>
    </row>
    <row r="136" spans="8:8" ht="14.25" customHeight="1">
      <c r="A136" s="68" t="s">
        <v>757</v>
      </c>
      <c r="B136" s="68" t="s">
        <v>24</v>
      </c>
      <c r="C136" s="68">
        <v>202.0</v>
      </c>
      <c r="D136" s="68" t="s">
        <v>749</v>
      </c>
      <c r="E136" s="68" t="s">
        <v>59</v>
      </c>
      <c r="F136" s="68" t="s">
        <v>137</v>
      </c>
      <c r="G136" s="66">
        <v>5000.0</v>
      </c>
      <c r="H136" s="66">
        <v>6195.0</v>
      </c>
      <c r="I136" s="66">
        <v>-1195.0</v>
      </c>
      <c r="J136" s="69">
        <v>-0.1929</v>
      </c>
      <c r="K136" s="143" t="s">
        <v>738</v>
      </c>
    </row>
    <row r="137" spans="8:8" ht="14.25" customHeight="1">
      <c r="A137" s="68" t="s">
        <v>757</v>
      </c>
      <c r="B137" s="68" t="s">
        <v>27</v>
      </c>
      <c r="C137" s="68">
        <v>20.0</v>
      </c>
      <c r="D137" s="68" t="s">
        <v>746</v>
      </c>
      <c r="E137" s="68" t="s">
        <v>59</v>
      </c>
      <c r="F137" s="68" t="s">
        <v>137</v>
      </c>
      <c r="G137" s="66">
        <v>8020.0</v>
      </c>
      <c r="H137" s="66">
        <v>8355.0</v>
      </c>
      <c r="I137" s="66">
        <v>-335.0</v>
      </c>
      <c r="J137" s="69">
        <v>-0.0401</v>
      </c>
      <c r="K137" s="143" t="s">
        <v>738</v>
      </c>
    </row>
    <row r="138" spans="8:8" ht="14.25" customHeight="1">
      <c r="A138" s="68" t="s">
        <v>757</v>
      </c>
      <c r="B138" s="68" t="s">
        <v>45</v>
      </c>
      <c r="C138" s="68">
        <v>30.0</v>
      </c>
      <c r="D138" s="68" t="s">
        <v>746</v>
      </c>
      <c r="E138" s="68" t="s">
        <v>78</v>
      </c>
      <c r="F138" s="68" t="s">
        <v>138</v>
      </c>
      <c r="G138" s="66">
        <v>12930.0</v>
      </c>
      <c r="H138" s="66">
        <v>13932.0</v>
      </c>
      <c r="I138" s="66">
        <v>-1002.0</v>
      </c>
      <c r="J138" s="69">
        <v>-0.0719</v>
      </c>
      <c r="K138" s="143" t="s">
        <v>738</v>
      </c>
    </row>
    <row r="139" spans="8:8" ht="14.25" customHeight="1">
      <c r="A139" s="68" t="s">
        <v>757</v>
      </c>
      <c r="B139" s="68" t="s">
        <v>37</v>
      </c>
      <c r="C139" s="68">
        <v>10.0</v>
      </c>
      <c r="D139" s="68" t="s">
        <v>746</v>
      </c>
      <c r="E139" s="68" t="s">
        <v>78</v>
      </c>
      <c r="F139" s="68" t="s">
        <v>138</v>
      </c>
      <c r="G139" s="66">
        <v>8800.0</v>
      </c>
      <c r="H139" s="66">
        <v>9235.0</v>
      </c>
      <c r="I139" s="66">
        <v>-435.0</v>
      </c>
      <c r="J139" s="69">
        <v>-0.0471</v>
      </c>
      <c r="K139" s="143" t="s">
        <v>738</v>
      </c>
    </row>
    <row r="140" spans="8:8" ht="14.25" customHeight="1">
      <c r="A140" s="68" t="s">
        <v>757</v>
      </c>
      <c r="B140" s="68" t="s">
        <v>44</v>
      </c>
      <c r="C140" s="68">
        <v>20.0</v>
      </c>
      <c r="D140" s="68" t="s">
        <v>746</v>
      </c>
      <c r="E140" s="68" t="s">
        <v>78</v>
      </c>
      <c r="F140" s="68" t="s">
        <v>138</v>
      </c>
      <c r="G140" s="66">
        <v>9100.0</v>
      </c>
      <c r="H140" s="66">
        <v>9685.0</v>
      </c>
      <c r="I140" s="66">
        <v>-585.0</v>
      </c>
      <c r="J140" s="69">
        <v>-0.0604</v>
      </c>
      <c r="K140" s="143" t="s">
        <v>738</v>
      </c>
    </row>
    <row r="141" spans="8:8" ht="14.25" customHeight="1">
      <c r="A141" s="68" t="s">
        <v>757</v>
      </c>
      <c r="B141" s="68" t="s">
        <v>22</v>
      </c>
      <c r="C141" s="68">
        <v>200.0</v>
      </c>
      <c r="D141" s="68" t="s">
        <v>749</v>
      </c>
      <c r="E141" s="68" t="s">
        <v>139</v>
      </c>
      <c r="F141" s="68" t="s">
        <v>140</v>
      </c>
      <c r="G141" s="66">
        <v>8600.0</v>
      </c>
      <c r="H141" s="66">
        <v>9335.0</v>
      </c>
      <c r="I141" s="66">
        <v>-735.0</v>
      </c>
      <c r="J141" s="69">
        <v>-0.0787</v>
      </c>
      <c r="K141" s="143" t="s">
        <v>738</v>
      </c>
    </row>
    <row r="142" spans="8:8" ht="14.25" customHeight="1">
      <c r="A142" s="68" t="s">
        <v>757</v>
      </c>
      <c r="B142" s="68" t="s">
        <v>37</v>
      </c>
      <c r="C142" s="68">
        <v>40.0</v>
      </c>
      <c r="D142" s="68" t="s">
        <v>746</v>
      </c>
      <c r="E142" s="68" t="s">
        <v>139</v>
      </c>
      <c r="F142" s="68" t="s">
        <v>140</v>
      </c>
      <c r="G142" s="66">
        <v>8800.0</v>
      </c>
      <c r="H142" s="66">
        <v>9235.0</v>
      </c>
      <c r="I142" s="66">
        <v>-435.0</v>
      </c>
      <c r="J142" s="69">
        <v>-0.0471</v>
      </c>
      <c r="K142" s="143" t="s">
        <v>738</v>
      </c>
    </row>
    <row r="143" spans="8:8" ht="14.25" customHeight="1">
      <c r="A143" s="68" t="s">
        <v>757</v>
      </c>
      <c r="B143" s="68" t="s">
        <v>87</v>
      </c>
      <c r="C143" s="68">
        <v>6.0</v>
      </c>
      <c r="D143" s="68" t="s">
        <v>746</v>
      </c>
      <c r="E143" s="68" t="s">
        <v>139</v>
      </c>
      <c r="F143" s="68" t="s">
        <v>140</v>
      </c>
      <c r="G143" s="66">
        <v>20540.0</v>
      </c>
      <c r="H143" s="66">
        <v>22565.0</v>
      </c>
      <c r="I143" s="66">
        <v>-2025.0</v>
      </c>
      <c r="J143" s="69">
        <v>-0.0897</v>
      </c>
      <c r="K143" s="143" t="s">
        <v>738</v>
      </c>
    </row>
    <row r="144" spans="8:8" ht="14.25" customHeight="1">
      <c r="A144" s="68" t="s">
        <v>757</v>
      </c>
      <c r="B144" s="68" t="s">
        <v>100</v>
      </c>
      <c r="C144" s="68">
        <v>15.0</v>
      </c>
      <c r="D144" s="68" t="s">
        <v>746</v>
      </c>
      <c r="E144" s="68" t="s">
        <v>139</v>
      </c>
      <c r="F144" s="68" t="s">
        <v>140</v>
      </c>
      <c r="G144" s="66">
        <v>11480.0</v>
      </c>
      <c r="H144" s="66">
        <v>12045.0</v>
      </c>
      <c r="I144" s="66">
        <v>-565.0</v>
      </c>
      <c r="J144" s="69">
        <v>-0.0469</v>
      </c>
      <c r="K144" s="143" t="s">
        <v>738</v>
      </c>
    </row>
    <row r="145" spans="8:8" ht="14.25" customHeight="1">
      <c r="A145" s="68" t="s">
        <v>757</v>
      </c>
      <c r="B145" s="68" t="s">
        <v>65</v>
      </c>
      <c r="C145" s="68">
        <v>20.0</v>
      </c>
      <c r="D145" s="68" t="s">
        <v>746</v>
      </c>
      <c r="E145" s="68" t="s">
        <v>139</v>
      </c>
      <c r="F145" s="68" t="s">
        <v>140</v>
      </c>
      <c r="G145" s="66">
        <v>11415.0</v>
      </c>
      <c r="H145" s="66">
        <v>12525.0</v>
      </c>
      <c r="I145" s="66">
        <v>-1110.0</v>
      </c>
      <c r="J145" s="69">
        <v>-0.0886</v>
      </c>
      <c r="K145" s="143" t="s">
        <v>738</v>
      </c>
    </row>
    <row r="146" spans="8:8" ht="14.25" customHeight="1">
      <c r="A146" s="68" t="s">
        <v>757</v>
      </c>
      <c r="B146" s="68" t="s">
        <v>44</v>
      </c>
      <c r="C146" s="68">
        <v>15.0</v>
      </c>
      <c r="D146" s="68" t="s">
        <v>746</v>
      </c>
      <c r="E146" s="68" t="s">
        <v>139</v>
      </c>
      <c r="F146" s="68" t="s">
        <v>140</v>
      </c>
      <c r="G146" s="66">
        <v>9090.0</v>
      </c>
      <c r="H146" s="66">
        <v>9685.0</v>
      </c>
      <c r="I146" s="66">
        <v>-595.0</v>
      </c>
      <c r="J146" s="69">
        <v>-0.0614</v>
      </c>
      <c r="K146" s="143" t="s">
        <v>738</v>
      </c>
    </row>
    <row r="147" spans="8:8" ht="14.25" customHeight="1">
      <c r="A147" s="68" t="s">
        <v>757</v>
      </c>
      <c r="B147" s="68" t="s">
        <v>101</v>
      </c>
      <c r="C147" s="68">
        <v>10.0</v>
      </c>
      <c r="D147" s="68" t="s">
        <v>746</v>
      </c>
      <c r="E147" s="68" t="s">
        <v>139</v>
      </c>
      <c r="F147" s="68" t="s">
        <v>140</v>
      </c>
      <c r="G147" s="66">
        <v>13020.0</v>
      </c>
      <c r="H147" s="66">
        <v>14455.0</v>
      </c>
      <c r="I147" s="66">
        <v>-1435.0</v>
      </c>
      <c r="J147" s="69">
        <v>-0.0993</v>
      </c>
      <c r="K147" s="143" t="s">
        <v>738</v>
      </c>
    </row>
    <row r="148" spans="8:8" ht="14.25" customHeight="1">
      <c r="A148" s="68" t="s">
        <v>757</v>
      </c>
      <c r="B148" s="68" t="s">
        <v>45</v>
      </c>
      <c r="C148" s="68">
        <v>5.0</v>
      </c>
      <c r="D148" s="68" t="s">
        <v>746</v>
      </c>
      <c r="E148" s="68" t="s">
        <v>139</v>
      </c>
      <c r="F148" s="68" t="s">
        <v>140</v>
      </c>
      <c r="G148" s="66">
        <v>12930.0</v>
      </c>
      <c r="H148" s="66">
        <v>13932.0</v>
      </c>
      <c r="I148" s="66">
        <v>-1002.0</v>
      </c>
      <c r="J148" s="69">
        <v>-0.0719</v>
      </c>
      <c r="K148" s="143" t="s">
        <v>738</v>
      </c>
    </row>
    <row r="149" spans="8:8" ht="14.25" customHeight="1">
      <c r="A149" s="68" t="s">
        <v>757</v>
      </c>
      <c r="B149" s="68" t="s">
        <v>141</v>
      </c>
      <c r="C149" s="68">
        <v>3.0</v>
      </c>
      <c r="D149" s="68" t="s">
        <v>746</v>
      </c>
      <c r="E149" s="68" t="s">
        <v>139</v>
      </c>
      <c r="F149" s="68" t="s">
        <v>140</v>
      </c>
      <c r="G149" s="66">
        <v>14145.0</v>
      </c>
      <c r="H149" s="66">
        <v>14765.0</v>
      </c>
      <c r="I149" s="66">
        <v>-620.0</v>
      </c>
      <c r="J149" s="69">
        <v>-0.042</v>
      </c>
      <c r="K149" s="143" t="s">
        <v>738</v>
      </c>
    </row>
    <row r="150" spans="8:8" ht="14.25" customHeight="1">
      <c r="A150" s="68" t="s">
        <v>757</v>
      </c>
      <c r="B150" s="68" t="s">
        <v>37</v>
      </c>
      <c r="C150" s="68">
        <v>2.0</v>
      </c>
      <c r="D150" s="68" t="s">
        <v>746</v>
      </c>
      <c r="E150" s="68" t="s">
        <v>29</v>
      </c>
      <c r="F150" s="68" t="s">
        <v>142</v>
      </c>
      <c r="G150" s="66">
        <v>8880.0</v>
      </c>
      <c r="H150" s="66">
        <v>9235.0</v>
      </c>
      <c r="I150" s="66">
        <v>-355.0</v>
      </c>
      <c r="J150" s="69">
        <v>-0.0384</v>
      </c>
      <c r="K150" s="143" t="s">
        <v>738</v>
      </c>
    </row>
    <row r="151" spans="8:8" ht="14.25" customHeight="1">
      <c r="A151" s="68" t="s">
        <v>757</v>
      </c>
      <c r="B151" s="68" t="s">
        <v>27</v>
      </c>
      <c r="C151" s="68">
        <v>20.0</v>
      </c>
      <c r="D151" s="68" t="s">
        <v>746</v>
      </c>
      <c r="E151" s="68" t="s">
        <v>95</v>
      </c>
      <c r="F151" s="68" t="s">
        <v>143</v>
      </c>
      <c r="G151" s="66">
        <v>8020.0</v>
      </c>
      <c r="H151" s="66">
        <v>8355.0</v>
      </c>
      <c r="I151" s="66">
        <v>-335.0</v>
      </c>
      <c r="J151" s="69">
        <v>-0.0401</v>
      </c>
      <c r="K151" s="143" t="s">
        <v>738</v>
      </c>
    </row>
    <row r="152" spans="8:8" ht="14.25" customHeight="1">
      <c r="A152" s="68" t="s">
        <v>757</v>
      </c>
      <c r="B152" s="68" t="s">
        <v>24</v>
      </c>
      <c r="C152" s="68">
        <v>1.0</v>
      </c>
      <c r="D152" s="68" t="s">
        <v>746</v>
      </c>
      <c r="E152" s="68" t="s">
        <v>15</v>
      </c>
      <c r="F152" s="68" t="s">
        <v>144</v>
      </c>
      <c r="G152" s="66">
        <v>5300.0</v>
      </c>
      <c r="H152" s="66">
        <v>6530.0</v>
      </c>
      <c r="I152" s="66">
        <v>-1230.0</v>
      </c>
      <c r="J152" s="69">
        <v>-0.1884</v>
      </c>
      <c r="K152" s="143" t="s">
        <v>738</v>
      </c>
    </row>
    <row r="153" spans="8:8" ht="14.25" customHeight="1">
      <c r="A153" s="68" t="s">
        <v>758</v>
      </c>
      <c r="B153" s="68" t="s">
        <v>45</v>
      </c>
      <c r="C153" s="68">
        <v>5.0</v>
      </c>
      <c r="D153" s="68" t="s">
        <v>746</v>
      </c>
      <c r="E153" s="68" t="s">
        <v>145</v>
      </c>
      <c r="F153" s="68" t="s">
        <v>146</v>
      </c>
      <c r="G153" s="66">
        <v>13335.0</v>
      </c>
      <c r="H153" s="66">
        <v>13932.0</v>
      </c>
      <c r="I153" s="66">
        <v>-597.0</v>
      </c>
      <c r="J153" s="69">
        <v>-0.0429</v>
      </c>
      <c r="K153" s="143" t="s">
        <v>738</v>
      </c>
    </row>
    <row r="154" spans="8:8" ht="14.25" customHeight="1">
      <c r="A154" s="68" t="s">
        <v>758</v>
      </c>
      <c r="B154" s="68" t="s">
        <v>87</v>
      </c>
      <c r="C154" s="68">
        <v>5.0</v>
      </c>
      <c r="D154" s="68" t="s">
        <v>746</v>
      </c>
      <c r="E154" s="68" t="s">
        <v>145</v>
      </c>
      <c r="F154" s="68" t="s">
        <v>146</v>
      </c>
      <c r="G154" s="66">
        <v>21485.0</v>
      </c>
      <c r="H154" s="66">
        <v>22565.0</v>
      </c>
      <c r="I154" s="66">
        <v>-1080.0</v>
      </c>
      <c r="J154" s="69">
        <v>-0.0479</v>
      </c>
      <c r="K154" s="143" t="s">
        <v>738</v>
      </c>
    </row>
    <row r="155" spans="8:8" ht="14.25" customHeight="1">
      <c r="A155" s="68" t="s">
        <v>758</v>
      </c>
      <c r="B155" s="68" t="s">
        <v>65</v>
      </c>
      <c r="C155" s="68">
        <v>5.0</v>
      </c>
      <c r="D155" s="68" t="s">
        <v>746</v>
      </c>
      <c r="E155" s="68" t="s">
        <v>145</v>
      </c>
      <c r="F155" s="68" t="s">
        <v>146</v>
      </c>
      <c r="G155" s="66">
        <v>11910.0</v>
      </c>
      <c r="H155" s="66">
        <v>12525.0</v>
      </c>
      <c r="I155" s="66">
        <v>-615.0</v>
      </c>
      <c r="J155" s="69">
        <v>-0.0491</v>
      </c>
      <c r="K155" s="143" t="s">
        <v>738</v>
      </c>
    </row>
    <row r="156" spans="8:8" ht="14.25" customHeight="1">
      <c r="A156" s="68" t="s">
        <v>758</v>
      </c>
      <c r="B156" s="68" t="s">
        <v>101</v>
      </c>
      <c r="C156" s="68">
        <v>5.0</v>
      </c>
      <c r="D156" s="68" t="s">
        <v>746</v>
      </c>
      <c r="E156" s="68" t="s">
        <v>145</v>
      </c>
      <c r="F156" s="68" t="s">
        <v>146</v>
      </c>
      <c r="G156" s="66">
        <v>13550.0</v>
      </c>
      <c r="H156" s="66">
        <v>14455.0</v>
      </c>
      <c r="I156" s="66">
        <v>-905.0</v>
      </c>
      <c r="J156" s="69">
        <v>-0.0626</v>
      </c>
      <c r="K156" s="143" t="s">
        <v>738</v>
      </c>
    </row>
    <row r="157" spans="8:8" ht="14.25" customHeight="1">
      <c r="A157" s="68" t="s">
        <v>758</v>
      </c>
      <c r="B157" s="68" t="s">
        <v>150</v>
      </c>
      <c r="C157" s="68">
        <v>2.0</v>
      </c>
      <c r="D157" s="68" t="s">
        <v>746</v>
      </c>
      <c r="E157" s="68" t="s">
        <v>29</v>
      </c>
      <c r="F157" s="68" t="s">
        <v>149</v>
      </c>
      <c r="G157" s="66">
        <v>10315.0</v>
      </c>
      <c r="H157" s="66">
        <v>10705.0</v>
      </c>
      <c r="I157" s="66">
        <v>-390.0</v>
      </c>
      <c r="J157" s="69">
        <v>-0.0364</v>
      </c>
      <c r="K157" s="143" t="s">
        <v>738</v>
      </c>
    </row>
    <row r="158" spans="8:8" ht="14.25" customHeight="1">
      <c r="A158" s="68" t="s">
        <v>758</v>
      </c>
      <c r="B158" s="68" t="s">
        <v>36</v>
      </c>
      <c r="C158" s="68">
        <v>1.0</v>
      </c>
      <c r="D158" s="68" t="s">
        <v>746</v>
      </c>
      <c r="E158" s="68" t="s">
        <v>29</v>
      </c>
      <c r="F158" s="68" t="s">
        <v>149</v>
      </c>
      <c r="G158" s="66">
        <v>15525.0</v>
      </c>
      <c r="H158" s="66">
        <v>16140.0</v>
      </c>
      <c r="I158" s="66">
        <v>-615.0</v>
      </c>
      <c r="J158" s="69">
        <v>-0.0381</v>
      </c>
      <c r="K158" s="143" t="s">
        <v>738</v>
      </c>
    </row>
    <row r="159" spans="8:8" ht="14.25" customHeight="1">
      <c r="A159" s="68" t="s">
        <v>758</v>
      </c>
      <c r="B159" s="68" t="s">
        <v>69</v>
      </c>
      <c r="C159" s="68">
        <v>1.0</v>
      </c>
      <c r="D159" s="68" t="s">
        <v>746</v>
      </c>
      <c r="E159" s="68" t="s">
        <v>29</v>
      </c>
      <c r="F159" s="68" t="s">
        <v>149</v>
      </c>
      <c r="G159" s="66">
        <v>14450.0</v>
      </c>
      <c r="H159" s="66">
        <v>15415.0</v>
      </c>
      <c r="I159" s="66">
        <v>-965.0</v>
      </c>
      <c r="J159" s="69">
        <v>-0.0626</v>
      </c>
      <c r="K159" s="143" t="s">
        <v>738</v>
      </c>
    </row>
    <row r="160" spans="8:8" ht="14.25" customHeight="1">
      <c r="A160" s="68" t="s">
        <v>758</v>
      </c>
      <c r="B160" s="68" t="s">
        <v>100</v>
      </c>
      <c r="C160" s="68">
        <v>2.0</v>
      </c>
      <c r="D160" s="68" t="s">
        <v>746</v>
      </c>
      <c r="E160" s="68" t="s">
        <v>29</v>
      </c>
      <c r="F160" s="68" t="s">
        <v>149</v>
      </c>
      <c r="G160" s="66">
        <v>11480.0</v>
      </c>
      <c r="H160" s="66">
        <v>12045.0</v>
      </c>
      <c r="I160" s="66">
        <v>-565.0</v>
      </c>
      <c r="J160" s="69">
        <v>-0.0469</v>
      </c>
      <c r="K160" s="143" t="s">
        <v>738</v>
      </c>
    </row>
    <row r="161" spans="8:8" ht="14.25" customHeight="1">
      <c r="A161" s="68" t="s">
        <v>758</v>
      </c>
      <c r="B161" s="68" t="s">
        <v>31</v>
      </c>
      <c r="C161" s="68">
        <v>20.0</v>
      </c>
      <c r="D161" s="68" t="s">
        <v>746</v>
      </c>
      <c r="E161" s="68" t="s">
        <v>29</v>
      </c>
      <c r="F161" s="68" t="s">
        <v>151</v>
      </c>
      <c r="G161" s="66">
        <v>17100.0</v>
      </c>
      <c r="H161" s="66">
        <v>18615.0</v>
      </c>
      <c r="I161" s="66">
        <v>-1515.0</v>
      </c>
      <c r="J161" s="69">
        <v>-0.0814</v>
      </c>
      <c r="K161" s="143" t="s">
        <v>738</v>
      </c>
    </row>
    <row r="162" spans="8:8" ht="14.25" customHeight="1">
      <c r="A162" s="68" t="s">
        <v>758</v>
      </c>
      <c r="B162" s="68" t="s">
        <v>32</v>
      </c>
      <c r="C162" s="68">
        <v>25.0</v>
      </c>
      <c r="D162" s="68" t="s">
        <v>746</v>
      </c>
      <c r="E162" s="68" t="s">
        <v>29</v>
      </c>
      <c r="F162" s="68" t="s">
        <v>151</v>
      </c>
      <c r="G162" s="66">
        <v>16145.0</v>
      </c>
      <c r="H162" s="66">
        <v>16735.0</v>
      </c>
      <c r="I162" s="66">
        <v>-590.0</v>
      </c>
      <c r="J162" s="69">
        <v>-0.0353</v>
      </c>
      <c r="K162" s="143" t="s">
        <v>738</v>
      </c>
    </row>
    <row r="163" spans="8:8" ht="14.25" customHeight="1">
      <c r="A163" s="68" t="s">
        <v>758</v>
      </c>
      <c r="B163" s="68" t="s">
        <v>45</v>
      </c>
      <c r="C163" s="68">
        <v>10.0</v>
      </c>
      <c r="D163" s="68" t="s">
        <v>746</v>
      </c>
      <c r="E163" s="68" t="s">
        <v>152</v>
      </c>
      <c r="F163" s="68" t="s">
        <v>153</v>
      </c>
      <c r="G163" s="66">
        <v>12930.0</v>
      </c>
      <c r="H163" s="66">
        <v>13932.0</v>
      </c>
      <c r="I163" s="66">
        <v>-1002.0</v>
      </c>
      <c r="J163" s="69">
        <v>-0.0719</v>
      </c>
      <c r="K163" s="143" t="s">
        <v>738</v>
      </c>
    </row>
    <row r="164" spans="8:8" ht="14.25" customHeight="1">
      <c r="A164" s="68" t="s">
        <v>758</v>
      </c>
      <c r="B164" s="68" t="s">
        <v>44</v>
      </c>
      <c r="C164" s="68">
        <v>4.0</v>
      </c>
      <c r="D164" s="68" t="s">
        <v>746</v>
      </c>
      <c r="E164" s="68" t="s">
        <v>154</v>
      </c>
      <c r="F164" s="68" t="s">
        <v>155</v>
      </c>
      <c r="G164" s="66">
        <v>9200.0</v>
      </c>
      <c r="H164" s="66">
        <v>9685.0</v>
      </c>
      <c r="I164" s="66">
        <v>-485.0</v>
      </c>
      <c r="J164" s="69">
        <v>-0.0501</v>
      </c>
      <c r="K164" s="143" t="s">
        <v>738</v>
      </c>
    </row>
    <row r="165" spans="8:8" ht="14.25" customHeight="1">
      <c r="A165" s="68" t="s">
        <v>758</v>
      </c>
      <c r="B165" s="68" t="s">
        <v>65</v>
      </c>
      <c r="C165" s="68">
        <v>2.0</v>
      </c>
      <c r="D165" s="68" t="s">
        <v>746</v>
      </c>
      <c r="E165" s="68" t="s">
        <v>154</v>
      </c>
      <c r="F165" s="68" t="s">
        <v>155</v>
      </c>
      <c r="G165" s="66">
        <v>11910.0</v>
      </c>
      <c r="H165" s="66">
        <v>12525.0</v>
      </c>
      <c r="I165" s="66">
        <v>-615.0</v>
      </c>
      <c r="J165" s="69">
        <v>-0.0491</v>
      </c>
      <c r="K165" s="143" t="s">
        <v>738</v>
      </c>
    </row>
    <row r="166" spans="8:8" ht="14.25" customHeight="1">
      <c r="A166" s="68" t="s">
        <v>758</v>
      </c>
      <c r="B166" s="68" t="s">
        <v>37</v>
      </c>
      <c r="C166" s="68">
        <v>4.0</v>
      </c>
      <c r="D166" s="68" t="s">
        <v>746</v>
      </c>
      <c r="E166" s="68" t="s">
        <v>154</v>
      </c>
      <c r="F166" s="68" t="s">
        <v>155</v>
      </c>
      <c r="G166" s="66">
        <v>9200.0</v>
      </c>
      <c r="H166" s="66">
        <v>9235.0</v>
      </c>
      <c r="I166" s="66">
        <v>-35.0</v>
      </c>
      <c r="J166" s="69">
        <v>-0.0038</v>
      </c>
      <c r="K166" s="146" t="s">
        <v>747</v>
      </c>
    </row>
    <row r="167" spans="8:8" ht="14.25" customHeight="1">
      <c r="A167" s="68" t="s">
        <v>758</v>
      </c>
      <c r="B167" s="68" t="s">
        <v>45</v>
      </c>
      <c r="C167" s="68">
        <v>2.0</v>
      </c>
      <c r="D167" s="68" t="s">
        <v>746</v>
      </c>
      <c r="E167" s="68" t="s">
        <v>154</v>
      </c>
      <c r="F167" s="68" t="s">
        <v>155</v>
      </c>
      <c r="G167" s="66">
        <v>13335.0</v>
      </c>
      <c r="H167" s="66">
        <v>13932.0</v>
      </c>
      <c r="I167" s="66">
        <v>-597.0</v>
      </c>
      <c r="J167" s="69">
        <v>-0.0429</v>
      </c>
      <c r="K167" s="143" t="s">
        <v>738</v>
      </c>
    </row>
    <row r="168" spans="8:8" ht="14.25" customHeight="1">
      <c r="A168" s="68" t="s">
        <v>758</v>
      </c>
      <c r="B168" s="68" t="s">
        <v>27</v>
      </c>
      <c r="C168" s="68">
        <v>10.0</v>
      </c>
      <c r="D168" s="68" t="s">
        <v>746</v>
      </c>
      <c r="E168" s="68" t="s">
        <v>154</v>
      </c>
      <c r="F168" s="68" t="s">
        <v>155</v>
      </c>
      <c r="G168" s="66">
        <v>8020.0</v>
      </c>
      <c r="H168" s="66">
        <v>8355.0</v>
      </c>
      <c r="I168" s="66">
        <v>-335.0</v>
      </c>
      <c r="J168" s="69">
        <v>-0.0401</v>
      </c>
      <c r="K168" s="143" t="s">
        <v>738</v>
      </c>
    </row>
    <row r="169" spans="8:8" ht="14.25" customHeight="1">
      <c r="A169" s="68" t="s">
        <v>758</v>
      </c>
      <c r="B169" s="68" t="s">
        <v>22</v>
      </c>
      <c r="C169" s="68">
        <v>1.0</v>
      </c>
      <c r="D169" s="68" t="s">
        <v>746</v>
      </c>
      <c r="E169" s="68" t="s">
        <v>102</v>
      </c>
      <c r="F169" s="68" t="s">
        <v>156</v>
      </c>
      <c r="G169" s="66">
        <v>9500.0</v>
      </c>
      <c r="H169" s="66">
        <v>9685.0</v>
      </c>
      <c r="I169" s="66">
        <v>-185.0</v>
      </c>
      <c r="J169" s="69">
        <v>-0.0191</v>
      </c>
      <c r="K169" s="143" t="s">
        <v>738</v>
      </c>
    </row>
    <row r="170" spans="8:8" ht="14.25" customHeight="1">
      <c r="A170" s="68" t="s">
        <v>758</v>
      </c>
      <c r="B170" s="68" t="s">
        <v>24</v>
      </c>
      <c r="C170" s="68">
        <v>30.0</v>
      </c>
      <c r="D170" s="68" t="s">
        <v>746</v>
      </c>
      <c r="E170" s="68" t="s">
        <v>157</v>
      </c>
      <c r="F170" s="68" t="s">
        <v>158</v>
      </c>
      <c r="G170" s="66">
        <v>5000.0</v>
      </c>
      <c r="H170" s="66">
        <v>6530.0</v>
      </c>
      <c r="I170" s="66">
        <v>-1530.0</v>
      </c>
      <c r="J170" s="69">
        <v>-0.2343</v>
      </c>
      <c r="K170" s="143" t="s">
        <v>738</v>
      </c>
    </row>
    <row r="171" spans="8:8" ht="14.25" customHeight="1">
      <c r="A171" s="68" t="s">
        <v>758</v>
      </c>
      <c r="B171" s="68" t="s">
        <v>27</v>
      </c>
      <c r="C171" s="68">
        <v>10.0</v>
      </c>
      <c r="D171" s="68" t="s">
        <v>746</v>
      </c>
      <c r="E171" s="68" t="s">
        <v>157</v>
      </c>
      <c r="F171" s="68" t="s">
        <v>158</v>
      </c>
      <c r="G171" s="66">
        <v>8020.0</v>
      </c>
      <c r="H171" s="66">
        <v>8355.0</v>
      </c>
      <c r="I171" s="66">
        <v>-335.0</v>
      </c>
      <c r="J171" s="69">
        <v>-0.0401</v>
      </c>
      <c r="K171" s="143" t="s">
        <v>738</v>
      </c>
    </row>
    <row r="172" spans="8:8" ht="14.25" customHeight="1">
      <c r="A172" s="68" t="s">
        <v>758</v>
      </c>
      <c r="B172" s="68" t="s">
        <v>22</v>
      </c>
      <c r="C172" s="68">
        <v>4.0</v>
      </c>
      <c r="D172" s="68" t="s">
        <v>746</v>
      </c>
      <c r="E172" s="68" t="s">
        <v>15</v>
      </c>
      <c r="F172" s="68" t="s">
        <v>159</v>
      </c>
      <c r="G172" s="66">
        <v>9200.0</v>
      </c>
      <c r="H172" s="66">
        <v>9685.0</v>
      </c>
      <c r="I172" s="66">
        <v>-485.0</v>
      </c>
      <c r="J172" s="69">
        <v>-0.0501</v>
      </c>
      <c r="K172" s="143" t="s">
        <v>738</v>
      </c>
    </row>
    <row r="173" spans="8:8" ht="14.25" customHeight="1">
      <c r="A173" s="68" t="s">
        <v>758</v>
      </c>
      <c r="B173" s="68" t="s">
        <v>37</v>
      </c>
      <c r="C173" s="68">
        <v>1.0</v>
      </c>
      <c r="D173" s="68" t="s">
        <v>746</v>
      </c>
      <c r="E173" s="68" t="s">
        <v>15</v>
      </c>
      <c r="F173" s="68" t="s">
        <v>159</v>
      </c>
      <c r="G173" s="66">
        <v>9200.0</v>
      </c>
      <c r="H173" s="66">
        <v>9235.0</v>
      </c>
      <c r="I173" s="66">
        <v>-35.0</v>
      </c>
      <c r="J173" s="69">
        <v>-0.0038</v>
      </c>
      <c r="K173" s="146" t="s">
        <v>747</v>
      </c>
    </row>
    <row r="174" spans="8:8" ht="14.25" customHeight="1">
      <c r="A174" s="68" t="s">
        <v>758</v>
      </c>
      <c r="B174" s="68" t="s">
        <v>119</v>
      </c>
      <c r="C174" s="68">
        <v>1.0</v>
      </c>
      <c r="D174" s="68" t="s">
        <v>746</v>
      </c>
      <c r="E174" s="68" t="s">
        <v>104</v>
      </c>
      <c r="F174" s="68" t="s">
        <v>160</v>
      </c>
      <c r="G174" s="66">
        <v>13125.0</v>
      </c>
      <c r="H174" s="66">
        <v>13900.0</v>
      </c>
      <c r="I174" s="66">
        <v>-775.0</v>
      </c>
      <c r="J174" s="69">
        <v>-0.0558</v>
      </c>
      <c r="K174" s="143" t="s">
        <v>738</v>
      </c>
    </row>
    <row r="175" spans="8:8" ht="14.25" customHeight="1">
      <c r="A175" s="68" t="s">
        <v>758</v>
      </c>
      <c r="B175" s="68" t="s">
        <v>45</v>
      </c>
      <c r="C175" s="68">
        <v>60.0</v>
      </c>
      <c r="D175" s="68" t="s">
        <v>749</v>
      </c>
      <c r="E175" s="68" t="s">
        <v>78</v>
      </c>
      <c r="F175" s="68" t="s">
        <v>161</v>
      </c>
      <c r="G175" s="66">
        <v>12930.0</v>
      </c>
      <c r="H175" s="66">
        <v>13332.0</v>
      </c>
      <c r="I175" s="66">
        <v>-402.0</v>
      </c>
      <c r="J175" s="69">
        <v>-0.0302</v>
      </c>
      <c r="K175" s="143" t="s">
        <v>738</v>
      </c>
    </row>
    <row r="176" spans="8:8" ht="14.25" customHeight="1">
      <c r="A176" s="68" t="s">
        <v>758</v>
      </c>
      <c r="B176" s="68" t="s">
        <v>65</v>
      </c>
      <c r="C176" s="68">
        <v>2.0</v>
      </c>
      <c r="D176" s="68" t="s">
        <v>746</v>
      </c>
      <c r="E176" s="68" t="s">
        <v>78</v>
      </c>
      <c r="F176" s="68" t="s">
        <v>161</v>
      </c>
      <c r="G176" s="66">
        <v>11910.0</v>
      </c>
      <c r="H176" s="66">
        <v>12525.0</v>
      </c>
      <c r="I176" s="66">
        <v>-615.0</v>
      </c>
      <c r="J176" s="69">
        <v>-0.0491</v>
      </c>
      <c r="K176" s="143" t="s">
        <v>738</v>
      </c>
    </row>
    <row r="177" spans="8:8" ht="14.25" customHeight="1">
      <c r="A177" s="68" t="s">
        <v>758</v>
      </c>
      <c r="B177" s="68" t="s">
        <v>69</v>
      </c>
      <c r="C177" s="68">
        <v>3.0</v>
      </c>
      <c r="D177" s="68" t="s">
        <v>746</v>
      </c>
      <c r="E177" s="68" t="s">
        <v>78</v>
      </c>
      <c r="F177" s="68" t="s">
        <v>161</v>
      </c>
      <c r="G177" s="66">
        <v>14450.0</v>
      </c>
      <c r="H177" s="66">
        <v>15415.0</v>
      </c>
      <c r="I177" s="66">
        <v>-965.0</v>
      </c>
      <c r="J177" s="69">
        <v>-0.0626</v>
      </c>
      <c r="K177" s="143" t="s">
        <v>738</v>
      </c>
    </row>
    <row r="178" spans="8:8" ht="14.25" customHeight="1">
      <c r="A178" s="68" t="s">
        <v>758</v>
      </c>
      <c r="B178" s="68" t="s">
        <v>101</v>
      </c>
      <c r="C178" s="68">
        <v>5.0</v>
      </c>
      <c r="D178" s="68" t="s">
        <v>746</v>
      </c>
      <c r="E178" s="68" t="s">
        <v>78</v>
      </c>
      <c r="F178" s="68" t="s">
        <v>161</v>
      </c>
      <c r="G178" s="66">
        <v>13550.0</v>
      </c>
      <c r="H178" s="66">
        <v>14455.0</v>
      </c>
      <c r="I178" s="66">
        <v>-905.0</v>
      </c>
      <c r="J178" s="69">
        <v>-0.0626</v>
      </c>
      <c r="K178" s="143" t="s">
        <v>738</v>
      </c>
    </row>
    <row r="179" spans="8:8" ht="14.25" customHeight="1">
      <c r="A179" s="68" t="s">
        <v>758</v>
      </c>
      <c r="B179" s="68" t="s">
        <v>24</v>
      </c>
      <c r="C179" s="68">
        <v>150.0</v>
      </c>
      <c r="D179" s="68" t="s">
        <v>749</v>
      </c>
      <c r="E179" s="68" t="s">
        <v>25</v>
      </c>
      <c r="F179" s="68" t="s">
        <v>162</v>
      </c>
      <c r="G179" s="66">
        <v>5000.0</v>
      </c>
      <c r="H179" s="66">
        <v>6195.0</v>
      </c>
      <c r="I179" s="66">
        <v>-1195.0</v>
      </c>
      <c r="J179" s="69">
        <v>-0.1929</v>
      </c>
      <c r="K179" s="143" t="s">
        <v>738</v>
      </c>
    </row>
    <row r="180" spans="8:8" ht="14.25" customHeight="1">
      <c r="A180" s="68" t="s">
        <v>758</v>
      </c>
      <c r="B180" s="68" t="s">
        <v>31</v>
      </c>
      <c r="C180" s="68">
        <v>5.0</v>
      </c>
      <c r="D180" s="68" t="s">
        <v>746</v>
      </c>
      <c r="E180" s="68" t="s">
        <v>25</v>
      </c>
      <c r="F180" s="68" t="s">
        <v>162</v>
      </c>
      <c r="G180" s="66">
        <v>17845.0</v>
      </c>
      <c r="H180" s="66">
        <v>18615.0</v>
      </c>
      <c r="I180" s="66">
        <v>-770.0</v>
      </c>
      <c r="J180" s="69">
        <v>-0.0414</v>
      </c>
      <c r="K180" s="143" t="s">
        <v>738</v>
      </c>
    </row>
    <row r="181" spans="8:8" ht="14.25" customHeight="1">
      <c r="A181" s="68" t="s">
        <v>758</v>
      </c>
      <c r="B181" s="68" t="s">
        <v>22</v>
      </c>
      <c r="C181" s="68">
        <v>5.0</v>
      </c>
      <c r="D181" s="68" t="s">
        <v>746</v>
      </c>
      <c r="E181" s="68" t="s">
        <v>163</v>
      </c>
      <c r="F181" s="68" t="s">
        <v>164</v>
      </c>
      <c r="G181" s="66">
        <v>9200.0</v>
      </c>
      <c r="H181" s="66">
        <v>9685.0</v>
      </c>
      <c r="I181" s="66">
        <v>-485.0</v>
      </c>
      <c r="J181" s="69">
        <v>-0.0501</v>
      </c>
      <c r="K181" s="143" t="s">
        <v>738</v>
      </c>
    </row>
    <row r="182" spans="8:8" ht="14.25" customHeight="1">
      <c r="A182" s="68" t="s">
        <v>758</v>
      </c>
      <c r="B182" s="68" t="s">
        <v>150</v>
      </c>
      <c r="C182" s="68">
        <v>2.0</v>
      </c>
      <c r="D182" s="68" t="s">
        <v>746</v>
      </c>
      <c r="E182" s="68" t="s">
        <v>163</v>
      </c>
      <c r="F182" s="68" t="s">
        <v>164</v>
      </c>
      <c r="G182" s="66">
        <v>10315.0</v>
      </c>
      <c r="H182" s="66">
        <v>10705.0</v>
      </c>
      <c r="I182" s="66">
        <v>-390.0</v>
      </c>
      <c r="J182" s="69">
        <v>-0.0364</v>
      </c>
      <c r="K182" s="143" t="s">
        <v>738</v>
      </c>
    </row>
    <row r="183" spans="8:8" ht="14.25" customHeight="1">
      <c r="A183" s="68" t="s">
        <v>758</v>
      </c>
      <c r="B183" s="68" t="s">
        <v>93</v>
      </c>
      <c r="C183" s="68">
        <v>3.0</v>
      </c>
      <c r="D183" s="68" t="s">
        <v>746</v>
      </c>
      <c r="E183" s="68" t="s">
        <v>163</v>
      </c>
      <c r="F183" s="68" t="s">
        <v>164</v>
      </c>
      <c r="G183" s="66">
        <v>11600.0</v>
      </c>
      <c r="H183" s="66">
        <v>12090.0</v>
      </c>
      <c r="I183" s="66">
        <v>-490.0</v>
      </c>
      <c r="J183" s="69">
        <v>-0.0405</v>
      </c>
      <c r="K183" s="143" t="s">
        <v>738</v>
      </c>
    </row>
    <row r="184" spans="8:8" ht="14.25" customHeight="1">
      <c r="A184" s="68" t="s">
        <v>758</v>
      </c>
      <c r="B184" s="68" t="s">
        <v>141</v>
      </c>
      <c r="C184" s="68">
        <v>2.0</v>
      </c>
      <c r="D184" s="68" t="s">
        <v>746</v>
      </c>
      <c r="E184" s="68" t="s">
        <v>163</v>
      </c>
      <c r="F184" s="68" t="s">
        <v>164</v>
      </c>
      <c r="G184" s="66">
        <v>14145.0</v>
      </c>
      <c r="H184" s="66">
        <v>14765.0</v>
      </c>
      <c r="I184" s="66">
        <v>-620.0</v>
      </c>
      <c r="J184" s="69">
        <v>-0.042</v>
      </c>
      <c r="K184" s="143" t="s">
        <v>738</v>
      </c>
    </row>
    <row r="185" spans="8:8" ht="14.25" customHeight="1">
      <c r="A185" s="68" t="s">
        <v>758</v>
      </c>
      <c r="B185" s="68" t="s">
        <v>69</v>
      </c>
      <c r="C185" s="68">
        <v>1.0</v>
      </c>
      <c r="D185" s="68" t="s">
        <v>746</v>
      </c>
      <c r="E185" s="68" t="s">
        <v>163</v>
      </c>
      <c r="F185" s="68" t="s">
        <v>164</v>
      </c>
      <c r="G185" s="66">
        <v>14450.0</v>
      </c>
      <c r="H185" s="66">
        <v>15415.0</v>
      </c>
      <c r="I185" s="66">
        <v>-965.0</v>
      </c>
      <c r="J185" s="69">
        <v>-0.0626</v>
      </c>
      <c r="K185" s="143" t="s">
        <v>738</v>
      </c>
    </row>
    <row r="186" spans="8:8" ht="14.25" customHeight="1">
      <c r="A186" s="68" t="s">
        <v>758</v>
      </c>
      <c r="B186" s="68" t="s">
        <v>22</v>
      </c>
      <c r="C186" s="68">
        <v>300.0</v>
      </c>
      <c r="D186" s="68" t="s">
        <v>755</v>
      </c>
      <c r="E186" s="68" t="s">
        <v>165</v>
      </c>
      <c r="F186" s="68" t="s">
        <v>166</v>
      </c>
      <c r="G186" s="66">
        <v>8600.0</v>
      </c>
      <c r="H186" s="66">
        <v>8990.0</v>
      </c>
      <c r="I186" s="66">
        <v>-390.0</v>
      </c>
      <c r="J186" s="69">
        <v>-0.0434</v>
      </c>
      <c r="K186" s="143" t="s">
        <v>738</v>
      </c>
    </row>
    <row r="187" spans="8:8" ht="14.25" customHeight="1">
      <c r="A187" s="68" t="s">
        <v>758</v>
      </c>
      <c r="B187" s="68" t="s">
        <v>37</v>
      </c>
      <c r="C187" s="68">
        <v>50.0</v>
      </c>
      <c r="D187" s="68" t="s">
        <v>749</v>
      </c>
      <c r="E187" s="68" t="s">
        <v>165</v>
      </c>
      <c r="F187" s="68" t="s">
        <v>166</v>
      </c>
      <c r="G187" s="66">
        <v>8880.0</v>
      </c>
      <c r="H187" s="66">
        <v>8880.0</v>
      </c>
      <c r="I187" s="66">
        <v>0.0</v>
      </c>
      <c r="J187" s="69">
        <v>0.0</v>
      </c>
      <c r="K187" s="146" t="s">
        <v>747</v>
      </c>
    </row>
    <row r="188" spans="8:8" ht="14.25" customHeight="1">
      <c r="A188" s="68" t="s">
        <v>758</v>
      </c>
      <c r="B188" s="68" t="s">
        <v>45</v>
      </c>
      <c r="C188" s="68">
        <v>60.0</v>
      </c>
      <c r="D188" s="68" t="s">
        <v>749</v>
      </c>
      <c r="E188" s="68" t="s">
        <v>168</v>
      </c>
      <c r="F188" s="68" t="s">
        <v>169</v>
      </c>
      <c r="G188" s="66">
        <v>12930.0</v>
      </c>
      <c r="H188" s="66">
        <v>13332.0</v>
      </c>
      <c r="I188" s="66">
        <v>-402.0</v>
      </c>
      <c r="J188" s="69">
        <v>-0.0302</v>
      </c>
      <c r="K188" s="143" t="s">
        <v>738</v>
      </c>
    </row>
    <row r="189" spans="8:8" ht="14.25" customHeight="1">
      <c r="A189" s="68" t="s">
        <v>758</v>
      </c>
      <c r="B189" s="68" t="s">
        <v>65</v>
      </c>
      <c r="C189" s="68">
        <v>10.0</v>
      </c>
      <c r="D189" s="68" t="s">
        <v>746</v>
      </c>
      <c r="E189" s="68" t="s">
        <v>59</v>
      </c>
      <c r="F189" s="68" t="s">
        <v>171</v>
      </c>
      <c r="G189" s="66">
        <v>11910.0</v>
      </c>
      <c r="H189" s="66">
        <v>12525.0</v>
      </c>
      <c r="I189" s="66">
        <v>-615.0</v>
      </c>
      <c r="J189" s="69">
        <v>-0.0491</v>
      </c>
      <c r="K189" s="143" t="s">
        <v>738</v>
      </c>
    </row>
    <row r="190" spans="8:8" ht="14.25" customHeight="1">
      <c r="A190" s="68" t="s">
        <v>758</v>
      </c>
      <c r="B190" s="68" t="s">
        <v>80</v>
      </c>
      <c r="C190" s="68">
        <v>10.0</v>
      </c>
      <c r="D190" s="68" t="s">
        <v>746</v>
      </c>
      <c r="E190" s="68" t="s">
        <v>59</v>
      </c>
      <c r="F190" s="68" t="s">
        <v>171</v>
      </c>
      <c r="G190" s="66">
        <v>9345.0</v>
      </c>
      <c r="H190" s="66">
        <v>9720.0</v>
      </c>
      <c r="I190" s="66">
        <v>-375.0</v>
      </c>
      <c r="J190" s="69">
        <v>-0.0386</v>
      </c>
      <c r="K190" s="143" t="s">
        <v>738</v>
      </c>
    </row>
    <row r="191" spans="8:8" ht="14.25" customHeight="1">
      <c r="A191" s="68" t="s">
        <v>758</v>
      </c>
      <c r="B191" s="68" t="s">
        <v>141</v>
      </c>
      <c r="C191" s="68">
        <v>5.0</v>
      </c>
      <c r="D191" s="68" t="s">
        <v>746</v>
      </c>
      <c r="E191" s="68" t="s">
        <v>59</v>
      </c>
      <c r="F191" s="68" t="s">
        <v>171</v>
      </c>
      <c r="G191" s="66">
        <v>14145.0</v>
      </c>
      <c r="H191" s="66">
        <v>14765.0</v>
      </c>
      <c r="I191" s="66">
        <v>-620.0</v>
      </c>
      <c r="J191" s="69">
        <v>-0.042</v>
      </c>
      <c r="K191" s="143" t="s">
        <v>738</v>
      </c>
    </row>
    <row r="192" spans="8:8" ht="14.25" customHeight="1">
      <c r="A192" s="68" t="s">
        <v>758</v>
      </c>
      <c r="B192" s="68" t="s">
        <v>36</v>
      </c>
      <c r="C192" s="68">
        <v>6.0</v>
      </c>
      <c r="D192" s="68" t="s">
        <v>746</v>
      </c>
      <c r="E192" s="68" t="s">
        <v>59</v>
      </c>
      <c r="F192" s="68" t="s">
        <v>171</v>
      </c>
      <c r="G192" s="66">
        <v>15525.0</v>
      </c>
      <c r="H192" s="66">
        <v>16140.0</v>
      </c>
      <c r="I192" s="66">
        <v>-615.0</v>
      </c>
      <c r="J192" s="69">
        <v>-0.0381</v>
      </c>
      <c r="K192" s="143" t="s">
        <v>738</v>
      </c>
    </row>
    <row r="193" spans="8:8" ht="14.25" customHeight="1">
      <c r="A193" s="68" t="s">
        <v>758</v>
      </c>
      <c r="B193" s="68" t="s">
        <v>62</v>
      </c>
      <c r="C193" s="68">
        <v>5.0</v>
      </c>
      <c r="D193" s="68" t="s">
        <v>746</v>
      </c>
      <c r="E193" s="68" t="s">
        <v>59</v>
      </c>
      <c r="F193" s="68" t="s">
        <v>171</v>
      </c>
      <c r="G193" s="66">
        <v>20655.0</v>
      </c>
      <c r="H193" s="66">
        <v>22040.0</v>
      </c>
      <c r="I193" s="66">
        <v>-1385.0</v>
      </c>
      <c r="J193" s="69">
        <v>-0.0628</v>
      </c>
      <c r="K193" s="143" t="s">
        <v>738</v>
      </c>
    </row>
    <row r="194" spans="8:8" ht="14.25" customHeight="1">
      <c r="A194" s="68" t="s">
        <v>758</v>
      </c>
      <c r="B194" s="68" t="s">
        <v>24</v>
      </c>
      <c r="C194" s="68">
        <v>10.0</v>
      </c>
      <c r="D194" s="68" t="s">
        <v>746</v>
      </c>
      <c r="E194" s="68" t="s">
        <v>157</v>
      </c>
      <c r="F194" s="68" t="s">
        <v>172</v>
      </c>
      <c r="G194" s="66">
        <v>5000.0</v>
      </c>
      <c r="H194" s="66">
        <v>6530.0</v>
      </c>
      <c r="I194" s="66">
        <v>-1530.0</v>
      </c>
      <c r="J194" s="69">
        <v>-0.2343</v>
      </c>
      <c r="K194" s="143" t="s">
        <v>738</v>
      </c>
    </row>
    <row r="195" spans="8:8" ht="14.25" customHeight="1">
      <c r="A195" s="68" t="s">
        <v>759</v>
      </c>
      <c r="B195" s="68" t="s">
        <v>45</v>
      </c>
      <c r="C195" s="68">
        <v>60.0</v>
      </c>
      <c r="D195" s="68" t="s">
        <v>749</v>
      </c>
      <c r="E195" s="68" t="s">
        <v>152</v>
      </c>
      <c r="F195" s="68" t="s">
        <v>175</v>
      </c>
      <c r="G195" s="66">
        <v>12930.0</v>
      </c>
      <c r="H195" s="66">
        <v>13332.0</v>
      </c>
      <c r="I195" s="66">
        <v>-402.0</v>
      </c>
      <c r="J195" s="69">
        <v>-0.0302</v>
      </c>
      <c r="K195" s="143" t="s">
        <v>738</v>
      </c>
    </row>
    <row r="196" spans="8:8" ht="14.25" customHeight="1">
      <c r="A196" s="68" t="s">
        <v>759</v>
      </c>
      <c r="B196" s="68" t="s">
        <v>34</v>
      </c>
      <c r="C196" s="68">
        <v>10.0</v>
      </c>
      <c r="D196" s="68" t="s">
        <v>746</v>
      </c>
      <c r="E196" s="68" t="s">
        <v>29</v>
      </c>
      <c r="F196" s="68" t="s">
        <v>176</v>
      </c>
      <c r="G196" s="66">
        <v>21695.0</v>
      </c>
      <c r="H196" s="66">
        <v>23895.0</v>
      </c>
      <c r="I196" s="66">
        <v>-2200.0</v>
      </c>
      <c r="J196" s="69">
        <v>-0.0921</v>
      </c>
      <c r="K196" s="143" t="s">
        <v>738</v>
      </c>
    </row>
    <row r="197" spans="8:8" ht="14.25" customHeight="1">
      <c r="A197" s="68" t="s">
        <v>759</v>
      </c>
      <c r="B197" s="68" t="s">
        <v>69</v>
      </c>
      <c r="C197" s="68">
        <v>2.0</v>
      </c>
      <c r="D197" s="68" t="s">
        <v>746</v>
      </c>
      <c r="E197" s="68" t="s">
        <v>50</v>
      </c>
      <c r="F197" s="68" t="s">
        <v>177</v>
      </c>
      <c r="G197" s="66">
        <v>14450.0</v>
      </c>
      <c r="H197" s="66">
        <v>15415.0</v>
      </c>
      <c r="I197" s="66">
        <v>-965.0</v>
      </c>
      <c r="J197" s="69">
        <v>-0.0626</v>
      </c>
      <c r="K197" s="143" t="s">
        <v>738</v>
      </c>
    </row>
    <row r="198" spans="8:8" ht="14.25" customHeight="1">
      <c r="A198" s="68" t="s">
        <v>759</v>
      </c>
      <c r="B198" s="68" t="s">
        <v>150</v>
      </c>
      <c r="C198" s="68">
        <v>2.0</v>
      </c>
      <c r="D198" s="68" t="s">
        <v>746</v>
      </c>
      <c r="E198" s="68" t="s">
        <v>50</v>
      </c>
      <c r="F198" s="68" t="s">
        <v>177</v>
      </c>
      <c r="G198" s="66">
        <v>10315.0</v>
      </c>
      <c r="H198" s="66">
        <v>10705.0</v>
      </c>
      <c r="I198" s="66">
        <v>-390.0</v>
      </c>
      <c r="J198" s="69">
        <v>-0.0364</v>
      </c>
      <c r="K198" s="143" t="s">
        <v>738</v>
      </c>
    </row>
    <row r="199" spans="8:8" ht="14.25" customHeight="1">
      <c r="A199" s="68" t="s">
        <v>759</v>
      </c>
      <c r="B199" s="68" t="s">
        <v>70</v>
      </c>
      <c r="C199" s="68">
        <v>3.0</v>
      </c>
      <c r="D199" s="68" t="s">
        <v>746</v>
      </c>
      <c r="E199" s="68" t="s">
        <v>50</v>
      </c>
      <c r="F199" s="68" t="s">
        <v>177</v>
      </c>
      <c r="G199" s="66">
        <v>13350.0</v>
      </c>
      <c r="H199" s="66">
        <v>14085.0</v>
      </c>
      <c r="I199" s="66">
        <v>-735.0</v>
      </c>
      <c r="J199" s="69">
        <v>-0.0522</v>
      </c>
      <c r="K199" s="143" t="s">
        <v>738</v>
      </c>
    </row>
    <row r="200" spans="8:8" ht="14.25" customHeight="1">
      <c r="A200" s="68" t="s">
        <v>759</v>
      </c>
      <c r="B200" s="68" t="s">
        <v>62</v>
      </c>
      <c r="C200" s="68">
        <v>3.0</v>
      </c>
      <c r="D200" s="68" t="s">
        <v>746</v>
      </c>
      <c r="E200" s="68" t="s">
        <v>50</v>
      </c>
      <c r="F200" s="68" t="s">
        <v>177</v>
      </c>
      <c r="G200" s="66">
        <v>20655.0</v>
      </c>
      <c r="H200" s="66">
        <v>22040.0</v>
      </c>
      <c r="I200" s="66">
        <v>-1385.0</v>
      </c>
      <c r="J200" s="69">
        <v>-0.0628</v>
      </c>
      <c r="K200" s="143" t="s">
        <v>738</v>
      </c>
    </row>
    <row r="201" spans="8:8" ht="14.25" customHeight="1">
      <c r="A201" s="68" t="s">
        <v>759</v>
      </c>
      <c r="B201" s="68" t="s">
        <v>65</v>
      </c>
      <c r="C201" s="68">
        <v>10.0</v>
      </c>
      <c r="D201" s="68" t="s">
        <v>746</v>
      </c>
      <c r="E201" s="68" t="s">
        <v>50</v>
      </c>
      <c r="F201" s="68" t="s">
        <v>177</v>
      </c>
      <c r="G201" s="66">
        <v>11910.0</v>
      </c>
      <c r="H201" s="66">
        <v>12525.0</v>
      </c>
      <c r="I201" s="66">
        <v>-615.0</v>
      </c>
      <c r="J201" s="69">
        <v>-0.0491</v>
      </c>
      <c r="K201" s="143" t="s">
        <v>738</v>
      </c>
    </row>
    <row r="202" spans="8:8" ht="14.25" customHeight="1">
      <c r="A202" s="68" t="s">
        <v>759</v>
      </c>
      <c r="B202" s="68" t="s">
        <v>36</v>
      </c>
      <c r="C202" s="68">
        <v>4.0</v>
      </c>
      <c r="D202" s="68" t="s">
        <v>746</v>
      </c>
      <c r="E202" s="68" t="s">
        <v>50</v>
      </c>
      <c r="F202" s="68" t="s">
        <v>177</v>
      </c>
      <c r="G202" s="66">
        <v>15525.0</v>
      </c>
      <c r="H202" s="66">
        <v>16140.0</v>
      </c>
      <c r="I202" s="66">
        <v>-615.0</v>
      </c>
      <c r="J202" s="69">
        <v>-0.0381</v>
      </c>
      <c r="K202" s="143" t="s">
        <v>738</v>
      </c>
    </row>
    <row r="203" spans="8:8" ht="14.25" customHeight="1">
      <c r="A203" s="68" t="s">
        <v>759</v>
      </c>
      <c r="B203" s="68" t="s">
        <v>44</v>
      </c>
      <c r="C203" s="68">
        <v>2.0</v>
      </c>
      <c r="D203" s="68" t="s">
        <v>746</v>
      </c>
      <c r="E203" s="68" t="s">
        <v>50</v>
      </c>
      <c r="F203" s="68" t="s">
        <v>177</v>
      </c>
      <c r="G203" s="66">
        <v>9200.0</v>
      </c>
      <c r="H203" s="66">
        <v>9685.0</v>
      </c>
      <c r="I203" s="66">
        <v>-485.0</v>
      </c>
      <c r="J203" s="69">
        <v>-0.0501</v>
      </c>
      <c r="K203" s="143" t="s">
        <v>738</v>
      </c>
    </row>
    <row r="204" spans="8:8" ht="14.25" customHeight="1">
      <c r="A204" s="68" t="s">
        <v>759</v>
      </c>
      <c r="B204" s="68" t="s">
        <v>27</v>
      </c>
      <c r="C204" s="68">
        <v>30.0</v>
      </c>
      <c r="D204" s="68" t="s">
        <v>746</v>
      </c>
      <c r="E204" s="68" t="s">
        <v>50</v>
      </c>
      <c r="F204" s="68" t="s">
        <v>177</v>
      </c>
      <c r="G204" s="66">
        <v>8020.0</v>
      </c>
      <c r="H204" s="66">
        <v>8355.0</v>
      </c>
      <c r="I204" s="66">
        <v>-335.0</v>
      </c>
      <c r="J204" s="69">
        <v>-0.0401</v>
      </c>
      <c r="K204" s="143" t="s">
        <v>738</v>
      </c>
    </row>
    <row r="205" spans="8:8" ht="14.25" customHeight="1">
      <c r="A205" s="68" t="s">
        <v>759</v>
      </c>
      <c r="B205" s="68" t="s">
        <v>178</v>
      </c>
      <c r="C205" s="68">
        <v>20.0</v>
      </c>
      <c r="D205" s="68" t="s">
        <v>746</v>
      </c>
      <c r="E205" s="68" t="s">
        <v>50</v>
      </c>
      <c r="F205" s="68" t="s">
        <v>177</v>
      </c>
      <c r="G205" s="66">
        <v>23770.0</v>
      </c>
      <c r="H205" s="66">
        <v>24795.0</v>
      </c>
      <c r="I205" s="66">
        <v>-1025.0</v>
      </c>
      <c r="J205" s="69">
        <v>-0.0413</v>
      </c>
      <c r="K205" s="143" t="s">
        <v>738</v>
      </c>
    </row>
    <row r="206" spans="8:8" ht="14.25" customHeight="1">
      <c r="A206" s="68" t="s">
        <v>759</v>
      </c>
      <c r="B206" s="68" t="s">
        <v>80</v>
      </c>
      <c r="C206" s="68">
        <v>2.0</v>
      </c>
      <c r="D206" s="68" t="s">
        <v>746</v>
      </c>
      <c r="E206" s="68" t="s">
        <v>50</v>
      </c>
      <c r="F206" s="68" t="s">
        <v>177</v>
      </c>
      <c r="G206" s="66">
        <v>9345.0</v>
      </c>
      <c r="H206" s="66">
        <v>9720.0</v>
      </c>
      <c r="I206" s="66">
        <v>-375.0</v>
      </c>
      <c r="J206" s="69">
        <v>-0.0386</v>
      </c>
      <c r="K206" s="143" t="s">
        <v>738</v>
      </c>
    </row>
    <row r="207" spans="8:8" ht="14.25" customHeight="1">
      <c r="A207" s="68" t="s">
        <v>759</v>
      </c>
      <c r="B207" s="68" t="s">
        <v>35</v>
      </c>
      <c r="C207" s="68">
        <v>5.0</v>
      </c>
      <c r="D207" s="68" t="s">
        <v>746</v>
      </c>
      <c r="E207" s="68" t="s">
        <v>50</v>
      </c>
      <c r="F207" s="68" t="s">
        <v>177</v>
      </c>
      <c r="G207" s="66">
        <v>21170.0</v>
      </c>
      <c r="H207" s="66">
        <v>21830.0</v>
      </c>
      <c r="I207" s="66">
        <v>-660.0</v>
      </c>
      <c r="J207" s="69">
        <v>-0.0302</v>
      </c>
      <c r="K207" s="143" t="s">
        <v>738</v>
      </c>
    </row>
    <row r="208" spans="8:8" ht="14.25" customHeight="1">
      <c r="A208" s="68" t="s">
        <v>759</v>
      </c>
      <c r="B208" s="68" t="s">
        <v>65</v>
      </c>
      <c r="C208" s="68">
        <v>3.0</v>
      </c>
      <c r="D208" s="68" t="s">
        <v>746</v>
      </c>
      <c r="E208" s="68" t="s">
        <v>157</v>
      </c>
      <c r="F208" s="68" t="s">
        <v>179</v>
      </c>
      <c r="G208" s="66">
        <v>11910.0</v>
      </c>
      <c r="H208" s="66">
        <v>12525.0</v>
      </c>
      <c r="I208" s="66">
        <v>-615.0</v>
      </c>
      <c r="J208" s="69">
        <v>-0.0491</v>
      </c>
      <c r="K208" s="143" t="s">
        <v>738</v>
      </c>
    </row>
    <row r="209" spans="8:8" ht="14.25" customHeight="1">
      <c r="A209" s="68" t="s">
        <v>759</v>
      </c>
      <c r="B209" s="68" t="s">
        <v>80</v>
      </c>
      <c r="C209" s="68">
        <v>3.0</v>
      </c>
      <c r="D209" s="68" t="s">
        <v>746</v>
      </c>
      <c r="E209" s="68" t="s">
        <v>157</v>
      </c>
      <c r="F209" s="68" t="s">
        <v>179</v>
      </c>
      <c r="G209" s="66">
        <v>9345.0</v>
      </c>
      <c r="H209" s="66">
        <v>9720.0</v>
      </c>
      <c r="I209" s="66">
        <v>-375.0</v>
      </c>
      <c r="J209" s="69">
        <v>-0.0386</v>
      </c>
      <c r="K209" s="143" t="s">
        <v>738</v>
      </c>
    </row>
    <row r="210" spans="8:8" ht="14.25" customHeight="1">
      <c r="A210" s="68" t="s">
        <v>759</v>
      </c>
      <c r="B210" s="68" t="s">
        <v>36</v>
      </c>
      <c r="C210" s="68">
        <v>2.0</v>
      </c>
      <c r="D210" s="68" t="s">
        <v>746</v>
      </c>
      <c r="E210" s="68" t="s">
        <v>157</v>
      </c>
      <c r="F210" s="68" t="s">
        <v>179</v>
      </c>
      <c r="G210" s="66">
        <v>15525.0</v>
      </c>
      <c r="H210" s="66">
        <v>16140.0</v>
      </c>
      <c r="I210" s="66">
        <v>-615.0</v>
      </c>
      <c r="J210" s="69">
        <v>-0.0381</v>
      </c>
      <c r="K210" s="143" t="s">
        <v>738</v>
      </c>
    </row>
    <row r="211" spans="8:8" ht="14.25" customHeight="1">
      <c r="A211" s="68" t="s">
        <v>759</v>
      </c>
      <c r="B211" s="68" t="s">
        <v>37</v>
      </c>
      <c r="C211" s="68">
        <v>3.0</v>
      </c>
      <c r="D211" s="68" t="s">
        <v>746</v>
      </c>
      <c r="E211" s="68" t="s">
        <v>157</v>
      </c>
      <c r="F211" s="68" t="s">
        <v>179</v>
      </c>
      <c r="G211" s="66">
        <v>8880.0</v>
      </c>
      <c r="H211" s="66">
        <v>9235.0</v>
      </c>
      <c r="I211" s="66">
        <v>-355.0</v>
      </c>
      <c r="J211" s="69">
        <v>-0.0384</v>
      </c>
      <c r="K211" s="143" t="s">
        <v>738</v>
      </c>
    </row>
    <row r="212" spans="8:8" ht="14.25" customHeight="1">
      <c r="A212" s="68" t="s">
        <v>759</v>
      </c>
      <c r="B212" s="68" t="s">
        <v>21</v>
      </c>
      <c r="C212" s="68">
        <v>4.0</v>
      </c>
      <c r="D212" s="68" t="s">
        <v>746</v>
      </c>
      <c r="E212" s="68" t="s">
        <v>81</v>
      </c>
      <c r="F212" s="68" t="s">
        <v>180</v>
      </c>
      <c r="G212" s="66">
        <v>8500.0</v>
      </c>
      <c r="H212" s="66">
        <v>9190.0</v>
      </c>
      <c r="I212" s="66">
        <v>-690.0</v>
      </c>
      <c r="J212" s="69">
        <v>-0.0751</v>
      </c>
      <c r="K212" s="143" t="s">
        <v>738</v>
      </c>
    </row>
    <row r="213" spans="8:8" ht="14.25" customHeight="1">
      <c r="A213" s="68" t="s">
        <v>759</v>
      </c>
      <c r="B213" s="68" t="s">
        <v>22</v>
      </c>
      <c r="C213" s="68">
        <v>2.0</v>
      </c>
      <c r="D213" s="68" t="s">
        <v>746</v>
      </c>
      <c r="E213" s="68" t="s">
        <v>81</v>
      </c>
      <c r="F213" s="68" t="s">
        <v>180</v>
      </c>
      <c r="G213" s="66">
        <v>9200.0</v>
      </c>
      <c r="H213" s="66">
        <v>9685.0</v>
      </c>
      <c r="I213" s="66">
        <v>-485.0</v>
      </c>
      <c r="J213" s="69">
        <v>-0.0501</v>
      </c>
      <c r="K213" s="143" t="s">
        <v>738</v>
      </c>
    </row>
    <row r="214" spans="8:8" ht="14.25" customHeight="1">
      <c r="A214" s="68" t="s">
        <v>759</v>
      </c>
      <c r="B214" s="68" t="s">
        <v>181</v>
      </c>
      <c r="C214" s="68">
        <v>1.0</v>
      </c>
      <c r="D214" s="68" t="s">
        <v>746</v>
      </c>
      <c r="E214" s="68" t="s">
        <v>81</v>
      </c>
      <c r="F214" s="68" t="s">
        <v>180</v>
      </c>
      <c r="G214" s="66">
        <v>17000.0</v>
      </c>
      <c r="H214" s="66">
        <v>17770.0</v>
      </c>
      <c r="I214" s="66">
        <v>-770.0</v>
      </c>
      <c r="J214" s="69">
        <v>-0.0433</v>
      </c>
      <c r="K214" s="143" t="s">
        <v>738</v>
      </c>
    </row>
    <row r="215" spans="8:8" ht="14.25" customHeight="1">
      <c r="A215" s="68" t="s">
        <v>759</v>
      </c>
      <c r="B215" s="68" t="s">
        <v>43</v>
      </c>
      <c r="C215" s="68">
        <v>1.0</v>
      </c>
      <c r="D215" s="68" t="s">
        <v>746</v>
      </c>
      <c r="E215" s="68" t="s">
        <v>81</v>
      </c>
      <c r="F215" s="68" t="s">
        <v>180</v>
      </c>
      <c r="G215" s="66">
        <v>18300.0</v>
      </c>
      <c r="H215" s="66">
        <v>18100.0</v>
      </c>
      <c r="I215" s="66">
        <v>200.0</v>
      </c>
      <c r="J215" s="69">
        <v>0.011</v>
      </c>
      <c r="K215" s="145" t="s">
        <v>744</v>
      </c>
    </row>
    <row r="216" spans="8:8" ht="14.25" customHeight="1">
      <c r="A216" s="68" t="s">
        <v>759</v>
      </c>
      <c r="B216" s="68" t="s">
        <v>65</v>
      </c>
      <c r="C216" s="68">
        <v>4.0</v>
      </c>
      <c r="D216" s="68" t="s">
        <v>746</v>
      </c>
      <c r="E216" s="68" t="s">
        <v>154</v>
      </c>
      <c r="F216" s="68" t="s">
        <v>182</v>
      </c>
      <c r="G216" s="66">
        <v>11910.0</v>
      </c>
      <c r="H216" s="66">
        <v>12525.0</v>
      </c>
      <c r="I216" s="66">
        <v>-615.0</v>
      </c>
      <c r="J216" s="69">
        <v>-0.0491</v>
      </c>
      <c r="K216" s="143" t="s">
        <v>738</v>
      </c>
    </row>
    <row r="217" spans="8:8" ht="14.25" customHeight="1">
      <c r="A217" s="68" t="s">
        <v>759</v>
      </c>
      <c r="B217" s="68" t="s">
        <v>80</v>
      </c>
      <c r="C217" s="68">
        <v>2.0</v>
      </c>
      <c r="D217" s="68" t="s">
        <v>746</v>
      </c>
      <c r="E217" s="68" t="s">
        <v>154</v>
      </c>
      <c r="F217" s="68" t="s">
        <v>182</v>
      </c>
      <c r="G217" s="66">
        <v>9345.0</v>
      </c>
      <c r="H217" s="66">
        <v>9720.0</v>
      </c>
      <c r="I217" s="66">
        <v>-375.0</v>
      </c>
      <c r="J217" s="69">
        <v>-0.0386</v>
      </c>
      <c r="K217" s="143" t="s">
        <v>738</v>
      </c>
    </row>
    <row r="218" spans="8:8" ht="14.25" customHeight="1">
      <c r="A218" s="68" t="s">
        <v>759</v>
      </c>
      <c r="B218" s="68" t="s">
        <v>36</v>
      </c>
      <c r="C218" s="68">
        <v>1.0</v>
      </c>
      <c r="D218" s="68" t="s">
        <v>746</v>
      </c>
      <c r="E218" s="68" t="s">
        <v>154</v>
      </c>
      <c r="F218" s="68" t="s">
        <v>182</v>
      </c>
      <c r="G218" s="66">
        <v>15525.0</v>
      </c>
      <c r="H218" s="66">
        <v>16140.0</v>
      </c>
      <c r="I218" s="66">
        <v>-615.0</v>
      </c>
      <c r="J218" s="69">
        <v>-0.0381</v>
      </c>
      <c r="K218" s="143" t="s">
        <v>738</v>
      </c>
    </row>
    <row r="219" spans="8:8" ht="14.25" customHeight="1">
      <c r="A219" s="68" t="s">
        <v>759</v>
      </c>
      <c r="B219" s="68" t="s">
        <v>44</v>
      </c>
      <c r="C219" s="68">
        <v>1.0</v>
      </c>
      <c r="D219" s="68" t="s">
        <v>746</v>
      </c>
      <c r="E219" s="68" t="s">
        <v>15</v>
      </c>
      <c r="F219" s="68" t="s">
        <v>183</v>
      </c>
      <c r="G219" s="66">
        <v>9200.0</v>
      </c>
      <c r="H219" s="66">
        <v>9685.0</v>
      </c>
      <c r="I219" s="66">
        <v>-485.0</v>
      </c>
      <c r="J219" s="69">
        <v>-0.0501</v>
      </c>
      <c r="K219" s="143" t="s">
        <v>738</v>
      </c>
    </row>
    <row r="220" spans="8:8" ht="14.25" customHeight="1">
      <c r="A220" s="68" t="s">
        <v>759</v>
      </c>
      <c r="B220" s="68" t="s">
        <v>22</v>
      </c>
      <c r="C220" s="68">
        <v>1.0</v>
      </c>
      <c r="D220" s="68" t="s">
        <v>746</v>
      </c>
      <c r="E220" s="68" t="s">
        <v>15</v>
      </c>
      <c r="F220" s="68" t="s">
        <v>183</v>
      </c>
      <c r="G220" s="66">
        <v>9200.0</v>
      </c>
      <c r="H220" s="66">
        <v>9685.0</v>
      </c>
      <c r="I220" s="66">
        <v>-485.0</v>
      </c>
      <c r="J220" s="69">
        <v>-0.0501</v>
      </c>
      <c r="K220" s="143" t="s">
        <v>738</v>
      </c>
    </row>
    <row r="221" spans="8:8" ht="14.25" customHeight="1">
      <c r="A221" s="68" t="s">
        <v>759</v>
      </c>
      <c r="B221" s="68" t="s">
        <v>80</v>
      </c>
      <c r="C221" s="68">
        <v>2.0</v>
      </c>
      <c r="D221" s="68" t="s">
        <v>746</v>
      </c>
      <c r="E221" s="68" t="s">
        <v>95</v>
      </c>
      <c r="F221" s="68" t="s">
        <v>184</v>
      </c>
      <c r="G221" s="66">
        <v>9345.0</v>
      </c>
      <c r="H221" s="66">
        <v>9720.0</v>
      </c>
      <c r="I221" s="66">
        <v>-375.0</v>
      </c>
      <c r="J221" s="69">
        <v>-0.0386</v>
      </c>
      <c r="K221" s="143" t="s">
        <v>738</v>
      </c>
    </row>
    <row r="222" spans="8:8" ht="14.25" customHeight="1">
      <c r="A222" s="68" t="s">
        <v>759</v>
      </c>
      <c r="B222" s="68" t="s">
        <v>65</v>
      </c>
      <c r="C222" s="68">
        <v>3.0</v>
      </c>
      <c r="D222" s="68" t="s">
        <v>746</v>
      </c>
      <c r="E222" s="68" t="s">
        <v>95</v>
      </c>
      <c r="F222" s="68" t="s">
        <v>184</v>
      </c>
      <c r="G222" s="66">
        <v>11910.0</v>
      </c>
      <c r="H222" s="66">
        <v>12525.0</v>
      </c>
      <c r="I222" s="66">
        <v>-615.0</v>
      </c>
      <c r="J222" s="69">
        <v>-0.0491</v>
      </c>
      <c r="K222" s="143" t="s">
        <v>738</v>
      </c>
    </row>
    <row r="223" spans="8:8" ht="14.25" customHeight="1">
      <c r="A223" s="68" t="s">
        <v>759</v>
      </c>
      <c r="B223" s="68" t="s">
        <v>36</v>
      </c>
      <c r="C223" s="68">
        <v>2.0</v>
      </c>
      <c r="D223" s="68" t="s">
        <v>746</v>
      </c>
      <c r="E223" s="68" t="s">
        <v>95</v>
      </c>
      <c r="F223" s="68" t="s">
        <v>184</v>
      </c>
      <c r="G223" s="66">
        <v>15525.0</v>
      </c>
      <c r="H223" s="66">
        <v>16140.0</v>
      </c>
      <c r="I223" s="66">
        <v>-615.0</v>
      </c>
      <c r="J223" s="69">
        <v>-0.0381</v>
      </c>
      <c r="K223" s="143" t="s">
        <v>738</v>
      </c>
    </row>
    <row r="224" spans="8:8" ht="14.25" customHeight="1">
      <c r="A224" s="68" t="s">
        <v>759</v>
      </c>
      <c r="B224" s="68" t="s">
        <v>22</v>
      </c>
      <c r="C224" s="68">
        <v>5.0</v>
      </c>
      <c r="D224" s="68" t="s">
        <v>746</v>
      </c>
      <c r="E224" s="68" t="s">
        <v>29</v>
      </c>
      <c r="F224" s="68" t="s">
        <v>185</v>
      </c>
      <c r="G224" s="66">
        <v>8800.0</v>
      </c>
      <c r="H224" s="66">
        <v>9685.0</v>
      </c>
      <c r="I224" s="66">
        <v>-885.0</v>
      </c>
      <c r="J224" s="69">
        <v>-0.0914</v>
      </c>
      <c r="K224" s="143" t="s">
        <v>738</v>
      </c>
    </row>
    <row r="225" spans="8:8" ht="14.25" customHeight="1">
      <c r="A225" s="68" t="s">
        <v>759</v>
      </c>
      <c r="B225" s="68" t="s">
        <v>44</v>
      </c>
      <c r="C225" s="68">
        <v>10.0</v>
      </c>
      <c r="D225" s="68" t="s">
        <v>746</v>
      </c>
      <c r="E225" s="68" t="s">
        <v>29</v>
      </c>
      <c r="F225" s="68" t="s">
        <v>185</v>
      </c>
      <c r="G225" s="66">
        <v>9200.0</v>
      </c>
      <c r="H225" s="66">
        <v>9685.0</v>
      </c>
      <c r="I225" s="66">
        <v>-485.0</v>
      </c>
      <c r="J225" s="69">
        <v>-0.0501</v>
      </c>
      <c r="K225" s="143" t="s">
        <v>738</v>
      </c>
    </row>
    <row r="226" spans="8:8" ht="14.25" customHeight="1">
      <c r="A226" s="68" t="s">
        <v>759</v>
      </c>
      <c r="B226" s="68" t="s">
        <v>87</v>
      </c>
      <c r="C226" s="68">
        <v>2.0</v>
      </c>
      <c r="D226" s="68" t="s">
        <v>746</v>
      </c>
      <c r="E226" s="68" t="s">
        <v>29</v>
      </c>
      <c r="F226" s="68" t="s">
        <v>185</v>
      </c>
      <c r="G226" s="66">
        <v>21400.0</v>
      </c>
      <c r="H226" s="66">
        <v>22565.0</v>
      </c>
      <c r="I226" s="66">
        <v>-1165.0</v>
      </c>
      <c r="J226" s="69">
        <v>-0.0516</v>
      </c>
      <c r="K226" s="143" t="s">
        <v>738</v>
      </c>
    </row>
    <row r="227" spans="8:8" ht="14.25" customHeight="1">
      <c r="A227" s="68" t="s">
        <v>759</v>
      </c>
      <c r="B227" s="68" t="s">
        <v>36</v>
      </c>
      <c r="C227" s="68">
        <v>2.0</v>
      </c>
      <c r="D227" s="68" t="s">
        <v>746</v>
      </c>
      <c r="E227" s="68" t="s">
        <v>29</v>
      </c>
      <c r="F227" s="68" t="s">
        <v>185</v>
      </c>
      <c r="G227" s="66">
        <v>15525.0</v>
      </c>
      <c r="H227" s="66">
        <v>16140.0</v>
      </c>
      <c r="I227" s="66">
        <v>-615.0</v>
      </c>
      <c r="J227" s="69">
        <v>-0.0381</v>
      </c>
      <c r="K227" s="143" t="s">
        <v>738</v>
      </c>
    </row>
    <row r="228" spans="8:8" ht="14.25" customHeight="1">
      <c r="A228" s="68" t="s">
        <v>759</v>
      </c>
      <c r="B228" s="68" t="s">
        <v>65</v>
      </c>
      <c r="C228" s="68">
        <v>2.0</v>
      </c>
      <c r="D228" s="68" t="s">
        <v>746</v>
      </c>
      <c r="E228" s="68" t="s">
        <v>29</v>
      </c>
      <c r="F228" s="68" t="s">
        <v>185</v>
      </c>
      <c r="G228" s="66">
        <v>11910.0</v>
      </c>
      <c r="H228" s="66">
        <v>12525.0</v>
      </c>
      <c r="I228" s="66">
        <v>-615.0</v>
      </c>
      <c r="J228" s="69">
        <v>-0.0491</v>
      </c>
      <c r="K228" s="143" t="s">
        <v>738</v>
      </c>
    </row>
    <row r="229" spans="8:8" ht="14.25" customHeight="1">
      <c r="A229" s="68" t="s">
        <v>759</v>
      </c>
      <c r="B229" s="68" t="s">
        <v>45</v>
      </c>
      <c r="C229" s="68">
        <v>3.0</v>
      </c>
      <c r="D229" s="68" t="s">
        <v>746</v>
      </c>
      <c r="E229" s="68" t="s">
        <v>29</v>
      </c>
      <c r="F229" s="68" t="s">
        <v>185</v>
      </c>
      <c r="G229" s="66">
        <v>13335.0</v>
      </c>
      <c r="H229" s="66">
        <v>13932.0</v>
      </c>
      <c r="I229" s="66">
        <v>-597.0</v>
      </c>
      <c r="J229" s="69">
        <v>-0.0429</v>
      </c>
      <c r="K229" s="143" t="s">
        <v>738</v>
      </c>
    </row>
    <row r="230" spans="8:8" ht="14.25" customHeight="1">
      <c r="A230" s="68" t="s">
        <v>759</v>
      </c>
      <c r="B230" s="68" t="s">
        <v>37</v>
      </c>
      <c r="C230" s="68">
        <v>2.0</v>
      </c>
      <c r="D230" s="68" t="s">
        <v>746</v>
      </c>
      <c r="E230" s="68" t="s">
        <v>29</v>
      </c>
      <c r="F230" s="68" t="s">
        <v>185</v>
      </c>
      <c r="G230" s="66">
        <v>8880.0</v>
      </c>
      <c r="H230" s="66">
        <v>9235.0</v>
      </c>
      <c r="I230" s="66">
        <v>-355.0</v>
      </c>
      <c r="J230" s="69">
        <v>-0.0384</v>
      </c>
      <c r="K230" s="143" t="s">
        <v>738</v>
      </c>
    </row>
    <row r="231" spans="8:8" ht="14.25" customHeight="1">
      <c r="A231" s="68" t="s">
        <v>759</v>
      </c>
      <c r="B231" s="68" t="s">
        <v>70</v>
      </c>
      <c r="C231" s="68">
        <v>1.0</v>
      </c>
      <c r="D231" s="68" t="s">
        <v>746</v>
      </c>
      <c r="E231" s="68" t="s">
        <v>29</v>
      </c>
      <c r="F231" s="68" t="s">
        <v>185</v>
      </c>
      <c r="G231" s="66">
        <v>13460.0</v>
      </c>
      <c r="H231" s="66">
        <v>14085.0</v>
      </c>
      <c r="I231" s="66">
        <v>-625.0</v>
      </c>
      <c r="J231" s="69">
        <v>-0.0444</v>
      </c>
      <c r="K231" s="143" t="s">
        <v>738</v>
      </c>
    </row>
    <row r="232" spans="8:8" ht="14.25" customHeight="1">
      <c r="A232" s="68" t="s">
        <v>759</v>
      </c>
      <c r="B232" s="68" t="s">
        <v>93</v>
      </c>
      <c r="C232" s="68">
        <v>1.0</v>
      </c>
      <c r="D232" s="68" t="s">
        <v>746</v>
      </c>
      <c r="E232" s="68" t="s">
        <v>29</v>
      </c>
      <c r="F232" s="68" t="s">
        <v>185</v>
      </c>
      <c r="G232" s="66">
        <v>11415.0</v>
      </c>
      <c r="H232" s="66">
        <v>12090.0</v>
      </c>
      <c r="I232" s="66">
        <v>-675.0</v>
      </c>
      <c r="J232" s="69">
        <v>-0.0558</v>
      </c>
      <c r="K232" s="143" t="s">
        <v>738</v>
      </c>
    </row>
    <row r="233" spans="8:8" ht="14.25" customHeight="1">
      <c r="A233" s="68" t="s">
        <v>759</v>
      </c>
      <c r="B233" s="68" t="s">
        <v>101</v>
      </c>
      <c r="C233" s="68">
        <v>2.0</v>
      </c>
      <c r="D233" s="68" t="s">
        <v>746</v>
      </c>
      <c r="E233" s="68" t="s">
        <v>29</v>
      </c>
      <c r="F233" s="68" t="s">
        <v>185</v>
      </c>
      <c r="G233" s="66">
        <v>13020.0</v>
      </c>
      <c r="H233" s="66">
        <v>14455.0</v>
      </c>
      <c r="I233" s="66">
        <v>-1435.0</v>
      </c>
      <c r="J233" s="69">
        <v>-0.0993</v>
      </c>
      <c r="K233" s="143" t="s">
        <v>738</v>
      </c>
    </row>
    <row r="234" spans="8:8" ht="14.25" customHeight="1">
      <c r="A234" s="68" t="s">
        <v>759</v>
      </c>
      <c r="B234" s="68" t="s">
        <v>69</v>
      </c>
      <c r="C234" s="68">
        <v>1.0</v>
      </c>
      <c r="D234" s="68" t="s">
        <v>746</v>
      </c>
      <c r="E234" s="68" t="s">
        <v>29</v>
      </c>
      <c r="F234" s="68" t="s">
        <v>185</v>
      </c>
      <c r="G234" s="66">
        <v>14450.0</v>
      </c>
      <c r="H234" s="66">
        <v>15415.0</v>
      </c>
      <c r="I234" s="66">
        <v>-965.0</v>
      </c>
      <c r="J234" s="69">
        <v>-0.0626</v>
      </c>
      <c r="K234" s="143" t="s">
        <v>738</v>
      </c>
    </row>
    <row r="235" spans="8:8" ht="14.25" customHeight="1">
      <c r="A235" s="68" t="s">
        <v>759</v>
      </c>
      <c r="B235" s="68" t="s">
        <v>45</v>
      </c>
      <c r="C235" s="68">
        <v>5.0</v>
      </c>
      <c r="D235" s="68" t="s">
        <v>746</v>
      </c>
      <c r="E235" s="68" t="s">
        <v>29</v>
      </c>
      <c r="F235" s="68" t="s">
        <v>186</v>
      </c>
      <c r="G235" s="66">
        <v>13335.0</v>
      </c>
      <c r="H235" s="66">
        <v>13932.0</v>
      </c>
      <c r="I235" s="66">
        <v>-597.0</v>
      </c>
      <c r="J235" s="69">
        <v>-0.0429</v>
      </c>
      <c r="K235" s="143" t="s">
        <v>738</v>
      </c>
    </row>
    <row r="236" spans="8:8" ht="14.25" customHeight="1">
      <c r="A236" s="68" t="s">
        <v>759</v>
      </c>
      <c r="B236" s="68" t="s">
        <v>65</v>
      </c>
      <c r="C236" s="68">
        <v>2.0</v>
      </c>
      <c r="D236" s="68" t="s">
        <v>746</v>
      </c>
      <c r="E236" s="68" t="s">
        <v>29</v>
      </c>
      <c r="F236" s="68" t="s">
        <v>187</v>
      </c>
      <c r="G236" s="66">
        <v>11910.0</v>
      </c>
      <c r="H236" s="66">
        <v>12525.0</v>
      </c>
      <c r="I236" s="66">
        <v>-615.0</v>
      </c>
      <c r="J236" s="69">
        <v>-0.0491</v>
      </c>
      <c r="K236" s="143" t="s">
        <v>738</v>
      </c>
    </row>
    <row r="237" spans="8:8" ht="14.25" customHeight="1">
      <c r="A237" s="68" t="s">
        <v>759</v>
      </c>
      <c r="B237" s="68" t="s">
        <v>37</v>
      </c>
      <c r="C237" s="68">
        <v>1.0</v>
      </c>
      <c r="D237" s="68" t="s">
        <v>746</v>
      </c>
      <c r="E237" s="68" t="s">
        <v>29</v>
      </c>
      <c r="F237" s="68" t="s">
        <v>187</v>
      </c>
      <c r="G237" s="66">
        <v>8880.0</v>
      </c>
      <c r="H237" s="66">
        <v>9235.0</v>
      </c>
      <c r="I237" s="66">
        <v>-355.0</v>
      </c>
      <c r="J237" s="69">
        <v>-0.0384</v>
      </c>
      <c r="K237" s="143" t="s">
        <v>738</v>
      </c>
    </row>
    <row r="238" spans="8:8" ht="14.25" customHeight="1">
      <c r="A238" s="68" t="s">
        <v>759</v>
      </c>
      <c r="B238" s="68" t="s">
        <v>44</v>
      </c>
      <c r="C238" s="68">
        <v>2.0</v>
      </c>
      <c r="D238" s="68" t="s">
        <v>746</v>
      </c>
      <c r="E238" s="68" t="s">
        <v>29</v>
      </c>
      <c r="F238" s="68" t="s">
        <v>187</v>
      </c>
      <c r="G238" s="66">
        <v>9200.0</v>
      </c>
      <c r="H238" s="66">
        <v>9685.0</v>
      </c>
      <c r="I238" s="66">
        <v>-485.0</v>
      </c>
      <c r="J238" s="69">
        <v>-0.0501</v>
      </c>
      <c r="K238" s="143" t="s">
        <v>738</v>
      </c>
    </row>
    <row r="239" spans="8:8" ht="14.25" customHeight="1">
      <c r="A239" s="68" t="s">
        <v>759</v>
      </c>
      <c r="B239" s="68" t="s">
        <v>45</v>
      </c>
      <c r="C239" s="68">
        <v>1.0</v>
      </c>
      <c r="D239" s="68" t="s">
        <v>746</v>
      </c>
      <c r="E239" s="68" t="s">
        <v>29</v>
      </c>
      <c r="F239" s="68" t="s">
        <v>187</v>
      </c>
      <c r="G239" s="66">
        <v>13335.0</v>
      </c>
      <c r="H239" s="66">
        <v>13932.0</v>
      </c>
      <c r="I239" s="66">
        <v>-597.0</v>
      </c>
      <c r="J239" s="69">
        <v>-0.0429</v>
      </c>
      <c r="K239" s="143" t="s">
        <v>738</v>
      </c>
    </row>
    <row r="240" spans="8:8" ht="14.25" customHeight="1">
      <c r="A240" s="68" t="s">
        <v>759</v>
      </c>
      <c r="B240" s="68" t="s">
        <v>22</v>
      </c>
      <c r="C240" s="68">
        <v>2.0</v>
      </c>
      <c r="D240" s="68" t="s">
        <v>746</v>
      </c>
      <c r="E240" s="68" t="s">
        <v>29</v>
      </c>
      <c r="F240" s="68" t="s">
        <v>187</v>
      </c>
      <c r="G240" s="66">
        <v>8800.0</v>
      </c>
      <c r="H240" s="66">
        <v>9685.0</v>
      </c>
      <c r="I240" s="66">
        <v>-885.0</v>
      </c>
      <c r="J240" s="69">
        <v>-0.0914</v>
      </c>
      <c r="K240" s="143" t="s">
        <v>738</v>
      </c>
    </row>
    <row r="241" spans="8:8" ht="14.25" customHeight="1">
      <c r="A241" s="68" t="s">
        <v>759</v>
      </c>
      <c r="B241" s="68" t="s">
        <v>24</v>
      </c>
      <c r="C241" s="68">
        <v>1.0</v>
      </c>
      <c r="D241" s="68" t="s">
        <v>746</v>
      </c>
      <c r="E241" s="68" t="s">
        <v>29</v>
      </c>
      <c r="F241" s="68" t="s">
        <v>187</v>
      </c>
      <c r="G241" s="66">
        <v>5000.0</v>
      </c>
      <c r="H241" s="66">
        <v>6530.0</v>
      </c>
      <c r="I241" s="66">
        <v>-1530.0</v>
      </c>
      <c r="J241" s="69">
        <v>-0.2343</v>
      </c>
      <c r="K241" s="143" t="s">
        <v>738</v>
      </c>
    </row>
    <row r="242" spans="8:8" ht="14.25" customHeight="1">
      <c r="A242" s="68" t="s">
        <v>759</v>
      </c>
      <c r="B242" s="68" t="s">
        <v>22</v>
      </c>
      <c r="C242" s="68">
        <v>1.0</v>
      </c>
      <c r="D242" s="68" t="s">
        <v>746</v>
      </c>
      <c r="E242" s="68" t="s">
        <v>122</v>
      </c>
      <c r="F242" s="68" t="s">
        <v>188</v>
      </c>
      <c r="G242" s="66">
        <v>9500.0</v>
      </c>
      <c r="H242" s="66">
        <v>9685.0</v>
      </c>
      <c r="I242" s="66">
        <v>-185.0</v>
      </c>
      <c r="J242" s="69">
        <v>-0.0191</v>
      </c>
      <c r="K242" s="143" t="s">
        <v>738</v>
      </c>
    </row>
    <row r="243" spans="8:8" ht="14.25" customHeight="1">
      <c r="A243" s="68" t="s">
        <v>759</v>
      </c>
      <c r="B243" s="68" t="s">
        <v>21</v>
      </c>
      <c r="C243" s="68">
        <v>1.0</v>
      </c>
      <c r="D243" s="68" t="s">
        <v>746</v>
      </c>
      <c r="E243" s="68" t="s">
        <v>122</v>
      </c>
      <c r="F243" s="68" t="s">
        <v>188</v>
      </c>
      <c r="G243" s="66">
        <v>9000.0</v>
      </c>
      <c r="H243" s="66">
        <v>9190.0</v>
      </c>
      <c r="I243" s="66">
        <v>-190.0</v>
      </c>
      <c r="J243" s="69">
        <v>-0.0207</v>
      </c>
      <c r="K243" s="143" t="s">
        <v>738</v>
      </c>
    </row>
    <row r="244" spans="8:8" ht="14.25" customHeight="1">
      <c r="A244" s="68" t="s">
        <v>759</v>
      </c>
      <c r="B244" s="68" t="s">
        <v>24</v>
      </c>
      <c r="C244" s="68">
        <v>1.0</v>
      </c>
      <c r="D244" s="68" t="s">
        <v>746</v>
      </c>
      <c r="E244" s="68" t="s">
        <v>122</v>
      </c>
      <c r="F244" s="68" t="s">
        <v>188</v>
      </c>
      <c r="G244" s="66">
        <v>5300.0</v>
      </c>
      <c r="H244" s="66">
        <v>6530.0</v>
      </c>
      <c r="I244" s="66">
        <v>-1230.0</v>
      </c>
      <c r="J244" s="69">
        <v>-0.1884</v>
      </c>
      <c r="K244" s="143" t="s">
        <v>738</v>
      </c>
    </row>
    <row r="245" spans="8:8" ht="14.25" customHeight="1">
      <c r="A245" s="68" t="s">
        <v>760</v>
      </c>
      <c r="B245" s="68" t="s">
        <v>190</v>
      </c>
      <c r="C245" s="68">
        <v>10.0</v>
      </c>
      <c r="D245" s="68" t="s">
        <v>746</v>
      </c>
      <c r="E245" s="68" t="s">
        <v>104</v>
      </c>
      <c r="F245" s="68" t="s">
        <v>189</v>
      </c>
      <c r="G245" s="66">
        <v>28445.0</v>
      </c>
      <c r="H245" s="66">
        <v>30935.0</v>
      </c>
      <c r="I245" s="66">
        <v>-2490.0</v>
      </c>
      <c r="J245" s="69">
        <v>-0.0805</v>
      </c>
      <c r="K245" s="143" t="s">
        <v>738</v>
      </c>
    </row>
    <row r="246" spans="8:8" ht="14.25" customHeight="1">
      <c r="A246" s="68" t="s">
        <v>760</v>
      </c>
      <c r="B246" s="68" t="s">
        <v>24</v>
      </c>
      <c r="C246" s="68">
        <v>200.0</v>
      </c>
      <c r="D246" s="68" t="s">
        <v>749</v>
      </c>
      <c r="E246" s="68" t="s">
        <v>25</v>
      </c>
      <c r="F246" s="68" t="s">
        <v>191</v>
      </c>
      <c r="G246" s="66">
        <v>5000.0</v>
      </c>
      <c r="H246" s="66">
        <v>6195.0</v>
      </c>
      <c r="I246" s="66">
        <v>-1195.0</v>
      </c>
      <c r="J246" s="69">
        <v>-0.1929</v>
      </c>
      <c r="K246" s="143" t="s">
        <v>738</v>
      </c>
    </row>
    <row r="247" spans="8:8" ht="14.25" customHeight="1">
      <c r="A247" s="68" t="s">
        <v>760</v>
      </c>
      <c r="B247" s="68" t="s">
        <v>150</v>
      </c>
      <c r="C247" s="68">
        <v>5.0</v>
      </c>
      <c r="D247" s="68" t="s">
        <v>746</v>
      </c>
      <c r="E247" s="68" t="s">
        <v>29</v>
      </c>
      <c r="F247" s="68" t="s">
        <v>192</v>
      </c>
      <c r="G247" s="66">
        <v>10315.0</v>
      </c>
      <c r="H247" s="66">
        <v>10705.0</v>
      </c>
      <c r="I247" s="66">
        <v>-390.0</v>
      </c>
      <c r="J247" s="69">
        <v>-0.0364</v>
      </c>
      <c r="K247" s="143" t="s">
        <v>738</v>
      </c>
    </row>
    <row r="248" spans="8:8" ht="14.25" customHeight="1">
      <c r="A248" s="68" t="s">
        <v>760</v>
      </c>
      <c r="B248" s="68" t="s">
        <v>65</v>
      </c>
      <c r="C248" s="68">
        <v>4.0</v>
      </c>
      <c r="D248" s="68" t="s">
        <v>746</v>
      </c>
      <c r="E248" s="68" t="s">
        <v>29</v>
      </c>
      <c r="F248" s="68" t="s">
        <v>192</v>
      </c>
      <c r="G248" s="66">
        <v>11910.0</v>
      </c>
      <c r="H248" s="66">
        <v>12525.0</v>
      </c>
      <c r="I248" s="66">
        <v>-615.0</v>
      </c>
      <c r="J248" s="69">
        <v>-0.0491</v>
      </c>
      <c r="K248" s="143" t="s">
        <v>738</v>
      </c>
    </row>
    <row r="249" spans="8:8" ht="14.25" customHeight="1">
      <c r="A249" s="68" t="s">
        <v>760</v>
      </c>
      <c r="B249" s="68" t="s">
        <v>45</v>
      </c>
      <c r="C249" s="68">
        <v>1.0</v>
      </c>
      <c r="D249" s="68" t="s">
        <v>746</v>
      </c>
      <c r="E249" s="68" t="s">
        <v>81</v>
      </c>
      <c r="F249" s="68" t="s">
        <v>193</v>
      </c>
      <c r="G249" s="66">
        <v>13335.0</v>
      </c>
      <c r="H249" s="66">
        <v>13932.0</v>
      </c>
      <c r="I249" s="66">
        <v>-597.0</v>
      </c>
      <c r="J249" s="69">
        <v>-0.0429</v>
      </c>
      <c r="K249" s="143" t="s">
        <v>738</v>
      </c>
    </row>
    <row r="250" spans="8:8" ht="14.25" customHeight="1">
      <c r="A250" s="68" t="s">
        <v>760</v>
      </c>
      <c r="B250" s="68" t="s">
        <v>22</v>
      </c>
      <c r="C250" s="68">
        <v>1.0</v>
      </c>
      <c r="D250" s="68" t="s">
        <v>746</v>
      </c>
      <c r="E250" s="68" t="s">
        <v>81</v>
      </c>
      <c r="F250" s="68" t="s">
        <v>193</v>
      </c>
      <c r="G250" s="66">
        <v>9200.0</v>
      </c>
      <c r="H250" s="66">
        <v>9685.0</v>
      </c>
      <c r="I250" s="66">
        <v>-485.0</v>
      </c>
      <c r="J250" s="69">
        <v>-0.0501</v>
      </c>
      <c r="K250" s="143" t="s">
        <v>738</v>
      </c>
    </row>
    <row r="251" spans="8:8" ht="14.25" customHeight="1">
      <c r="A251" s="68" t="s">
        <v>760</v>
      </c>
      <c r="B251" s="68" t="s">
        <v>43</v>
      </c>
      <c r="C251" s="68">
        <v>1.0</v>
      </c>
      <c r="D251" s="68" t="s">
        <v>746</v>
      </c>
      <c r="E251" s="68" t="s">
        <v>81</v>
      </c>
      <c r="F251" s="68" t="s">
        <v>193</v>
      </c>
      <c r="G251" s="66">
        <v>18300.0</v>
      </c>
      <c r="H251" s="66">
        <v>18100.0</v>
      </c>
      <c r="I251" s="66">
        <v>200.0</v>
      </c>
      <c r="J251" s="69">
        <v>0.011</v>
      </c>
      <c r="K251" s="145" t="s">
        <v>744</v>
      </c>
    </row>
    <row r="252" spans="8:8" ht="14.25" customHeight="1">
      <c r="A252" s="68" t="s">
        <v>760</v>
      </c>
      <c r="B252" s="68" t="s">
        <v>113</v>
      </c>
      <c r="C252" s="68">
        <v>1.0</v>
      </c>
      <c r="D252" s="68" t="s">
        <v>746</v>
      </c>
      <c r="E252" s="68" t="s">
        <v>81</v>
      </c>
      <c r="F252" s="68" t="s">
        <v>193</v>
      </c>
      <c r="G252" s="66">
        <v>15115.0</v>
      </c>
      <c r="H252" s="66">
        <v>15765.0</v>
      </c>
      <c r="I252" s="66">
        <v>-650.0</v>
      </c>
      <c r="J252" s="69">
        <v>-0.0412</v>
      </c>
      <c r="K252" s="143" t="s">
        <v>738</v>
      </c>
    </row>
    <row r="253" spans="8:8" ht="14.25" customHeight="1">
      <c r="A253" s="68" t="s">
        <v>760</v>
      </c>
      <c r="B253" s="68" t="s">
        <v>141</v>
      </c>
      <c r="C253" s="68">
        <v>3.0</v>
      </c>
      <c r="D253" s="68" t="s">
        <v>746</v>
      </c>
      <c r="E253" s="68" t="s">
        <v>163</v>
      </c>
      <c r="F253" s="68" t="s">
        <v>194</v>
      </c>
      <c r="G253" s="66">
        <v>14145.0</v>
      </c>
      <c r="H253" s="66">
        <v>14765.0</v>
      </c>
      <c r="I253" s="66">
        <v>-620.0</v>
      </c>
      <c r="J253" s="69">
        <v>-0.042</v>
      </c>
      <c r="K253" s="143" t="s">
        <v>738</v>
      </c>
    </row>
    <row r="254" spans="8:8" ht="14.25" customHeight="1">
      <c r="A254" s="68" t="s">
        <v>760</v>
      </c>
      <c r="B254" s="68" t="s">
        <v>80</v>
      </c>
      <c r="C254" s="68">
        <v>2.0</v>
      </c>
      <c r="D254" s="68" t="s">
        <v>746</v>
      </c>
      <c r="E254" s="68" t="s">
        <v>163</v>
      </c>
      <c r="F254" s="68" t="s">
        <v>194</v>
      </c>
      <c r="G254" s="66">
        <v>9345.0</v>
      </c>
      <c r="H254" s="66">
        <v>9720.0</v>
      </c>
      <c r="I254" s="66">
        <v>-375.0</v>
      </c>
      <c r="J254" s="69">
        <v>-0.0386</v>
      </c>
      <c r="K254" s="143" t="s">
        <v>738</v>
      </c>
    </row>
    <row r="255" spans="8:8" ht="14.25" customHeight="1">
      <c r="A255" s="68" t="s">
        <v>760</v>
      </c>
      <c r="B255" s="68" t="s">
        <v>22</v>
      </c>
      <c r="C255" s="68">
        <v>2.0</v>
      </c>
      <c r="D255" s="68" t="s">
        <v>746</v>
      </c>
      <c r="E255" s="68" t="s">
        <v>15</v>
      </c>
      <c r="F255" s="68" t="s">
        <v>195</v>
      </c>
      <c r="G255" s="66">
        <v>9500.0</v>
      </c>
      <c r="H255" s="66">
        <v>9685.0</v>
      </c>
      <c r="I255" s="66">
        <v>-185.0</v>
      </c>
      <c r="J255" s="69">
        <v>-0.0191</v>
      </c>
      <c r="K255" s="143" t="s">
        <v>738</v>
      </c>
    </row>
    <row r="256" spans="8:8" ht="14.25" customHeight="1">
      <c r="A256" s="68" t="s">
        <v>760</v>
      </c>
      <c r="B256" s="68" t="s">
        <v>22</v>
      </c>
      <c r="C256" s="68">
        <v>1.0</v>
      </c>
      <c r="D256" s="68" t="s">
        <v>746</v>
      </c>
      <c r="E256" s="68" t="s">
        <v>15</v>
      </c>
      <c r="F256" s="68" t="s">
        <v>197</v>
      </c>
      <c r="G256" s="66">
        <v>9500.0</v>
      </c>
      <c r="H256" s="66">
        <v>9685.0</v>
      </c>
      <c r="I256" s="66">
        <v>-185.0</v>
      </c>
      <c r="J256" s="69">
        <v>-0.0191</v>
      </c>
      <c r="K256" s="143" t="s">
        <v>738</v>
      </c>
    </row>
    <row r="257" spans="8:8" ht="14.25" customHeight="1">
      <c r="A257" s="68" t="s">
        <v>761</v>
      </c>
      <c r="B257" s="68" t="s">
        <v>21</v>
      </c>
      <c r="C257" s="68">
        <v>2.0</v>
      </c>
      <c r="D257" s="68" t="s">
        <v>746</v>
      </c>
      <c r="E257" s="68" t="s">
        <v>102</v>
      </c>
      <c r="F257" s="68" t="s">
        <v>198</v>
      </c>
      <c r="G257" s="66">
        <v>9000.0</v>
      </c>
      <c r="H257" s="66">
        <v>9190.0</v>
      </c>
      <c r="I257" s="66">
        <v>-190.0</v>
      </c>
      <c r="J257" s="69">
        <v>-0.0207</v>
      </c>
      <c r="K257" s="143" t="s">
        <v>738</v>
      </c>
    </row>
    <row r="258" spans="8:8" ht="14.25" customHeight="1">
      <c r="A258" s="68" t="s">
        <v>761</v>
      </c>
      <c r="B258" s="68" t="s">
        <v>22</v>
      </c>
      <c r="C258" s="68">
        <v>3.0</v>
      </c>
      <c r="D258" s="68" t="s">
        <v>746</v>
      </c>
      <c r="E258" s="68" t="s">
        <v>102</v>
      </c>
      <c r="F258" s="68" t="s">
        <v>198</v>
      </c>
      <c r="G258" s="66">
        <v>9500.0</v>
      </c>
      <c r="H258" s="66">
        <v>9685.0</v>
      </c>
      <c r="I258" s="66">
        <v>-185.0</v>
      </c>
      <c r="J258" s="69">
        <v>-0.0191</v>
      </c>
      <c r="K258" s="143" t="s">
        <v>738</v>
      </c>
    </row>
    <row r="259" spans="8:8" ht="14.25" customHeight="1">
      <c r="A259" s="68" t="s">
        <v>761</v>
      </c>
      <c r="B259" s="68" t="s">
        <v>44</v>
      </c>
      <c r="C259" s="68">
        <v>1.0</v>
      </c>
      <c r="D259" s="68" t="s">
        <v>746</v>
      </c>
      <c r="E259" s="68" t="s">
        <v>102</v>
      </c>
      <c r="F259" s="68" t="s">
        <v>198</v>
      </c>
      <c r="G259" s="66">
        <v>9500.0</v>
      </c>
      <c r="H259" s="66">
        <v>9685.0</v>
      </c>
      <c r="I259" s="66">
        <v>-185.0</v>
      </c>
      <c r="J259" s="69">
        <v>-0.0191</v>
      </c>
      <c r="K259" s="143" t="s">
        <v>738</v>
      </c>
    </row>
    <row r="260" spans="8:8" ht="14.25" customHeight="1">
      <c r="A260" s="68" t="s">
        <v>761</v>
      </c>
      <c r="B260" s="68" t="s">
        <v>36</v>
      </c>
      <c r="C260" s="68">
        <v>1.0</v>
      </c>
      <c r="D260" s="68" t="s">
        <v>746</v>
      </c>
      <c r="E260" s="68" t="s">
        <v>15</v>
      </c>
      <c r="F260" s="68" t="s">
        <v>199</v>
      </c>
      <c r="G260" s="66">
        <v>16140.0</v>
      </c>
      <c r="H260" s="66">
        <v>16140.0</v>
      </c>
      <c r="I260" s="66">
        <v>0.0</v>
      </c>
      <c r="J260" s="69">
        <v>0.0</v>
      </c>
      <c r="K260" s="146" t="s">
        <v>747</v>
      </c>
    </row>
    <row r="261" spans="8:8" ht="14.25" customHeight="1">
      <c r="A261" s="68" t="s">
        <v>761</v>
      </c>
      <c r="B261" s="68" t="s">
        <v>24</v>
      </c>
      <c r="C261" s="68">
        <v>30.0</v>
      </c>
      <c r="D261" s="68" t="s">
        <v>746</v>
      </c>
      <c r="E261" s="68" t="s">
        <v>95</v>
      </c>
      <c r="F261" s="68" t="s">
        <v>200</v>
      </c>
      <c r="G261" s="66">
        <v>5000.0</v>
      </c>
      <c r="H261" s="66">
        <v>6530.0</v>
      </c>
      <c r="I261" s="66">
        <v>-1530.0</v>
      </c>
      <c r="J261" s="69">
        <v>-0.2343</v>
      </c>
      <c r="K261" s="143" t="s">
        <v>738</v>
      </c>
    </row>
    <row r="262" spans="8:8" ht="14.25" customHeight="1">
      <c r="A262" s="68" t="s">
        <v>761</v>
      </c>
      <c r="B262" s="68" t="s">
        <v>45</v>
      </c>
      <c r="C262" s="68">
        <v>1.0</v>
      </c>
      <c r="D262" s="68" t="s">
        <v>746</v>
      </c>
      <c r="E262" s="68" t="s">
        <v>15</v>
      </c>
      <c r="F262" s="68" t="s">
        <v>201</v>
      </c>
      <c r="G262" s="66">
        <v>13950.0</v>
      </c>
      <c r="H262" s="66">
        <v>13932.0</v>
      </c>
      <c r="I262" s="66">
        <v>18.0</v>
      </c>
      <c r="J262" s="69">
        <v>0.0013</v>
      </c>
      <c r="K262" s="146" t="s">
        <v>747</v>
      </c>
    </row>
    <row r="263" spans="8:8" ht="14.25" customHeight="1">
      <c r="A263" s="68" t="s">
        <v>761</v>
      </c>
      <c r="B263" s="68" t="s">
        <v>24</v>
      </c>
      <c r="C263" s="68">
        <v>100.0</v>
      </c>
      <c r="D263" s="68" t="s">
        <v>749</v>
      </c>
      <c r="E263" s="68" t="s">
        <v>106</v>
      </c>
      <c r="F263" s="68" t="s">
        <v>202</v>
      </c>
      <c r="G263" s="66">
        <v>5000.0</v>
      </c>
      <c r="H263" s="66">
        <v>6195.0</v>
      </c>
      <c r="I263" s="66">
        <v>-1195.0</v>
      </c>
      <c r="J263" s="69">
        <v>-0.1929</v>
      </c>
      <c r="K263" s="143" t="s">
        <v>738</v>
      </c>
    </row>
    <row r="264" spans="8:8" ht="14.25" customHeight="1">
      <c r="A264" s="68" t="s">
        <v>761</v>
      </c>
      <c r="B264" s="68" t="s">
        <v>45</v>
      </c>
      <c r="C264" s="68">
        <v>10.0</v>
      </c>
      <c r="D264" s="68" t="s">
        <v>746</v>
      </c>
      <c r="E264" s="68" t="s">
        <v>85</v>
      </c>
      <c r="F264" s="68" t="s">
        <v>203</v>
      </c>
      <c r="G264" s="66">
        <v>13950.0</v>
      </c>
      <c r="H264" s="66">
        <v>13932.0</v>
      </c>
      <c r="I264" s="66">
        <v>18.0</v>
      </c>
      <c r="J264" s="69">
        <v>0.0013</v>
      </c>
      <c r="K264" s="146" t="s">
        <v>747</v>
      </c>
    </row>
    <row r="265" spans="8:8" ht="14.25" customHeight="1">
      <c r="A265" s="68" t="s">
        <v>761</v>
      </c>
      <c r="B265" s="68" t="s">
        <v>87</v>
      </c>
      <c r="C265" s="68">
        <v>5.0</v>
      </c>
      <c r="D265" s="68" t="s">
        <v>746</v>
      </c>
      <c r="E265" s="68" t="s">
        <v>85</v>
      </c>
      <c r="F265" s="68" t="s">
        <v>203</v>
      </c>
      <c r="G265" s="66">
        <v>22565.0</v>
      </c>
      <c r="H265" s="66">
        <v>22565.0</v>
      </c>
      <c r="I265" s="66">
        <v>0.0</v>
      </c>
      <c r="J265" s="69">
        <v>0.0</v>
      </c>
      <c r="K265" s="146" t="s">
        <v>747</v>
      </c>
    </row>
    <row r="266" spans="8:8" ht="14.25" customHeight="1">
      <c r="A266" s="68" t="s">
        <v>761</v>
      </c>
      <c r="B266" s="68" t="s">
        <v>22</v>
      </c>
      <c r="C266" s="68">
        <v>5.0</v>
      </c>
      <c r="D266" s="68" t="s">
        <v>746</v>
      </c>
      <c r="E266" s="68" t="s">
        <v>85</v>
      </c>
      <c r="F266" s="68" t="s">
        <v>203</v>
      </c>
      <c r="G266" s="66">
        <v>9300.0</v>
      </c>
      <c r="H266" s="66">
        <v>9685.0</v>
      </c>
      <c r="I266" s="66">
        <v>-385.0</v>
      </c>
      <c r="J266" s="69">
        <v>-0.0398</v>
      </c>
      <c r="K266" s="143" t="s">
        <v>738</v>
      </c>
    </row>
    <row r="267" spans="8:8" ht="14.25" customHeight="1">
      <c r="A267" s="68" t="s">
        <v>761</v>
      </c>
      <c r="B267" s="68" t="s">
        <v>44</v>
      </c>
      <c r="C267" s="68">
        <v>10.0</v>
      </c>
      <c r="D267" s="68" t="s">
        <v>746</v>
      </c>
      <c r="E267" s="68" t="s">
        <v>29</v>
      </c>
      <c r="F267" s="68" t="s">
        <v>204</v>
      </c>
      <c r="G267" s="66">
        <v>9200.0</v>
      </c>
      <c r="H267" s="66">
        <v>9685.0</v>
      </c>
      <c r="I267" s="66">
        <v>-485.0</v>
      </c>
      <c r="J267" s="69">
        <v>-0.0501</v>
      </c>
      <c r="K267" s="143" t="s">
        <v>738</v>
      </c>
    </row>
    <row r="268" spans="8:8" ht="14.25" customHeight="1">
      <c r="A268" s="68" t="s">
        <v>761</v>
      </c>
      <c r="B268" s="68" t="s">
        <v>65</v>
      </c>
      <c r="C268" s="68">
        <v>5.0</v>
      </c>
      <c r="D268" s="68" t="s">
        <v>746</v>
      </c>
      <c r="E268" s="68" t="s">
        <v>29</v>
      </c>
      <c r="F268" s="68" t="s">
        <v>204</v>
      </c>
      <c r="G268" s="66">
        <v>11910.0</v>
      </c>
      <c r="H268" s="66">
        <v>12525.0</v>
      </c>
      <c r="I268" s="66">
        <v>-615.0</v>
      </c>
      <c r="J268" s="69">
        <v>-0.0491</v>
      </c>
      <c r="K268" s="143" t="s">
        <v>738</v>
      </c>
    </row>
    <row r="269" spans="8:8" ht="14.25" customHeight="1">
      <c r="A269" s="68" t="s">
        <v>761</v>
      </c>
      <c r="B269" s="68" t="s">
        <v>22</v>
      </c>
      <c r="C269" s="68">
        <v>5.0</v>
      </c>
      <c r="D269" s="68" t="s">
        <v>746</v>
      </c>
      <c r="E269" s="68" t="s">
        <v>29</v>
      </c>
      <c r="F269" s="68" t="s">
        <v>204</v>
      </c>
      <c r="G269" s="66">
        <v>8800.0</v>
      </c>
      <c r="H269" s="66">
        <v>9685.0</v>
      </c>
      <c r="I269" s="66">
        <v>-885.0</v>
      </c>
      <c r="J269" s="69">
        <v>-0.0914</v>
      </c>
      <c r="K269" s="143" t="s">
        <v>738</v>
      </c>
    </row>
    <row r="270" spans="8:8" ht="14.25" customHeight="1">
      <c r="A270" s="68" t="s">
        <v>761</v>
      </c>
      <c r="B270" s="68" t="s">
        <v>45</v>
      </c>
      <c r="C270" s="68">
        <v>5.0</v>
      </c>
      <c r="D270" s="68" t="s">
        <v>746</v>
      </c>
      <c r="E270" s="68" t="s">
        <v>29</v>
      </c>
      <c r="F270" s="68" t="s">
        <v>204</v>
      </c>
      <c r="G270" s="66">
        <v>13335.0</v>
      </c>
      <c r="H270" s="66">
        <v>13932.0</v>
      </c>
      <c r="I270" s="66">
        <v>-597.0</v>
      </c>
      <c r="J270" s="69">
        <v>-0.0429</v>
      </c>
      <c r="K270" s="143" t="s">
        <v>738</v>
      </c>
    </row>
    <row r="271" spans="8:8" ht="14.25" customHeight="1">
      <c r="A271" s="68" t="s">
        <v>761</v>
      </c>
      <c r="B271" s="68" t="s">
        <v>36</v>
      </c>
      <c r="C271" s="68">
        <v>3.0</v>
      </c>
      <c r="D271" s="68" t="s">
        <v>746</v>
      </c>
      <c r="E271" s="68" t="s">
        <v>29</v>
      </c>
      <c r="F271" s="68" t="s">
        <v>204</v>
      </c>
      <c r="G271" s="66">
        <v>15525.0</v>
      </c>
      <c r="H271" s="66">
        <v>16140.0</v>
      </c>
      <c r="I271" s="66">
        <v>-615.0</v>
      </c>
      <c r="J271" s="69">
        <v>-0.0381</v>
      </c>
      <c r="K271" s="143" t="s">
        <v>738</v>
      </c>
    </row>
    <row r="272" spans="8:8" ht="14.25" customHeight="1">
      <c r="A272" s="68" t="s">
        <v>761</v>
      </c>
      <c r="B272" s="68" t="s">
        <v>93</v>
      </c>
      <c r="C272" s="68">
        <v>2.0</v>
      </c>
      <c r="D272" s="68" t="s">
        <v>746</v>
      </c>
      <c r="E272" s="68" t="s">
        <v>29</v>
      </c>
      <c r="F272" s="68" t="s">
        <v>204</v>
      </c>
      <c r="G272" s="66">
        <v>11415.0</v>
      </c>
      <c r="H272" s="66">
        <v>12090.0</v>
      </c>
      <c r="I272" s="66">
        <v>-675.0</v>
      </c>
      <c r="J272" s="69">
        <v>-0.0558</v>
      </c>
      <c r="K272" s="143" t="s">
        <v>738</v>
      </c>
    </row>
    <row r="273" spans="8:8" ht="14.25" customHeight="1">
      <c r="A273" s="68" t="s">
        <v>761</v>
      </c>
      <c r="B273" s="68" t="s">
        <v>32</v>
      </c>
      <c r="C273" s="68">
        <v>1.0</v>
      </c>
      <c r="D273" s="68" t="s">
        <v>746</v>
      </c>
      <c r="E273" s="68" t="s">
        <v>29</v>
      </c>
      <c r="F273" s="68" t="s">
        <v>204</v>
      </c>
      <c r="G273" s="66">
        <v>16145.0</v>
      </c>
      <c r="H273" s="66">
        <v>16735.0</v>
      </c>
      <c r="I273" s="66">
        <v>-590.0</v>
      </c>
      <c r="J273" s="69">
        <v>-0.0353</v>
      </c>
      <c r="K273" s="143" t="s">
        <v>738</v>
      </c>
    </row>
    <row r="274" spans="8:8" ht="14.25" customHeight="1">
      <c r="A274" s="68" t="s">
        <v>761</v>
      </c>
      <c r="B274" s="68" t="s">
        <v>113</v>
      </c>
      <c r="C274" s="68">
        <v>1.0</v>
      </c>
      <c r="D274" s="68" t="s">
        <v>746</v>
      </c>
      <c r="E274" s="68" t="s">
        <v>29</v>
      </c>
      <c r="F274" s="68" t="s">
        <v>204</v>
      </c>
      <c r="G274" s="66">
        <v>14575.0</v>
      </c>
      <c r="H274" s="66">
        <v>15765.0</v>
      </c>
      <c r="I274" s="66">
        <v>-1190.0</v>
      </c>
      <c r="J274" s="69">
        <v>-0.0755</v>
      </c>
      <c r="K274" s="143" t="s">
        <v>738</v>
      </c>
    </row>
    <row r="275" spans="8:8" ht="14.25" customHeight="1">
      <c r="A275" s="68" t="s">
        <v>761</v>
      </c>
      <c r="B275" s="68" t="s">
        <v>77</v>
      </c>
      <c r="C275" s="68">
        <v>1.0</v>
      </c>
      <c r="D275" s="68" t="s">
        <v>746</v>
      </c>
      <c r="E275" s="68" t="s">
        <v>29</v>
      </c>
      <c r="F275" s="68" t="s">
        <v>204</v>
      </c>
      <c r="G275" s="66">
        <v>17840.0</v>
      </c>
      <c r="H275" s="66">
        <v>18395.0</v>
      </c>
      <c r="I275" s="66">
        <v>-555.0</v>
      </c>
      <c r="J275" s="69">
        <v>-0.0302</v>
      </c>
      <c r="K275" s="143" t="s">
        <v>738</v>
      </c>
    </row>
    <row r="276" spans="8:8" ht="14.25" customHeight="1">
      <c r="A276" s="68" t="s">
        <v>761</v>
      </c>
      <c r="B276" s="68" t="s">
        <v>24</v>
      </c>
      <c r="C276" s="68">
        <v>100.0</v>
      </c>
      <c r="D276" s="68" t="s">
        <v>749</v>
      </c>
      <c r="E276" s="68" t="s">
        <v>25</v>
      </c>
      <c r="F276" s="68" t="s">
        <v>205</v>
      </c>
      <c r="G276" s="66">
        <v>5000.0</v>
      </c>
      <c r="H276" s="66">
        <v>6195.0</v>
      </c>
      <c r="I276" s="66">
        <v>-1195.0</v>
      </c>
      <c r="J276" s="69">
        <v>-0.1929</v>
      </c>
      <c r="K276" s="143" t="s">
        <v>738</v>
      </c>
    </row>
    <row r="277" spans="8:8" ht="14.25" customHeight="1">
      <c r="A277" s="68" t="s">
        <v>761</v>
      </c>
      <c r="B277" s="68" t="s">
        <v>27</v>
      </c>
      <c r="C277" s="68">
        <v>20.0</v>
      </c>
      <c r="D277" s="68" t="s">
        <v>746</v>
      </c>
      <c r="E277" s="68" t="s">
        <v>25</v>
      </c>
      <c r="F277" s="68" t="s">
        <v>205</v>
      </c>
      <c r="G277" s="66">
        <v>8020.0</v>
      </c>
      <c r="H277" s="66">
        <v>8355.0</v>
      </c>
      <c r="I277" s="66">
        <v>-335.0</v>
      </c>
      <c r="J277" s="69">
        <v>-0.0401</v>
      </c>
      <c r="K277" s="143" t="s">
        <v>738</v>
      </c>
    </row>
    <row r="278" spans="8:8" ht="14.25" customHeight="1">
      <c r="A278" s="68" t="s">
        <v>761</v>
      </c>
      <c r="B278" s="68" t="s">
        <v>22</v>
      </c>
      <c r="C278" s="68">
        <v>28.0</v>
      </c>
      <c r="D278" s="68" t="s">
        <v>746</v>
      </c>
      <c r="E278" s="68" t="s">
        <v>75</v>
      </c>
      <c r="F278" s="68" t="s">
        <v>206</v>
      </c>
      <c r="G278" s="66">
        <v>9200.0</v>
      </c>
      <c r="H278" s="66">
        <v>9685.0</v>
      </c>
      <c r="I278" s="66">
        <v>-485.0</v>
      </c>
      <c r="J278" s="69">
        <v>-0.0501</v>
      </c>
      <c r="K278" s="143" t="s">
        <v>738</v>
      </c>
    </row>
    <row r="279" spans="8:8" ht="14.25" customHeight="1">
      <c r="A279" s="68" t="s">
        <v>761</v>
      </c>
      <c r="B279" s="68" t="s">
        <v>44</v>
      </c>
      <c r="C279" s="68">
        <v>10.0</v>
      </c>
      <c r="D279" s="68" t="s">
        <v>746</v>
      </c>
      <c r="E279" s="68" t="s">
        <v>50</v>
      </c>
      <c r="F279" s="68" t="s">
        <v>207</v>
      </c>
      <c r="G279" s="66">
        <v>9200.0</v>
      </c>
      <c r="H279" s="66">
        <v>9685.0</v>
      </c>
      <c r="I279" s="66">
        <v>-485.0</v>
      </c>
      <c r="J279" s="69">
        <v>-0.0501</v>
      </c>
      <c r="K279" s="143" t="s">
        <v>738</v>
      </c>
    </row>
    <row r="280" spans="8:8" ht="14.25" customHeight="1">
      <c r="A280" s="68" t="s">
        <v>761</v>
      </c>
      <c r="B280" s="68" t="s">
        <v>45</v>
      </c>
      <c r="C280" s="68">
        <v>20.0</v>
      </c>
      <c r="D280" s="68" t="s">
        <v>746</v>
      </c>
      <c r="E280" s="68" t="s">
        <v>50</v>
      </c>
      <c r="F280" s="68" t="s">
        <v>207</v>
      </c>
      <c r="G280" s="66">
        <v>13335.0</v>
      </c>
      <c r="H280" s="66">
        <v>13932.0</v>
      </c>
      <c r="I280" s="66">
        <v>-597.0</v>
      </c>
      <c r="J280" s="69">
        <v>-0.0429</v>
      </c>
      <c r="K280" s="143" t="s">
        <v>738</v>
      </c>
    </row>
    <row r="281" spans="8:8" ht="14.25" customHeight="1">
      <c r="A281" s="68" t="s">
        <v>761</v>
      </c>
      <c r="B281" s="68" t="s">
        <v>65</v>
      </c>
      <c r="C281" s="68">
        <v>9.0</v>
      </c>
      <c r="D281" s="68" t="s">
        <v>746</v>
      </c>
      <c r="E281" s="68" t="s">
        <v>50</v>
      </c>
      <c r="F281" s="68" t="s">
        <v>207</v>
      </c>
      <c r="G281" s="66">
        <v>11910.0</v>
      </c>
      <c r="H281" s="66">
        <v>12525.0</v>
      </c>
      <c r="I281" s="66">
        <v>-615.0</v>
      </c>
      <c r="J281" s="69">
        <v>-0.0491</v>
      </c>
      <c r="K281" s="143" t="s">
        <v>738</v>
      </c>
    </row>
    <row r="282" spans="8:8" ht="14.25" customHeight="1">
      <c r="A282" s="68" t="s">
        <v>761</v>
      </c>
      <c r="B282" s="68" t="s">
        <v>113</v>
      </c>
      <c r="C282" s="68">
        <v>10.0</v>
      </c>
      <c r="D282" s="68" t="s">
        <v>746</v>
      </c>
      <c r="E282" s="68" t="s">
        <v>50</v>
      </c>
      <c r="F282" s="68" t="s">
        <v>207</v>
      </c>
      <c r="G282" s="66">
        <v>14475.0</v>
      </c>
      <c r="H282" s="66">
        <v>15765.0</v>
      </c>
      <c r="I282" s="66">
        <v>-1290.0</v>
      </c>
      <c r="J282" s="69">
        <v>-0.0818</v>
      </c>
      <c r="K282" s="143" t="s">
        <v>738</v>
      </c>
    </row>
    <row r="283" spans="8:8" ht="14.25" customHeight="1">
      <c r="A283" s="68" t="s">
        <v>761</v>
      </c>
      <c r="B283" s="68" t="s">
        <v>87</v>
      </c>
      <c r="C283" s="68">
        <v>10.0</v>
      </c>
      <c r="D283" s="68" t="s">
        <v>746</v>
      </c>
      <c r="E283" s="68" t="s">
        <v>50</v>
      </c>
      <c r="F283" s="68" t="s">
        <v>207</v>
      </c>
      <c r="G283" s="66">
        <v>21400.0</v>
      </c>
      <c r="H283" s="66">
        <v>22565.0</v>
      </c>
      <c r="I283" s="66">
        <v>-1165.0</v>
      </c>
      <c r="J283" s="69">
        <v>-0.0516</v>
      </c>
      <c r="K283" s="143" t="s">
        <v>738</v>
      </c>
    </row>
    <row r="284" spans="8:8" ht="14.25" customHeight="1">
      <c r="A284" s="68" t="s">
        <v>761</v>
      </c>
      <c r="B284" s="68" t="s">
        <v>22</v>
      </c>
      <c r="C284" s="68">
        <v>2.0</v>
      </c>
      <c r="D284" s="68" t="s">
        <v>746</v>
      </c>
      <c r="E284" s="68" t="s">
        <v>122</v>
      </c>
      <c r="F284" s="68" t="s">
        <v>208</v>
      </c>
      <c r="G284" s="66">
        <v>9200.0</v>
      </c>
      <c r="H284" s="66">
        <v>9685.0</v>
      </c>
      <c r="I284" s="66">
        <v>-485.0</v>
      </c>
      <c r="J284" s="69">
        <v>-0.0501</v>
      </c>
      <c r="K284" s="143" t="s">
        <v>738</v>
      </c>
    </row>
    <row r="285" spans="8:8" ht="14.25" customHeight="1">
      <c r="A285" s="68" t="s">
        <v>761</v>
      </c>
      <c r="B285" s="68" t="s">
        <v>21</v>
      </c>
      <c r="C285" s="68">
        <v>1.0</v>
      </c>
      <c r="D285" s="68" t="s">
        <v>746</v>
      </c>
      <c r="E285" s="68" t="s">
        <v>122</v>
      </c>
      <c r="F285" s="68" t="s">
        <v>208</v>
      </c>
      <c r="G285" s="66">
        <v>9000.0</v>
      </c>
      <c r="H285" s="66">
        <v>9190.0</v>
      </c>
      <c r="I285" s="66">
        <v>-190.0</v>
      </c>
      <c r="J285" s="69">
        <v>-0.0207</v>
      </c>
      <c r="K285" s="143" t="s">
        <v>738</v>
      </c>
    </row>
    <row r="286" spans="8:8" ht="14.25" customHeight="1">
      <c r="A286" s="68" t="s">
        <v>761</v>
      </c>
      <c r="B286" s="68" t="s">
        <v>44</v>
      </c>
      <c r="C286" s="68">
        <v>1.0</v>
      </c>
      <c r="D286" s="68" t="s">
        <v>746</v>
      </c>
      <c r="E286" s="68" t="s">
        <v>122</v>
      </c>
      <c r="F286" s="68" t="s">
        <v>208</v>
      </c>
      <c r="G286" s="66">
        <v>9200.0</v>
      </c>
      <c r="H286" s="66">
        <v>9685.0</v>
      </c>
      <c r="I286" s="66">
        <v>-485.0</v>
      </c>
      <c r="J286" s="69">
        <v>-0.0501</v>
      </c>
      <c r="K286" s="143" t="s">
        <v>738</v>
      </c>
    </row>
    <row r="287" spans="8:8" ht="14.25" customHeight="1">
      <c r="A287" s="68" t="s">
        <v>761</v>
      </c>
      <c r="B287" s="68" t="s">
        <v>37</v>
      </c>
      <c r="C287" s="68">
        <v>1.0</v>
      </c>
      <c r="D287" s="68" t="s">
        <v>746</v>
      </c>
      <c r="E287" s="68" t="s">
        <v>122</v>
      </c>
      <c r="F287" s="68" t="s">
        <v>208</v>
      </c>
      <c r="G287" s="66">
        <v>9200.0</v>
      </c>
      <c r="H287" s="66">
        <v>9235.0</v>
      </c>
      <c r="I287" s="66">
        <v>-35.0</v>
      </c>
      <c r="J287" s="69">
        <v>-0.0038</v>
      </c>
      <c r="K287" s="146" t="s">
        <v>747</v>
      </c>
    </row>
    <row r="288" spans="8:8" ht="14.25" customHeight="1">
      <c r="A288" s="68" t="s">
        <v>761</v>
      </c>
      <c r="B288" s="68" t="s">
        <v>65</v>
      </c>
      <c r="C288" s="68">
        <v>1.0</v>
      </c>
      <c r="D288" s="68" t="s">
        <v>746</v>
      </c>
      <c r="E288" s="68" t="s">
        <v>122</v>
      </c>
      <c r="F288" s="68" t="s">
        <v>208</v>
      </c>
      <c r="G288" s="66">
        <v>11910.0</v>
      </c>
      <c r="H288" s="66">
        <v>12525.0</v>
      </c>
      <c r="I288" s="66">
        <v>-615.0</v>
      </c>
      <c r="J288" s="69">
        <v>-0.0491</v>
      </c>
      <c r="K288" s="143" t="s">
        <v>738</v>
      </c>
    </row>
    <row r="289" spans="8:8" ht="14.25" customHeight="1">
      <c r="A289" s="68" t="s">
        <v>761</v>
      </c>
      <c r="B289" s="68" t="s">
        <v>45</v>
      </c>
      <c r="C289" s="68">
        <v>1.0</v>
      </c>
      <c r="D289" s="68" t="s">
        <v>746</v>
      </c>
      <c r="E289" s="68" t="s">
        <v>122</v>
      </c>
      <c r="F289" s="68" t="s">
        <v>208</v>
      </c>
      <c r="G289" s="66">
        <v>13950.0</v>
      </c>
      <c r="H289" s="66">
        <v>13932.0</v>
      </c>
      <c r="I289" s="66">
        <v>18.0</v>
      </c>
      <c r="J289" s="69">
        <v>0.0013</v>
      </c>
      <c r="K289" s="146" t="s">
        <v>747</v>
      </c>
    </row>
    <row r="290" spans="8:8" ht="14.25" customHeight="1">
      <c r="A290" s="68" t="s">
        <v>761</v>
      </c>
      <c r="B290" s="68" t="s">
        <v>93</v>
      </c>
      <c r="C290" s="68">
        <v>1.0</v>
      </c>
      <c r="D290" s="68" t="s">
        <v>746</v>
      </c>
      <c r="E290" s="68" t="s">
        <v>122</v>
      </c>
      <c r="F290" s="68" t="s">
        <v>208</v>
      </c>
      <c r="G290" s="66">
        <v>11600.0</v>
      </c>
      <c r="H290" s="66">
        <v>12090.0</v>
      </c>
      <c r="I290" s="66">
        <v>-490.0</v>
      </c>
      <c r="J290" s="69">
        <v>-0.0405</v>
      </c>
      <c r="K290" s="143" t="s">
        <v>738</v>
      </c>
    </row>
    <row r="291" spans="8:8" ht="14.25" customHeight="1">
      <c r="A291" s="68" t="s">
        <v>761</v>
      </c>
      <c r="B291" s="68" t="s">
        <v>43</v>
      </c>
      <c r="C291" s="68">
        <v>1.0</v>
      </c>
      <c r="D291" s="68" t="s">
        <v>746</v>
      </c>
      <c r="E291" s="68" t="s">
        <v>122</v>
      </c>
      <c r="F291" s="68" t="s">
        <v>208</v>
      </c>
      <c r="G291" s="66">
        <v>18300.0</v>
      </c>
      <c r="H291" s="66">
        <v>18100.0</v>
      </c>
      <c r="I291" s="66">
        <v>200.0</v>
      </c>
      <c r="J291" s="69">
        <v>0.011</v>
      </c>
      <c r="K291" s="145" t="s">
        <v>744</v>
      </c>
    </row>
    <row r="292" spans="8:8" ht="14.25" customHeight="1">
      <c r="A292" s="68" t="s">
        <v>761</v>
      </c>
      <c r="B292" s="68" t="s">
        <v>87</v>
      </c>
      <c r="C292" s="68">
        <v>1.0</v>
      </c>
      <c r="D292" s="68" t="s">
        <v>746</v>
      </c>
      <c r="E292" s="68" t="s">
        <v>122</v>
      </c>
      <c r="F292" s="68" t="s">
        <v>208</v>
      </c>
      <c r="G292" s="66">
        <v>21400.0</v>
      </c>
      <c r="H292" s="66">
        <v>22565.0</v>
      </c>
      <c r="I292" s="66">
        <v>-1165.0</v>
      </c>
      <c r="J292" s="69">
        <v>-0.0516</v>
      </c>
      <c r="K292" s="143" t="s">
        <v>738</v>
      </c>
    </row>
    <row r="293" spans="8:8" ht="14.25" customHeight="1">
      <c r="A293" s="68" t="s">
        <v>761</v>
      </c>
      <c r="B293" s="68" t="s">
        <v>70</v>
      </c>
      <c r="C293" s="68">
        <v>1.0</v>
      </c>
      <c r="D293" s="68" t="s">
        <v>746</v>
      </c>
      <c r="E293" s="68" t="s">
        <v>122</v>
      </c>
      <c r="F293" s="68" t="s">
        <v>208</v>
      </c>
      <c r="G293" s="66">
        <v>13460.0</v>
      </c>
      <c r="H293" s="66">
        <v>14085.0</v>
      </c>
      <c r="I293" s="66">
        <v>-625.0</v>
      </c>
      <c r="J293" s="69">
        <v>-0.0444</v>
      </c>
      <c r="K293" s="143" t="s">
        <v>738</v>
      </c>
    </row>
    <row r="294" spans="8:8" ht="14.25" customHeight="1">
      <c r="A294" s="68" t="s">
        <v>761</v>
      </c>
      <c r="B294" s="68" t="s">
        <v>37</v>
      </c>
      <c r="C294" s="68">
        <v>1.0</v>
      </c>
      <c r="D294" s="68" t="s">
        <v>746</v>
      </c>
      <c r="E294" s="68" t="s">
        <v>102</v>
      </c>
      <c r="F294" s="68" t="s">
        <v>209</v>
      </c>
      <c r="G294" s="66">
        <v>9500.0</v>
      </c>
      <c r="H294" s="66">
        <v>9235.0</v>
      </c>
      <c r="I294" s="66">
        <v>265.0</v>
      </c>
      <c r="J294" s="69">
        <v>0.0287</v>
      </c>
      <c r="K294" s="145" t="s">
        <v>744</v>
      </c>
    </row>
    <row r="295" spans="8:8" ht="14.25" customHeight="1">
      <c r="A295" s="68" t="s">
        <v>762</v>
      </c>
      <c r="B295" s="68" t="s">
        <v>24</v>
      </c>
      <c r="C295" s="68">
        <v>1240.0</v>
      </c>
      <c r="D295" s="68" t="s">
        <v>755</v>
      </c>
      <c r="E295" s="68" t="s">
        <v>210</v>
      </c>
      <c r="F295" s="68" t="s">
        <v>211</v>
      </c>
      <c r="G295" s="66">
        <v>4950.0</v>
      </c>
      <c r="H295" s="66">
        <v>5970.0</v>
      </c>
      <c r="I295" s="66">
        <v>-1020.0</v>
      </c>
      <c r="J295" s="69">
        <v>-0.1709</v>
      </c>
      <c r="K295" s="143" t="s">
        <v>738</v>
      </c>
    </row>
    <row r="296" spans="8:8" ht="14.25" customHeight="1">
      <c r="A296" s="68" t="s">
        <v>762</v>
      </c>
      <c r="B296" s="68" t="s">
        <v>22</v>
      </c>
      <c r="C296" s="68">
        <v>5.0</v>
      </c>
      <c r="D296" s="68" t="s">
        <v>746</v>
      </c>
      <c r="E296" s="68" t="s">
        <v>212</v>
      </c>
      <c r="F296" s="68" t="s">
        <v>213</v>
      </c>
      <c r="G296" s="66">
        <v>9200.0</v>
      </c>
      <c r="H296" s="66">
        <v>9685.0</v>
      </c>
      <c r="I296" s="66">
        <v>-485.0</v>
      </c>
      <c r="J296" s="69">
        <v>-0.0501</v>
      </c>
      <c r="K296" s="143" t="s">
        <v>738</v>
      </c>
    </row>
    <row r="297" spans="8:8" ht="14.25" customHeight="1">
      <c r="A297" s="68" t="s">
        <v>762</v>
      </c>
      <c r="B297" s="68" t="s">
        <v>22</v>
      </c>
      <c r="C297" s="68">
        <v>17.0</v>
      </c>
      <c r="D297" s="68" t="s">
        <v>746</v>
      </c>
      <c r="E297" s="68" t="s">
        <v>29</v>
      </c>
      <c r="F297" s="68" t="s">
        <v>214</v>
      </c>
      <c r="G297" s="66">
        <v>8800.0</v>
      </c>
      <c r="H297" s="66">
        <v>9685.0</v>
      </c>
      <c r="I297" s="66">
        <v>-885.0</v>
      </c>
      <c r="J297" s="69">
        <v>-0.0914</v>
      </c>
      <c r="K297" s="143" t="s">
        <v>738</v>
      </c>
    </row>
    <row r="298" spans="8:8" ht="14.25" customHeight="1">
      <c r="A298" s="68" t="s">
        <v>762</v>
      </c>
      <c r="B298" s="68" t="s">
        <v>45</v>
      </c>
      <c r="C298" s="68">
        <v>7.0</v>
      </c>
      <c r="D298" s="68" t="s">
        <v>746</v>
      </c>
      <c r="E298" s="68" t="s">
        <v>29</v>
      </c>
      <c r="F298" s="68" t="s">
        <v>214</v>
      </c>
      <c r="G298" s="66">
        <v>13335.0</v>
      </c>
      <c r="H298" s="66">
        <v>13932.0</v>
      </c>
      <c r="I298" s="66">
        <v>-597.0</v>
      </c>
      <c r="J298" s="69">
        <v>-0.0429</v>
      </c>
      <c r="K298" s="143" t="s">
        <v>738</v>
      </c>
    </row>
    <row r="299" spans="8:8" ht="14.25" customHeight="1">
      <c r="A299" s="68" t="s">
        <v>762</v>
      </c>
      <c r="B299" s="68" t="s">
        <v>65</v>
      </c>
      <c r="C299" s="68">
        <v>3.0</v>
      </c>
      <c r="D299" s="68" t="s">
        <v>746</v>
      </c>
      <c r="E299" s="68" t="s">
        <v>29</v>
      </c>
      <c r="F299" s="68" t="s">
        <v>214</v>
      </c>
      <c r="G299" s="66">
        <v>11910.0</v>
      </c>
      <c r="H299" s="66">
        <v>12525.0</v>
      </c>
      <c r="I299" s="66">
        <v>-615.0</v>
      </c>
      <c r="J299" s="69">
        <v>-0.0491</v>
      </c>
      <c r="K299" s="143" t="s">
        <v>738</v>
      </c>
    </row>
    <row r="300" spans="8:8" ht="14.25" customHeight="1">
      <c r="A300" s="68" t="s">
        <v>762</v>
      </c>
      <c r="B300" s="68" t="s">
        <v>113</v>
      </c>
      <c r="C300" s="68">
        <v>2.0</v>
      </c>
      <c r="D300" s="68" t="s">
        <v>746</v>
      </c>
      <c r="E300" s="68" t="s">
        <v>29</v>
      </c>
      <c r="F300" s="68" t="s">
        <v>214</v>
      </c>
      <c r="G300" s="66">
        <v>14575.0</v>
      </c>
      <c r="H300" s="66">
        <v>15765.0</v>
      </c>
      <c r="I300" s="66">
        <v>-1190.0</v>
      </c>
      <c r="J300" s="69">
        <v>-0.0755</v>
      </c>
      <c r="K300" s="143" t="s">
        <v>738</v>
      </c>
    </row>
    <row r="301" spans="8:8" ht="14.25" customHeight="1">
      <c r="A301" s="68" t="s">
        <v>762</v>
      </c>
      <c r="B301" s="68" t="s">
        <v>37</v>
      </c>
      <c r="C301" s="68">
        <v>3.0</v>
      </c>
      <c r="D301" s="68" t="s">
        <v>746</v>
      </c>
      <c r="E301" s="68" t="s">
        <v>29</v>
      </c>
      <c r="F301" s="68" t="s">
        <v>214</v>
      </c>
      <c r="G301" s="66">
        <v>8880.0</v>
      </c>
      <c r="H301" s="66">
        <v>9235.0</v>
      </c>
      <c r="I301" s="66">
        <v>-355.0</v>
      </c>
      <c r="J301" s="69">
        <v>-0.0384</v>
      </c>
      <c r="K301" s="143" t="s">
        <v>738</v>
      </c>
    </row>
    <row r="302" spans="8:8" ht="14.25" customHeight="1">
      <c r="A302" s="68" t="s">
        <v>762</v>
      </c>
      <c r="B302" s="68" t="s">
        <v>36</v>
      </c>
      <c r="C302" s="68">
        <v>2.0</v>
      </c>
      <c r="D302" s="68" t="s">
        <v>746</v>
      </c>
      <c r="E302" s="68" t="s">
        <v>29</v>
      </c>
      <c r="F302" s="68" t="s">
        <v>214</v>
      </c>
      <c r="G302" s="66">
        <v>15525.0</v>
      </c>
      <c r="H302" s="66">
        <v>16140.0</v>
      </c>
      <c r="I302" s="66">
        <v>-615.0</v>
      </c>
      <c r="J302" s="69">
        <v>-0.0381</v>
      </c>
      <c r="K302" s="143" t="s">
        <v>738</v>
      </c>
    </row>
    <row r="303" spans="8:8" ht="14.25" customHeight="1">
      <c r="A303" s="68" t="s">
        <v>762</v>
      </c>
      <c r="B303" s="68" t="s">
        <v>87</v>
      </c>
      <c r="C303" s="68">
        <v>1.0</v>
      </c>
      <c r="D303" s="68" t="s">
        <v>746</v>
      </c>
      <c r="E303" s="68" t="s">
        <v>29</v>
      </c>
      <c r="F303" s="68" t="s">
        <v>214</v>
      </c>
      <c r="G303" s="66">
        <v>21400.0</v>
      </c>
      <c r="H303" s="66">
        <v>22565.0</v>
      </c>
      <c r="I303" s="66">
        <v>-1165.0</v>
      </c>
      <c r="J303" s="69">
        <v>-0.0516</v>
      </c>
      <c r="K303" s="143" t="s">
        <v>738</v>
      </c>
    </row>
    <row r="304" spans="8:8" ht="14.25" customHeight="1">
      <c r="A304" s="68" t="s">
        <v>762</v>
      </c>
      <c r="B304" s="68" t="s">
        <v>150</v>
      </c>
      <c r="C304" s="68">
        <v>1.0</v>
      </c>
      <c r="D304" s="68" t="s">
        <v>746</v>
      </c>
      <c r="E304" s="68" t="s">
        <v>29</v>
      </c>
      <c r="F304" s="68" t="s">
        <v>214</v>
      </c>
      <c r="G304" s="66">
        <v>10315.0</v>
      </c>
      <c r="H304" s="66">
        <v>10705.0</v>
      </c>
      <c r="I304" s="66">
        <v>-390.0</v>
      </c>
      <c r="J304" s="69">
        <v>-0.0364</v>
      </c>
      <c r="K304" s="143" t="s">
        <v>738</v>
      </c>
    </row>
    <row r="305" spans="8:8" ht="14.25" customHeight="1">
      <c r="A305" s="68" t="s">
        <v>762</v>
      </c>
      <c r="B305" s="68" t="s">
        <v>93</v>
      </c>
      <c r="C305" s="68">
        <v>1.0</v>
      </c>
      <c r="D305" s="68" t="s">
        <v>746</v>
      </c>
      <c r="E305" s="68" t="s">
        <v>29</v>
      </c>
      <c r="F305" s="68" t="s">
        <v>214</v>
      </c>
      <c r="G305" s="66">
        <v>11415.0</v>
      </c>
      <c r="H305" s="66">
        <v>12090.0</v>
      </c>
      <c r="I305" s="66">
        <v>-675.0</v>
      </c>
      <c r="J305" s="69">
        <v>-0.0558</v>
      </c>
      <c r="K305" s="143" t="s">
        <v>738</v>
      </c>
    </row>
    <row r="306" spans="8:8" ht="14.25" customHeight="1">
      <c r="A306" s="68" t="s">
        <v>762</v>
      </c>
      <c r="B306" s="68" t="s">
        <v>44</v>
      </c>
      <c r="C306" s="68">
        <v>21.0</v>
      </c>
      <c r="D306" s="68" t="s">
        <v>746</v>
      </c>
      <c r="E306" s="68" t="s">
        <v>29</v>
      </c>
      <c r="F306" s="68" t="s">
        <v>214</v>
      </c>
      <c r="G306" s="66">
        <v>9200.0</v>
      </c>
      <c r="H306" s="66">
        <v>9685.0</v>
      </c>
      <c r="I306" s="66">
        <v>-485.0</v>
      </c>
      <c r="J306" s="69">
        <v>-0.0501</v>
      </c>
      <c r="K306" s="143" t="s">
        <v>738</v>
      </c>
    </row>
    <row r="307" spans="8:8" ht="14.25" customHeight="1">
      <c r="A307" s="68" t="s">
        <v>762</v>
      </c>
      <c r="B307" s="68" t="s">
        <v>80</v>
      </c>
      <c r="C307" s="68">
        <v>1.0</v>
      </c>
      <c r="D307" s="68" t="s">
        <v>746</v>
      </c>
      <c r="E307" s="68" t="s">
        <v>29</v>
      </c>
      <c r="F307" s="68" t="s">
        <v>215</v>
      </c>
      <c r="G307" s="66">
        <v>9345.0</v>
      </c>
      <c r="H307" s="66">
        <v>9720.0</v>
      </c>
      <c r="I307" s="66">
        <v>-375.0</v>
      </c>
      <c r="J307" s="69">
        <v>-0.0386</v>
      </c>
      <c r="K307" s="143" t="s">
        <v>738</v>
      </c>
    </row>
    <row r="308" spans="8:8" ht="14.25" customHeight="1">
      <c r="A308" s="68" t="s">
        <v>762</v>
      </c>
      <c r="B308" s="68" t="s">
        <v>24</v>
      </c>
      <c r="C308" s="68">
        <v>150.0</v>
      </c>
      <c r="D308" s="68" t="s">
        <v>749</v>
      </c>
      <c r="E308" s="68" t="s">
        <v>25</v>
      </c>
      <c r="F308" s="68" t="s">
        <v>216</v>
      </c>
      <c r="G308" s="66">
        <v>5000.0</v>
      </c>
      <c r="H308" s="66">
        <v>6195.0</v>
      </c>
      <c r="I308" s="66">
        <v>-1195.0</v>
      </c>
      <c r="J308" s="69">
        <v>-0.1929</v>
      </c>
      <c r="K308" s="143" t="s">
        <v>738</v>
      </c>
    </row>
    <row r="309" spans="8:8" ht="14.25" customHeight="1">
      <c r="A309" s="68" t="s">
        <v>762</v>
      </c>
      <c r="B309" s="68" t="s">
        <v>28</v>
      </c>
      <c r="C309" s="68">
        <v>5.0</v>
      </c>
      <c r="D309" s="68" t="s">
        <v>746</v>
      </c>
      <c r="E309" s="68" t="s">
        <v>25</v>
      </c>
      <c r="F309" s="68" t="s">
        <v>216</v>
      </c>
      <c r="G309" s="66">
        <v>13150.0</v>
      </c>
      <c r="H309" s="66">
        <v>15015.0</v>
      </c>
      <c r="I309" s="66">
        <v>-1865.0</v>
      </c>
      <c r="J309" s="69">
        <v>-0.1242</v>
      </c>
      <c r="K309" s="143" t="s">
        <v>738</v>
      </c>
    </row>
    <row r="310" spans="8:8" ht="14.25" customHeight="1">
      <c r="A310" s="68" t="s">
        <v>762</v>
      </c>
      <c r="B310" s="68" t="s">
        <v>45</v>
      </c>
      <c r="C310" s="68">
        <v>10.0</v>
      </c>
      <c r="D310" s="68" t="s">
        <v>746</v>
      </c>
      <c r="E310" s="68" t="s">
        <v>85</v>
      </c>
      <c r="F310" s="68" t="s">
        <v>217</v>
      </c>
      <c r="G310" s="66">
        <v>13950.0</v>
      </c>
      <c r="H310" s="66">
        <v>13932.0</v>
      </c>
      <c r="I310" s="66">
        <v>18.0</v>
      </c>
      <c r="J310" s="69">
        <v>0.0013</v>
      </c>
      <c r="K310" s="146" t="s">
        <v>747</v>
      </c>
    </row>
    <row r="311" spans="8:8" ht="14.25" customHeight="1">
      <c r="A311" s="68" t="s">
        <v>762</v>
      </c>
      <c r="B311" s="68" t="s">
        <v>101</v>
      </c>
      <c r="C311" s="68">
        <v>3.0</v>
      </c>
      <c r="D311" s="68" t="s">
        <v>746</v>
      </c>
      <c r="E311" s="68" t="s">
        <v>85</v>
      </c>
      <c r="F311" s="68" t="s">
        <v>217</v>
      </c>
      <c r="G311" s="66">
        <v>14455.0</v>
      </c>
      <c r="H311" s="66">
        <v>14455.0</v>
      </c>
      <c r="I311" s="66">
        <v>0.0</v>
      </c>
      <c r="J311" s="69">
        <v>0.0</v>
      </c>
      <c r="K311" s="146" t="s">
        <v>747</v>
      </c>
    </row>
    <row r="312" spans="8:8" ht="14.25" customHeight="1">
      <c r="A312" s="68" t="s">
        <v>762</v>
      </c>
      <c r="B312" s="68" t="s">
        <v>150</v>
      </c>
      <c r="C312" s="68">
        <v>5.0</v>
      </c>
      <c r="D312" s="68" t="s">
        <v>746</v>
      </c>
      <c r="E312" s="68" t="s">
        <v>85</v>
      </c>
      <c r="F312" s="68" t="s">
        <v>217</v>
      </c>
      <c r="G312" s="66">
        <v>10315.0</v>
      </c>
      <c r="H312" s="66">
        <v>10705.0</v>
      </c>
      <c r="I312" s="66">
        <v>-390.0</v>
      </c>
      <c r="J312" s="69">
        <v>-0.0364</v>
      </c>
      <c r="K312" s="143" t="s">
        <v>738</v>
      </c>
    </row>
    <row r="313" spans="8:8" ht="14.25" customHeight="1">
      <c r="A313" s="68" t="s">
        <v>762</v>
      </c>
      <c r="B313" s="68" t="s">
        <v>190</v>
      </c>
      <c r="C313" s="68">
        <v>6.0</v>
      </c>
      <c r="D313" s="68" t="s">
        <v>746</v>
      </c>
      <c r="E313" s="68" t="s">
        <v>85</v>
      </c>
      <c r="F313" s="68" t="s">
        <v>217</v>
      </c>
      <c r="G313" s="66">
        <v>39000.0</v>
      </c>
      <c r="H313" s="66">
        <v>30935.0</v>
      </c>
      <c r="I313" s="66">
        <v>8065.0</v>
      </c>
      <c r="J313" s="69">
        <v>0.2607</v>
      </c>
      <c r="K313" s="145" t="s">
        <v>744</v>
      </c>
    </row>
    <row r="314" spans="8:8" ht="14.25" customHeight="1">
      <c r="A314" s="68" t="s">
        <v>762</v>
      </c>
      <c r="B314" s="68" t="s">
        <v>27</v>
      </c>
      <c r="C314" s="68">
        <v>192.0</v>
      </c>
      <c r="D314" s="68" t="s">
        <v>749</v>
      </c>
      <c r="E314" s="68" t="s">
        <v>127</v>
      </c>
      <c r="F314" s="68" t="s">
        <v>218</v>
      </c>
      <c r="G314" s="66">
        <v>7750.0</v>
      </c>
      <c r="H314" s="66">
        <v>8020.0</v>
      </c>
      <c r="I314" s="66">
        <v>-270.0</v>
      </c>
      <c r="J314" s="69">
        <v>-0.0337</v>
      </c>
      <c r="K314" s="143" t="s">
        <v>738</v>
      </c>
    </row>
    <row r="315" spans="8:8" ht="14.25" customHeight="1">
      <c r="A315" s="68" t="s">
        <v>763</v>
      </c>
      <c r="B315" s="68" t="s">
        <v>22</v>
      </c>
      <c r="C315" s="68">
        <v>1.0</v>
      </c>
      <c r="D315" s="68" t="s">
        <v>746</v>
      </c>
      <c r="E315" s="68" t="s">
        <v>219</v>
      </c>
      <c r="F315" s="68" t="s">
        <v>220</v>
      </c>
      <c r="G315" s="66">
        <v>9200.0</v>
      </c>
      <c r="H315" s="66">
        <v>9685.0</v>
      </c>
      <c r="I315" s="66">
        <v>-485.0</v>
      </c>
      <c r="J315" s="69">
        <v>-0.0501</v>
      </c>
      <c r="K315" s="143" t="s">
        <v>738</v>
      </c>
    </row>
    <row r="316" spans="8:8" ht="14.25" customHeight="1">
      <c r="A316" s="68" t="s">
        <v>763</v>
      </c>
      <c r="B316" s="68" t="s">
        <v>24</v>
      </c>
      <c r="C316" s="68">
        <v>253.0</v>
      </c>
      <c r="D316" s="68" t="s">
        <v>749</v>
      </c>
      <c r="E316" s="68" t="s">
        <v>50</v>
      </c>
      <c r="F316" s="68" t="s">
        <v>222</v>
      </c>
      <c r="G316" s="66">
        <v>5000.0</v>
      </c>
      <c r="H316" s="66">
        <v>6195.0</v>
      </c>
      <c r="I316" s="66">
        <v>-1195.0</v>
      </c>
      <c r="J316" s="69">
        <v>-0.1929</v>
      </c>
      <c r="K316" s="143" t="s">
        <v>738</v>
      </c>
    </row>
    <row r="317" spans="8:8" ht="14.25" customHeight="1">
      <c r="A317" s="68" t="s">
        <v>763</v>
      </c>
      <c r="B317" s="68" t="s">
        <v>31</v>
      </c>
      <c r="C317" s="68">
        <v>15.0</v>
      </c>
      <c r="D317" s="68" t="s">
        <v>746</v>
      </c>
      <c r="E317" s="68" t="s">
        <v>29</v>
      </c>
      <c r="F317" s="68" t="s">
        <v>223</v>
      </c>
      <c r="G317" s="66">
        <v>17100.0</v>
      </c>
      <c r="H317" s="66">
        <v>18615.0</v>
      </c>
      <c r="I317" s="66">
        <v>-1515.0</v>
      </c>
      <c r="J317" s="69">
        <v>-0.0814</v>
      </c>
      <c r="K317" s="143" t="s">
        <v>738</v>
      </c>
    </row>
    <row r="318" spans="8:8" ht="14.25" customHeight="1">
      <c r="A318" s="68" t="s">
        <v>763</v>
      </c>
      <c r="B318" s="68" t="s">
        <v>224</v>
      </c>
      <c r="C318" s="68">
        <v>2.0</v>
      </c>
      <c r="D318" s="68" t="s">
        <v>746</v>
      </c>
      <c r="E318" s="68" t="s">
        <v>29</v>
      </c>
      <c r="F318" s="68" t="s">
        <v>223</v>
      </c>
      <c r="G318" s="66">
        <v>14430.0</v>
      </c>
      <c r="H318" s="66">
        <v>15015.0</v>
      </c>
      <c r="I318" s="66">
        <v>-585.0</v>
      </c>
      <c r="J318" s="69">
        <v>-0.039</v>
      </c>
      <c r="K318" s="143" t="s">
        <v>738</v>
      </c>
    </row>
    <row r="319" spans="8:8" ht="14.25" customHeight="1">
      <c r="A319" s="68" t="s">
        <v>763</v>
      </c>
      <c r="B319" s="68" t="s">
        <v>62</v>
      </c>
      <c r="C319" s="68">
        <v>1.0</v>
      </c>
      <c r="D319" s="68" t="s">
        <v>746</v>
      </c>
      <c r="E319" s="68" t="s">
        <v>29</v>
      </c>
      <c r="F319" s="68" t="s">
        <v>223</v>
      </c>
      <c r="G319" s="66">
        <v>20655.0</v>
      </c>
      <c r="H319" s="66">
        <v>22040.0</v>
      </c>
      <c r="I319" s="66">
        <v>-1385.0</v>
      </c>
      <c r="J319" s="69">
        <v>-0.0628</v>
      </c>
      <c r="K319" s="143" t="s">
        <v>738</v>
      </c>
    </row>
    <row r="320" spans="8:8" ht="14.25" customHeight="1">
      <c r="A320" s="68" t="s">
        <v>763</v>
      </c>
      <c r="B320" s="68" t="s">
        <v>28</v>
      </c>
      <c r="C320" s="68">
        <v>2.0</v>
      </c>
      <c r="D320" s="68" t="s">
        <v>746</v>
      </c>
      <c r="E320" s="68" t="s">
        <v>29</v>
      </c>
      <c r="F320" s="68" t="s">
        <v>223</v>
      </c>
      <c r="G320" s="66">
        <v>13200.0</v>
      </c>
      <c r="H320" s="66">
        <v>15015.0</v>
      </c>
      <c r="I320" s="66">
        <v>-1815.0</v>
      </c>
      <c r="J320" s="69">
        <v>-0.1209</v>
      </c>
      <c r="K320" s="143" t="s">
        <v>738</v>
      </c>
    </row>
    <row r="321" spans="8:8" ht="14.25" customHeight="1">
      <c r="A321" s="68" t="s">
        <v>763</v>
      </c>
      <c r="B321" s="68" t="s">
        <v>44</v>
      </c>
      <c r="C321" s="68">
        <v>2.0</v>
      </c>
      <c r="D321" s="68" t="s">
        <v>746</v>
      </c>
      <c r="E321" s="68" t="s">
        <v>29</v>
      </c>
      <c r="F321" s="68" t="s">
        <v>223</v>
      </c>
      <c r="G321" s="66">
        <v>9200.0</v>
      </c>
      <c r="H321" s="66">
        <v>9685.0</v>
      </c>
      <c r="I321" s="66">
        <v>-485.0</v>
      </c>
      <c r="J321" s="69">
        <v>-0.0501</v>
      </c>
      <c r="K321" s="143" t="s">
        <v>738</v>
      </c>
    </row>
    <row r="322" spans="8:8" ht="14.25" customHeight="1">
      <c r="A322" s="68" t="s">
        <v>763</v>
      </c>
      <c r="B322" s="68" t="s">
        <v>22</v>
      </c>
      <c r="C322" s="68">
        <v>5.0</v>
      </c>
      <c r="D322" s="68" t="s">
        <v>746</v>
      </c>
      <c r="E322" s="68" t="s">
        <v>29</v>
      </c>
      <c r="F322" s="68" t="s">
        <v>223</v>
      </c>
      <c r="G322" s="66">
        <v>8800.0</v>
      </c>
      <c r="H322" s="66">
        <v>9685.0</v>
      </c>
      <c r="I322" s="66">
        <v>-885.0</v>
      </c>
      <c r="J322" s="69">
        <v>-0.0914</v>
      </c>
      <c r="K322" s="143" t="s">
        <v>738</v>
      </c>
    </row>
    <row r="323" spans="8:8" ht="14.25" customHeight="1">
      <c r="A323" s="68" t="s">
        <v>763</v>
      </c>
      <c r="B323" s="68" t="s">
        <v>44</v>
      </c>
      <c r="C323" s="68">
        <v>9.0</v>
      </c>
      <c r="D323" s="68" t="s">
        <v>746</v>
      </c>
      <c r="E323" s="68" t="s">
        <v>29</v>
      </c>
      <c r="F323" s="68" t="s">
        <v>225</v>
      </c>
      <c r="G323" s="66">
        <v>9200.0</v>
      </c>
      <c r="H323" s="66">
        <v>9685.0</v>
      </c>
      <c r="I323" s="66">
        <v>-485.0</v>
      </c>
      <c r="J323" s="69">
        <v>-0.0501</v>
      </c>
      <c r="K323" s="143" t="s">
        <v>738</v>
      </c>
    </row>
    <row r="324" spans="8:8" ht="14.25" customHeight="1">
      <c r="A324" s="68" t="s">
        <v>763</v>
      </c>
      <c r="B324" s="68" t="s">
        <v>45</v>
      </c>
      <c r="C324" s="68">
        <v>5.0</v>
      </c>
      <c r="D324" s="68" t="s">
        <v>746</v>
      </c>
      <c r="E324" s="68" t="s">
        <v>29</v>
      </c>
      <c r="F324" s="68" t="s">
        <v>225</v>
      </c>
      <c r="G324" s="66">
        <v>13335.0</v>
      </c>
      <c r="H324" s="66">
        <v>13932.0</v>
      </c>
      <c r="I324" s="66">
        <v>-597.0</v>
      </c>
      <c r="J324" s="69">
        <v>-0.0429</v>
      </c>
      <c r="K324" s="143" t="s">
        <v>738</v>
      </c>
    </row>
    <row r="325" spans="8:8" ht="14.25" customHeight="1">
      <c r="A325" s="68" t="s">
        <v>763</v>
      </c>
      <c r="B325" s="68" t="s">
        <v>37</v>
      </c>
      <c r="C325" s="68">
        <v>2.0</v>
      </c>
      <c r="D325" s="68" t="s">
        <v>746</v>
      </c>
      <c r="E325" s="68" t="s">
        <v>29</v>
      </c>
      <c r="F325" s="68" t="s">
        <v>225</v>
      </c>
      <c r="G325" s="66">
        <v>8880.0</v>
      </c>
      <c r="H325" s="66">
        <v>9235.0</v>
      </c>
      <c r="I325" s="66">
        <v>-355.0</v>
      </c>
      <c r="J325" s="69">
        <v>-0.0384</v>
      </c>
      <c r="K325" s="143" t="s">
        <v>738</v>
      </c>
    </row>
    <row r="326" spans="8:8" ht="14.25" customHeight="1">
      <c r="A326" s="68" t="s">
        <v>763</v>
      </c>
      <c r="B326" s="68" t="s">
        <v>22</v>
      </c>
      <c r="C326" s="68">
        <v>10.0</v>
      </c>
      <c r="D326" s="68" t="s">
        <v>746</v>
      </c>
      <c r="E326" s="68" t="s">
        <v>29</v>
      </c>
      <c r="F326" s="68" t="s">
        <v>225</v>
      </c>
      <c r="G326" s="66">
        <v>8800.0</v>
      </c>
      <c r="H326" s="66">
        <v>9685.0</v>
      </c>
      <c r="I326" s="66">
        <v>-885.0</v>
      </c>
      <c r="J326" s="69">
        <v>-0.0914</v>
      </c>
      <c r="K326" s="143" t="s">
        <v>738</v>
      </c>
    </row>
    <row r="327" spans="8:8" ht="14.25" customHeight="1">
      <c r="A327" s="68" t="s">
        <v>763</v>
      </c>
      <c r="B327" s="68" t="s">
        <v>24</v>
      </c>
      <c r="C327" s="68">
        <v>15.0</v>
      </c>
      <c r="D327" s="68" t="s">
        <v>746</v>
      </c>
      <c r="E327" s="68" t="s">
        <v>29</v>
      </c>
      <c r="F327" s="68" t="s">
        <v>225</v>
      </c>
      <c r="G327" s="66">
        <v>5000.0</v>
      </c>
      <c r="H327" s="66">
        <v>6530.0</v>
      </c>
      <c r="I327" s="66">
        <v>-1530.0</v>
      </c>
      <c r="J327" s="69">
        <v>-0.2343</v>
      </c>
      <c r="K327" s="143" t="s">
        <v>738</v>
      </c>
    </row>
    <row r="328" spans="8:8" ht="14.25" customHeight="1">
      <c r="A328" s="68" t="s">
        <v>763</v>
      </c>
      <c r="B328" s="68" t="s">
        <v>27</v>
      </c>
      <c r="C328" s="68">
        <v>2.0</v>
      </c>
      <c r="D328" s="68" t="s">
        <v>746</v>
      </c>
      <c r="E328" s="68" t="s">
        <v>29</v>
      </c>
      <c r="F328" s="68" t="s">
        <v>225</v>
      </c>
      <c r="G328" s="66">
        <v>8020.0</v>
      </c>
      <c r="H328" s="66">
        <v>8355.0</v>
      </c>
      <c r="I328" s="66">
        <v>-335.0</v>
      </c>
      <c r="J328" s="69">
        <v>-0.0401</v>
      </c>
      <c r="K328" s="143" t="s">
        <v>738</v>
      </c>
    </row>
    <row r="329" spans="8:8" ht="14.25" customHeight="1">
      <c r="A329" s="68" t="s">
        <v>763</v>
      </c>
      <c r="B329" s="68" t="s">
        <v>24</v>
      </c>
      <c r="C329" s="68">
        <v>20.0</v>
      </c>
      <c r="D329" s="68" t="s">
        <v>746</v>
      </c>
      <c r="E329" s="68" t="s">
        <v>154</v>
      </c>
      <c r="F329" s="68" t="s">
        <v>226</v>
      </c>
      <c r="G329" s="66">
        <v>5000.0</v>
      </c>
      <c r="H329" s="66">
        <v>6530.0</v>
      </c>
      <c r="I329" s="66">
        <v>-1530.0</v>
      </c>
      <c r="J329" s="69">
        <v>-0.2343</v>
      </c>
      <c r="K329" s="143" t="s">
        <v>738</v>
      </c>
    </row>
    <row r="330" spans="8:8" ht="14.25" customHeight="1">
      <c r="A330" s="68" t="s">
        <v>763</v>
      </c>
      <c r="B330" s="68" t="s">
        <v>24</v>
      </c>
      <c r="C330" s="68">
        <v>20.0</v>
      </c>
      <c r="D330" s="68" t="s">
        <v>746</v>
      </c>
      <c r="E330" s="68" t="s">
        <v>104</v>
      </c>
      <c r="F330" s="68" t="s">
        <v>227</v>
      </c>
      <c r="G330" s="66">
        <v>5300.0</v>
      </c>
      <c r="H330" s="66">
        <v>6530.0</v>
      </c>
      <c r="I330" s="66">
        <v>-1230.0</v>
      </c>
      <c r="J330" s="69">
        <v>-0.1884</v>
      </c>
      <c r="K330" s="143" t="s">
        <v>738</v>
      </c>
    </row>
    <row r="331" spans="8:8" ht="14.25" customHeight="1">
      <c r="A331" s="68" t="s">
        <v>763</v>
      </c>
      <c r="B331" s="68" t="s">
        <v>32</v>
      </c>
      <c r="C331" s="68">
        <v>5.0</v>
      </c>
      <c r="D331" s="68" t="s">
        <v>746</v>
      </c>
      <c r="E331" s="68" t="s">
        <v>25</v>
      </c>
      <c r="F331" s="68" t="s">
        <v>228</v>
      </c>
      <c r="G331" s="66">
        <v>16145.0</v>
      </c>
      <c r="H331" s="66">
        <v>16735.0</v>
      </c>
      <c r="I331" s="66">
        <v>-590.0</v>
      </c>
      <c r="J331" s="69">
        <v>-0.0353</v>
      </c>
      <c r="K331" s="143" t="s">
        <v>738</v>
      </c>
    </row>
    <row r="332" spans="8:8" ht="14.25" customHeight="1">
      <c r="A332" s="68" t="s">
        <v>763</v>
      </c>
      <c r="B332" s="68" t="s">
        <v>35</v>
      </c>
      <c r="C332" s="68">
        <v>3.0</v>
      </c>
      <c r="D332" s="68" t="s">
        <v>746</v>
      </c>
      <c r="E332" s="68" t="s">
        <v>25</v>
      </c>
      <c r="F332" s="68" t="s">
        <v>228</v>
      </c>
      <c r="G332" s="66">
        <v>21170.0</v>
      </c>
      <c r="H332" s="66">
        <v>21830.0</v>
      </c>
      <c r="I332" s="66">
        <v>-660.0</v>
      </c>
      <c r="J332" s="69">
        <v>-0.0302</v>
      </c>
      <c r="K332" s="143" t="s">
        <v>738</v>
      </c>
    </row>
    <row r="333" spans="8:8" ht="14.25" customHeight="1">
      <c r="A333" s="68" t="s">
        <v>763</v>
      </c>
      <c r="B333" s="68" t="s">
        <v>229</v>
      </c>
      <c r="C333" s="68">
        <v>5.0</v>
      </c>
      <c r="D333" s="68" t="s">
        <v>746</v>
      </c>
      <c r="E333" s="68" t="s">
        <v>25</v>
      </c>
      <c r="F333" s="68" t="s">
        <v>228</v>
      </c>
      <c r="G333" s="66">
        <v>15490.0</v>
      </c>
      <c r="H333" s="66">
        <v>16030.0</v>
      </c>
      <c r="I333" s="66">
        <v>-540.0</v>
      </c>
      <c r="J333" s="69">
        <v>-0.0337</v>
      </c>
      <c r="K333" s="143" t="s">
        <v>738</v>
      </c>
    </row>
    <row r="334" spans="8:8" ht="14.25" customHeight="1">
      <c r="A334" s="68" t="s">
        <v>763</v>
      </c>
      <c r="B334" s="68" t="s">
        <v>34</v>
      </c>
      <c r="C334" s="68">
        <v>5.0</v>
      </c>
      <c r="D334" s="68" t="s">
        <v>746</v>
      </c>
      <c r="E334" s="68" t="s">
        <v>25</v>
      </c>
      <c r="F334" s="68" t="s">
        <v>228</v>
      </c>
      <c r="G334" s="66">
        <v>22740.0</v>
      </c>
      <c r="H334" s="66">
        <v>23895.0</v>
      </c>
      <c r="I334" s="66">
        <v>-1155.0</v>
      </c>
      <c r="J334" s="69">
        <v>-0.0483</v>
      </c>
      <c r="K334" s="143" t="s">
        <v>738</v>
      </c>
    </row>
    <row r="335" spans="8:8" ht="14.25" customHeight="1">
      <c r="A335" s="68" t="s">
        <v>763</v>
      </c>
      <c r="B335" s="68" t="s">
        <v>24</v>
      </c>
      <c r="C335" s="68">
        <v>100.0</v>
      </c>
      <c r="D335" s="68" t="s">
        <v>749</v>
      </c>
      <c r="E335" s="68" t="s">
        <v>25</v>
      </c>
      <c r="F335" s="68" t="s">
        <v>228</v>
      </c>
      <c r="G335" s="66">
        <v>5000.0</v>
      </c>
      <c r="H335" s="66">
        <v>6195.0</v>
      </c>
      <c r="I335" s="66">
        <v>-1195.0</v>
      </c>
      <c r="J335" s="69">
        <v>-0.1929</v>
      </c>
      <c r="K335" s="143" t="s">
        <v>738</v>
      </c>
    </row>
    <row r="336" spans="8:8" ht="14.25" customHeight="1">
      <c r="A336" s="68" t="s">
        <v>763</v>
      </c>
      <c r="B336" s="68" t="s">
        <v>24</v>
      </c>
      <c r="C336" s="68">
        <v>50.0</v>
      </c>
      <c r="D336" s="68" t="s">
        <v>749</v>
      </c>
      <c r="E336" s="68" t="s">
        <v>95</v>
      </c>
      <c r="F336" s="68" t="s">
        <v>230</v>
      </c>
      <c r="G336" s="66">
        <v>5000.0</v>
      </c>
      <c r="H336" s="66">
        <v>6195.0</v>
      </c>
      <c r="I336" s="66">
        <v>-1195.0</v>
      </c>
      <c r="J336" s="69">
        <v>-0.1929</v>
      </c>
      <c r="K336" s="143" t="s">
        <v>738</v>
      </c>
    </row>
    <row r="337" spans="8:8" ht="14.25" customHeight="1">
      <c r="A337" s="68" t="s">
        <v>763</v>
      </c>
      <c r="B337" s="68" t="s">
        <v>22</v>
      </c>
      <c r="C337" s="68">
        <v>140.0</v>
      </c>
      <c r="D337" s="68" t="s">
        <v>749</v>
      </c>
      <c r="E337" s="68" t="s">
        <v>231</v>
      </c>
      <c r="F337" s="68" t="s">
        <v>232</v>
      </c>
      <c r="G337" s="66">
        <v>8990.0</v>
      </c>
      <c r="H337" s="66">
        <v>9335.0</v>
      </c>
      <c r="I337" s="66">
        <v>-345.0</v>
      </c>
      <c r="J337" s="69">
        <v>-0.037</v>
      </c>
      <c r="K337" s="143" t="s">
        <v>738</v>
      </c>
    </row>
    <row r="338" spans="8:8" ht="14.25" customHeight="1">
      <c r="A338" s="68" t="s">
        <v>763</v>
      </c>
      <c r="B338" s="68" t="s">
        <v>44</v>
      </c>
      <c r="C338" s="68">
        <v>70.0</v>
      </c>
      <c r="D338" s="68" t="s">
        <v>749</v>
      </c>
      <c r="E338" s="68" t="s">
        <v>231</v>
      </c>
      <c r="F338" s="68" t="s">
        <v>232</v>
      </c>
      <c r="G338" s="66">
        <v>8990.0</v>
      </c>
      <c r="H338" s="66">
        <v>9335.0</v>
      </c>
      <c r="I338" s="66">
        <v>-345.0</v>
      </c>
      <c r="J338" s="69">
        <v>-0.037</v>
      </c>
      <c r="K338" s="143" t="s">
        <v>738</v>
      </c>
    </row>
    <row r="339" spans="8:8" ht="14.25" customHeight="1">
      <c r="A339" s="68" t="s">
        <v>763</v>
      </c>
      <c r="B339" s="68" t="s">
        <v>45</v>
      </c>
      <c r="C339" s="68">
        <v>70.0</v>
      </c>
      <c r="D339" s="68" t="s">
        <v>749</v>
      </c>
      <c r="E339" s="68" t="s">
        <v>231</v>
      </c>
      <c r="F339" s="68" t="s">
        <v>232</v>
      </c>
      <c r="G339" s="66">
        <v>13332.0</v>
      </c>
      <c r="H339" s="66">
        <v>13332.0</v>
      </c>
      <c r="I339" s="66">
        <v>0.0</v>
      </c>
      <c r="J339" s="69">
        <v>0.0</v>
      </c>
      <c r="K339" s="146" t="s">
        <v>747</v>
      </c>
    </row>
    <row r="340" spans="8:8" ht="14.25" customHeight="1">
      <c r="A340" s="68" t="s">
        <v>763</v>
      </c>
      <c r="B340" s="68" t="s">
        <v>37</v>
      </c>
      <c r="C340" s="68">
        <v>70.0</v>
      </c>
      <c r="D340" s="68" t="s">
        <v>749</v>
      </c>
      <c r="E340" s="68" t="s">
        <v>231</v>
      </c>
      <c r="F340" s="68" t="s">
        <v>232</v>
      </c>
      <c r="G340" s="66">
        <v>8900.0</v>
      </c>
      <c r="H340" s="66">
        <v>8880.0</v>
      </c>
      <c r="I340" s="66">
        <v>20.0</v>
      </c>
      <c r="J340" s="69">
        <v>0.0023</v>
      </c>
      <c r="K340" s="146" t="s">
        <v>747</v>
      </c>
    </row>
    <row r="341" spans="8:8" ht="14.25" customHeight="1">
      <c r="A341" s="68" t="s">
        <v>763</v>
      </c>
      <c r="B341" s="68" t="s">
        <v>181</v>
      </c>
      <c r="C341" s="68">
        <v>60.0</v>
      </c>
      <c r="D341" s="68" t="s">
        <v>749</v>
      </c>
      <c r="E341" s="68" t="s">
        <v>231</v>
      </c>
      <c r="F341" s="68" t="s">
        <v>232</v>
      </c>
      <c r="G341" s="66">
        <v>16900.0</v>
      </c>
      <c r="H341" s="66">
        <v>17060.0</v>
      </c>
      <c r="I341" s="66">
        <v>-160.0</v>
      </c>
      <c r="J341" s="69">
        <v>-0.0094</v>
      </c>
      <c r="K341" s="146" t="s">
        <v>747</v>
      </c>
    </row>
    <row r="342" spans="8:8" ht="14.25" customHeight="1">
      <c r="A342" s="68" t="s">
        <v>763</v>
      </c>
      <c r="B342" s="68" t="s">
        <v>21</v>
      </c>
      <c r="C342" s="68">
        <v>3.0</v>
      </c>
      <c r="D342" s="68" t="s">
        <v>746</v>
      </c>
      <c r="E342" s="68" t="s">
        <v>15</v>
      </c>
      <c r="F342" s="68" t="s">
        <v>234</v>
      </c>
      <c r="G342" s="66">
        <v>9000.0</v>
      </c>
      <c r="H342" s="66">
        <v>9190.0</v>
      </c>
      <c r="I342" s="66">
        <v>-190.0</v>
      </c>
      <c r="J342" s="69">
        <v>-0.0207</v>
      </c>
      <c r="K342" s="143" t="s">
        <v>738</v>
      </c>
    </row>
    <row r="343" spans="8:8" ht="14.25" customHeight="1">
      <c r="A343" s="68" t="s">
        <v>763</v>
      </c>
      <c r="B343" s="68" t="s">
        <v>235</v>
      </c>
      <c r="C343" s="68">
        <v>8.0</v>
      </c>
      <c r="D343" s="68" t="s">
        <v>746</v>
      </c>
      <c r="E343" s="68" t="s">
        <v>15</v>
      </c>
      <c r="F343" s="68" t="s">
        <v>234</v>
      </c>
      <c r="G343" s="66">
        <v>9700.0</v>
      </c>
      <c r="H343" s="66">
        <v>10150.0</v>
      </c>
      <c r="I343" s="66">
        <v>-450.0</v>
      </c>
      <c r="J343" s="69">
        <v>-0.0443</v>
      </c>
      <c r="K343" s="143" t="s">
        <v>738</v>
      </c>
    </row>
    <row r="344" spans="8:8" ht="14.25" customHeight="1">
      <c r="A344" s="68" t="s">
        <v>763</v>
      </c>
      <c r="B344" s="68" t="s">
        <v>37</v>
      </c>
      <c r="C344" s="68">
        <v>2.0</v>
      </c>
      <c r="D344" s="68" t="s">
        <v>746</v>
      </c>
      <c r="E344" s="68" t="s">
        <v>15</v>
      </c>
      <c r="F344" s="68" t="s">
        <v>234</v>
      </c>
      <c r="G344" s="66">
        <v>9200.0</v>
      </c>
      <c r="H344" s="66">
        <v>9235.0</v>
      </c>
      <c r="I344" s="66">
        <v>-35.0</v>
      </c>
      <c r="J344" s="69">
        <v>-0.0038</v>
      </c>
      <c r="K344" s="146" t="s">
        <v>747</v>
      </c>
    </row>
    <row r="345" spans="8:8" ht="14.25" customHeight="1">
      <c r="A345" s="68" t="s">
        <v>763</v>
      </c>
      <c r="B345" s="68" t="s">
        <v>22</v>
      </c>
      <c r="C345" s="68">
        <v>3.0</v>
      </c>
      <c r="D345" s="68" t="s">
        <v>746</v>
      </c>
      <c r="E345" s="68" t="s">
        <v>15</v>
      </c>
      <c r="F345" s="68" t="s">
        <v>234</v>
      </c>
      <c r="G345" s="66">
        <v>9200.0</v>
      </c>
      <c r="H345" s="66">
        <v>9685.0</v>
      </c>
      <c r="I345" s="66">
        <v>-485.0</v>
      </c>
      <c r="J345" s="69">
        <v>-0.0501</v>
      </c>
      <c r="K345" s="143" t="s">
        <v>738</v>
      </c>
    </row>
    <row r="346" spans="8:8" ht="14.25" customHeight="1">
      <c r="A346" s="68" t="s">
        <v>763</v>
      </c>
      <c r="B346" s="68" t="s">
        <v>45</v>
      </c>
      <c r="C346" s="68">
        <v>4.0</v>
      </c>
      <c r="D346" s="68" t="s">
        <v>746</v>
      </c>
      <c r="E346" s="68" t="s">
        <v>15</v>
      </c>
      <c r="F346" s="68" t="s">
        <v>234</v>
      </c>
      <c r="G346" s="66">
        <v>13350.0</v>
      </c>
      <c r="H346" s="66">
        <v>13932.0</v>
      </c>
      <c r="I346" s="66">
        <v>-582.0</v>
      </c>
      <c r="J346" s="69">
        <v>-0.0418</v>
      </c>
      <c r="K346" s="143" t="s">
        <v>738</v>
      </c>
    </row>
    <row r="347" spans="8:8" ht="14.25" customHeight="1">
      <c r="A347" s="68" t="s">
        <v>763</v>
      </c>
      <c r="B347" s="68" t="s">
        <v>36</v>
      </c>
      <c r="C347" s="68">
        <v>3.0</v>
      </c>
      <c r="D347" s="68" t="s">
        <v>746</v>
      </c>
      <c r="E347" s="68" t="s">
        <v>15</v>
      </c>
      <c r="F347" s="68" t="s">
        <v>234</v>
      </c>
      <c r="G347" s="66">
        <v>15500.0</v>
      </c>
      <c r="H347" s="66">
        <v>16140.0</v>
      </c>
      <c r="I347" s="66">
        <v>-640.0</v>
      </c>
      <c r="J347" s="69">
        <v>-0.0397</v>
      </c>
      <c r="K347" s="143" t="s">
        <v>738</v>
      </c>
    </row>
    <row r="348" spans="8:8" ht="14.25" customHeight="1">
      <c r="A348" s="68" t="s">
        <v>763</v>
      </c>
      <c r="B348" s="68" t="s">
        <v>43</v>
      </c>
      <c r="C348" s="68">
        <v>1.0</v>
      </c>
      <c r="D348" s="68" t="s">
        <v>746</v>
      </c>
      <c r="E348" s="68" t="s">
        <v>15</v>
      </c>
      <c r="F348" s="68" t="s">
        <v>234</v>
      </c>
      <c r="G348" s="66">
        <v>18100.0</v>
      </c>
      <c r="H348" s="66">
        <v>18100.0</v>
      </c>
      <c r="I348" s="66">
        <v>0.0</v>
      </c>
      <c r="J348" s="69">
        <v>0.0</v>
      </c>
      <c r="K348" s="146" t="s">
        <v>747</v>
      </c>
    </row>
    <row r="349" spans="8:8" ht="14.25" customHeight="1">
      <c r="A349" s="68" t="s">
        <v>763</v>
      </c>
      <c r="B349" s="68" t="s">
        <v>44</v>
      </c>
      <c r="C349" s="68">
        <v>5.0</v>
      </c>
      <c r="D349" s="68" t="s">
        <v>746</v>
      </c>
      <c r="E349" s="68" t="s">
        <v>15</v>
      </c>
      <c r="F349" s="68" t="s">
        <v>234</v>
      </c>
      <c r="G349" s="66">
        <v>9200.0</v>
      </c>
      <c r="H349" s="66">
        <v>9685.0</v>
      </c>
      <c r="I349" s="66">
        <v>-485.0</v>
      </c>
      <c r="J349" s="69">
        <v>-0.0501</v>
      </c>
      <c r="K349" s="143" t="s">
        <v>738</v>
      </c>
    </row>
    <row r="350" spans="8:8" ht="14.25" customHeight="1">
      <c r="A350" s="68" t="s">
        <v>763</v>
      </c>
      <c r="B350" s="68" t="s">
        <v>22</v>
      </c>
      <c r="C350" s="68">
        <v>30.0</v>
      </c>
      <c r="D350" s="68" t="s">
        <v>746</v>
      </c>
      <c r="E350" s="68" t="s">
        <v>29</v>
      </c>
      <c r="F350" s="68" t="s">
        <v>236</v>
      </c>
      <c r="G350" s="66">
        <v>8800.0</v>
      </c>
      <c r="H350" s="66">
        <v>9685.0</v>
      </c>
      <c r="I350" s="66">
        <v>-885.0</v>
      </c>
      <c r="J350" s="69">
        <v>-0.0914</v>
      </c>
      <c r="K350" s="143" t="s">
        <v>738</v>
      </c>
    </row>
    <row r="351" spans="8:8" ht="14.25" customHeight="1">
      <c r="A351" s="68" t="s">
        <v>763</v>
      </c>
      <c r="B351" s="68" t="s">
        <v>37</v>
      </c>
      <c r="C351" s="68">
        <v>5.0</v>
      </c>
      <c r="D351" s="68" t="s">
        <v>746</v>
      </c>
      <c r="E351" s="68" t="s">
        <v>29</v>
      </c>
      <c r="F351" s="68" t="s">
        <v>236</v>
      </c>
      <c r="G351" s="66">
        <v>8880.0</v>
      </c>
      <c r="H351" s="66">
        <v>9235.0</v>
      </c>
      <c r="I351" s="66">
        <v>-355.0</v>
      </c>
      <c r="J351" s="69">
        <v>-0.0384</v>
      </c>
      <c r="K351" s="143" t="s">
        <v>738</v>
      </c>
    </row>
    <row r="352" spans="8:8" ht="14.25" customHeight="1">
      <c r="A352" s="68" t="s">
        <v>763</v>
      </c>
      <c r="B352" s="68" t="s">
        <v>65</v>
      </c>
      <c r="C352" s="68">
        <v>5.0</v>
      </c>
      <c r="D352" s="68" t="s">
        <v>746</v>
      </c>
      <c r="E352" s="68" t="s">
        <v>29</v>
      </c>
      <c r="F352" s="68" t="s">
        <v>236</v>
      </c>
      <c r="G352" s="66">
        <v>11910.0</v>
      </c>
      <c r="H352" s="66">
        <v>12525.0</v>
      </c>
      <c r="I352" s="66">
        <v>-615.0</v>
      </c>
      <c r="J352" s="69">
        <v>-0.0491</v>
      </c>
      <c r="K352" s="143" t="s">
        <v>738</v>
      </c>
    </row>
    <row r="353" spans="8:8" ht="14.25" customHeight="1">
      <c r="A353" s="68" t="s">
        <v>763</v>
      </c>
      <c r="B353" s="68" t="s">
        <v>34</v>
      </c>
      <c r="C353" s="68">
        <v>1.0</v>
      </c>
      <c r="D353" s="68" t="s">
        <v>746</v>
      </c>
      <c r="E353" s="68" t="s">
        <v>237</v>
      </c>
      <c r="F353" s="68" t="s">
        <v>238</v>
      </c>
      <c r="G353" s="66">
        <v>22740.0</v>
      </c>
      <c r="H353" s="66">
        <v>23895.0</v>
      </c>
      <c r="I353" s="66">
        <v>-1155.0</v>
      </c>
      <c r="J353" s="69">
        <v>-0.0483</v>
      </c>
      <c r="K353" s="143" t="s">
        <v>738</v>
      </c>
    </row>
    <row r="354" spans="8:8" ht="14.25" customHeight="1">
      <c r="A354" s="68" t="s">
        <v>763</v>
      </c>
      <c r="B354" s="68" t="s">
        <v>113</v>
      </c>
      <c r="C354" s="68">
        <v>2.0</v>
      </c>
      <c r="D354" s="68" t="s">
        <v>746</v>
      </c>
      <c r="E354" s="68" t="s">
        <v>237</v>
      </c>
      <c r="F354" s="68" t="s">
        <v>238</v>
      </c>
      <c r="G354" s="66">
        <v>15115.0</v>
      </c>
      <c r="H354" s="66">
        <v>15765.0</v>
      </c>
      <c r="I354" s="66">
        <v>-650.0</v>
      </c>
      <c r="J354" s="69">
        <v>-0.0412</v>
      </c>
      <c r="K354" s="143" t="s">
        <v>738</v>
      </c>
    </row>
    <row r="355" spans="8:8" ht="14.25" customHeight="1">
      <c r="A355" s="68" t="s">
        <v>763</v>
      </c>
      <c r="B355" s="68" t="s">
        <v>44</v>
      </c>
      <c r="C355" s="68">
        <v>2.0</v>
      </c>
      <c r="D355" s="68" t="s">
        <v>746</v>
      </c>
      <c r="E355" s="68" t="s">
        <v>237</v>
      </c>
      <c r="F355" s="68" t="s">
        <v>238</v>
      </c>
      <c r="G355" s="66">
        <v>9200.0</v>
      </c>
      <c r="H355" s="66">
        <v>9685.0</v>
      </c>
      <c r="I355" s="66">
        <v>-485.0</v>
      </c>
      <c r="J355" s="69">
        <v>-0.0501</v>
      </c>
      <c r="K355" s="143" t="s">
        <v>738</v>
      </c>
    </row>
    <row r="356" spans="8:8" ht="14.25" customHeight="1">
      <c r="A356" s="68" t="s">
        <v>763</v>
      </c>
      <c r="B356" s="68" t="s">
        <v>45</v>
      </c>
      <c r="C356" s="68">
        <v>2.0</v>
      </c>
      <c r="D356" s="68" t="s">
        <v>746</v>
      </c>
      <c r="E356" s="68" t="s">
        <v>237</v>
      </c>
      <c r="F356" s="68" t="s">
        <v>238</v>
      </c>
      <c r="G356" s="66">
        <v>13335.0</v>
      </c>
      <c r="H356" s="66">
        <v>13932.0</v>
      </c>
      <c r="I356" s="66">
        <v>-597.0</v>
      </c>
      <c r="J356" s="69">
        <v>-0.0429</v>
      </c>
      <c r="K356" s="143" t="s">
        <v>738</v>
      </c>
    </row>
    <row r="357" spans="8:8" ht="14.25" customHeight="1">
      <c r="A357" s="68" t="s">
        <v>763</v>
      </c>
      <c r="B357" s="68" t="s">
        <v>24</v>
      </c>
      <c r="C357" s="68">
        <v>60.0</v>
      </c>
      <c r="D357" s="68" t="s">
        <v>749</v>
      </c>
      <c r="E357" s="68" t="s">
        <v>157</v>
      </c>
      <c r="F357" s="68" t="s">
        <v>239</v>
      </c>
      <c r="G357" s="66">
        <v>5000.0</v>
      </c>
      <c r="H357" s="66">
        <v>6195.0</v>
      </c>
      <c r="I357" s="66">
        <v>-1195.0</v>
      </c>
      <c r="J357" s="69">
        <v>-0.1929</v>
      </c>
      <c r="K357" s="143" t="s">
        <v>738</v>
      </c>
    </row>
    <row r="358" spans="8:8" ht="14.25" customHeight="1">
      <c r="A358" s="68" t="s">
        <v>763</v>
      </c>
      <c r="B358" s="68" t="s">
        <v>27</v>
      </c>
      <c r="C358" s="68">
        <v>10.0</v>
      </c>
      <c r="D358" s="68" t="s">
        <v>746</v>
      </c>
      <c r="E358" s="68" t="s">
        <v>157</v>
      </c>
      <c r="F358" s="68" t="s">
        <v>239</v>
      </c>
      <c r="G358" s="66">
        <v>8020.0</v>
      </c>
      <c r="H358" s="66">
        <v>8355.0</v>
      </c>
      <c r="I358" s="66">
        <v>-335.0</v>
      </c>
      <c r="J358" s="69">
        <v>-0.0401</v>
      </c>
      <c r="K358" s="143" t="s">
        <v>738</v>
      </c>
    </row>
    <row r="359" spans="8:8" ht="14.25" customHeight="1">
      <c r="A359" s="68" t="s">
        <v>763</v>
      </c>
      <c r="B359" s="68" t="s">
        <v>70</v>
      </c>
      <c r="C359" s="68">
        <v>5.0</v>
      </c>
      <c r="D359" s="68" t="s">
        <v>746</v>
      </c>
      <c r="E359" s="68" t="s">
        <v>157</v>
      </c>
      <c r="F359" s="68" t="s">
        <v>239</v>
      </c>
      <c r="G359" s="66">
        <v>13460.0</v>
      </c>
      <c r="H359" s="66">
        <v>14085.0</v>
      </c>
      <c r="I359" s="66">
        <v>-625.0</v>
      </c>
      <c r="J359" s="69">
        <v>-0.0444</v>
      </c>
      <c r="K359" s="143" t="s">
        <v>738</v>
      </c>
    </row>
    <row r="360" spans="8:8" ht="14.25" customHeight="1">
      <c r="A360" s="68" t="s">
        <v>764</v>
      </c>
      <c r="B360" s="68" t="s">
        <v>87</v>
      </c>
      <c r="C360" s="68">
        <v>5.0</v>
      </c>
      <c r="D360" s="68" t="s">
        <v>746</v>
      </c>
      <c r="E360" s="68" t="s">
        <v>75</v>
      </c>
      <c r="F360" s="68" t="s">
        <v>240</v>
      </c>
      <c r="G360" s="66">
        <v>21485.0</v>
      </c>
      <c r="H360" s="66">
        <v>22565.0</v>
      </c>
      <c r="I360" s="66">
        <v>-1080.0</v>
      </c>
      <c r="J360" s="69">
        <v>-0.0479</v>
      </c>
      <c r="K360" s="143" t="s">
        <v>738</v>
      </c>
    </row>
    <row r="361" spans="8:8" ht="14.25" customHeight="1">
      <c r="A361" s="68" t="s">
        <v>764</v>
      </c>
      <c r="B361" s="68" t="s">
        <v>77</v>
      </c>
      <c r="C361" s="68">
        <v>20.0</v>
      </c>
      <c r="D361" s="68" t="s">
        <v>746</v>
      </c>
      <c r="E361" s="68" t="s">
        <v>75</v>
      </c>
      <c r="F361" s="68" t="s">
        <v>240</v>
      </c>
      <c r="G361" s="66">
        <v>17840.0</v>
      </c>
      <c r="H361" s="66">
        <v>18395.0</v>
      </c>
      <c r="I361" s="66">
        <v>-555.0</v>
      </c>
      <c r="J361" s="69">
        <v>-0.0302</v>
      </c>
      <c r="K361" s="143" t="s">
        <v>738</v>
      </c>
    </row>
    <row r="362" spans="8:8" ht="14.25" customHeight="1">
      <c r="A362" s="68" t="s">
        <v>764</v>
      </c>
      <c r="B362" s="68" t="s">
        <v>45</v>
      </c>
      <c r="C362" s="68">
        <v>15.0</v>
      </c>
      <c r="D362" s="68" t="s">
        <v>746</v>
      </c>
      <c r="E362" s="68" t="s">
        <v>75</v>
      </c>
      <c r="F362" s="68" t="s">
        <v>240</v>
      </c>
      <c r="G362" s="66">
        <v>13332.0</v>
      </c>
      <c r="H362" s="66">
        <v>13932.0</v>
      </c>
      <c r="I362" s="66">
        <v>-600.0</v>
      </c>
      <c r="J362" s="69">
        <v>-0.0431</v>
      </c>
      <c r="K362" s="143" t="s">
        <v>738</v>
      </c>
    </row>
    <row r="363" spans="8:8" ht="14.25" customHeight="1">
      <c r="A363" s="68" t="s">
        <v>764</v>
      </c>
      <c r="B363" s="68" t="s">
        <v>93</v>
      </c>
      <c r="C363" s="68">
        <v>5.0</v>
      </c>
      <c r="D363" s="68" t="s">
        <v>746</v>
      </c>
      <c r="E363" s="68" t="s">
        <v>75</v>
      </c>
      <c r="F363" s="68" t="s">
        <v>240</v>
      </c>
      <c r="G363" s="66">
        <v>11600.0</v>
      </c>
      <c r="H363" s="66">
        <v>12090.0</v>
      </c>
      <c r="I363" s="66">
        <v>-490.0</v>
      </c>
      <c r="J363" s="69">
        <v>-0.0405</v>
      </c>
      <c r="K363" s="143" t="s">
        <v>738</v>
      </c>
    </row>
    <row r="364" spans="8:8" ht="14.25" customHeight="1">
      <c r="A364" s="68" t="s">
        <v>764</v>
      </c>
      <c r="B364" s="68" t="s">
        <v>24</v>
      </c>
      <c r="C364" s="68">
        <v>30.0</v>
      </c>
      <c r="D364" s="68" t="s">
        <v>746</v>
      </c>
      <c r="E364" s="68" t="s">
        <v>75</v>
      </c>
      <c r="F364" s="68" t="s">
        <v>240</v>
      </c>
      <c r="G364" s="66">
        <v>6195.0</v>
      </c>
      <c r="H364" s="66">
        <v>6530.0</v>
      </c>
      <c r="I364" s="66">
        <v>-335.0</v>
      </c>
      <c r="J364" s="69">
        <v>-0.0513</v>
      </c>
      <c r="K364" s="143" t="s">
        <v>738</v>
      </c>
    </row>
    <row r="365" spans="8:8" ht="14.25" customHeight="1">
      <c r="A365" s="68" t="s">
        <v>764</v>
      </c>
      <c r="B365" s="68" t="s">
        <v>27</v>
      </c>
      <c r="C365" s="68">
        <v>20.0</v>
      </c>
      <c r="D365" s="68" t="s">
        <v>746</v>
      </c>
      <c r="E365" s="68" t="s">
        <v>75</v>
      </c>
      <c r="F365" s="68" t="s">
        <v>240</v>
      </c>
      <c r="G365" s="66">
        <v>8020.0</v>
      </c>
      <c r="H365" s="66">
        <v>8355.0</v>
      </c>
      <c r="I365" s="66">
        <v>-335.0</v>
      </c>
      <c r="J365" s="69">
        <v>-0.0401</v>
      </c>
      <c r="K365" s="143" t="s">
        <v>738</v>
      </c>
    </row>
    <row r="366" spans="8:8" ht="14.25" customHeight="1">
      <c r="A366" s="68" t="s">
        <v>764</v>
      </c>
      <c r="B366" s="68" t="s">
        <v>71</v>
      </c>
      <c r="C366" s="68">
        <v>10.0</v>
      </c>
      <c r="D366" s="68" t="s">
        <v>746</v>
      </c>
      <c r="E366" s="68" t="s">
        <v>75</v>
      </c>
      <c r="F366" s="68" t="s">
        <v>240</v>
      </c>
      <c r="G366" s="66">
        <v>15945.0</v>
      </c>
      <c r="H366" s="66">
        <v>16535.0</v>
      </c>
      <c r="I366" s="66">
        <v>-590.0</v>
      </c>
      <c r="J366" s="69">
        <v>-0.0357</v>
      </c>
      <c r="K366" s="143" t="s">
        <v>738</v>
      </c>
    </row>
    <row r="367" spans="8:8" ht="14.25" customHeight="1">
      <c r="A367" s="68" t="s">
        <v>764</v>
      </c>
      <c r="B367" s="68" t="s">
        <v>35</v>
      </c>
      <c r="C367" s="68">
        <v>10.0</v>
      </c>
      <c r="D367" s="68" t="s">
        <v>746</v>
      </c>
      <c r="E367" s="68" t="s">
        <v>75</v>
      </c>
      <c r="F367" s="68" t="s">
        <v>240</v>
      </c>
      <c r="G367" s="66">
        <v>21170.0</v>
      </c>
      <c r="H367" s="66">
        <v>21830.0</v>
      </c>
      <c r="I367" s="66">
        <v>-660.0</v>
      </c>
      <c r="J367" s="69">
        <v>-0.0302</v>
      </c>
      <c r="K367" s="143" t="s">
        <v>738</v>
      </c>
    </row>
    <row r="368" spans="8:8" ht="14.25" customHeight="1">
      <c r="A368" s="68" t="s">
        <v>764</v>
      </c>
      <c r="B368" s="68" t="s">
        <v>32</v>
      </c>
      <c r="C368" s="68">
        <v>10.0</v>
      </c>
      <c r="D368" s="68" t="s">
        <v>746</v>
      </c>
      <c r="E368" s="68" t="s">
        <v>75</v>
      </c>
      <c r="F368" s="68" t="s">
        <v>240</v>
      </c>
      <c r="G368" s="66">
        <v>16145.0</v>
      </c>
      <c r="H368" s="66">
        <v>16735.0</v>
      </c>
      <c r="I368" s="66">
        <v>-590.0</v>
      </c>
      <c r="J368" s="69">
        <v>-0.0353</v>
      </c>
      <c r="K368" s="143" t="s">
        <v>738</v>
      </c>
    </row>
    <row r="369" spans="8:8" ht="14.25" customHeight="1">
      <c r="A369" s="68" t="s">
        <v>764</v>
      </c>
      <c r="B369" s="68" t="s">
        <v>141</v>
      </c>
      <c r="C369" s="68">
        <v>10.0</v>
      </c>
      <c r="D369" s="68" t="s">
        <v>746</v>
      </c>
      <c r="E369" s="68" t="s">
        <v>75</v>
      </c>
      <c r="F369" s="68" t="s">
        <v>240</v>
      </c>
      <c r="G369" s="66">
        <v>14145.0</v>
      </c>
      <c r="H369" s="66">
        <v>14765.0</v>
      </c>
      <c r="I369" s="66">
        <v>-620.0</v>
      </c>
      <c r="J369" s="69">
        <v>-0.042</v>
      </c>
      <c r="K369" s="143" t="s">
        <v>738</v>
      </c>
    </row>
    <row r="370" spans="8:8" ht="14.25" customHeight="1">
      <c r="A370" s="68" t="s">
        <v>764</v>
      </c>
      <c r="B370" s="68" t="s">
        <v>34</v>
      </c>
      <c r="C370" s="68">
        <v>5.0</v>
      </c>
      <c r="D370" s="68" t="s">
        <v>746</v>
      </c>
      <c r="E370" s="68" t="s">
        <v>75</v>
      </c>
      <c r="F370" s="68" t="s">
        <v>240</v>
      </c>
      <c r="G370" s="66">
        <v>22740.0</v>
      </c>
      <c r="H370" s="66">
        <v>23895.0</v>
      </c>
      <c r="I370" s="66">
        <v>-1155.0</v>
      </c>
      <c r="J370" s="69">
        <v>-0.0483</v>
      </c>
      <c r="K370" s="143" t="s">
        <v>738</v>
      </c>
    </row>
    <row r="371" spans="8:8" ht="14.25" customHeight="1">
      <c r="A371" s="68" t="s">
        <v>764</v>
      </c>
      <c r="B371" s="68" t="s">
        <v>70</v>
      </c>
      <c r="C371" s="68">
        <v>50.0</v>
      </c>
      <c r="D371" s="68" t="s">
        <v>749</v>
      </c>
      <c r="E371" s="68" t="s">
        <v>75</v>
      </c>
      <c r="F371" s="68" t="s">
        <v>240</v>
      </c>
      <c r="G371" s="66">
        <v>13460.0</v>
      </c>
      <c r="H371" s="66">
        <v>13460.0</v>
      </c>
      <c r="I371" s="66">
        <v>0.0</v>
      </c>
      <c r="J371" s="69">
        <v>0.0</v>
      </c>
      <c r="K371" s="146" t="s">
        <v>747</v>
      </c>
    </row>
    <row r="372" spans="8:8" ht="14.25" customHeight="1">
      <c r="A372" s="68" t="s">
        <v>764</v>
      </c>
      <c r="B372" s="68" t="s">
        <v>224</v>
      </c>
      <c r="C372" s="68">
        <v>11.0</v>
      </c>
      <c r="D372" s="68" t="s">
        <v>746</v>
      </c>
      <c r="E372" s="68" t="s">
        <v>75</v>
      </c>
      <c r="F372" s="68" t="s">
        <v>240</v>
      </c>
      <c r="G372" s="66">
        <v>14430.0</v>
      </c>
      <c r="H372" s="66">
        <v>15015.0</v>
      </c>
      <c r="I372" s="66">
        <v>-585.0</v>
      </c>
      <c r="J372" s="69">
        <v>-0.039</v>
      </c>
      <c r="K372" s="143" t="s">
        <v>738</v>
      </c>
    </row>
    <row r="373" spans="8:8" ht="14.25" customHeight="1">
      <c r="A373" s="68" t="s">
        <v>764</v>
      </c>
      <c r="B373" s="68" t="s">
        <v>28</v>
      </c>
      <c r="C373" s="68">
        <v>31.0</v>
      </c>
      <c r="D373" s="68" t="s">
        <v>746</v>
      </c>
      <c r="E373" s="68" t="s">
        <v>75</v>
      </c>
      <c r="F373" s="68" t="s">
        <v>240</v>
      </c>
      <c r="G373" s="66">
        <v>14400.0</v>
      </c>
      <c r="H373" s="66">
        <v>15015.0</v>
      </c>
      <c r="I373" s="66">
        <v>-615.0</v>
      </c>
      <c r="J373" s="69">
        <v>-0.041</v>
      </c>
      <c r="K373" s="143" t="s">
        <v>738</v>
      </c>
    </row>
    <row r="374" spans="8:8" ht="14.25" customHeight="1">
      <c r="A374" s="68" t="s">
        <v>764</v>
      </c>
      <c r="B374" s="68" t="s">
        <v>178</v>
      </c>
      <c r="C374" s="68">
        <v>10.0</v>
      </c>
      <c r="D374" s="68" t="s">
        <v>746</v>
      </c>
      <c r="E374" s="68" t="s">
        <v>75</v>
      </c>
      <c r="F374" s="68" t="s">
        <v>240</v>
      </c>
      <c r="G374" s="66">
        <v>23770.0</v>
      </c>
      <c r="H374" s="66">
        <v>24795.0</v>
      </c>
      <c r="I374" s="66">
        <v>-1025.0</v>
      </c>
      <c r="J374" s="69">
        <v>-0.0413</v>
      </c>
      <c r="K374" s="143" t="s">
        <v>738</v>
      </c>
    </row>
    <row r="375" spans="8:8" ht="14.25" customHeight="1">
      <c r="A375" s="68" t="s">
        <v>764</v>
      </c>
      <c r="B375" s="68" t="s">
        <v>31</v>
      </c>
      <c r="C375" s="68">
        <v>10.0</v>
      </c>
      <c r="D375" s="68" t="s">
        <v>746</v>
      </c>
      <c r="E375" s="68" t="s">
        <v>75</v>
      </c>
      <c r="F375" s="68" t="s">
        <v>240</v>
      </c>
      <c r="G375" s="66">
        <v>17845.0</v>
      </c>
      <c r="H375" s="66">
        <v>18615.0</v>
      </c>
      <c r="I375" s="66">
        <v>-770.0</v>
      </c>
      <c r="J375" s="69">
        <v>-0.0414</v>
      </c>
      <c r="K375" s="143" t="s">
        <v>738</v>
      </c>
    </row>
    <row r="376" spans="8:8" ht="14.25" customHeight="1">
      <c r="A376" s="68" t="s">
        <v>764</v>
      </c>
      <c r="B376" s="68" t="s">
        <v>190</v>
      </c>
      <c r="C376" s="68">
        <v>2.0</v>
      </c>
      <c r="D376" s="68" t="s">
        <v>746</v>
      </c>
      <c r="E376" s="68" t="s">
        <v>75</v>
      </c>
      <c r="F376" s="68" t="s">
        <v>240</v>
      </c>
      <c r="G376" s="66">
        <v>28445.0</v>
      </c>
      <c r="H376" s="66">
        <v>30935.0</v>
      </c>
      <c r="I376" s="66">
        <v>-2490.0</v>
      </c>
      <c r="J376" s="69">
        <v>-0.0805</v>
      </c>
      <c r="K376" s="143" t="s">
        <v>738</v>
      </c>
    </row>
    <row r="377" spans="8:8" ht="14.25" customHeight="1">
      <c r="A377" s="68" t="s">
        <v>764</v>
      </c>
      <c r="B377" s="68" t="s">
        <v>56</v>
      </c>
      <c r="C377" s="68">
        <v>2.0</v>
      </c>
      <c r="D377" s="68" t="s">
        <v>746</v>
      </c>
      <c r="E377" s="68" t="s">
        <v>75</v>
      </c>
      <c r="F377" s="68" t="s">
        <v>240</v>
      </c>
      <c r="G377" s="66">
        <v>24185.0</v>
      </c>
      <c r="H377" s="66">
        <v>28145.0</v>
      </c>
      <c r="I377" s="66">
        <v>-3960.0</v>
      </c>
      <c r="J377" s="69">
        <v>-0.1407</v>
      </c>
      <c r="K377" s="143" t="s">
        <v>738</v>
      </c>
    </row>
    <row r="378" spans="8:8" ht="14.25" customHeight="1">
      <c r="A378" s="68" t="s">
        <v>764</v>
      </c>
      <c r="B378" s="68" t="s">
        <v>113</v>
      </c>
      <c r="C378" s="68">
        <v>5.0</v>
      </c>
      <c r="D378" s="68" t="s">
        <v>746</v>
      </c>
      <c r="E378" s="68" t="s">
        <v>75</v>
      </c>
      <c r="F378" s="68" t="s">
        <v>240</v>
      </c>
      <c r="G378" s="66">
        <v>15115.0</v>
      </c>
      <c r="H378" s="66">
        <v>15765.0</v>
      </c>
      <c r="I378" s="66">
        <v>-650.0</v>
      </c>
      <c r="J378" s="69">
        <v>-0.0412</v>
      </c>
      <c r="K378" s="143" t="s">
        <v>738</v>
      </c>
    </row>
    <row r="379" spans="8:8" ht="14.25" customHeight="1">
      <c r="A379" s="68" t="s">
        <v>764</v>
      </c>
      <c r="B379" s="68" t="s">
        <v>62</v>
      </c>
      <c r="C379" s="68">
        <v>1.0</v>
      </c>
      <c r="D379" s="68" t="s">
        <v>746</v>
      </c>
      <c r="E379" s="68" t="s">
        <v>104</v>
      </c>
      <c r="F379" s="68" t="s">
        <v>242</v>
      </c>
      <c r="G379" s="66">
        <v>20655.0</v>
      </c>
      <c r="H379" s="66">
        <v>22040.0</v>
      </c>
      <c r="I379" s="66">
        <v>-1385.0</v>
      </c>
      <c r="J379" s="69">
        <v>-0.0628</v>
      </c>
      <c r="K379" s="143" t="s">
        <v>738</v>
      </c>
    </row>
    <row r="380" spans="8:8" ht="14.25" customHeight="1">
      <c r="A380" s="68" t="s">
        <v>764</v>
      </c>
      <c r="B380" s="68" t="s">
        <v>69</v>
      </c>
      <c r="C380" s="68">
        <v>1.0</v>
      </c>
      <c r="D380" s="68" t="s">
        <v>746</v>
      </c>
      <c r="E380" s="68" t="s">
        <v>95</v>
      </c>
      <c r="F380" s="68" t="s">
        <v>243</v>
      </c>
      <c r="G380" s="66">
        <v>14450.0</v>
      </c>
      <c r="H380" s="66">
        <v>15415.0</v>
      </c>
      <c r="I380" s="66">
        <v>-965.0</v>
      </c>
      <c r="J380" s="69">
        <v>-0.0626</v>
      </c>
      <c r="K380" s="143" t="s">
        <v>738</v>
      </c>
    </row>
    <row r="381" spans="8:8" ht="14.25" customHeight="1">
      <c r="A381" s="68" t="s">
        <v>764</v>
      </c>
      <c r="B381" s="68" t="s">
        <v>22</v>
      </c>
      <c r="C381" s="68">
        <v>2.0</v>
      </c>
      <c r="D381" s="68" t="s">
        <v>746</v>
      </c>
      <c r="E381" s="68" t="s">
        <v>95</v>
      </c>
      <c r="F381" s="68" t="s">
        <v>243</v>
      </c>
      <c r="G381" s="66">
        <v>9200.0</v>
      </c>
      <c r="H381" s="66">
        <v>9685.0</v>
      </c>
      <c r="I381" s="66">
        <v>-485.0</v>
      </c>
      <c r="J381" s="69">
        <v>-0.0501</v>
      </c>
      <c r="K381" s="143" t="s">
        <v>738</v>
      </c>
    </row>
    <row r="382" spans="8:8" ht="14.25" customHeight="1">
      <c r="A382" s="68" t="s">
        <v>764</v>
      </c>
      <c r="B382" s="68" t="s">
        <v>44</v>
      </c>
      <c r="C382" s="68">
        <v>2.0</v>
      </c>
      <c r="D382" s="68" t="s">
        <v>746</v>
      </c>
      <c r="E382" s="68" t="s">
        <v>95</v>
      </c>
      <c r="F382" s="68" t="s">
        <v>243</v>
      </c>
      <c r="G382" s="66">
        <v>9200.0</v>
      </c>
      <c r="H382" s="66">
        <v>9685.0</v>
      </c>
      <c r="I382" s="66">
        <v>-485.0</v>
      </c>
      <c r="J382" s="69">
        <v>-0.0501</v>
      </c>
      <c r="K382" s="143" t="s">
        <v>738</v>
      </c>
    </row>
    <row r="383" spans="8:8" ht="14.25" customHeight="1">
      <c r="A383" s="68" t="s">
        <v>764</v>
      </c>
      <c r="B383" s="68" t="s">
        <v>37</v>
      </c>
      <c r="C383" s="68">
        <v>1.0</v>
      </c>
      <c r="D383" s="68" t="s">
        <v>746</v>
      </c>
      <c r="E383" s="68" t="s">
        <v>95</v>
      </c>
      <c r="F383" s="68" t="s">
        <v>243</v>
      </c>
      <c r="G383" s="66">
        <v>9200.0</v>
      </c>
      <c r="H383" s="66">
        <v>9235.0</v>
      </c>
      <c r="I383" s="66">
        <v>-35.0</v>
      </c>
      <c r="J383" s="69">
        <v>-0.0038</v>
      </c>
      <c r="K383" s="146" t="s">
        <v>747</v>
      </c>
    </row>
    <row r="384" spans="8:8" ht="14.25" customHeight="1">
      <c r="A384" s="68" t="s">
        <v>764</v>
      </c>
      <c r="B384" s="68" t="s">
        <v>45</v>
      </c>
      <c r="C384" s="68">
        <v>2.0</v>
      </c>
      <c r="D384" s="68" t="s">
        <v>746</v>
      </c>
      <c r="E384" s="68" t="s">
        <v>95</v>
      </c>
      <c r="F384" s="68" t="s">
        <v>243</v>
      </c>
      <c r="G384" s="66">
        <v>13335.0</v>
      </c>
      <c r="H384" s="66">
        <v>13932.0</v>
      </c>
      <c r="I384" s="66">
        <v>-597.0</v>
      </c>
      <c r="J384" s="69">
        <v>-0.0429</v>
      </c>
      <c r="K384" s="143" t="s">
        <v>738</v>
      </c>
    </row>
    <row r="385" spans="8:8" ht="14.25" customHeight="1">
      <c r="A385" s="68" t="s">
        <v>764</v>
      </c>
      <c r="B385" s="68" t="s">
        <v>24</v>
      </c>
      <c r="C385" s="68">
        <v>70.0</v>
      </c>
      <c r="D385" s="68" t="s">
        <v>749</v>
      </c>
      <c r="E385" s="68" t="s">
        <v>25</v>
      </c>
      <c r="F385" s="68" t="s">
        <v>244</v>
      </c>
      <c r="G385" s="66">
        <v>5000.0</v>
      </c>
      <c r="H385" s="66">
        <v>6195.0</v>
      </c>
      <c r="I385" s="66">
        <v>-1195.0</v>
      </c>
      <c r="J385" s="69">
        <v>-0.1929</v>
      </c>
      <c r="K385" s="143" t="s">
        <v>738</v>
      </c>
    </row>
    <row r="386" spans="8:8" ht="14.25" customHeight="1">
      <c r="A386" s="68" t="s">
        <v>764</v>
      </c>
      <c r="B386" s="68" t="s">
        <v>28</v>
      </c>
      <c r="C386" s="68">
        <v>20.0</v>
      </c>
      <c r="D386" s="68" t="s">
        <v>746</v>
      </c>
      <c r="E386" s="68" t="s">
        <v>25</v>
      </c>
      <c r="F386" s="68" t="s">
        <v>244</v>
      </c>
      <c r="G386" s="66">
        <v>13150.0</v>
      </c>
      <c r="H386" s="66">
        <v>15015.0</v>
      </c>
      <c r="I386" s="66">
        <v>-1865.0</v>
      </c>
      <c r="J386" s="69">
        <v>-0.1242</v>
      </c>
      <c r="K386" s="143" t="s">
        <v>738</v>
      </c>
    </row>
    <row r="387" spans="8:8" ht="14.25" customHeight="1">
      <c r="A387" s="68" t="s">
        <v>764</v>
      </c>
      <c r="B387" s="68" t="s">
        <v>45</v>
      </c>
      <c r="C387" s="68">
        <v>1.0</v>
      </c>
      <c r="D387" s="68" t="s">
        <v>746</v>
      </c>
      <c r="E387" s="68" t="s">
        <v>15</v>
      </c>
      <c r="F387" s="68" t="s">
        <v>245</v>
      </c>
      <c r="G387" s="66">
        <v>13350.0</v>
      </c>
      <c r="H387" s="66">
        <v>13932.0</v>
      </c>
      <c r="I387" s="66">
        <v>-582.0</v>
      </c>
      <c r="J387" s="69">
        <v>-0.0418</v>
      </c>
      <c r="K387" s="143" t="s">
        <v>738</v>
      </c>
    </row>
    <row r="388" spans="8:8" ht="14.25" customHeight="1">
      <c r="A388" s="68" t="s">
        <v>764</v>
      </c>
      <c r="B388" s="68" t="s">
        <v>22</v>
      </c>
      <c r="C388" s="68">
        <v>1.0</v>
      </c>
      <c r="D388" s="68" t="s">
        <v>746</v>
      </c>
      <c r="E388" s="68" t="s">
        <v>15</v>
      </c>
      <c r="F388" s="68" t="s">
        <v>245</v>
      </c>
      <c r="G388" s="66">
        <v>9200.0</v>
      </c>
      <c r="H388" s="66">
        <v>9685.0</v>
      </c>
      <c r="I388" s="66">
        <v>-485.0</v>
      </c>
      <c r="J388" s="69">
        <v>-0.0501</v>
      </c>
      <c r="K388" s="143" t="s">
        <v>738</v>
      </c>
    </row>
    <row r="389" spans="8:8" ht="14.25" customHeight="1">
      <c r="A389" s="68" t="s">
        <v>764</v>
      </c>
      <c r="B389" s="68" t="s">
        <v>44</v>
      </c>
      <c r="C389" s="68">
        <v>1.0</v>
      </c>
      <c r="D389" s="68" t="s">
        <v>746</v>
      </c>
      <c r="E389" s="68" t="s">
        <v>15</v>
      </c>
      <c r="F389" s="68" t="s">
        <v>245</v>
      </c>
      <c r="G389" s="66">
        <v>9200.0</v>
      </c>
      <c r="H389" s="66">
        <v>9685.0</v>
      </c>
      <c r="I389" s="66">
        <v>-485.0</v>
      </c>
      <c r="J389" s="69">
        <v>-0.0501</v>
      </c>
      <c r="K389" s="143" t="s">
        <v>738</v>
      </c>
    </row>
    <row r="390" spans="8:8" ht="14.25" customHeight="1">
      <c r="A390" s="68" t="s">
        <v>764</v>
      </c>
      <c r="B390" s="68" t="s">
        <v>21</v>
      </c>
      <c r="C390" s="68">
        <v>1.0</v>
      </c>
      <c r="D390" s="68" t="s">
        <v>746</v>
      </c>
      <c r="E390" s="68" t="s">
        <v>15</v>
      </c>
      <c r="F390" s="68" t="s">
        <v>245</v>
      </c>
      <c r="G390" s="66">
        <v>9000.0</v>
      </c>
      <c r="H390" s="66">
        <v>9190.0</v>
      </c>
      <c r="I390" s="66">
        <v>-190.0</v>
      </c>
      <c r="J390" s="69">
        <v>-0.0207</v>
      </c>
      <c r="K390" s="143" t="s">
        <v>738</v>
      </c>
    </row>
    <row r="391" spans="8:8" ht="14.25" customHeight="1">
      <c r="A391" s="68" t="s">
        <v>765</v>
      </c>
      <c r="B391" s="68" t="s">
        <v>34</v>
      </c>
      <c r="C391" s="68">
        <v>5.0</v>
      </c>
      <c r="D391" s="68" t="s">
        <v>746</v>
      </c>
      <c r="E391" s="68" t="s">
        <v>253</v>
      </c>
      <c r="F391" s="68" t="s">
        <v>254</v>
      </c>
      <c r="G391" s="66">
        <v>22740.0</v>
      </c>
      <c r="H391" s="66">
        <v>23895.0</v>
      </c>
      <c r="I391" s="66">
        <v>-1155.0</v>
      </c>
      <c r="J391" s="69">
        <v>-0.0483</v>
      </c>
      <c r="K391" s="143" t="s">
        <v>738</v>
      </c>
    </row>
    <row r="392" spans="8:8" ht="14.25" customHeight="1">
      <c r="A392" s="68" t="s">
        <v>765</v>
      </c>
      <c r="B392" s="68" t="s">
        <v>61</v>
      </c>
      <c r="C392" s="68">
        <v>5.0</v>
      </c>
      <c r="D392" s="68" t="s">
        <v>746</v>
      </c>
      <c r="E392" s="68" t="s">
        <v>253</v>
      </c>
      <c r="F392" s="68" t="s">
        <v>254</v>
      </c>
      <c r="G392" s="66">
        <v>12885.0</v>
      </c>
      <c r="H392" s="66">
        <v>13420.0</v>
      </c>
      <c r="I392" s="66">
        <v>-535.0</v>
      </c>
      <c r="J392" s="69">
        <v>-0.0399</v>
      </c>
      <c r="K392" s="143" t="s">
        <v>738</v>
      </c>
    </row>
    <row r="393" spans="8:8" ht="14.25" customHeight="1">
      <c r="A393" s="68" t="s">
        <v>765</v>
      </c>
      <c r="B393" s="68" t="s">
        <v>24</v>
      </c>
      <c r="C393" s="68">
        <v>1.0</v>
      </c>
      <c r="D393" s="68" t="s">
        <v>746</v>
      </c>
      <c r="E393" s="68" t="s">
        <v>15</v>
      </c>
      <c r="F393" s="68" t="s">
        <v>256</v>
      </c>
      <c r="G393" s="66">
        <v>5300.0</v>
      </c>
      <c r="H393" s="66">
        <v>6530.0</v>
      </c>
      <c r="I393" s="66">
        <v>-1230.0</v>
      </c>
      <c r="J393" s="69">
        <v>-0.1884</v>
      </c>
      <c r="K393" s="143" t="s">
        <v>738</v>
      </c>
    </row>
    <row r="394" spans="8:8" ht="14.25" customHeight="1">
      <c r="A394" s="68" t="s">
        <v>765</v>
      </c>
      <c r="B394" s="68" t="s">
        <v>24</v>
      </c>
      <c r="C394" s="68">
        <v>100.0</v>
      </c>
      <c r="D394" s="68" t="s">
        <v>749</v>
      </c>
      <c r="E394" s="68" t="s">
        <v>50</v>
      </c>
      <c r="F394" s="68" t="s">
        <v>258</v>
      </c>
      <c r="G394" s="66">
        <v>5000.0</v>
      </c>
      <c r="H394" s="66">
        <v>6195.0</v>
      </c>
      <c r="I394" s="66">
        <v>-1195.0</v>
      </c>
      <c r="J394" s="69">
        <v>-0.1929</v>
      </c>
      <c r="K394" s="143" t="s">
        <v>738</v>
      </c>
    </row>
    <row r="395" spans="8:8" ht="14.25" customHeight="1">
      <c r="A395" s="68" t="s">
        <v>765</v>
      </c>
      <c r="B395" s="68" t="s">
        <v>32</v>
      </c>
      <c r="C395" s="68">
        <v>30.0</v>
      </c>
      <c r="D395" s="68" t="s">
        <v>746</v>
      </c>
      <c r="E395" s="68" t="s">
        <v>50</v>
      </c>
      <c r="F395" s="68" t="s">
        <v>258</v>
      </c>
      <c r="G395" s="66">
        <v>15655.0</v>
      </c>
      <c r="H395" s="66">
        <v>16735.0</v>
      </c>
      <c r="I395" s="66">
        <v>-1080.0</v>
      </c>
      <c r="J395" s="69">
        <v>-0.0645</v>
      </c>
      <c r="K395" s="143" t="s">
        <v>738</v>
      </c>
    </row>
    <row r="396" spans="8:8" ht="14.25" customHeight="1">
      <c r="A396" s="68" t="s">
        <v>765</v>
      </c>
      <c r="B396" s="68" t="s">
        <v>31</v>
      </c>
      <c r="C396" s="68">
        <v>15.0</v>
      </c>
      <c r="D396" s="68" t="s">
        <v>746</v>
      </c>
      <c r="E396" s="68" t="s">
        <v>50</v>
      </c>
      <c r="F396" s="68" t="s">
        <v>258</v>
      </c>
      <c r="G396" s="66">
        <v>17200.0</v>
      </c>
      <c r="H396" s="66">
        <v>18615.0</v>
      </c>
      <c r="I396" s="66">
        <v>-1415.0</v>
      </c>
      <c r="J396" s="69">
        <v>-0.076</v>
      </c>
      <c r="K396" s="143" t="s">
        <v>738</v>
      </c>
    </row>
    <row r="397" spans="8:8" ht="14.25" customHeight="1">
      <c r="A397" s="68" t="s">
        <v>765</v>
      </c>
      <c r="B397" s="68" t="s">
        <v>33</v>
      </c>
      <c r="C397" s="68">
        <v>25.0</v>
      </c>
      <c r="D397" s="68" t="s">
        <v>746</v>
      </c>
      <c r="E397" s="68" t="s">
        <v>50</v>
      </c>
      <c r="F397" s="68" t="s">
        <v>258</v>
      </c>
      <c r="G397" s="66">
        <v>15655.0</v>
      </c>
      <c r="H397" s="66">
        <v>16735.0</v>
      </c>
      <c r="I397" s="66">
        <v>-1080.0</v>
      </c>
      <c r="J397" s="69">
        <v>-0.0645</v>
      </c>
      <c r="K397" s="143" t="s">
        <v>738</v>
      </c>
    </row>
    <row r="398" spans="8:8" ht="14.25" customHeight="1">
      <c r="A398" s="68" t="s">
        <v>765</v>
      </c>
      <c r="B398" s="68" t="s">
        <v>28</v>
      </c>
      <c r="C398" s="68">
        <v>20.0</v>
      </c>
      <c r="D398" s="68" t="s">
        <v>746</v>
      </c>
      <c r="E398" s="68" t="s">
        <v>50</v>
      </c>
      <c r="F398" s="68" t="s">
        <v>258</v>
      </c>
      <c r="G398" s="66">
        <v>12900.0</v>
      </c>
      <c r="H398" s="66">
        <v>15015.0</v>
      </c>
      <c r="I398" s="66">
        <v>-2115.0</v>
      </c>
      <c r="J398" s="69">
        <v>-0.1409</v>
      </c>
      <c r="K398" s="143" t="s">
        <v>738</v>
      </c>
    </row>
    <row r="399" spans="8:8" ht="14.25" customHeight="1">
      <c r="A399" s="68" t="s">
        <v>765</v>
      </c>
      <c r="B399" s="68" t="s">
        <v>24</v>
      </c>
      <c r="C399" s="68">
        <v>2.0</v>
      </c>
      <c r="D399" s="68" t="s">
        <v>746</v>
      </c>
      <c r="E399" s="68" t="s">
        <v>15</v>
      </c>
      <c r="F399" s="68" t="s">
        <v>264</v>
      </c>
      <c r="G399" s="66">
        <v>5300.0</v>
      </c>
      <c r="H399" s="66">
        <v>6530.0</v>
      </c>
      <c r="I399" s="66">
        <v>-1230.0</v>
      </c>
      <c r="J399" s="69">
        <v>-0.1884</v>
      </c>
      <c r="K399" s="143" t="s">
        <v>738</v>
      </c>
    </row>
    <row r="400" spans="8:8" ht="14.25" customHeight="1">
      <c r="A400" s="68" t="s">
        <v>765</v>
      </c>
      <c r="B400" s="68" t="s">
        <v>70</v>
      </c>
      <c r="C400" s="68">
        <v>1.0</v>
      </c>
      <c r="D400" s="68" t="s">
        <v>746</v>
      </c>
      <c r="E400" s="68" t="s">
        <v>15</v>
      </c>
      <c r="F400" s="68" t="s">
        <v>264</v>
      </c>
      <c r="G400" s="66">
        <v>13460.0</v>
      </c>
      <c r="H400" s="66">
        <v>14085.0</v>
      </c>
      <c r="I400" s="66">
        <v>-625.0</v>
      </c>
      <c r="J400" s="69">
        <v>-0.0444</v>
      </c>
      <c r="K400" s="143" t="s">
        <v>738</v>
      </c>
    </row>
    <row r="401" spans="8:8" ht="14.25" customHeight="1">
      <c r="A401" s="68" t="s">
        <v>765</v>
      </c>
      <c r="B401" s="68" t="s">
        <v>24</v>
      </c>
      <c r="C401" s="68">
        <v>1.0</v>
      </c>
      <c r="D401" s="68" t="s">
        <v>746</v>
      </c>
      <c r="E401" s="68" t="s">
        <v>15</v>
      </c>
      <c r="F401" s="68" t="s">
        <v>267</v>
      </c>
      <c r="G401" s="66">
        <v>5300.0</v>
      </c>
      <c r="H401" s="66">
        <v>6530.0</v>
      </c>
      <c r="I401" s="66">
        <v>-1230.0</v>
      </c>
      <c r="J401" s="69">
        <v>-0.1884</v>
      </c>
      <c r="K401" s="143" t="s">
        <v>738</v>
      </c>
    </row>
    <row r="402" spans="8:8" ht="14.25" customHeight="1">
      <c r="A402" s="68" t="s">
        <v>765</v>
      </c>
      <c r="B402" s="68" t="s">
        <v>22</v>
      </c>
      <c r="C402" s="68">
        <v>25.0</v>
      </c>
      <c r="D402" s="68" t="s">
        <v>746</v>
      </c>
      <c r="E402" s="68" t="s">
        <v>25</v>
      </c>
      <c r="F402" s="68" t="s">
        <v>268</v>
      </c>
      <c r="G402" s="66">
        <v>9200.0</v>
      </c>
      <c r="H402" s="66">
        <v>9685.0</v>
      </c>
      <c r="I402" s="66">
        <v>-485.0</v>
      </c>
      <c r="J402" s="69">
        <v>-0.0501</v>
      </c>
      <c r="K402" s="143" t="s">
        <v>738</v>
      </c>
    </row>
    <row r="403" spans="8:8" ht="14.25" customHeight="1">
      <c r="A403" s="68" t="s">
        <v>765</v>
      </c>
      <c r="B403" s="68" t="s">
        <v>21</v>
      </c>
      <c r="C403" s="68">
        <v>25.0</v>
      </c>
      <c r="D403" s="68" t="s">
        <v>746</v>
      </c>
      <c r="E403" s="68" t="s">
        <v>25</v>
      </c>
      <c r="F403" s="68" t="s">
        <v>268</v>
      </c>
      <c r="G403" s="66">
        <v>8200.0</v>
      </c>
      <c r="H403" s="66">
        <v>9190.0</v>
      </c>
      <c r="I403" s="66">
        <v>-990.0</v>
      </c>
      <c r="J403" s="69">
        <v>-0.1077</v>
      </c>
      <c r="K403" s="143" t="s">
        <v>738</v>
      </c>
    </row>
    <row r="404" spans="8:8" ht="14.25" customHeight="1">
      <c r="A404" s="68" t="s">
        <v>765</v>
      </c>
      <c r="B404" s="68" t="s">
        <v>44</v>
      </c>
      <c r="C404" s="68">
        <v>5.0</v>
      </c>
      <c r="D404" s="68" t="s">
        <v>746</v>
      </c>
      <c r="E404" s="68" t="s">
        <v>25</v>
      </c>
      <c r="F404" s="68" t="s">
        <v>268</v>
      </c>
      <c r="G404" s="66">
        <v>9200.0</v>
      </c>
      <c r="H404" s="66">
        <v>9685.0</v>
      </c>
      <c r="I404" s="66">
        <v>-485.0</v>
      </c>
      <c r="J404" s="69">
        <v>-0.0501</v>
      </c>
      <c r="K404" s="143" t="s">
        <v>738</v>
      </c>
    </row>
    <row r="405" spans="8:8" ht="14.25" customHeight="1">
      <c r="A405" s="68" t="s">
        <v>765</v>
      </c>
      <c r="B405" s="68" t="s">
        <v>22</v>
      </c>
      <c r="C405" s="68">
        <v>2.0</v>
      </c>
      <c r="D405" s="68" t="s">
        <v>746</v>
      </c>
      <c r="E405" s="68" t="s">
        <v>122</v>
      </c>
      <c r="F405" s="68" t="s">
        <v>273</v>
      </c>
      <c r="G405" s="66">
        <v>9200.0</v>
      </c>
      <c r="H405" s="66">
        <v>9685.0</v>
      </c>
      <c r="I405" s="66">
        <v>-485.0</v>
      </c>
      <c r="J405" s="69">
        <v>-0.0501</v>
      </c>
      <c r="K405" s="143" t="s">
        <v>738</v>
      </c>
    </row>
    <row r="406" spans="8:8" ht="14.25" customHeight="1">
      <c r="A406" s="68" t="s">
        <v>765</v>
      </c>
      <c r="B406" s="68" t="s">
        <v>21</v>
      </c>
      <c r="C406" s="68">
        <v>1.0</v>
      </c>
      <c r="D406" s="68" t="s">
        <v>746</v>
      </c>
      <c r="E406" s="68" t="s">
        <v>122</v>
      </c>
      <c r="F406" s="68" t="s">
        <v>273</v>
      </c>
      <c r="G406" s="66">
        <v>9000.0</v>
      </c>
      <c r="H406" s="66">
        <v>9190.0</v>
      </c>
      <c r="I406" s="66">
        <v>-190.0</v>
      </c>
      <c r="J406" s="69">
        <v>-0.0207</v>
      </c>
      <c r="K406" s="143" t="s">
        <v>738</v>
      </c>
    </row>
    <row r="407" spans="8:8" ht="14.25" customHeight="1">
      <c r="A407" s="68" t="s">
        <v>765</v>
      </c>
      <c r="B407" s="68" t="s">
        <v>45</v>
      </c>
      <c r="C407" s="68">
        <v>1.0</v>
      </c>
      <c r="D407" s="68" t="s">
        <v>746</v>
      </c>
      <c r="E407" s="68" t="s">
        <v>15</v>
      </c>
      <c r="F407" s="68" t="s">
        <v>276</v>
      </c>
      <c r="G407" s="66">
        <v>13350.0</v>
      </c>
      <c r="H407" s="66">
        <v>13932.0</v>
      </c>
      <c r="I407" s="66">
        <v>-582.0</v>
      </c>
      <c r="J407" s="69">
        <v>-0.0418</v>
      </c>
      <c r="K407" s="143" t="s">
        <v>738</v>
      </c>
    </row>
    <row r="408" spans="8:8" ht="14.25" customHeight="1">
      <c r="A408" s="68" t="s">
        <v>765</v>
      </c>
      <c r="B408" s="68" t="s">
        <v>93</v>
      </c>
      <c r="C408" s="68">
        <v>1.0</v>
      </c>
      <c r="D408" s="68" t="s">
        <v>746</v>
      </c>
      <c r="E408" s="68" t="s">
        <v>15</v>
      </c>
      <c r="F408" s="68" t="s">
        <v>276</v>
      </c>
      <c r="G408" s="66">
        <v>11600.0</v>
      </c>
      <c r="H408" s="66">
        <v>12090.0</v>
      </c>
      <c r="I408" s="66">
        <v>-490.0</v>
      </c>
      <c r="J408" s="69">
        <v>-0.0405</v>
      </c>
      <c r="K408" s="143" t="s">
        <v>738</v>
      </c>
    </row>
    <row r="409" spans="8:8" ht="14.25" customHeight="1">
      <c r="A409" s="68" t="s">
        <v>765</v>
      </c>
      <c r="B409" s="68" t="s">
        <v>22</v>
      </c>
      <c r="C409" s="68">
        <v>1.0</v>
      </c>
      <c r="D409" s="68" t="s">
        <v>746</v>
      </c>
      <c r="E409" s="68" t="s">
        <v>15</v>
      </c>
      <c r="F409" s="68" t="s">
        <v>277</v>
      </c>
      <c r="G409" s="66">
        <v>9200.0</v>
      </c>
      <c r="H409" s="66">
        <v>9685.0</v>
      </c>
      <c r="I409" s="66">
        <v>-485.0</v>
      </c>
      <c r="J409" s="69">
        <v>-0.0501</v>
      </c>
      <c r="K409" s="143" t="s">
        <v>738</v>
      </c>
    </row>
    <row r="410" spans="8:8" ht="14.25" customHeight="1">
      <c r="A410" s="68" t="s">
        <v>765</v>
      </c>
      <c r="B410" s="68" t="s">
        <v>44</v>
      </c>
      <c r="C410" s="68">
        <v>1.0</v>
      </c>
      <c r="D410" s="68" t="s">
        <v>746</v>
      </c>
      <c r="E410" s="68" t="s">
        <v>102</v>
      </c>
      <c r="F410" s="68" t="s">
        <v>278</v>
      </c>
      <c r="G410" s="66">
        <v>9500.0</v>
      </c>
      <c r="H410" s="66">
        <v>9685.0</v>
      </c>
      <c r="I410" s="66">
        <v>-185.0</v>
      </c>
      <c r="J410" s="69">
        <v>-0.0191</v>
      </c>
      <c r="K410" s="143" t="s">
        <v>738</v>
      </c>
    </row>
    <row r="411" spans="8:8" ht="14.25" customHeight="1">
      <c r="A411" s="68" t="s">
        <v>766</v>
      </c>
      <c r="B411" s="68" t="s">
        <v>28</v>
      </c>
      <c r="C411" s="68">
        <v>30.0</v>
      </c>
      <c r="D411" s="68" t="s">
        <v>746</v>
      </c>
      <c r="E411" s="68" t="s">
        <v>50</v>
      </c>
      <c r="F411" s="68" t="s">
        <v>279</v>
      </c>
      <c r="G411" s="66">
        <v>12900.0</v>
      </c>
      <c r="H411" s="66">
        <v>15015.0</v>
      </c>
      <c r="I411" s="66">
        <v>-2115.0</v>
      </c>
      <c r="J411" s="69">
        <v>-0.1409</v>
      </c>
      <c r="K411" s="143" t="s">
        <v>738</v>
      </c>
    </row>
    <row r="412" spans="8:8" ht="14.25" customHeight="1">
      <c r="A412" s="68" t="s">
        <v>766</v>
      </c>
      <c r="B412" s="68" t="s">
        <v>70</v>
      </c>
      <c r="C412" s="68">
        <v>30.0</v>
      </c>
      <c r="D412" s="68" t="s">
        <v>746</v>
      </c>
      <c r="E412" s="68" t="s">
        <v>50</v>
      </c>
      <c r="F412" s="68" t="s">
        <v>279</v>
      </c>
      <c r="G412" s="66">
        <v>13100.0</v>
      </c>
      <c r="H412" s="66">
        <v>14085.0</v>
      </c>
      <c r="I412" s="66">
        <v>-985.0</v>
      </c>
      <c r="J412" s="69">
        <v>-0.0699</v>
      </c>
      <c r="K412" s="143" t="s">
        <v>738</v>
      </c>
    </row>
    <row r="413" spans="8:8" ht="14.25" customHeight="1">
      <c r="A413" s="68" t="s">
        <v>766</v>
      </c>
      <c r="B413" s="68" t="s">
        <v>28</v>
      </c>
      <c r="C413" s="68">
        <v>25.0</v>
      </c>
      <c r="D413" s="68" t="s">
        <v>746</v>
      </c>
      <c r="E413" s="68" t="s">
        <v>50</v>
      </c>
      <c r="F413" s="68" t="s">
        <v>280</v>
      </c>
      <c r="G413" s="66">
        <v>12900.0</v>
      </c>
      <c r="H413" s="66">
        <v>15015.0</v>
      </c>
      <c r="I413" s="66">
        <v>-2115.0</v>
      </c>
      <c r="J413" s="69">
        <v>-0.1409</v>
      </c>
      <c r="K413" s="143" t="s">
        <v>738</v>
      </c>
    </row>
    <row r="414" spans="8:8" ht="14.25" customHeight="1">
      <c r="A414" s="68" t="s">
        <v>766</v>
      </c>
      <c r="B414" s="68" t="s">
        <v>70</v>
      </c>
      <c r="C414" s="68">
        <v>1.0</v>
      </c>
      <c r="D414" s="68" t="s">
        <v>746</v>
      </c>
      <c r="E414" s="68" t="s">
        <v>104</v>
      </c>
      <c r="F414" s="68" t="s">
        <v>281</v>
      </c>
      <c r="G414" s="66">
        <v>13460.0</v>
      </c>
      <c r="H414" s="66">
        <v>14085.0</v>
      </c>
      <c r="I414" s="66">
        <v>-625.0</v>
      </c>
      <c r="J414" s="69">
        <v>-0.0444</v>
      </c>
      <c r="K414" s="143" t="s">
        <v>738</v>
      </c>
    </row>
    <row r="415" spans="8:8" ht="14.25" customHeight="1">
      <c r="A415" s="68" t="s">
        <v>766</v>
      </c>
      <c r="B415" s="68" t="s">
        <v>22</v>
      </c>
      <c r="C415" s="68">
        <v>22.0</v>
      </c>
      <c r="D415" s="68" t="s">
        <v>746</v>
      </c>
      <c r="E415" s="68" t="s">
        <v>29</v>
      </c>
      <c r="F415" s="68" t="s">
        <v>282</v>
      </c>
      <c r="G415" s="66">
        <v>8800.0</v>
      </c>
      <c r="H415" s="66">
        <v>9685.0</v>
      </c>
      <c r="I415" s="66">
        <v>-885.0</v>
      </c>
      <c r="J415" s="69">
        <v>-0.0914</v>
      </c>
      <c r="K415" s="143" t="s">
        <v>738</v>
      </c>
    </row>
    <row r="416" spans="8:8" ht="14.25" customHeight="1">
      <c r="A416" s="68" t="s">
        <v>766</v>
      </c>
      <c r="B416" s="68" t="s">
        <v>45</v>
      </c>
      <c r="C416" s="68">
        <v>6.0</v>
      </c>
      <c r="D416" s="68" t="s">
        <v>746</v>
      </c>
      <c r="E416" s="68" t="s">
        <v>29</v>
      </c>
      <c r="F416" s="68" t="s">
        <v>282</v>
      </c>
      <c r="G416" s="66">
        <v>13335.0</v>
      </c>
      <c r="H416" s="66">
        <v>13932.0</v>
      </c>
      <c r="I416" s="66">
        <v>-597.0</v>
      </c>
      <c r="J416" s="69">
        <v>-0.0429</v>
      </c>
      <c r="K416" s="143" t="s">
        <v>738</v>
      </c>
    </row>
    <row r="417" spans="8:8" ht="14.25" customHeight="1">
      <c r="A417" s="68" t="s">
        <v>766</v>
      </c>
      <c r="B417" s="68" t="s">
        <v>37</v>
      </c>
      <c r="C417" s="68">
        <v>9.0</v>
      </c>
      <c r="D417" s="68" t="s">
        <v>746</v>
      </c>
      <c r="E417" s="68" t="s">
        <v>29</v>
      </c>
      <c r="F417" s="68" t="s">
        <v>282</v>
      </c>
      <c r="G417" s="66">
        <v>8880.0</v>
      </c>
      <c r="H417" s="66">
        <v>9235.0</v>
      </c>
      <c r="I417" s="66">
        <v>-355.0</v>
      </c>
      <c r="J417" s="69">
        <v>-0.0384</v>
      </c>
      <c r="K417" s="143" t="s">
        <v>738</v>
      </c>
    </row>
    <row r="418" spans="8:8" ht="14.25" customHeight="1">
      <c r="A418" s="68" t="s">
        <v>766</v>
      </c>
      <c r="B418" s="68" t="s">
        <v>44</v>
      </c>
      <c r="C418" s="68">
        <v>14.0</v>
      </c>
      <c r="D418" s="68" t="s">
        <v>746</v>
      </c>
      <c r="E418" s="68" t="s">
        <v>29</v>
      </c>
      <c r="F418" s="68" t="s">
        <v>282</v>
      </c>
      <c r="G418" s="66">
        <v>9200.0</v>
      </c>
      <c r="H418" s="66">
        <v>9685.0</v>
      </c>
      <c r="I418" s="66">
        <v>-485.0</v>
      </c>
      <c r="J418" s="69">
        <v>-0.0501</v>
      </c>
      <c r="K418" s="143" t="s">
        <v>738</v>
      </c>
    </row>
    <row r="419" spans="8:8" ht="14.25" customHeight="1">
      <c r="A419" s="68" t="s">
        <v>766</v>
      </c>
      <c r="B419" s="68" t="s">
        <v>24</v>
      </c>
      <c r="C419" s="68">
        <v>50.0</v>
      </c>
      <c r="D419" s="68" t="s">
        <v>749</v>
      </c>
      <c r="E419" s="68" t="s">
        <v>29</v>
      </c>
      <c r="F419" s="68" t="s">
        <v>282</v>
      </c>
      <c r="G419" s="66">
        <v>5000.0</v>
      </c>
      <c r="H419" s="66">
        <v>6195.0</v>
      </c>
      <c r="I419" s="66">
        <v>-1195.0</v>
      </c>
      <c r="J419" s="69">
        <v>-0.1929</v>
      </c>
      <c r="K419" s="143" t="s">
        <v>738</v>
      </c>
    </row>
    <row r="420" spans="8:8" ht="14.25" customHeight="1">
      <c r="A420" s="68" t="s">
        <v>766</v>
      </c>
      <c r="B420" s="68" t="s">
        <v>70</v>
      </c>
      <c r="C420" s="68">
        <v>1.0</v>
      </c>
      <c r="D420" s="68" t="s">
        <v>746</v>
      </c>
      <c r="E420" s="68" t="s">
        <v>29</v>
      </c>
      <c r="F420" s="68" t="s">
        <v>282</v>
      </c>
      <c r="G420" s="66">
        <v>13460.0</v>
      </c>
      <c r="H420" s="66">
        <v>14085.0</v>
      </c>
      <c r="I420" s="66">
        <v>-625.0</v>
      </c>
      <c r="J420" s="69">
        <v>-0.0444</v>
      </c>
      <c r="K420" s="143" t="s">
        <v>738</v>
      </c>
    </row>
    <row r="421" spans="8:8" ht="14.25" customHeight="1">
      <c r="A421" s="68" t="s">
        <v>766</v>
      </c>
      <c r="B421" s="68" t="s">
        <v>65</v>
      </c>
      <c r="C421" s="68">
        <v>2.0</v>
      </c>
      <c r="D421" s="68" t="s">
        <v>746</v>
      </c>
      <c r="E421" s="68" t="s">
        <v>29</v>
      </c>
      <c r="F421" s="68" t="s">
        <v>282</v>
      </c>
      <c r="G421" s="66">
        <v>11910.0</v>
      </c>
      <c r="H421" s="66">
        <v>12525.0</v>
      </c>
      <c r="I421" s="66">
        <v>-615.0</v>
      </c>
      <c r="J421" s="69">
        <v>-0.0491</v>
      </c>
      <c r="K421" s="143" t="s">
        <v>738</v>
      </c>
    </row>
    <row r="422" spans="8:8" ht="14.25" customHeight="1">
      <c r="A422" s="68" t="s">
        <v>766</v>
      </c>
      <c r="B422" s="68" t="s">
        <v>291</v>
      </c>
      <c r="C422" s="68">
        <v>1.0</v>
      </c>
      <c r="D422" s="68" t="s">
        <v>746</v>
      </c>
      <c r="E422" s="68" t="s">
        <v>15</v>
      </c>
      <c r="F422" s="68" t="s">
        <v>290</v>
      </c>
      <c r="G422" s="66">
        <v>11320.0</v>
      </c>
      <c r="H422" s="66">
        <v>11320.0</v>
      </c>
      <c r="I422" s="66">
        <v>0.0</v>
      </c>
      <c r="J422" s="69">
        <v>0.0</v>
      </c>
      <c r="K422" s="146" t="s">
        <v>747</v>
      </c>
    </row>
    <row r="423" spans="8:8" ht="14.25" customHeight="1">
      <c r="A423" s="68" t="s">
        <v>766</v>
      </c>
      <c r="B423" s="68" t="s">
        <v>45</v>
      </c>
      <c r="C423" s="68">
        <v>2.0</v>
      </c>
      <c r="D423" s="68" t="s">
        <v>746</v>
      </c>
      <c r="E423" s="68" t="s">
        <v>15</v>
      </c>
      <c r="F423" s="68" t="s">
        <v>290</v>
      </c>
      <c r="G423" s="66">
        <v>13950.0</v>
      </c>
      <c r="H423" s="66">
        <v>13932.0</v>
      </c>
      <c r="I423" s="66">
        <v>18.0</v>
      </c>
      <c r="J423" s="69">
        <v>0.0013</v>
      </c>
      <c r="K423" s="146" t="s">
        <v>747</v>
      </c>
    </row>
    <row r="424" spans="8:8" ht="14.25" customHeight="1">
      <c r="A424" s="68" t="s">
        <v>766</v>
      </c>
      <c r="B424" s="68" t="s">
        <v>44</v>
      </c>
      <c r="C424" s="68">
        <v>1.0</v>
      </c>
      <c r="D424" s="68" t="s">
        <v>746</v>
      </c>
      <c r="E424" s="68" t="s">
        <v>15</v>
      </c>
      <c r="F424" s="68" t="s">
        <v>290</v>
      </c>
      <c r="G424" s="66">
        <v>9500.0</v>
      </c>
      <c r="H424" s="66">
        <v>9685.0</v>
      </c>
      <c r="I424" s="66">
        <v>-185.0</v>
      </c>
      <c r="J424" s="69">
        <v>-0.0191</v>
      </c>
      <c r="K424" s="143" t="s">
        <v>738</v>
      </c>
    </row>
    <row r="425" spans="8:8" ht="14.25" customHeight="1">
      <c r="A425" s="68" t="s">
        <v>766</v>
      </c>
      <c r="B425" s="68" t="s">
        <v>22</v>
      </c>
      <c r="C425" s="68">
        <v>1.0</v>
      </c>
      <c r="D425" s="68" t="s">
        <v>746</v>
      </c>
      <c r="E425" s="68" t="s">
        <v>122</v>
      </c>
      <c r="F425" s="68" t="s">
        <v>292</v>
      </c>
      <c r="G425" s="66">
        <v>9200.0</v>
      </c>
      <c r="H425" s="66">
        <v>9685.0</v>
      </c>
      <c r="I425" s="66">
        <v>-485.0</v>
      </c>
      <c r="J425" s="69">
        <v>-0.0501</v>
      </c>
      <c r="K425" s="143" t="s">
        <v>738</v>
      </c>
    </row>
    <row r="426" spans="8:8" ht="14.25" customHeight="1">
      <c r="A426" s="68" t="s">
        <v>766</v>
      </c>
      <c r="B426" s="68" t="s">
        <v>44</v>
      </c>
      <c r="C426" s="68">
        <v>1.0</v>
      </c>
      <c r="D426" s="68" t="s">
        <v>746</v>
      </c>
      <c r="E426" s="68" t="s">
        <v>122</v>
      </c>
      <c r="F426" s="68" t="s">
        <v>292</v>
      </c>
      <c r="G426" s="66">
        <v>9200.0</v>
      </c>
      <c r="H426" s="66">
        <v>9685.0</v>
      </c>
      <c r="I426" s="66">
        <v>-485.0</v>
      </c>
      <c r="J426" s="69">
        <v>-0.0501</v>
      </c>
      <c r="K426" s="143" t="s">
        <v>738</v>
      </c>
    </row>
    <row r="427" spans="8:8" ht="14.25" customHeight="1">
      <c r="A427" s="68" t="s">
        <v>766</v>
      </c>
      <c r="B427" s="68" t="s">
        <v>37</v>
      </c>
      <c r="C427" s="68">
        <v>1.0</v>
      </c>
      <c r="D427" s="68" t="s">
        <v>746</v>
      </c>
      <c r="E427" s="68" t="s">
        <v>122</v>
      </c>
      <c r="F427" s="68" t="s">
        <v>292</v>
      </c>
      <c r="G427" s="66">
        <v>9200.0</v>
      </c>
      <c r="H427" s="66">
        <v>9235.0</v>
      </c>
      <c r="I427" s="66">
        <v>-35.0</v>
      </c>
      <c r="J427" s="69">
        <v>-0.0038</v>
      </c>
      <c r="K427" s="146" t="s">
        <v>747</v>
      </c>
    </row>
    <row r="428" spans="8:8" ht="14.25" customHeight="1">
      <c r="A428" s="68" t="s">
        <v>766</v>
      </c>
      <c r="B428" s="68" t="s">
        <v>21</v>
      </c>
      <c r="C428" s="68">
        <v>1.0</v>
      </c>
      <c r="D428" s="68" t="s">
        <v>746</v>
      </c>
      <c r="E428" s="68" t="s">
        <v>122</v>
      </c>
      <c r="F428" s="68" t="s">
        <v>292</v>
      </c>
      <c r="G428" s="66">
        <v>9000.0</v>
      </c>
      <c r="H428" s="66">
        <v>9190.0</v>
      </c>
      <c r="I428" s="66">
        <v>-190.0</v>
      </c>
      <c r="J428" s="69">
        <v>-0.0207</v>
      </c>
      <c r="K428" s="143" t="s">
        <v>738</v>
      </c>
    </row>
    <row r="429" spans="8:8" ht="14.25" customHeight="1">
      <c r="A429" s="68" t="s">
        <v>766</v>
      </c>
      <c r="B429" s="68" t="s">
        <v>43</v>
      </c>
      <c r="C429" s="68">
        <v>1.0</v>
      </c>
      <c r="D429" s="68" t="s">
        <v>746</v>
      </c>
      <c r="E429" s="68" t="s">
        <v>122</v>
      </c>
      <c r="F429" s="68" t="s">
        <v>292</v>
      </c>
      <c r="G429" s="66">
        <v>18300.0</v>
      </c>
      <c r="H429" s="66">
        <v>18100.0</v>
      </c>
      <c r="I429" s="66">
        <v>200.0</v>
      </c>
      <c r="J429" s="69">
        <v>0.011</v>
      </c>
      <c r="K429" s="145" t="s">
        <v>744</v>
      </c>
    </row>
    <row r="430" spans="8:8" ht="14.25" customHeight="1">
      <c r="A430" s="68" t="s">
        <v>766</v>
      </c>
      <c r="B430" s="68" t="s">
        <v>45</v>
      </c>
      <c r="C430" s="68">
        <v>1.0</v>
      </c>
      <c r="D430" s="68" t="s">
        <v>746</v>
      </c>
      <c r="E430" s="68" t="s">
        <v>122</v>
      </c>
      <c r="F430" s="68" t="s">
        <v>292</v>
      </c>
      <c r="G430" s="66">
        <v>13950.0</v>
      </c>
      <c r="H430" s="66">
        <v>13932.0</v>
      </c>
      <c r="I430" s="66">
        <v>18.0</v>
      </c>
      <c r="J430" s="69">
        <v>0.0013</v>
      </c>
      <c r="K430" s="146" t="s">
        <v>747</v>
      </c>
    </row>
    <row r="431" spans="8:8" ht="14.25" customHeight="1">
      <c r="A431" s="68" t="s">
        <v>766</v>
      </c>
      <c r="B431" s="68" t="s">
        <v>65</v>
      </c>
      <c r="C431" s="68">
        <v>1.0</v>
      </c>
      <c r="D431" s="68" t="s">
        <v>746</v>
      </c>
      <c r="E431" s="68" t="s">
        <v>122</v>
      </c>
      <c r="F431" s="68" t="s">
        <v>292</v>
      </c>
      <c r="G431" s="66">
        <v>11910.0</v>
      </c>
      <c r="H431" s="66">
        <v>12525.0</v>
      </c>
      <c r="I431" s="66">
        <v>-615.0</v>
      </c>
      <c r="J431" s="69">
        <v>-0.0491</v>
      </c>
      <c r="K431" s="143" t="s">
        <v>738</v>
      </c>
    </row>
    <row r="432" spans="8:8" ht="14.25" customHeight="1">
      <c r="A432" s="68" t="s">
        <v>766</v>
      </c>
      <c r="B432" s="68" t="s">
        <v>87</v>
      </c>
      <c r="C432" s="68">
        <v>1.0</v>
      </c>
      <c r="D432" s="68" t="s">
        <v>746</v>
      </c>
      <c r="E432" s="68" t="s">
        <v>122</v>
      </c>
      <c r="F432" s="68" t="s">
        <v>292</v>
      </c>
      <c r="G432" s="66">
        <v>21400.0</v>
      </c>
      <c r="H432" s="66">
        <v>22565.0</v>
      </c>
      <c r="I432" s="66">
        <v>-1165.0</v>
      </c>
      <c r="J432" s="69">
        <v>-0.0516</v>
      </c>
      <c r="K432" s="143" t="s">
        <v>738</v>
      </c>
    </row>
    <row r="433" spans="8:8" ht="14.25" customHeight="1">
      <c r="A433" s="68" t="s">
        <v>766</v>
      </c>
      <c r="B433" s="68" t="s">
        <v>93</v>
      </c>
      <c r="C433" s="68">
        <v>2.0</v>
      </c>
      <c r="D433" s="68" t="s">
        <v>746</v>
      </c>
      <c r="E433" s="68" t="s">
        <v>122</v>
      </c>
      <c r="F433" s="68" t="s">
        <v>292</v>
      </c>
      <c r="G433" s="66">
        <v>11600.0</v>
      </c>
      <c r="H433" s="66">
        <v>12090.0</v>
      </c>
      <c r="I433" s="66">
        <v>-490.0</v>
      </c>
      <c r="J433" s="69">
        <v>-0.0405</v>
      </c>
      <c r="K433" s="143" t="s">
        <v>738</v>
      </c>
    </row>
    <row r="434" spans="8:8" ht="14.25" customHeight="1">
      <c r="A434" s="68" t="s">
        <v>766</v>
      </c>
      <c r="B434" s="68" t="s">
        <v>24</v>
      </c>
      <c r="C434" s="68">
        <v>1.0</v>
      </c>
      <c r="D434" s="68" t="s">
        <v>746</v>
      </c>
      <c r="E434" s="68" t="s">
        <v>122</v>
      </c>
      <c r="F434" s="68" t="s">
        <v>292</v>
      </c>
      <c r="G434" s="66">
        <v>5300.0</v>
      </c>
      <c r="H434" s="66">
        <v>6530.0</v>
      </c>
      <c r="I434" s="66">
        <v>-1230.0</v>
      </c>
      <c r="J434" s="69">
        <v>-0.1884</v>
      </c>
      <c r="K434" s="143" t="s">
        <v>738</v>
      </c>
    </row>
    <row r="435" spans="8:8" ht="14.25" customHeight="1">
      <c r="A435" s="68" t="s">
        <v>766</v>
      </c>
      <c r="B435" s="68" t="s">
        <v>27</v>
      </c>
      <c r="C435" s="68">
        <v>384.0</v>
      </c>
      <c r="D435" s="68" t="s">
        <v>755</v>
      </c>
      <c r="E435" s="68" t="s">
        <v>294</v>
      </c>
      <c r="F435" s="68" t="s">
        <v>295</v>
      </c>
      <c r="G435" s="66">
        <v>7750.0</v>
      </c>
      <c r="H435" s="66">
        <v>7685.0</v>
      </c>
      <c r="I435" s="66">
        <v>65.0</v>
      </c>
      <c r="J435" s="69">
        <v>0.0085</v>
      </c>
      <c r="K435" s="146" t="s">
        <v>747</v>
      </c>
    </row>
    <row r="436" spans="8:8" ht="14.25" customHeight="1">
      <c r="A436" s="68" t="s">
        <v>766</v>
      </c>
      <c r="B436" s="68" t="s">
        <v>28</v>
      </c>
      <c r="C436" s="68">
        <v>1.0</v>
      </c>
      <c r="D436" s="68" t="s">
        <v>746</v>
      </c>
      <c r="E436" s="68" t="s">
        <v>163</v>
      </c>
      <c r="F436" s="68" t="s">
        <v>297</v>
      </c>
      <c r="G436" s="66">
        <v>13200.0</v>
      </c>
      <c r="H436" s="66">
        <v>15015.0</v>
      </c>
      <c r="I436" s="66">
        <v>-1815.0</v>
      </c>
      <c r="J436" s="69">
        <v>-0.1209</v>
      </c>
      <c r="K436" s="143" t="s">
        <v>738</v>
      </c>
    </row>
    <row r="437" spans="8:8" ht="14.25" customHeight="1">
      <c r="A437" s="68" t="s">
        <v>766</v>
      </c>
      <c r="B437" s="68" t="s">
        <v>24</v>
      </c>
      <c r="C437" s="68">
        <v>200.0</v>
      </c>
      <c r="D437" s="68" t="s">
        <v>749</v>
      </c>
      <c r="E437" s="68" t="s">
        <v>25</v>
      </c>
      <c r="F437" s="68" t="s">
        <v>298</v>
      </c>
      <c r="G437" s="66">
        <v>5000.0</v>
      </c>
      <c r="H437" s="66">
        <v>6195.0</v>
      </c>
      <c r="I437" s="66">
        <v>-1195.0</v>
      </c>
      <c r="J437" s="69">
        <v>-0.1929</v>
      </c>
      <c r="K437" s="143" t="s">
        <v>738</v>
      </c>
    </row>
    <row r="438" spans="8:8" ht="14.25" customHeight="1">
      <c r="A438" s="68" t="s">
        <v>766</v>
      </c>
      <c r="B438" s="68" t="s">
        <v>93</v>
      </c>
      <c r="C438" s="68">
        <v>4.0</v>
      </c>
      <c r="D438" s="68" t="s">
        <v>746</v>
      </c>
      <c r="E438" s="68" t="s">
        <v>163</v>
      </c>
      <c r="F438" s="68" t="s">
        <v>300</v>
      </c>
      <c r="G438" s="66">
        <v>11600.0</v>
      </c>
      <c r="H438" s="66">
        <v>12090.0</v>
      </c>
      <c r="I438" s="66">
        <v>-490.0</v>
      </c>
      <c r="J438" s="69">
        <v>-0.0405</v>
      </c>
      <c r="K438" s="143" t="s">
        <v>738</v>
      </c>
    </row>
    <row r="439" spans="8:8" ht="14.25" customHeight="1">
      <c r="A439" s="68" t="s">
        <v>766</v>
      </c>
      <c r="B439" s="68" t="s">
        <v>100</v>
      </c>
      <c r="C439" s="68">
        <v>1.0</v>
      </c>
      <c r="D439" s="68" t="s">
        <v>746</v>
      </c>
      <c r="E439" s="68" t="s">
        <v>163</v>
      </c>
      <c r="F439" s="68" t="s">
        <v>300</v>
      </c>
      <c r="G439" s="66">
        <v>11480.0</v>
      </c>
      <c r="H439" s="66">
        <v>12045.0</v>
      </c>
      <c r="I439" s="66">
        <v>-565.0</v>
      </c>
      <c r="J439" s="69">
        <v>-0.0469</v>
      </c>
      <c r="K439" s="143" t="s">
        <v>738</v>
      </c>
    </row>
    <row r="440" spans="8:8" ht="14.25" customHeight="1">
      <c r="A440" s="68" t="s">
        <v>766</v>
      </c>
      <c r="B440" s="68" t="s">
        <v>71</v>
      </c>
      <c r="C440" s="68">
        <v>1.0</v>
      </c>
      <c r="D440" s="68" t="s">
        <v>746</v>
      </c>
      <c r="E440" s="68" t="s">
        <v>163</v>
      </c>
      <c r="F440" s="68" t="s">
        <v>300</v>
      </c>
      <c r="G440" s="66">
        <v>15945.0</v>
      </c>
      <c r="H440" s="66">
        <v>16535.0</v>
      </c>
      <c r="I440" s="66">
        <v>-590.0</v>
      </c>
      <c r="J440" s="69">
        <v>-0.0357</v>
      </c>
      <c r="K440" s="143" t="s">
        <v>738</v>
      </c>
    </row>
    <row r="441" spans="8:8" ht="14.25" customHeight="1">
      <c r="A441" s="68" t="s">
        <v>766</v>
      </c>
      <c r="B441" s="68" t="s">
        <v>77</v>
      </c>
      <c r="C441" s="68">
        <v>2.0</v>
      </c>
      <c r="D441" s="68" t="s">
        <v>746</v>
      </c>
      <c r="E441" s="68" t="s">
        <v>29</v>
      </c>
      <c r="F441" s="68" t="s">
        <v>302</v>
      </c>
      <c r="G441" s="66">
        <v>17840.0</v>
      </c>
      <c r="H441" s="66">
        <v>18395.0</v>
      </c>
      <c r="I441" s="66">
        <v>-555.0</v>
      </c>
      <c r="J441" s="69">
        <v>-0.0302</v>
      </c>
      <c r="K441" s="143" t="s">
        <v>738</v>
      </c>
    </row>
    <row r="442" spans="8:8" ht="14.25" customHeight="1">
      <c r="A442" s="68" t="s">
        <v>767</v>
      </c>
      <c r="B442" s="68" t="s">
        <v>45</v>
      </c>
      <c r="C442" s="68">
        <v>140.0</v>
      </c>
      <c r="D442" s="68" t="s">
        <v>749</v>
      </c>
      <c r="E442" s="68" t="s">
        <v>66</v>
      </c>
      <c r="F442" s="68" t="s">
        <v>304</v>
      </c>
      <c r="G442" s="66">
        <v>12730.0</v>
      </c>
      <c r="H442" s="66">
        <v>13332.0</v>
      </c>
      <c r="I442" s="66">
        <v>-602.0</v>
      </c>
      <c r="J442" s="69">
        <v>-0.0452</v>
      </c>
      <c r="K442" s="143" t="s">
        <v>738</v>
      </c>
    </row>
    <row r="443" spans="8:8" ht="14.25" customHeight="1">
      <c r="A443" s="68" t="s">
        <v>767</v>
      </c>
      <c r="B443" s="68" t="s">
        <v>44</v>
      </c>
      <c r="C443" s="68">
        <v>140.0</v>
      </c>
      <c r="D443" s="68" t="s">
        <v>749</v>
      </c>
      <c r="E443" s="68" t="s">
        <v>66</v>
      </c>
      <c r="F443" s="68" t="s">
        <v>304</v>
      </c>
      <c r="G443" s="66">
        <v>8990.0</v>
      </c>
      <c r="H443" s="66">
        <v>9335.0</v>
      </c>
      <c r="I443" s="66">
        <v>-345.0</v>
      </c>
      <c r="J443" s="69">
        <v>-0.037</v>
      </c>
      <c r="K443" s="143" t="s">
        <v>738</v>
      </c>
    </row>
    <row r="444" spans="8:8" ht="14.25" customHeight="1">
      <c r="A444" s="68" t="s">
        <v>767</v>
      </c>
      <c r="B444" s="68" t="s">
        <v>36</v>
      </c>
      <c r="C444" s="68">
        <v>60.0</v>
      </c>
      <c r="D444" s="68" t="s">
        <v>749</v>
      </c>
      <c r="E444" s="68" t="s">
        <v>66</v>
      </c>
      <c r="F444" s="68" t="s">
        <v>304</v>
      </c>
      <c r="G444" s="66">
        <v>14900.0</v>
      </c>
      <c r="H444" s="66">
        <v>15525.0</v>
      </c>
      <c r="I444" s="66">
        <v>-625.0</v>
      </c>
      <c r="J444" s="69">
        <v>-0.0403</v>
      </c>
      <c r="K444" s="143" t="s">
        <v>738</v>
      </c>
    </row>
    <row r="445" spans="8:8" ht="14.25" customHeight="1">
      <c r="A445" s="68" t="s">
        <v>767</v>
      </c>
      <c r="B445" s="68" t="s">
        <v>113</v>
      </c>
      <c r="C445" s="68">
        <v>60.0</v>
      </c>
      <c r="D445" s="68" t="s">
        <v>749</v>
      </c>
      <c r="E445" s="68" t="s">
        <v>66</v>
      </c>
      <c r="F445" s="68" t="s">
        <v>304</v>
      </c>
      <c r="G445" s="66">
        <v>14475.0</v>
      </c>
      <c r="H445" s="66">
        <v>15115.0</v>
      </c>
      <c r="I445" s="66">
        <v>-640.0</v>
      </c>
      <c r="J445" s="69">
        <v>-0.0423</v>
      </c>
      <c r="K445" s="143" t="s">
        <v>738</v>
      </c>
    </row>
    <row r="446" spans="8:8" ht="14.25" customHeight="1">
      <c r="A446" s="68" t="s">
        <v>767</v>
      </c>
      <c r="B446" s="68" t="s">
        <v>28</v>
      </c>
      <c r="C446" s="68">
        <v>45.0</v>
      </c>
      <c r="D446" s="68" t="s">
        <v>746</v>
      </c>
      <c r="E446" s="68" t="s">
        <v>25</v>
      </c>
      <c r="F446" s="68" t="s">
        <v>310</v>
      </c>
      <c r="G446" s="66">
        <v>13150.0</v>
      </c>
      <c r="H446" s="66">
        <v>15015.0</v>
      </c>
      <c r="I446" s="66">
        <v>-1865.0</v>
      </c>
      <c r="J446" s="69">
        <v>-0.1242</v>
      </c>
      <c r="K446" s="143" t="s">
        <v>738</v>
      </c>
    </row>
    <row r="447" spans="8:8" ht="14.25" customHeight="1">
      <c r="A447" s="68" t="s">
        <v>767</v>
      </c>
      <c r="B447" s="68" t="s">
        <v>31</v>
      </c>
      <c r="C447" s="68">
        <v>10.0</v>
      </c>
      <c r="D447" s="68" t="s">
        <v>746</v>
      </c>
      <c r="E447" s="68" t="s">
        <v>25</v>
      </c>
      <c r="F447" s="68" t="s">
        <v>310</v>
      </c>
      <c r="G447" s="66">
        <v>17845.0</v>
      </c>
      <c r="H447" s="66">
        <v>18615.0</v>
      </c>
      <c r="I447" s="66">
        <v>-770.0</v>
      </c>
      <c r="J447" s="69">
        <v>-0.0414</v>
      </c>
      <c r="K447" s="143" t="s">
        <v>738</v>
      </c>
    </row>
    <row r="448" spans="8:8" ht="14.25" customHeight="1">
      <c r="A448" s="68" t="s">
        <v>767</v>
      </c>
      <c r="B448" s="68" t="s">
        <v>32</v>
      </c>
      <c r="C448" s="68">
        <v>10.0</v>
      </c>
      <c r="D448" s="68" t="s">
        <v>746</v>
      </c>
      <c r="E448" s="68" t="s">
        <v>25</v>
      </c>
      <c r="F448" s="68" t="s">
        <v>310</v>
      </c>
      <c r="G448" s="66">
        <v>16145.0</v>
      </c>
      <c r="H448" s="66">
        <v>16735.0</v>
      </c>
      <c r="I448" s="66">
        <v>-590.0</v>
      </c>
      <c r="J448" s="69">
        <v>-0.0353</v>
      </c>
      <c r="K448" s="143" t="s">
        <v>738</v>
      </c>
    </row>
    <row r="449" spans="8:8" ht="14.25" customHeight="1">
      <c r="A449" s="68" t="s">
        <v>767</v>
      </c>
      <c r="B449" s="68" t="s">
        <v>70</v>
      </c>
      <c r="C449" s="68">
        <v>10.0</v>
      </c>
      <c r="D449" s="68" t="s">
        <v>746</v>
      </c>
      <c r="E449" s="68" t="s">
        <v>25</v>
      </c>
      <c r="F449" s="68" t="s">
        <v>313</v>
      </c>
      <c r="G449" s="66">
        <v>13460.0</v>
      </c>
      <c r="H449" s="66">
        <v>14085.0</v>
      </c>
      <c r="I449" s="66">
        <v>-625.0</v>
      </c>
      <c r="J449" s="69">
        <v>-0.0444</v>
      </c>
      <c r="K449" s="143" t="s">
        <v>738</v>
      </c>
    </row>
    <row r="450" spans="8:8" ht="14.25" customHeight="1">
      <c r="A450" s="68" t="s">
        <v>767</v>
      </c>
      <c r="B450" s="68" t="s">
        <v>43</v>
      </c>
      <c r="C450" s="68">
        <v>10.0</v>
      </c>
      <c r="D450" s="68" t="s">
        <v>746</v>
      </c>
      <c r="E450" s="68" t="s">
        <v>25</v>
      </c>
      <c r="F450" s="68" t="s">
        <v>313</v>
      </c>
      <c r="G450" s="66">
        <v>17700.0</v>
      </c>
      <c r="H450" s="66">
        <v>18100.0</v>
      </c>
      <c r="I450" s="66">
        <v>-400.0</v>
      </c>
      <c r="J450" s="69">
        <v>-0.0221</v>
      </c>
      <c r="K450" s="143" t="s">
        <v>738</v>
      </c>
    </row>
    <row r="451" spans="8:8" ht="14.25" customHeight="1">
      <c r="A451" s="68" t="s">
        <v>767</v>
      </c>
      <c r="B451" s="68" t="s">
        <v>22</v>
      </c>
      <c r="C451" s="68">
        <v>20.0</v>
      </c>
      <c r="D451" s="68" t="s">
        <v>746</v>
      </c>
      <c r="E451" s="68" t="s">
        <v>50</v>
      </c>
      <c r="F451" s="68" t="s">
        <v>317</v>
      </c>
      <c r="G451" s="66">
        <v>8800.0</v>
      </c>
      <c r="H451" s="66">
        <v>9685.0</v>
      </c>
      <c r="I451" s="66">
        <v>-885.0</v>
      </c>
      <c r="J451" s="69">
        <v>-0.0914</v>
      </c>
      <c r="K451" s="143" t="s">
        <v>738</v>
      </c>
    </row>
    <row r="452" spans="8:8" ht="14.25" customHeight="1">
      <c r="A452" s="68" t="s">
        <v>767</v>
      </c>
      <c r="B452" s="68" t="s">
        <v>93</v>
      </c>
      <c r="C452" s="68">
        <v>10.0</v>
      </c>
      <c r="D452" s="68" t="s">
        <v>746</v>
      </c>
      <c r="E452" s="68" t="s">
        <v>50</v>
      </c>
      <c r="F452" s="68" t="s">
        <v>320</v>
      </c>
      <c r="G452" s="66">
        <v>11600.0</v>
      </c>
      <c r="H452" s="66">
        <v>12090.0</v>
      </c>
      <c r="I452" s="66">
        <v>-490.0</v>
      </c>
      <c r="J452" s="69">
        <v>-0.0405</v>
      </c>
      <c r="K452" s="143" t="s">
        <v>738</v>
      </c>
    </row>
    <row r="453" spans="8:8" ht="14.25" customHeight="1">
      <c r="A453" s="68" t="s">
        <v>767</v>
      </c>
      <c r="B453" s="68" t="s">
        <v>45</v>
      </c>
      <c r="C453" s="68">
        <v>20.0</v>
      </c>
      <c r="D453" s="68" t="s">
        <v>746</v>
      </c>
      <c r="E453" s="68" t="s">
        <v>50</v>
      </c>
      <c r="F453" s="68" t="s">
        <v>320</v>
      </c>
      <c r="G453" s="66">
        <v>13335.0</v>
      </c>
      <c r="H453" s="66">
        <v>13932.0</v>
      </c>
      <c r="I453" s="66">
        <v>-597.0</v>
      </c>
      <c r="J453" s="69">
        <v>-0.0429</v>
      </c>
      <c r="K453" s="143" t="s">
        <v>738</v>
      </c>
    </row>
    <row r="454" spans="8:8" ht="14.25" customHeight="1">
      <c r="A454" s="68" t="s">
        <v>767</v>
      </c>
      <c r="B454" s="68" t="s">
        <v>37</v>
      </c>
      <c r="C454" s="68">
        <v>2.0</v>
      </c>
      <c r="D454" s="68" t="s">
        <v>746</v>
      </c>
      <c r="E454" s="68" t="s">
        <v>29</v>
      </c>
      <c r="F454" s="68" t="s">
        <v>321</v>
      </c>
      <c r="G454" s="66">
        <v>8880.0</v>
      </c>
      <c r="H454" s="66">
        <v>9235.0</v>
      </c>
      <c r="I454" s="66">
        <v>-355.0</v>
      </c>
      <c r="J454" s="69">
        <v>-0.0384</v>
      </c>
      <c r="K454" s="143" t="s">
        <v>738</v>
      </c>
    </row>
    <row r="455" spans="8:8" ht="14.25" customHeight="1">
      <c r="A455" s="68" t="s">
        <v>767</v>
      </c>
      <c r="B455" s="68" t="s">
        <v>44</v>
      </c>
      <c r="C455" s="68">
        <v>5.0</v>
      </c>
      <c r="D455" s="68" t="s">
        <v>746</v>
      </c>
      <c r="E455" s="68" t="s">
        <v>29</v>
      </c>
      <c r="F455" s="68" t="s">
        <v>322</v>
      </c>
      <c r="G455" s="66">
        <v>9200.0</v>
      </c>
      <c r="H455" s="66">
        <v>9685.0</v>
      </c>
      <c r="I455" s="66">
        <v>-485.0</v>
      </c>
      <c r="J455" s="69">
        <v>-0.0501</v>
      </c>
      <c r="K455" s="143" t="s">
        <v>738</v>
      </c>
    </row>
    <row r="456" spans="8:8" ht="14.25" customHeight="1">
      <c r="A456" s="68" t="s">
        <v>767</v>
      </c>
      <c r="B456" s="68" t="s">
        <v>22</v>
      </c>
      <c r="C456" s="68">
        <v>10.0</v>
      </c>
      <c r="D456" s="68" t="s">
        <v>746</v>
      </c>
      <c r="E456" s="68" t="s">
        <v>29</v>
      </c>
      <c r="F456" s="68" t="s">
        <v>322</v>
      </c>
      <c r="G456" s="66">
        <v>8800.0</v>
      </c>
      <c r="H456" s="66">
        <v>9685.0</v>
      </c>
      <c r="I456" s="66">
        <v>-885.0</v>
      </c>
      <c r="J456" s="69">
        <v>-0.0914</v>
      </c>
      <c r="K456" s="143" t="s">
        <v>738</v>
      </c>
    </row>
    <row r="457" spans="8:8" ht="14.25" customHeight="1">
      <c r="A457" s="68" t="s">
        <v>767</v>
      </c>
      <c r="B457" s="68" t="s">
        <v>45</v>
      </c>
      <c r="C457" s="68">
        <v>3.0</v>
      </c>
      <c r="D457" s="68" t="s">
        <v>746</v>
      </c>
      <c r="E457" s="68" t="s">
        <v>29</v>
      </c>
      <c r="F457" s="68" t="s">
        <v>322</v>
      </c>
      <c r="G457" s="66">
        <v>13335.0</v>
      </c>
      <c r="H457" s="66">
        <v>13932.0</v>
      </c>
      <c r="I457" s="66">
        <v>-597.0</v>
      </c>
      <c r="J457" s="69">
        <v>-0.0429</v>
      </c>
      <c r="K457" s="143" t="s">
        <v>738</v>
      </c>
    </row>
    <row r="458" spans="8:8" ht="14.25" customHeight="1">
      <c r="A458" s="68" t="s">
        <v>767</v>
      </c>
      <c r="B458" s="68" t="s">
        <v>113</v>
      </c>
      <c r="C458" s="68">
        <v>1.0</v>
      </c>
      <c r="D458" s="68" t="s">
        <v>746</v>
      </c>
      <c r="E458" s="68" t="s">
        <v>29</v>
      </c>
      <c r="F458" s="68" t="s">
        <v>322</v>
      </c>
      <c r="G458" s="66">
        <v>14575.0</v>
      </c>
      <c r="H458" s="66">
        <v>15765.0</v>
      </c>
      <c r="I458" s="66">
        <v>-1190.0</v>
      </c>
      <c r="J458" s="69">
        <v>-0.0755</v>
      </c>
      <c r="K458" s="143" t="s">
        <v>738</v>
      </c>
    </row>
    <row r="459" spans="8:8" ht="14.25" customHeight="1">
      <c r="A459" s="68" t="s">
        <v>767</v>
      </c>
      <c r="B459" s="68" t="s">
        <v>37</v>
      </c>
      <c r="C459" s="68">
        <v>2.0</v>
      </c>
      <c r="D459" s="68" t="s">
        <v>746</v>
      </c>
      <c r="E459" s="68" t="s">
        <v>29</v>
      </c>
      <c r="F459" s="68" t="s">
        <v>322</v>
      </c>
      <c r="G459" s="66">
        <v>8880.0</v>
      </c>
      <c r="H459" s="66">
        <v>9235.0</v>
      </c>
      <c r="I459" s="66">
        <v>-355.0</v>
      </c>
      <c r="J459" s="69">
        <v>-0.0384</v>
      </c>
      <c r="K459" s="143" t="s">
        <v>738</v>
      </c>
    </row>
    <row r="460" spans="8:8" ht="14.25" customHeight="1">
      <c r="A460" s="68" t="s">
        <v>767</v>
      </c>
      <c r="B460" s="68" t="s">
        <v>80</v>
      </c>
      <c r="C460" s="68">
        <v>1.0</v>
      </c>
      <c r="D460" s="68" t="s">
        <v>746</v>
      </c>
      <c r="E460" s="68" t="s">
        <v>29</v>
      </c>
      <c r="F460" s="68" t="s">
        <v>322</v>
      </c>
      <c r="G460" s="66">
        <v>9345.0</v>
      </c>
      <c r="H460" s="66">
        <v>9720.0</v>
      </c>
      <c r="I460" s="66">
        <v>-375.0</v>
      </c>
      <c r="J460" s="69">
        <v>-0.0386</v>
      </c>
      <c r="K460" s="143" t="s">
        <v>738</v>
      </c>
    </row>
    <row r="461" spans="8:8" ht="14.25" customHeight="1">
      <c r="A461" s="68" t="s">
        <v>767</v>
      </c>
      <c r="B461" s="68" t="s">
        <v>87</v>
      </c>
      <c r="C461" s="68">
        <v>1.0</v>
      </c>
      <c r="D461" s="68" t="s">
        <v>746</v>
      </c>
      <c r="E461" s="68" t="s">
        <v>29</v>
      </c>
      <c r="F461" s="68" t="s">
        <v>322</v>
      </c>
      <c r="G461" s="66">
        <v>21400.0</v>
      </c>
      <c r="H461" s="66">
        <v>22565.0</v>
      </c>
      <c r="I461" s="66">
        <v>-1165.0</v>
      </c>
      <c r="J461" s="69">
        <v>-0.0516</v>
      </c>
      <c r="K461" s="143" t="s">
        <v>738</v>
      </c>
    </row>
    <row r="462" spans="8:8" ht="14.25" customHeight="1">
      <c r="A462" s="68" t="s">
        <v>767</v>
      </c>
      <c r="B462" s="68" t="s">
        <v>36</v>
      </c>
      <c r="C462" s="68">
        <v>2.0</v>
      </c>
      <c r="D462" s="68" t="s">
        <v>746</v>
      </c>
      <c r="E462" s="68" t="s">
        <v>29</v>
      </c>
      <c r="F462" s="68" t="s">
        <v>322</v>
      </c>
      <c r="G462" s="66">
        <v>15525.0</v>
      </c>
      <c r="H462" s="66">
        <v>16140.0</v>
      </c>
      <c r="I462" s="66">
        <v>-615.0</v>
      </c>
      <c r="J462" s="69">
        <v>-0.0381</v>
      </c>
      <c r="K462" s="143" t="s">
        <v>738</v>
      </c>
    </row>
    <row r="463" spans="8:8" ht="14.25" customHeight="1">
      <c r="A463" s="68" t="s">
        <v>767</v>
      </c>
      <c r="B463" s="68" t="s">
        <v>65</v>
      </c>
      <c r="C463" s="68">
        <v>2.0</v>
      </c>
      <c r="D463" s="68" t="s">
        <v>746</v>
      </c>
      <c r="E463" s="68" t="s">
        <v>29</v>
      </c>
      <c r="F463" s="68" t="s">
        <v>322</v>
      </c>
      <c r="G463" s="66">
        <v>11910.0</v>
      </c>
      <c r="H463" s="66">
        <v>12525.0</v>
      </c>
      <c r="I463" s="66">
        <v>-615.0</v>
      </c>
      <c r="J463" s="69">
        <v>-0.0491</v>
      </c>
      <c r="K463" s="143" t="s">
        <v>738</v>
      </c>
    </row>
    <row r="464" spans="8:8" ht="14.25" customHeight="1">
      <c r="A464" s="68" t="s">
        <v>767</v>
      </c>
      <c r="B464" s="68" t="s">
        <v>71</v>
      </c>
      <c r="C464" s="68">
        <v>1.0</v>
      </c>
      <c r="D464" s="68" t="s">
        <v>746</v>
      </c>
      <c r="E464" s="68" t="s">
        <v>29</v>
      </c>
      <c r="F464" s="68" t="s">
        <v>322</v>
      </c>
      <c r="G464" s="66">
        <v>15945.0</v>
      </c>
      <c r="H464" s="66">
        <v>16535.0</v>
      </c>
      <c r="I464" s="66">
        <v>-590.0</v>
      </c>
      <c r="J464" s="69">
        <v>-0.0357</v>
      </c>
      <c r="K464" s="143" t="s">
        <v>738</v>
      </c>
    </row>
    <row r="465" spans="8:8" ht="14.25" customHeight="1">
      <c r="A465" s="68" t="s">
        <v>767</v>
      </c>
      <c r="B465" s="68" t="s">
        <v>24</v>
      </c>
      <c r="C465" s="68">
        <v>20.0</v>
      </c>
      <c r="D465" s="68" t="s">
        <v>746</v>
      </c>
      <c r="E465" s="68" t="s">
        <v>29</v>
      </c>
      <c r="F465" s="68" t="s">
        <v>322</v>
      </c>
      <c r="G465" s="66">
        <v>5000.0</v>
      </c>
      <c r="H465" s="66">
        <v>6530.0</v>
      </c>
      <c r="I465" s="66">
        <v>-1530.0</v>
      </c>
      <c r="J465" s="69">
        <v>-0.2343</v>
      </c>
      <c r="K465" s="143" t="s">
        <v>738</v>
      </c>
    </row>
    <row r="466" spans="8:8" ht="14.25" customHeight="1">
      <c r="A466" s="68" t="s">
        <v>767</v>
      </c>
      <c r="B466" s="68" t="s">
        <v>22</v>
      </c>
      <c r="C466" s="68">
        <v>140.0</v>
      </c>
      <c r="D466" s="68" t="s">
        <v>749</v>
      </c>
      <c r="E466" s="68" t="s">
        <v>326</v>
      </c>
      <c r="F466" s="68" t="s">
        <v>327</v>
      </c>
      <c r="G466" s="66">
        <v>8500.0</v>
      </c>
      <c r="H466" s="66">
        <v>9335.0</v>
      </c>
      <c r="I466" s="66">
        <v>-835.0</v>
      </c>
      <c r="J466" s="69">
        <v>-0.0894</v>
      </c>
      <c r="K466" s="143" t="s">
        <v>738</v>
      </c>
    </row>
    <row r="467" spans="8:8" ht="14.25" customHeight="1">
      <c r="A467" s="68" t="s">
        <v>767</v>
      </c>
      <c r="B467" s="68" t="s">
        <v>45</v>
      </c>
      <c r="C467" s="68">
        <v>140.0</v>
      </c>
      <c r="D467" s="68" t="s">
        <v>749</v>
      </c>
      <c r="E467" s="68" t="s">
        <v>326</v>
      </c>
      <c r="F467" s="68" t="s">
        <v>327</v>
      </c>
      <c r="G467" s="66">
        <v>12830.0</v>
      </c>
      <c r="H467" s="66">
        <v>13332.0</v>
      </c>
      <c r="I467" s="66">
        <v>-502.0</v>
      </c>
      <c r="J467" s="69">
        <v>-0.0377</v>
      </c>
      <c r="K467" s="143" t="s">
        <v>738</v>
      </c>
    </row>
    <row r="468" spans="8:8" ht="14.25" customHeight="1">
      <c r="A468" s="68" t="s">
        <v>767</v>
      </c>
      <c r="B468" s="68" t="s">
        <v>37</v>
      </c>
      <c r="C468" s="68">
        <v>70.0</v>
      </c>
      <c r="D468" s="68" t="s">
        <v>749</v>
      </c>
      <c r="E468" s="68" t="s">
        <v>326</v>
      </c>
      <c r="F468" s="68" t="s">
        <v>327</v>
      </c>
      <c r="G468" s="66">
        <v>8880.0</v>
      </c>
      <c r="H468" s="66">
        <v>8880.0</v>
      </c>
      <c r="I468" s="66">
        <v>0.0</v>
      </c>
      <c r="J468" s="69">
        <v>0.0</v>
      </c>
      <c r="K468" s="146" t="s">
        <v>747</v>
      </c>
    </row>
    <row r="469" spans="8:8" ht="14.25" customHeight="1">
      <c r="A469" s="68" t="s">
        <v>767</v>
      </c>
      <c r="B469" s="68" t="s">
        <v>113</v>
      </c>
      <c r="C469" s="68">
        <v>30.0</v>
      </c>
      <c r="D469" s="68" t="s">
        <v>746</v>
      </c>
      <c r="E469" s="68" t="s">
        <v>326</v>
      </c>
      <c r="F469" s="68" t="s">
        <v>327</v>
      </c>
      <c r="G469" s="66">
        <v>14575.0</v>
      </c>
      <c r="H469" s="66">
        <v>15765.0</v>
      </c>
      <c r="I469" s="66">
        <v>-1190.0</v>
      </c>
      <c r="J469" s="69">
        <v>-0.0755</v>
      </c>
      <c r="K469" s="143" t="s">
        <v>738</v>
      </c>
    </row>
    <row r="470" spans="8:8" ht="14.25" customHeight="1">
      <c r="A470" s="68" t="s">
        <v>767</v>
      </c>
      <c r="B470" s="68" t="s">
        <v>101</v>
      </c>
      <c r="C470" s="68">
        <v>30.0</v>
      </c>
      <c r="D470" s="68" t="s">
        <v>746</v>
      </c>
      <c r="E470" s="68" t="s">
        <v>326</v>
      </c>
      <c r="F470" s="68" t="s">
        <v>327</v>
      </c>
      <c r="G470" s="66">
        <v>13020.0</v>
      </c>
      <c r="H470" s="66">
        <v>14455.0</v>
      </c>
      <c r="I470" s="66">
        <v>-1435.0</v>
      </c>
      <c r="J470" s="69">
        <v>-0.0993</v>
      </c>
      <c r="K470" s="143" t="s">
        <v>738</v>
      </c>
    </row>
    <row r="471" spans="8:8" ht="14.25" customHeight="1">
      <c r="A471" s="68" t="s">
        <v>767</v>
      </c>
      <c r="B471" s="68" t="s">
        <v>24</v>
      </c>
      <c r="C471" s="68">
        <v>10.0</v>
      </c>
      <c r="D471" s="68" t="s">
        <v>746</v>
      </c>
      <c r="E471" s="68" t="s">
        <v>50</v>
      </c>
      <c r="F471" s="68" t="s">
        <v>332</v>
      </c>
      <c r="G471" s="66">
        <v>5000.0</v>
      </c>
      <c r="H471" s="66">
        <v>6530.0</v>
      </c>
      <c r="I471" s="66">
        <v>-1530.0</v>
      </c>
      <c r="J471" s="69">
        <v>-0.2343</v>
      </c>
      <c r="K471" s="143" t="s">
        <v>738</v>
      </c>
    </row>
    <row r="472" spans="8:8" ht="14.25" customHeight="1">
      <c r="A472" s="68" t="s">
        <v>767</v>
      </c>
      <c r="B472" s="68" t="s">
        <v>43</v>
      </c>
      <c r="C472" s="68">
        <v>20.0</v>
      </c>
      <c r="D472" s="68" t="s">
        <v>746</v>
      </c>
      <c r="E472" s="68" t="s">
        <v>334</v>
      </c>
      <c r="F472" s="68" t="s">
        <v>335</v>
      </c>
      <c r="G472" s="66">
        <v>17800.0</v>
      </c>
      <c r="H472" s="66">
        <v>18100.0</v>
      </c>
      <c r="I472" s="66">
        <v>-300.0</v>
      </c>
      <c r="J472" s="69">
        <v>-0.0166</v>
      </c>
      <c r="K472" s="143" t="s">
        <v>738</v>
      </c>
    </row>
    <row r="473" spans="8:8" ht="14.25" customHeight="1">
      <c r="A473" s="68" t="s">
        <v>767</v>
      </c>
      <c r="B473" s="68" t="s">
        <v>44</v>
      </c>
      <c r="C473" s="68">
        <v>10.0</v>
      </c>
      <c r="D473" s="68" t="s">
        <v>746</v>
      </c>
      <c r="E473" s="68" t="s">
        <v>334</v>
      </c>
      <c r="F473" s="68" t="s">
        <v>335</v>
      </c>
      <c r="G473" s="66">
        <v>9090.0</v>
      </c>
      <c r="H473" s="66">
        <v>9685.0</v>
      </c>
      <c r="I473" s="66">
        <v>-595.0</v>
      </c>
      <c r="J473" s="69">
        <v>-0.0614</v>
      </c>
      <c r="K473" s="143" t="s">
        <v>738</v>
      </c>
    </row>
    <row r="474" spans="8:8" ht="14.25" customHeight="1">
      <c r="A474" s="68" t="s">
        <v>767</v>
      </c>
      <c r="B474" s="68" t="s">
        <v>43</v>
      </c>
      <c r="C474" s="68">
        <v>1.0</v>
      </c>
      <c r="D474" s="68" t="s">
        <v>746</v>
      </c>
      <c r="E474" s="68" t="s">
        <v>336</v>
      </c>
      <c r="F474" s="68" t="s">
        <v>337</v>
      </c>
      <c r="G474" s="66">
        <v>18300.0</v>
      </c>
      <c r="H474" s="66">
        <v>18100.0</v>
      </c>
      <c r="I474" s="66">
        <v>200.0</v>
      </c>
      <c r="J474" s="69">
        <v>0.011</v>
      </c>
      <c r="K474" s="145" t="s">
        <v>744</v>
      </c>
    </row>
    <row r="475" spans="8:8" ht="14.25" customHeight="1">
      <c r="A475" s="68" t="s">
        <v>767</v>
      </c>
      <c r="B475" s="68" t="s">
        <v>45</v>
      </c>
      <c r="C475" s="68">
        <v>1.0</v>
      </c>
      <c r="D475" s="68" t="s">
        <v>746</v>
      </c>
      <c r="E475" s="68" t="s">
        <v>336</v>
      </c>
      <c r="F475" s="68" t="s">
        <v>337</v>
      </c>
      <c r="G475" s="66">
        <v>13335.0</v>
      </c>
      <c r="H475" s="66">
        <v>13932.0</v>
      </c>
      <c r="I475" s="66">
        <v>-597.0</v>
      </c>
      <c r="J475" s="69">
        <v>-0.0429</v>
      </c>
      <c r="K475" s="143" t="s">
        <v>738</v>
      </c>
    </row>
    <row r="476" spans="8:8" ht="14.25" customHeight="1">
      <c r="A476" s="68" t="s">
        <v>767</v>
      </c>
      <c r="B476" s="68" t="s">
        <v>22</v>
      </c>
      <c r="C476" s="68">
        <v>1.0</v>
      </c>
      <c r="D476" s="68" t="s">
        <v>746</v>
      </c>
      <c r="E476" s="68" t="s">
        <v>336</v>
      </c>
      <c r="F476" s="68" t="s">
        <v>337</v>
      </c>
      <c r="G476" s="66">
        <v>9200.0</v>
      </c>
      <c r="H476" s="66">
        <v>9685.0</v>
      </c>
      <c r="I476" s="66">
        <v>-485.0</v>
      </c>
      <c r="J476" s="69">
        <v>-0.0501</v>
      </c>
      <c r="K476" s="143" t="s">
        <v>738</v>
      </c>
    </row>
    <row r="477" spans="8:8" ht="14.25" customHeight="1">
      <c r="A477" s="68" t="s">
        <v>767</v>
      </c>
      <c r="B477" s="68" t="s">
        <v>37</v>
      </c>
      <c r="C477" s="68">
        <v>1.0</v>
      </c>
      <c r="D477" s="68" t="s">
        <v>746</v>
      </c>
      <c r="E477" s="68" t="s">
        <v>102</v>
      </c>
      <c r="F477" s="68" t="s">
        <v>338</v>
      </c>
      <c r="G477" s="66">
        <v>9500.0</v>
      </c>
      <c r="H477" s="66">
        <v>9235.0</v>
      </c>
      <c r="I477" s="66">
        <v>265.0</v>
      </c>
      <c r="J477" s="69">
        <v>0.0287</v>
      </c>
      <c r="K477" s="145" t="s">
        <v>744</v>
      </c>
    </row>
    <row r="478" spans="8:8" ht="14.25" customHeight="1">
      <c r="A478" s="68" t="s">
        <v>767</v>
      </c>
      <c r="B478" s="68" t="s">
        <v>21</v>
      </c>
      <c r="C478" s="68">
        <v>70.0</v>
      </c>
      <c r="D478" s="68" t="s">
        <v>749</v>
      </c>
      <c r="E478" s="68" t="s">
        <v>334</v>
      </c>
      <c r="F478" s="68" t="s">
        <v>339</v>
      </c>
      <c r="G478" s="66">
        <v>8100.0</v>
      </c>
      <c r="H478" s="66">
        <v>8870.0</v>
      </c>
      <c r="I478" s="66">
        <v>-770.0</v>
      </c>
      <c r="J478" s="69">
        <v>-0.0868</v>
      </c>
      <c r="K478" s="143" t="s">
        <v>738</v>
      </c>
    </row>
    <row r="479" spans="8:8" ht="14.25" customHeight="1">
      <c r="A479" s="68" t="s">
        <v>767</v>
      </c>
      <c r="B479" s="68" t="s">
        <v>22</v>
      </c>
      <c r="C479" s="68">
        <v>8.0</v>
      </c>
      <c r="D479" s="68" t="s">
        <v>746</v>
      </c>
      <c r="E479" s="68" t="s">
        <v>341</v>
      </c>
      <c r="F479" s="68" t="s">
        <v>342</v>
      </c>
      <c r="G479" s="66">
        <v>9335.0</v>
      </c>
      <c r="H479" s="66">
        <v>9685.0</v>
      </c>
      <c r="I479" s="66">
        <v>-350.0</v>
      </c>
      <c r="J479" s="69">
        <v>-0.0361</v>
      </c>
      <c r="K479" s="143" t="s">
        <v>738</v>
      </c>
    </row>
    <row r="480" spans="8:8" ht="14.25" customHeight="1">
      <c r="A480" s="68" t="s">
        <v>768</v>
      </c>
      <c r="B480" s="68" t="s">
        <v>22</v>
      </c>
      <c r="C480" s="68">
        <v>3.0</v>
      </c>
      <c r="D480" s="68" t="s">
        <v>746</v>
      </c>
      <c r="E480" s="68" t="s">
        <v>212</v>
      </c>
      <c r="F480" s="68" t="s">
        <v>344</v>
      </c>
      <c r="G480" s="66">
        <v>9200.0</v>
      </c>
      <c r="H480" s="66">
        <v>9685.0</v>
      </c>
      <c r="I480" s="66">
        <v>-485.0</v>
      </c>
      <c r="J480" s="69">
        <v>-0.0501</v>
      </c>
      <c r="K480" s="143" t="s">
        <v>738</v>
      </c>
    </row>
    <row r="481" spans="8:8" ht="14.25" customHeight="1">
      <c r="A481" s="68" t="s">
        <v>768</v>
      </c>
      <c r="B481" s="68" t="s">
        <v>21</v>
      </c>
      <c r="C481" s="68">
        <v>3.0</v>
      </c>
      <c r="D481" s="68" t="s">
        <v>746</v>
      </c>
      <c r="E481" s="68" t="s">
        <v>212</v>
      </c>
      <c r="F481" s="68" t="s">
        <v>344</v>
      </c>
      <c r="G481" s="66">
        <v>9000.0</v>
      </c>
      <c r="H481" s="66">
        <v>9190.0</v>
      </c>
      <c r="I481" s="66">
        <v>-190.0</v>
      </c>
      <c r="J481" s="69">
        <v>-0.0207</v>
      </c>
      <c r="K481" s="143" t="s">
        <v>738</v>
      </c>
    </row>
    <row r="482" spans="8:8" ht="14.25" customHeight="1">
      <c r="A482" s="68" t="s">
        <v>768</v>
      </c>
      <c r="B482" s="68" t="s">
        <v>24</v>
      </c>
      <c r="C482" s="68">
        <v>248.0</v>
      </c>
      <c r="D482" s="68" t="s">
        <v>749</v>
      </c>
      <c r="E482" s="68" t="s">
        <v>50</v>
      </c>
      <c r="F482" s="68" t="s">
        <v>345</v>
      </c>
      <c r="G482" s="66">
        <v>5000.0</v>
      </c>
      <c r="H482" s="66">
        <v>6195.0</v>
      </c>
      <c r="I482" s="66">
        <v>-1195.0</v>
      </c>
      <c r="J482" s="69">
        <v>-0.1929</v>
      </c>
      <c r="K482" s="143" t="s">
        <v>738</v>
      </c>
    </row>
    <row r="483" spans="8:8" ht="14.25" customHeight="1">
      <c r="A483" s="68" t="s">
        <v>768</v>
      </c>
      <c r="B483" s="68" t="s">
        <v>22</v>
      </c>
      <c r="C483" s="68">
        <v>350.0</v>
      </c>
      <c r="D483" s="68" t="s">
        <v>755</v>
      </c>
      <c r="E483" s="68" t="s">
        <v>152</v>
      </c>
      <c r="F483" s="68" t="s">
        <v>347</v>
      </c>
      <c r="G483" s="66">
        <v>8500.0</v>
      </c>
      <c r="H483" s="66">
        <v>8990.0</v>
      </c>
      <c r="I483" s="66">
        <v>-490.0</v>
      </c>
      <c r="J483" s="69">
        <v>-0.0545</v>
      </c>
      <c r="K483" s="143" t="s">
        <v>738</v>
      </c>
    </row>
    <row r="484" spans="8:8" ht="14.25" customHeight="1">
      <c r="A484" s="68" t="s">
        <v>768</v>
      </c>
      <c r="B484" s="68" t="s">
        <v>44</v>
      </c>
      <c r="C484" s="68">
        <v>70.0</v>
      </c>
      <c r="D484" s="68" t="s">
        <v>749</v>
      </c>
      <c r="E484" s="68" t="s">
        <v>152</v>
      </c>
      <c r="F484" s="68" t="s">
        <v>347</v>
      </c>
      <c r="G484" s="66">
        <v>9090.0</v>
      </c>
      <c r="H484" s="66">
        <v>9335.0</v>
      </c>
      <c r="I484" s="66">
        <v>-245.0</v>
      </c>
      <c r="J484" s="69">
        <v>-0.0262</v>
      </c>
      <c r="K484" s="143" t="s">
        <v>738</v>
      </c>
    </row>
    <row r="485" spans="8:8" ht="14.25" customHeight="1">
      <c r="A485" s="68" t="s">
        <v>768</v>
      </c>
      <c r="B485" s="68" t="s">
        <v>21</v>
      </c>
      <c r="C485" s="68">
        <v>30.0</v>
      </c>
      <c r="D485" s="68" t="s">
        <v>746</v>
      </c>
      <c r="E485" s="68" t="s">
        <v>25</v>
      </c>
      <c r="F485" s="68" t="s">
        <v>349</v>
      </c>
      <c r="G485" s="66">
        <v>8200.0</v>
      </c>
      <c r="H485" s="66">
        <v>9190.0</v>
      </c>
      <c r="I485" s="66">
        <v>-990.0</v>
      </c>
      <c r="J485" s="69">
        <v>-0.1077</v>
      </c>
      <c r="K485" s="143" t="s">
        <v>738</v>
      </c>
    </row>
    <row r="486" spans="8:8" ht="14.25" customHeight="1">
      <c r="A486" s="68" t="s">
        <v>768</v>
      </c>
      <c r="B486" s="68" t="s">
        <v>22</v>
      </c>
      <c r="C486" s="68">
        <v>15.0</v>
      </c>
      <c r="D486" s="68" t="s">
        <v>746</v>
      </c>
      <c r="E486" s="68" t="s">
        <v>25</v>
      </c>
      <c r="F486" s="68" t="s">
        <v>349</v>
      </c>
      <c r="G486" s="66">
        <v>9200.0</v>
      </c>
      <c r="H486" s="66">
        <v>9685.0</v>
      </c>
      <c r="I486" s="66">
        <v>-485.0</v>
      </c>
      <c r="J486" s="69">
        <v>-0.0501</v>
      </c>
      <c r="K486" s="143" t="s">
        <v>738</v>
      </c>
    </row>
    <row r="487" spans="8:8" ht="14.25" customHeight="1">
      <c r="A487" s="68" t="s">
        <v>768</v>
      </c>
      <c r="B487" s="68" t="s">
        <v>45</v>
      </c>
      <c r="C487" s="68">
        <v>4.0</v>
      </c>
      <c r="D487" s="68" t="s">
        <v>746</v>
      </c>
      <c r="E487" s="68" t="s">
        <v>154</v>
      </c>
      <c r="F487" s="68" t="s">
        <v>352</v>
      </c>
      <c r="G487" s="66">
        <v>13335.0</v>
      </c>
      <c r="H487" s="66">
        <v>13932.0</v>
      </c>
      <c r="I487" s="66">
        <v>-597.0</v>
      </c>
      <c r="J487" s="69">
        <v>-0.0429</v>
      </c>
      <c r="K487" s="143" t="s">
        <v>738</v>
      </c>
    </row>
    <row r="488" spans="8:8" ht="14.25" customHeight="1">
      <c r="A488" s="68" t="s">
        <v>768</v>
      </c>
      <c r="B488" s="68" t="s">
        <v>150</v>
      </c>
      <c r="C488" s="68">
        <v>2.0</v>
      </c>
      <c r="D488" s="68" t="s">
        <v>746</v>
      </c>
      <c r="E488" s="68" t="s">
        <v>154</v>
      </c>
      <c r="F488" s="68" t="s">
        <v>352</v>
      </c>
      <c r="G488" s="66">
        <v>10315.0</v>
      </c>
      <c r="H488" s="66">
        <v>10705.0</v>
      </c>
      <c r="I488" s="66">
        <v>-390.0</v>
      </c>
      <c r="J488" s="69">
        <v>-0.0364</v>
      </c>
      <c r="K488" s="143" t="s">
        <v>738</v>
      </c>
    </row>
    <row r="489" spans="8:8" ht="14.25" customHeight="1">
      <c r="A489" s="68" t="s">
        <v>768</v>
      </c>
      <c r="B489" s="68" t="s">
        <v>87</v>
      </c>
      <c r="C489" s="68">
        <v>2.0</v>
      </c>
      <c r="D489" s="68" t="s">
        <v>746</v>
      </c>
      <c r="E489" s="68" t="s">
        <v>154</v>
      </c>
      <c r="F489" s="68" t="s">
        <v>352</v>
      </c>
      <c r="G489" s="66">
        <v>21485.0</v>
      </c>
      <c r="H489" s="66">
        <v>22565.0</v>
      </c>
      <c r="I489" s="66">
        <v>-1080.0</v>
      </c>
      <c r="J489" s="69">
        <v>-0.0479</v>
      </c>
      <c r="K489" s="143" t="s">
        <v>738</v>
      </c>
    </row>
    <row r="490" spans="8:8" ht="14.25" customHeight="1">
      <c r="A490" s="68" t="s">
        <v>768</v>
      </c>
      <c r="B490" s="68" t="s">
        <v>22</v>
      </c>
      <c r="C490" s="68">
        <v>1.0</v>
      </c>
      <c r="D490" s="68" t="s">
        <v>746</v>
      </c>
      <c r="E490" s="68" t="s">
        <v>154</v>
      </c>
      <c r="F490" s="68" t="s">
        <v>352</v>
      </c>
      <c r="G490" s="66">
        <v>9200.0</v>
      </c>
      <c r="H490" s="66">
        <v>9685.0</v>
      </c>
      <c r="I490" s="66">
        <v>-485.0</v>
      </c>
      <c r="J490" s="69">
        <v>-0.0501</v>
      </c>
      <c r="K490" s="143" t="s">
        <v>738</v>
      </c>
    </row>
    <row r="491" spans="8:8" ht="14.25" customHeight="1">
      <c r="A491" s="68" t="s">
        <v>768</v>
      </c>
      <c r="B491" s="68" t="s">
        <v>44</v>
      </c>
      <c r="C491" s="68">
        <v>1.0</v>
      </c>
      <c r="D491" s="68" t="s">
        <v>746</v>
      </c>
      <c r="E491" s="68" t="s">
        <v>154</v>
      </c>
      <c r="F491" s="68" t="s">
        <v>352</v>
      </c>
      <c r="G491" s="66">
        <v>9200.0</v>
      </c>
      <c r="H491" s="66">
        <v>9685.0</v>
      </c>
      <c r="I491" s="66">
        <v>-485.0</v>
      </c>
      <c r="J491" s="69">
        <v>-0.0501</v>
      </c>
      <c r="K491" s="143" t="s">
        <v>738</v>
      </c>
    </row>
    <row r="492" spans="8:8" ht="14.25" customHeight="1">
      <c r="A492" s="68" t="s">
        <v>768</v>
      </c>
      <c r="B492" s="68" t="s">
        <v>31</v>
      </c>
      <c r="C492" s="68">
        <v>3.0</v>
      </c>
      <c r="D492" s="68" t="s">
        <v>746</v>
      </c>
      <c r="E492" s="68" t="s">
        <v>29</v>
      </c>
      <c r="F492" s="68" t="s">
        <v>355</v>
      </c>
      <c r="G492" s="66">
        <v>17100.0</v>
      </c>
      <c r="H492" s="66">
        <v>18615.0</v>
      </c>
      <c r="I492" s="66">
        <v>-1515.0</v>
      </c>
      <c r="J492" s="69">
        <v>-0.0814</v>
      </c>
      <c r="K492" s="143" t="s">
        <v>738</v>
      </c>
    </row>
    <row r="493" spans="8:8" ht="14.25" customHeight="1">
      <c r="A493" s="68" t="s">
        <v>768</v>
      </c>
      <c r="B493" s="68" t="s">
        <v>34</v>
      </c>
      <c r="C493" s="68">
        <v>1.0</v>
      </c>
      <c r="D493" s="68" t="s">
        <v>746</v>
      </c>
      <c r="E493" s="68" t="s">
        <v>29</v>
      </c>
      <c r="F493" s="68" t="s">
        <v>355</v>
      </c>
      <c r="G493" s="66">
        <v>21695.0</v>
      </c>
      <c r="H493" s="66">
        <v>23895.0</v>
      </c>
      <c r="I493" s="66">
        <v>-2200.0</v>
      </c>
      <c r="J493" s="69">
        <v>-0.0921</v>
      </c>
      <c r="K493" s="143" t="s">
        <v>738</v>
      </c>
    </row>
    <row r="494" spans="8:8" ht="14.25" customHeight="1">
      <c r="A494" s="68" t="s">
        <v>768</v>
      </c>
      <c r="B494" s="68" t="s">
        <v>32</v>
      </c>
      <c r="C494" s="68">
        <v>1.0</v>
      </c>
      <c r="D494" s="68" t="s">
        <v>746</v>
      </c>
      <c r="E494" s="68" t="s">
        <v>29</v>
      </c>
      <c r="F494" s="68" t="s">
        <v>355</v>
      </c>
      <c r="G494" s="66">
        <v>16145.0</v>
      </c>
      <c r="H494" s="66">
        <v>16735.0</v>
      </c>
      <c r="I494" s="66">
        <v>-590.0</v>
      </c>
      <c r="J494" s="69">
        <v>-0.0353</v>
      </c>
      <c r="K494" s="143" t="s">
        <v>738</v>
      </c>
    </row>
    <row r="495" spans="8:8" ht="14.25" customHeight="1">
      <c r="A495" s="68" t="s">
        <v>768</v>
      </c>
      <c r="B495" s="68" t="s">
        <v>44</v>
      </c>
      <c r="C495" s="68">
        <v>11.0</v>
      </c>
      <c r="D495" s="68" t="s">
        <v>746</v>
      </c>
      <c r="E495" s="68" t="s">
        <v>29</v>
      </c>
      <c r="F495" s="68" t="s">
        <v>357</v>
      </c>
      <c r="G495" s="66">
        <v>9200.0</v>
      </c>
      <c r="H495" s="66">
        <v>9685.0</v>
      </c>
      <c r="I495" s="66">
        <v>-485.0</v>
      </c>
      <c r="J495" s="69">
        <v>-0.0501</v>
      </c>
      <c r="K495" s="143" t="s">
        <v>738</v>
      </c>
    </row>
    <row r="496" spans="8:8" ht="14.25" customHeight="1">
      <c r="A496" s="68" t="s">
        <v>768</v>
      </c>
      <c r="B496" s="68" t="s">
        <v>22</v>
      </c>
      <c r="C496" s="68">
        <v>2.0</v>
      </c>
      <c r="D496" s="68" t="s">
        <v>746</v>
      </c>
      <c r="E496" s="68" t="s">
        <v>29</v>
      </c>
      <c r="F496" s="68" t="s">
        <v>357</v>
      </c>
      <c r="G496" s="66">
        <v>8800.0</v>
      </c>
      <c r="H496" s="66">
        <v>9685.0</v>
      </c>
      <c r="I496" s="66">
        <v>-885.0</v>
      </c>
      <c r="J496" s="69">
        <v>-0.0914</v>
      </c>
      <c r="K496" s="143" t="s">
        <v>738</v>
      </c>
    </row>
    <row r="497" spans="8:8" ht="14.25" customHeight="1">
      <c r="A497" s="68" t="s">
        <v>768</v>
      </c>
      <c r="B497" s="68" t="s">
        <v>65</v>
      </c>
      <c r="C497" s="68">
        <v>2.0</v>
      </c>
      <c r="D497" s="68" t="s">
        <v>746</v>
      </c>
      <c r="E497" s="68" t="s">
        <v>29</v>
      </c>
      <c r="F497" s="68" t="s">
        <v>357</v>
      </c>
      <c r="G497" s="66">
        <v>11910.0</v>
      </c>
      <c r="H497" s="66">
        <v>12525.0</v>
      </c>
      <c r="I497" s="66">
        <v>-615.0</v>
      </c>
      <c r="J497" s="69">
        <v>-0.0491</v>
      </c>
      <c r="K497" s="143" t="s">
        <v>738</v>
      </c>
    </row>
    <row r="498" spans="8:8" ht="14.25" customHeight="1">
      <c r="A498" s="68" t="s">
        <v>768</v>
      </c>
      <c r="B498" s="68" t="s">
        <v>113</v>
      </c>
      <c r="C498" s="68">
        <v>1.0</v>
      </c>
      <c r="D498" s="68" t="s">
        <v>746</v>
      </c>
      <c r="E498" s="68" t="s">
        <v>29</v>
      </c>
      <c r="F498" s="68" t="s">
        <v>357</v>
      </c>
      <c r="G498" s="66">
        <v>14575.0</v>
      </c>
      <c r="H498" s="66">
        <v>15765.0</v>
      </c>
      <c r="I498" s="66">
        <v>-1190.0</v>
      </c>
      <c r="J498" s="69">
        <v>-0.0755</v>
      </c>
      <c r="K498" s="143" t="s">
        <v>738</v>
      </c>
    </row>
    <row r="499" spans="8:8" ht="14.25" customHeight="1">
      <c r="A499" s="68" t="s">
        <v>768</v>
      </c>
      <c r="B499" s="68" t="s">
        <v>24</v>
      </c>
      <c r="C499" s="68">
        <v>80.0</v>
      </c>
      <c r="D499" s="68" t="s">
        <v>749</v>
      </c>
      <c r="E499" s="68" t="s">
        <v>29</v>
      </c>
      <c r="F499" s="68" t="s">
        <v>357</v>
      </c>
      <c r="G499" s="66">
        <v>5000.0</v>
      </c>
      <c r="H499" s="66">
        <v>6195.0</v>
      </c>
      <c r="I499" s="66">
        <v>-1195.0</v>
      </c>
      <c r="J499" s="69">
        <v>-0.1929</v>
      </c>
      <c r="K499" s="143" t="s">
        <v>738</v>
      </c>
    </row>
    <row r="500" spans="8:8" ht="14.25" customHeight="1">
      <c r="A500" s="68" t="s">
        <v>768</v>
      </c>
      <c r="B500" s="68" t="s">
        <v>28</v>
      </c>
      <c r="C500" s="68">
        <v>10.0</v>
      </c>
      <c r="D500" s="68" t="s">
        <v>746</v>
      </c>
      <c r="E500" s="68" t="s">
        <v>29</v>
      </c>
      <c r="F500" s="68" t="s">
        <v>357</v>
      </c>
      <c r="G500" s="66">
        <v>13200.0</v>
      </c>
      <c r="H500" s="66">
        <v>15015.0</v>
      </c>
      <c r="I500" s="66">
        <v>-1815.0</v>
      </c>
      <c r="J500" s="69">
        <v>-0.1209</v>
      </c>
      <c r="K500" s="143" t="s">
        <v>738</v>
      </c>
    </row>
    <row r="501" spans="8:8" ht="14.25" customHeight="1">
      <c r="A501" s="68" t="s">
        <v>768</v>
      </c>
      <c r="B501" s="68" t="s">
        <v>31</v>
      </c>
      <c r="C501" s="68">
        <v>10.0</v>
      </c>
      <c r="D501" s="68" t="s">
        <v>746</v>
      </c>
      <c r="E501" s="68" t="s">
        <v>29</v>
      </c>
      <c r="F501" s="68" t="s">
        <v>357</v>
      </c>
      <c r="G501" s="66">
        <v>17100.0</v>
      </c>
      <c r="H501" s="66">
        <v>18615.0</v>
      </c>
      <c r="I501" s="66">
        <v>-1515.0</v>
      </c>
      <c r="J501" s="69">
        <v>-0.0814</v>
      </c>
      <c r="K501" s="143" t="s">
        <v>738</v>
      </c>
    </row>
    <row r="502" spans="8:8" ht="14.25" customHeight="1">
      <c r="A502" s="68" t="s">
        <v>768</v>
      </c>
      <c r="B502" s="68" t="s">
        <v>61</v>
      </c>
      <c r="C502" s="68">
        <v>1.0</v>
      </c>
      <c r="D502" s="68" t="s">
        <v>746</v>
      </c>
      <c r="E502" s="68" t="s">
        <v>78</v>
      </c>
      <c r="F502" s="68" t="s">
        <v>363</v>
      </c>
      <c r="G502" s="66">
        <v>12885.0</v>
      </c>
      <c r="H502" s="66">
        <v>13420.0</v>
      </c>
      <c r="I502" s="66">
        <v>-535.0</v>
      </c>
      <c r="J502" s="69">
        <v>-0.0399</v>
      </c>
      <c r="K502" s="143" t="s">
        <v>738</v>
      </c>
    </row>
    <row r="503" spans="8:8" ht="14.25" customHeight="1">
      <c r="A503" s="68" t="s">
        <v>768</v>
      </c>
      <c r="B503" s="68" t="s">
        <v>24</v>
      </c>
      <c r="C503" s="68">
        <v>2.0</v>
      </c>
      <c r="D503" s="68" t="s">
        <v>746</v>
      </c>
      <c r="E503" s="68" t="s">
        <v>15</v>
      </c>
      <c r="F503" s="68" t="s">
        <v>364</v>
      </c>
      <c r="G503" s="66">
        <v>5300.0</v>
      </c>
      <c r="H503" s="66">
        <v>6530.0</v>
      </c>
      <c r="I503" s="66">
        <v>-1230.0</v>
      </c>
      <c r="J503" s="69">
        <v>-0.1884</v>
      </c>
      <c r="K503" s="143" t="s">
        <v>738</v>
      </c>
    </row>
    <row r="504" spans="8:8" ht="14.25" customHeight="1">
      <c r="A504" s="68" t="s">
        <v>768</v>
      </c>
      <c r="B504" s="68" t="s">
        <v>45</v>
      </c>
      <c r="C504" s="68">
        <v>51.0</v>
      </c>
      <c r="D504" s="68" t="s">
        <v>749</v>
      </c>
      <c r="E504" s="68" t="s">
        <v>139</v>
      </c>
      <c r="F504" s="68" t="s">
        <v>365</v>
      </c>
      <c r="G504" s="66">
        <v>12930.0</v>
      </c>
      <c r="H504" s="66">
        <v>13332.0</v>
      </c>
      <c r="I504" s="66">
        <v>-402.0</v>
      </c>
      <c r="J504" s="69">
        <v>-0.0302</v>
      </c>
      <c r="K504" s="143" t="s">
        <v>738</v>
      </c>
    </row>
    <row r="505" spans="8:8" ht="14.25" customHeight="1">
      <c r="A505" s="68" t="s">
        <v>768</v>
      </c>
      <c r="B505" s="68" t="s">
        <v>22</v>
      </c>
      <c r="C505" s="68">
        <v>165.0</v>
      </c>
      <c r="D505" s="68" t="s">
        <v>749</v>
      </c>
      <c r="E505" s="68" t="s">
        <v>139</v>
      </c>
      <c r="F505" s="68" t="s">
        <v>365</v>
      </c>
      <c r="G505" s="66">
        <v>8600.0</v>
      </c>
      <c r="H505" s="66">
        <v>9335.0</v>
      </c>
      <c r="I505" s="66">
        <v>-735.0</v>
      </c>
      <c r="J505" s="69">
        <v>-0.0787</v>
      </c>
      <c r="K505" s="143" t="s">
        <v>738</v>
      </c>
    </row>
    <row r="506" spans="8:8" ht="14.25" customHeight="1">
      <c r="A506" s="68" t="s">
        <v>768</v>
      </c>
      <c r="B506" s="68" t="s">
        <v>101</v>
      </c>
      <c r="C506" s="68">
        <v>20.0</v>
      </c>
      <c r="D506" s="68" t="s">
        <v>746</v>
      </c>
      <c r="E506" s="68" t="s">
        <v>139</v>
      </c>
      <c r="F506" s="68" t="s">
        <v>365</v>
      </c>
      <c r="G506" s="66">
        <v>13020.0</v>
      </c>
      <c r="H506" s="66">
        <v>14455.0</v>
      </c>
      <c r="I506" s="66">
        <v>-1435.0</v>
      </c>
      <c r="J506" s="69">
        <v>-0.0993</v>
      </c>
      <c r="K506" s="143" t="s">
        <v>738</v>
      </c>
    </row>
    <row r="507" spans="8:8" ht="14.25" customHeight="1">
      <c r="A507" s="68" t="s">
        <v>768</v>
      </c>
      <c r="B507" s="68" t="s">
        <v>93</v>
      </c>
      <c r="C507" s="68">
        <v>15.0</v>
      </c>
      <c r="D507" s="68" t="s">
        <v>746</v>
      </c>
      <c r="E507" s="68" t="s">
        <v>139</v>
      </c>
      <c r="F507" s="68" t="s">
        <v>365</v>
      </c>
      <c r="G507" s="66">
        <v>11330.0</v>
      </c>
      <c r="H507" s="66">
        <v>12090.0</v>
      </c>
      <c r="I507" s="66">
        <v>-760.0</v>
      </c>
      <c r="J507" s="69">
        <v>-0.0629</v>
      </c>
      <c r="K507" s="143" t="s">
        <v>738</v>
      </c>
    </row>
    <row r="508" spans="8:8" ht="14.25" customHeight="1">
      <c r="A508" s="68" t="s">
        <v>768</v>
      </c>
      <c r="B508" s="68" t="s">
        <v>65</v>
      </c>
      <c r="C508" s="68">
        <v>11.0</v>
      </c>
      <c r="D508" s="68" t="s">
        <v>746</v>
      </c>
      <c r="E508" s="68" t="s">
        <v>139</v>
      </c>
      <c r="F508" s="68" t="s">
        <v>365</v>
      </c>
      <c r="G508" s="66">
        <v>11415.0</v>
      </c>
      <c r="H508" s="66">
        <v>12525.0</v>
      </c>
      <c r="I508" s="66">
        <v>-1110.0</v>
      </c>
      <c r="J508" s="69">
        <v>-0.0886</v>
      </c>
      <c r="K508" s="143" t="s">
        <v>738</v>
      </c>
    </row>
    <row r="509" spans="8:8" ht="14.25" customHeight="1">
      <c r="A509" s="68" t="s">
        <v>768</v>
      </c>
      <c r="B509" s="68" t="s">
        <v>113</v>
      </c>
      <c r="C509" s="68">
        <v>5.0</v>
      </c>
      <c r="D509" s="68" t="s">
        <v>746</v>
      </c>
      <c r="E509" s="68" t="s">
        <v>139</v>
      </c>
      <c r="F509" s="68" t="s">
        <v>365</v>
      </c>
      <c r="G509" s="66">
        <v>14675.0</v>
      </c>
      <c r="H509" s="66">
        <v>15765.0</v>
      </c>
      <c r="I509" s="66">
        <v>-1090.0</v>
      </c>
      <c r="J509" s="69">
        <v>-0.0691</v>
      </c>
      <c r="K509" s="143" t="s">
        <v>738</v>
      </c>
    </row>
    <row r="510" spans="8:8" ht="14.25" customHeight="1">
      <c r="A510" s="68" t="s">
        <v>768</v>
      </c>
      <c r="B510" s="68" t="s">
        <v>87</v>
      </c>
      <c r="C510" s="68">
        <v>11.0</v>
      </c>
      <c r="D510" s="68" t="s">
        <v>746</v>
      </c>
      <c r="E510" s="68" t="s">
        <v>139</v>
      </c>
      <c r="F510" s="68" t="s">
        <v>365</v>
      </c>
      <c r="G510" s="66">
        <v>20540.0</v>
      </c>
      <c r="H510" s="66">
        <v>22565.0</v>
      </c>
      <c r="I510" s="66">
        <v>-2025.0</v>
      </c>
      <c r="J510" s="69">
        <v>-0.0897</v>
      </c>
      <c r="K510" s="143" t="s">
        <v>738</v>
      </c>
    </row>
    <row r="511" spans="8:8" ht="14.25" customHeight="1">
      <c r="A511" s="68" t="s">
        <v>768</v>
      </c>
      <c r="B511" s="68" t="s">
        <v>150</v>
      </c>
      <c r="C511" s="68">
        <v>10.0</v>
      </c>
      <c r="D511" s="68" t="s">
        <v>746</v>
      </c>
      <c r="E511" s="68" t="s">
        <v>139</v>
      </c>
      <c r="F511" s="68" t="s">
        <v>365</v>
      </c>
      <c r="G511" s="66">
        <v>10125.0</v>
      </c>
      <c r="H511" s="66">
        <v>10705.0</v>
      </c>
      <c r="I511" s="66">
        <v>-580.0</v>
      </c>
      <c r="J511" s="69">
        <v>-0.0542</v>
      </c>
      <c r="K511" s="143" t="s">
        <v>738</v>
      </c>
    </row>
    <row r="512" spans="8:8" ht="14.25" customHeight="1">
      <c r="A512" s="68" t="s">
        <v>768</v>
      </c>
      <c r="B512" s="68" t="s">
        <v>21</v>
      </c>
      <c r="C512" s="68">
        <v>8.0</v>
      </c>
      <c r="D512" s="68" t="s">
        <v>746</v>
      </c>
      <c r="E512" s="68" t="s">
        <v>139</v>
      </c>
      <c r="F512" s="68" t="s">
        <v>365</v>
      </c>
      <c r="G512" s="66">
        <v>8300.0</v>
      </c>
      <c r="H512" s="66">
        <v>9190.0</v>
      </c>
      <c r="I512" s="66">
        <v>-890.0</v>
      </c>
      <c r="J512" s="69">
        <v>-0.0968</v>
      </c>
      <c r="K512" s="143" t="s">
        <v>738</v>
      </c>
    </row>
    <row r="513" spans="8:8" ht="14.25" customHeight="1">
      <c r="A513" s="68" t="s">
        <v>768</v>
      </c>
      <c r="B513" s="68" t="s">
        <v>24</v>
      </c>
      <c r="C513" s="68">
        <v>5.0</v>
      </c>
      <c r="D513" s="68" t="s">
        <v>746</v>
      </c>
      <c r="E513" s="68" t="s">
        <v>139</v>
      </c>
      <c r="F513" s="68" t="s">
        <v>365</v>
      </c>
      <c r="G513" s="66">
        <v>5000.0</v>
      </c>
      <c r="H513" s="66">
        <v>6530.0</v>
      </c>
      <c r="I513" s="66">
        <v>-1530.0</v>
      </c>
      <c r="J513" s="69">
        <v>-0.2343</v>
      </c>
      <c r="K513" s="143" t="s">
        <v>738</v>
      </c>
    </row>
    <row r="514" spans="8:8" ht="14.25" customHeight="1">
      <c r="A514" s="68" t="s">
        <v>768</v>
      </c>
      <c r="B514" s="68" t="s">
        <v>27</v>
      </c>
      <c r="C514" s="68">
        <v>15.0</v>
      </c>
      <c r="D514" s="68" t="s">
        <v>746</v>
      </c>
      <c r="E514" s="68" t="s">
        <v>139</v>
      </c>
      <c r="F514" s="68" t="s">
        <v>365</v>
      </c>
      <c r="G514" s="66">
        <v>8020.0</v>
      </c>
      <c r="H514" s="66">
        <v>8355.0</v>
      </c>
      <c r="I514" s="66">
        <v>-335.0</v>
      </c>
      <c r="J514" s="69">
        <v>-0.0401</v>
      </c>
      <c r="K514" s="143" t="s">
        <v>738</v>
      </c>
    </row>
    <row r="515" spans="8:8" ht="14.25" customHeight="1">
      <c r="A515" s="68" t="s">
        <v>768</v>
      </c>
      <c r="B515" s="68" t="s">
        <v>37</v>
      </c>
      <c r="C515" s="68">
        <v>30.0</v>
      </c>
      <c r="D515" s="68" t="s">
        <v>746</v>
      </c>
      <c r="E515" s="68" t="s">
        <v>139</v>
      </c>
      <c r="F515" s="68" t="s">
        <v>365</v>
      </c>
      <c r="G515" s="66">
        <v>8800.0</v>
      </c>
      <c r="H515" s="66">
        <v>9235.0</v>
      </c>
      <c r="I515" s="66">
        <v>-435.0</v>
      </c>
      <c r="J515" s="69">
        <v>-0.0471</v>
      </c>
      <c r="K515" s="143" t="s">
        <v>738</v>
      </c>
    </row>
    <row r="516" spans="8:8" ht="14.25" customHeight="1">
      <c r="A516" s="68" t="s">
        <v>768</v>
      </c>
      <c r="B516" s="68" t="s">
        <v>100</v>
      </c>
      <c r="C516" s="68">
        <v>1.0</v>
      </c>
      <c r="D516" s="68" t="s">
        <v>746</v>
      </c>
      <c r="E516" s="68" t="s">
        <v>139</v>
      </c>
      <c r="F516" s="68" t="s">
        <v>365</v>
      </c>
      <c r="G516" s="66">
        <v>11480.0</v>
      </c>
      <c r="H516" s="66">
        <v>12045.0</v>
      </c>
      <c r="I516" s="66">
        <v>-565.0</v>
      </c>
      <c r="J516" s="69">
        <v>-0.0469</v>
      </c>
      <c r="K516" s="143" t="s">
        <v>738</v>
      </c>
    </row>
    <row r="517" spans="8:8" ht="14.25" customHeight="1">
      <c r="A517" s="68" t="s">
        <v>769</v>
      </c>
      <c r="B517" s="68" t="s">
        <v>24</v>
      </c>
      <c r="C517" s="68">
        <v>120.0</v>
      </c>
      <c r="D517" s="68" t="s">
        <v>749</v>
      </c>
      <c r="E517" s="68" t="s">
        <v>50</v>
      </c>
      <c r="F517" s="68" t="s">
        <v>373</v>
      </c>
      <c r="G517" s="66">
        <v>5000.0</v>
      </c>
      <c r="H517" s="66">
        <v>6195.0</v>
      </c>
      <c r="I517" s="66">
        <v>-1195.0</v>
      </c>
      <c r="J517" s="69">
        <v>-0.1929</v>
      </c>
      <c r="K517" s="143" t="s">
        <v>738</v>
      </c>
    </row>
    <row r="518" spans="8:8" ht="14.25" customHeight="1">
      <c r="A518" s="68" t="s">
        <v>769</v>
      </c>
      <c r="B518" s="68" t="s">
        <v>44</v>
      </c>
      <c r="C518" s="68">
        <v>10.0</v>
      </c>
      <c r="D518" s="68" t="s">
        <v>746</v>
      </c>
      <c r="E518" s="68" t="s">
        <v>50</v>
      </c>
      <c r="F518" s="68" t="s">
        <v>375</v>
      </c>
      <c r="G518" s="66">
        <v>9200.0</v>
      </c>
      <c r="H518" s="66">
        <v>9685.0</v>
      </c>
      <c r="I518" s="66">
        <v>-485.0</v>
      </c>
      <c r="J518" s="69">
        <v>-0.0501</v>
      </c>
      <c r="K518" s="143" t="s">
        <v>738</v>
      </c>
    </row>
    <row r="519" spans="8:8" ht="14.25" customHeight="1">
      <c r="A519" s="68" t="s">
        <v>769</v>
      </c>
      <c r="B519" s="68" t="s">
        <v>87</v>
      </c>
      <c r="C519" s="68">
        <v>5.0</v>
      </c>
      <c r="D519" s="68" t="s">
        <v>746</v>
      </c>
      <c r="E519" s="68" t="s">
        <v>50</v>
      </c>
      <c r="F519" s="68" t="s">
        <v>375</v>
      </c>
      <c r="G519" s="66">
        <v>21400.0</v>
      </c>
      <c r="H519" s="66">
        <v>22565.0</v>
      </c>
      <c r="I519" s="66">
        <v>-1165.0</v>
      </c>
      <c r="J519" s="69">
        <v>-0.0516</v>
      </c>
      <c r="K519" s="143" t="s">
        <v>738</v>
      </c>
    </row>
    <row r="520" spans="8:8" ht="14.25" customHeight="1">
      <c r="A520" s="68" t="s">
        <v>769</v>
      </c>
      <c r="B520" s="68" t="s">
        <v>37</v>
      </c>
      <c r="C520" s="68">
        <v>5.0</v>
      </c>
      <c r="D520" s="68" t="s">
        <v>746</v>
      </c>
      <c r="E520" s="68" t="s">
        <v>50</v>
      </c>
      <c r="F520" s="68" t="s">
        <v>375</v>
      </c>
      <c r="G520" s="66">
        <v>9200.0</v>
      </c>
      <c r="H520" s="66">
        <v>9235.0</v>
      </c>
      <c r="I520" s="66">
        <v>-35.0</v>
      </c>
      <c r="J520" s="69">
        <v>-0.0038</v>
      </c>
      <c r="K520" s="146" t="s">
        <v>747</v>
      </c>
    </row>
    <row r="521" spans="8:8" ht="14.25" customHeight="1">
      <c r="A521" s="68" t="s">
        <v>769</v>
      </c>
      <c r="B521" s="68" t="s">
        <v>69</v>
      </c>
      <c r="C521" s="68">
        <v>2.0</v>
      </c>
      <c r="D521" s="68" t="s">
        <v>746</v>
      </c>
      <c r="E521" s="68" t="s">
        <v>50</v>
      </c>
      <c r="F521" s="68" t="s">
        <v>375</v>
      </c>
      <c r="G521" s="66">
        <v>14450.0</v>
      </c>
      <c r="H521" s="66">
        <v>15415.0</v>
      </c>
      <c r="I521" s="66">
        <v>-965.0</v>
      </c>
      <c r="J521" s="69">
        <v>-0.0626</v>
      </c>
      <c r="K521" s="143" t="s">
        <v>738</v>
      </c>
    </row>
    <row r="522" spans="8:8" ht="14.25" customHeight="1">
      <c r="A522" s="68" t="s">
        <v>769</v>
      </c>
      <c r="B522" s="68" t="s">
        <v>150</v>
      </c>
      <c r="C522" s="68">
        <v>1.0</v>
      </c>
      <c r="D522" s="68" t="s">
        <v>746</v>
      </c>
      <c r="E522" s="68" t="s">
        <v>50</v>
      </c>
      <c r="F522" s="68" t="s">
        <v>375</v>
      </c>
      <c r="G522" s="66">
        <v>10315.0</v>
      </c>
      <c r="H522" s="66">
        <v>10705.0</v>
      </c>
      <c r="I522" s="66">
        <v>-390.0</v>
      </c>
      <c r="J522" s="69">
        <v>-0.0364</v>
      </c>
      <c r="K522" s="143" t="s">
        <v>738</v>
      </c>
    </row>
    <row r="523" spans="8:8" ht="14.25" customHeight="1">
      <c r="A523" s="68" t="s">
        <v>769</v>
      </c>
      <c r="B523" s="68" t="s">
        <v>22</v>
      </c>
      <c r="C523" s="68">
        <v>18.0</v>
      </c>
      <c r="D523" s="68" t="s">
        <v>746</v>
      </c>
      <c r="E523" s="68" t="s">
        <v>29</v>
      </c>
      <c r="F523" s="68" t="s">
        <v>378</v>
      </c>
      <c r="G523" s="66">
        <v>8800.0</v>
      </c>
      <c r="H523" s="66">
        <v>9685.0</v>
      </c>
      <c r="I523" s="66">
        <v>-885.0</v>
      </c>
      <c r="J523" s="69">
        <v>-0.0914</v>
      </c>
      <c r="K523" s="143" t="s">
        <v>738</v>
      </c>
    </row>
    <row r="524" spans="8:8" ht="14.25" customHeight="1">
      <c r="A524" s="68" t="s">
        <v>769</v>
      </c>
      <c r="B524" s="68" t="s">
        <v>45</v>
      </c>
      <c r="C524" s="68">
        <v>4.0</v>
      </c>
      <c r="D524" s="68" t="s">
        <v>746</v>
      </c>
      <c r="E524" s="68" t="s">
        <v>29</v>
      </c>
      <c r="F524" s="68" t="s">
        <v>378</v>
      </c>
      <c r="G524" s="66">
        <v>13335.0</v>
      </c>
      <c r="H524" s="66">
        <v>13932.0</v>
      </c>
      <c r="I524" s="66">
        <v>-597.0</v>
      </c>
      <c r="J524" s="69">
        <v>-0.0429</v>
      </c>
      <c r="K524" s="143" t="s">
        <v>738</v>
      </c>
    </row>
    <row r="525" spans="8:8" ht="14.25" customHeight="1">
      <c r="A525" s="68" t="s">
        <v>769</v>
      </c>
      <c r="B525" s="68" t="s">
        <v>28</v>
      </c>
      <c r="C525" s="68">
        <v>3.0</v>
      </c>
      <c r="D525" s="68" t="s">
        <v>746</v>
      </c>
      <c r="E525" s="68" t="s">
        <v>29</v>
      </c>
      <c r="F525" s="68" t="s">
        <v>378</v>
      </c>
      <c r="G525" s="66">
        <v>13200.0</v>
      </c>
      <c r="H525" s="66">
        <v>15015.0</v>
      </c>
      <c r="I525" s="66">
        <v>-1815.0</v>
      </c>
      <c r="J525" s="69">
        <v>-0.1209</v>
      </c>
      <c r="K525" s="143" t="s">
        <v>738</v>
      </c>
    </row>
    <row r="526" spans="8:8" ht="14.25" customHeight="1">
      <c r="A526" s="68" t="s">
        <v>769</v>
      </c>
      <c r="B526" s="68" t="s">
        <v>70</v>
      </c>
      <c r="C526" s="68">
        <v>2.0</v>
      </c>
      <c r="D526" s="68" t="s">
        <v>746</v>
      </c>
      <c r="E526" s="68" t="s">
        <v>29</v>
      </c>
      <c r="F526" s="68" t="s">
        <v>378</v>
      </c>
      <c r="G526" s="66">
        <v>13460.0</v>
      </c>
      <c r="H526" s="66">
        <v>14085.0</v>
      </c>
      <c r="I526" s="66">
        <v>-625.0</v>
      </c>
      <c r="J526" s="69">
        <v>-0.0444</v>
      </c>
      <c r="K526" s="143" t="s">
        <v>738</v>
      </c>
    </row>
    <row r="527" spans="8:8" ht="14.25" customHeight="1">
      <c r="A527" s="68" t="s">
        <v>769</v>
      </c>
      <c r="B527" s="68" t="s">
        <v>61</v>
      </c>
      <c r="C527" s="68">
        <v>1.0</v>
      </c>
      <c r="D527" s="68" t="s">
        <v>746</v>
      </c>
      <c r="E527" s="68" t="s">
        <v>29</v>
      </c>
      <c r="F527" s="68" t="s">
        <v>378</v>
      </c>
      <c r="G527" s="66">
        <v>12885.0</v>
      </c>
      <c r="H527" s="66">
        <v>13420.0</v>
      </c>
      <c r="I527" s="66">
        <v>-535.0</v>
      </c>
      <c r="J527" s="69">
        <v>-0.0399</v>
      </c>
      <c r="K527" s="143" t="s">
        <v>738</v>
      </c>
    </row>
    <row r="528" spans="8:8" ht="14.25" customHeight="1">
      <c r="A528" s="68" t="s">
        <v>769</v>
      </c>
      <c r="B528" s="68" t="s">
        <v>32</v>
      </c>
      <c r="C528" s="68">
        <v>2.0</v>
      </c>
      <c r="D528" s="68" t="s">
        <v>746</v>
      </c>
      <c r="E528" s="68" t="s">
        <v>29</v>
      </c>
      <c r="F528" s="68" t="s">
        <v>378</v>
      </c>
      <c r="G528" s="66">
        <v>16145.0</v>
      </c>
      <c r="H528" s="66">
        <v>16735.0</v>
      </c>
      <c r="I528" s="66">
        <v>-590.0</v>
      </c>
      <c r="J528" s="69">
        <v>-0.0353</v>
      </c>
      <c r="K528" s="143" t="s">
        <v>738</v>
      </c>
    </row>
    <row r="529" spans="8:8" ht="14.25" customHeight="1">
      <c r="A529" s="68" t="s">
        <v>769</v>
      </c>
      <c r="B529" s="68" t="s">
        <v>33</v>
      </c>
      <c r="C529" s="68">
        <v>2.0</v>
      </c>
      <c r="D529" s="68" t="s">
        <v>746</v>
      </c>
      <c r="E529" s="68" t="s">
        <v>29</v>
      </c>
      <c r="F529" s="68" t="s">
        <v>378</v>
      </c>
      <c r="G529" s="66">
        <v>16145.0</v>
      </c>
      <c r="H529" s="66">
        <v>16735.0</v>
      </c>
      <c r="I529" s="66">
        <v>-590.0</v>
      </c>
      <c r="J529" s="69">
        <v>-0.0353</v>
      </c>
      <c r="K529" s="143" t="s">
        <v>738</v>
      </c>
    </row>
    <row r="530" spans="8:8" ht="14.25" customHeight="1">
      <c r="A530" s="68" t="s">
        <v>769</v>
      </c>
      <c r="B530" s="68" t="s">
        <v>24</v>
      </c>
      <c r="C530" s="68">
        <v>3.0</v>
      </c>
      <c r="D530" s="68" t="s">
        <v>746</v>
      </c>
      <c r="E530" s="68" t="s">
        <v>29</v>
      </c>
      <c r="F530" s="68" t="s">
        <v>378</v>
      </c>
      <c r="G530" s="66">
        <v>5000.0</v>
      </c>
      <c r="H530" s="66">
        <v>6530.0</v>
      </c>
      <c r="I530" s="66">
        <v>-1530.0</v>
      </c>
      <c r="J530" s="69">
        <v>-0.2343</v>
      </c>
      <c r="K530" s="143" t="s">
        <v>738</v>
      </c>
    </row>
    <row r="531" spans="8:8" ht="14.25" customHeight="1">
      <c r="A531" s="68" t="s">
        <v>769</v>
      </c>
      <c r="B531" s="68" t="s">
        <v>24</v>
      </c>
      <c r="C531" s="68">
        <v>240.0</v>
      </c>
      <c r="D531" s="68" t="s">
        <v>749</v>
      </c>
      <c r="E531" s="68" t="s">
        <v>25</v>
      </c>
      <c r="F531" s="68" t="s">
        <v>382</v>
      </c>
      <c r="G531" s="66">
        <v>5000.0</v>
      </c>
      <c r="H531" s="66">
        <v>6195.0</v>
      </c>
      <c r="I531" s="66">
        <v>-1195.0</v>
      </c>
      <c r="J531" s="69">
        <v>-0.1929</v>
      </c>
      <c r="K531" s="143" t="s">
        <v>738</v>
      </c>
    </row>
    <row r="532" spans="8:8" ht="14.25" customHeight="1">
      <c r="A532" s="68" t="s">
        <v>769</v>
      </c>
      <c r="B532" s="68" t="s">
        <v>34</v>
      </c>
      <c r="C532" s="68">
        <v>1.0</v>
      </c>
      <c r="D532" s="68" t="s">
        <v>746</v>
      </c>
      <c r="E532" s="68" t="s">
        <v>85</v>
      </c>
      <c r="F532" s="68" t="s">
        <v>384</v>
      </c>
      <c r="G532" s="66">
        <v>22740.0</v>
      </c>
      <c r="H532" s="66">
        <v>23895.0</v>
      </c>
      <c r="I532" s="66">
        <v>-1155.0</v>
      </c>
      <c r="J532" s="69">
        <v>-0.0483</v>
      </c>
      <c r="K532" s="143" t="s">
        <v>738</v>
      </c>
    </row>
    <row r="533" spans="8:8" ht="14.25" customHeight="1">
      <c r="A533" s="68" t="s">
        <v>769</v>
      </c>
      <c r="B533" s="68" t="s">
        <v>87</v>
      </c>
      <c r="C533" s="68">
        <v>3.0</v>
      </c>
      <c r="D533" s="68" t="s">
        <v>746</v>
      </c>
      <c r="E533" s="68" t="s">
        <v>85</v>
      </c>
      <c r="F533" s="68" t="s">
        <v>384</v>
      </c>
      <c r="G533" s="66">
        <v>22565.0</v>
      </c>
      <c r="H533" s="66">
        <v>22565.0</v>
      </c>
      <c r="I533" s="66">
        <v>0.0</v>
      </c>
      <c r="J533" s="69">
        <v>0.0</v>
      </c>
      <c r="K533" s="146" t="s">
        <v>747</v>
      </c>
    </row>
    <row r="534" spans="8:8" ht="14.25" customHeight="1">
      <c r="A534" s="68" t="s">
        <v>769</v>
      </c>
      <c r="B534" s="68" t="s">
        <v>113</v>
      </c>
      <c r="C534" s="68">
        <v>3.0</v>
      </c>
      <c r="D534" s="68" t="s">
        <v>746</v>
      </c>
      <c r="E534" s="68" t="s">
        <v>85</v>
      </c>
      <c r="F534" s="68" t="s">
        <v>384</v>
      </c>
      <c r="G534" s="66">
        <v>15765.0</v>
      </c>
      <c r="H534" s="66">
        <v>15765.0</v>
      </c>
      <c r="I534" s="66">
        <v>0.0</v>
      </c>
      <c r="J534" s="69">
        <v>0.0</v>
      </c>
      <c r="K534" s="146" t="s">
        <v>747</v>
      </c>
    </row>
    <row r="535" spans="8:8" ht="14.25" customHeight="1">
      <c r="A535" s="68" t="s">
        <v>769</v>
      </c>
      <c r="B535" s="68" t="s">
        <v>45</v>
      </c>
      <c r="C535" s="68">
        <v>3.0</v>
      </c>
      <c r="D535" s="68" t="s">
        <v>746</v>
      </c>
      <c r="E535" s="68" t="s">
        <v>85</v>
      </c>
      <c r="F535" s="68" t="s">
        <v>384</v>
      </c>
      <c r="G535" s="66">
        <v>13950.0</v>
      </c>
      <c r="H535" s="66">
        <v>13932.0</v>
      </c>
      <c r="I535" s="66">
        <v>18.0</v>
      </c>
      <c r="J535" s="69">
        <v>0.0013</v>
      </c>
      <c r="K535" s="146" t="s">
        <v>747</v>
      </c>
    </row>
    <row r="536" spans="8:8" ht="14.25" customHeight="1">
      <c r="A536" s="68" t="s">
        <v>769</v>
      </c>
      <c r="B536" s="68" t="s">
        <v>21</v>
      </c>
      <c r="C536" s="68">
        <v>1.0</v>
      </c>
      <c r="D536" s="68" t="s">
        <v>746</v>
      </c>
      <c r="E536" s="68" t="s">
        <v>122</v>
      </c>
      <c r="F536" s="68" t="s">
        <v>385</v>
      </c>
      <c r="G536" s="66">
        <v>9000.0</v>
      </c>
      <c r="H536" s="66">
        <v>9190.0</v>
      </c>
      <c r="I536" s="66">
        <v>-190.0</v>
      </c>
      <c r="J536" s="69">
        <v>-0.0207</v>
      </c>
      <c r="K536" s="143" t="s">
        <v>738</v>
      </c>
    </row>
    <row r="537" spans="8:8" ht="14.25" customHeight="1">
      <c r="A537" s="68" t="s">
        <v>769</v>
      </c>
      <c r="B537" s="68" t="s">
        <v>45</v>
      </c>
      <c r="C537" s="68">
        <v>1.0</v>
      </c>
      <c r="D537" s="68" t="s">
        <v>746</v>
      </c>
      <c r="E537" s="68" t="s">
        <v>122</v>
      </c>
      <c r="F537" s="68" t="s">
        <v>385</v>
      </c>
      <c r="G537" s="66">
        <v>13950.0</v>
      </c>
      <c r="H537" s="66">
        <v>13932.0</v>
      </c>
      <c r="I537" s="66">
        <v>18.0</v>
      </c>
      <c r="J537" s="69">
        <v>0.0013</v>
      </c>
      <c r="K537" s="146" t="s">
        <v>747</v>
      </c>
    </row>
    <row r="538" spans="8:8" ht="14.25" customHeight="1">
      <c r="A538" s="68" t="s">
        <v>769</v>
      </c>
      <c r="B538" s="68" t="s">
        <v>44</v>
      </c>
      <c r="C538" s="68">
        <v>1.0</v>
      </c>
      <c r="D538" s="68" t="s">
        <v>746</v>
      </c>
      <c r="E538" s="68" t="s">
        <v>122</v>
      </c>
      <c r="F538" s="68" t="s">
        <v>385</v>
      </c>
      <c r="G538" s="66">
        <v>9200.0</v>
      </c>
      <c r="H538" s="66">
        <v>9685.0</v>
      </c>
      <c r="I538" s="66">
        <v>-485.0</v>
      </c>
      <c r="J538" s="69">
        <v>-0.0501</v>
      </c>
      <c r="K538" s="143" t="s">
        <v>738</v>
      </c>
    </row>
    <row r="539" spans="8:8" ht="14.25" customHeight="1">
      <c r="A539" s="68" t="s">
        <v>769</v>
      </c>
      <c r="B539" s="68" t="s">
        <v>22</v>
      </c>
      <c r="C539" s="68">
        <v>1.0</v>
      </c>
      <c r="D539" s="68" t="s">
        <v>746</v>
      </c>
      <c r="E539" s="68" t="s">
        <v>122</v>
      </c>
      <c r="F539" s="68" t="s">
        <v>385</v>
      </c>
      <c r="G539" s="66">
        <v>9200.0</v>
      </c>
      <c r="H539" s="66">
        <v>9685.0</v>
      </c>
      <c r="I539" s="66">
        <v>-485.0</v>
      </c>
      <c r="J539" s="69">
        <v>-0.0501</v>
      </c>
      <c r="K539" s="143" t="s">
        <v>738</v>
      </c>
    </row>
    <row r="540" spans="8:8" ht="14.25" customHeight="1">
      <c r="A540" s="68" t="s">
        <v>769</v>
      </c>
      <c r="B540" s="68" t="s">
        <v>24</v>
      </c>
      <c r="C540" s="68">
        <v>1.0</v>
      </c>
      <c r="D540" s="68" t="s">
        <v>746</v>
      </c>
      <c r="E540" s="68" t="s">
        <v>122</v>
      </c>
      <c r="F540" s="68" t="s">
        <v>385</v>
      </c>
      <c r="G540" s="66">
        <v>5300.0</v>
      </c>
      <c r="H540" s="66">
        <v>6530.0</v>
      </c>
      <c r="I540" s="66">
        <v>-1230.0</v>
      </c>
      <c r="J540" s="69">
        <v>-0.1884</v>
      </c>
      <c r="K540" s="143" t="s">
        <v>738</v>
      </c>
    </row>
    <row r="541" spans="8:8" ht="14.25" customHeight="1">
      <c r="A541" s="68" t="s">
        <v>769</v>
      </c>
      <c r="B541" s="68" t="s">
        <v>21</v>
      </c>
      <c r="C541" s="68">
        <v>2.0</v>
      </c>
      <c r="D541" s="68" t="s">
        <v>746</v>
      </c>
      <c r="E541" s="68" t="s">
        <v>336</v>
      </c>
      <c r="F541" s="68" t="s">
        <v>386</v>
      </c>
      <c r="G541" s="66">
        <v>8500.0</v>
      </c>
      <c r="H541" s="66">
        <v>9190.0</v>
      </c>
      <c r="I541" s="66">
        <v>-690.0</v>
      </c>
      <c r="J541" s="69">
        <v>-0.0751</v>
      </c>
      <c r="K541" s="143" t="s">
        <v>738</v>
      </c>
    </row>
    <row r="542" spans="8:8" ht="14.25" customHeight="1">
      <c r="A542" s="68" t="s">
        <v>769</v>
      </c>
      <c r="B542" s="68" t="s">
        <v>45</v>
      </c>
      <c r="C542" s="68">
        <v>1.0</v>
      </c>
      <c r="D542" s="68" t="s">
        <v>746</v>
      </c>
      <c r="E542" s="68" t="s">
        <v>336</v>
      </c>
      <c r="F542" s="68" t="s">
        <v>386</v>
      </c>
      <c r="G542" s="66">
        <v>13335.0</v>
      </c>
      <c r="H542" s="66">
        <v>13932.0</v>
      </c>
      <c r="I542" s="66">
        <v>-597.0</v>
      </c>
      <c r="J542" s="69">
        <v>-0.0429</v>
      </c>
      <c r="K542" s="143" t="s">
        <v>738</v>
      </c>
    </row>
    <row r="543" spans="8:8" ht="14.25" customHeight="1">
      <c r="A543" s="68" t="s">
        <v>769</v>
      </c>
      <c r="B543" s="68" t="s">
        <v>22</v>
      </c>
      <c r="C543" s="68">
        <v>2.0</v>
      </c>
      <c r="D543" s="68" t="s">
        <v>746</v>
      </c>
      <c r="E543" s="68" t="s">
        <v>336</v>
      </c>
      <c r="F543" s="68" t="s">
        <v>386</v>
      </c>
      <c r="G543" s="66">
        <v>9200.0</v>
      </c>
      <c r="H543" s="66">
        <v>9685.0</v>
      </c>
      <c r="I543" s="66">
        <v>-485.0</v>
      </c>
      <c r="J543" s="69">
        <v>-0.0501</v>
      </c>
      <c r="K543" s="143" t="s">
        <v>738</v>
      </c>
    </row>
    <row r="544" spans="8:8" ht="14.25" customHeight="1">
      <c r="A544" s="68" t="s">
        <v>769</v>
      </c>
      <c r="B544" s="68" t="s">
        <v>24</v>
      </c>
      <c r="C544" s="68">
        <v>1.0</v>
      </c>
      <c r="D544" s="68" t="s">
        <v>746</v>
      </c>
      <c r="E544" s="68" t="s">
        <v>154</v>
      </c>
      <c r="F544" s="68" t="s">
        <v>387</v>
      </c>
      <c r="G544" s="66">
        <v>5000.0</v>
      </c>
      <c r="H544" s="66">
        <v>6530.0</v>
      </c>
      <c r="I544" s="66">
        <v>-1530.0</v>
      </c>
      <c r="J544" s="69">
        <v>-0.2343</v>
      </c>
      <c r="K544" s="143" t="s">
        <v>738</v>
      </c>
    </row>
    <row r="545" spans="8:8" ht="14.25" customHeight="1">
      <c r="A545" s="68" t="s">
        <v>769</v>
      </c>
      <c r="B545" s="68" t="s">
        <v>24</v>
      </c>
      <c r="C545" s="68">
        <v>15.0</v>
      </c>
      <c r="D545" s="68" t="s">
        <v>746</v>
      </c>
      <c r="E545" s="68" t="s">
        <v>95</v>
      </c>
      <c r="F545" s="68" t="s">
        <v>388</v>
      </c>
      <c r="G545" s="66">
        <v>5000.0</v>
      </c>
      <c r="H545" s="66">
        <v>6530.0</v>
      </c>
      <c r="I545" s="66">
        <v>-1530.0</v>
      </c>
      <c r="J545" s="69">
        <v>-0.2343</v>
      </c>
      <c r="K545" s="143" t="s">
        <v>738</v>
      </c>
    </row>
    <row r="546" spans="8:8" ht="14.25" customHeight="1">
      <c r="A546" s="68" t="s">
        <v>769</v>
      </c>
      <c r="B546" s="68" t="s">
        <v>27</v>
      </c>
      <c r="C546" s="68">
        <v>5.0</v>
      </c>
      <c r="D546" s="68" t="s">
        <v>746</v>
      </c>
      <c r="E546" s="68" t="s">
        <v>95</v>
      </c>
      <c r="F546" s="68" t="s">
        <v>388</v>
      </c>
      <c r="G546" s="66">
        <v>8020.0</v>
      </c>
      <c r="H546" s="66">
        <v>8355.0</v>
      </c>
      <c r="I546" s="66">
        <v>-335.0</v>
      </c>
      <c r="J546" s="69">
        <v>-0.0401</v>
      </c>
      <c r="K546" s="143" t="s">
        <v>738</v>
      </c>
    </row>
    <row r="547" spans="8:8" ht="14.25" customHeight="1">
      <c r="A547" s="68" t="s">
        <v>769</v>
      </c>
      <c r="B547" s="68" t="s">
        <v>113</v>
      </c>
      <c r="C547" s="68">
        <v>2.0</v>
      </c>
      <c r="D547" s="68" t="s">
        <v>746</v>
      </c>
      <c r="E547" s="68" t="s">
        <v>154</v>
      </c>
      <c r="F547" s="68" t="s">
        <v>389</v>
      </c>
      <c r="G547" s="66">
        <v>14475.0</v>
      </c>
      <c r="H547" s="66">
        <v>15765.0</v>
      </c>
      <c r="I547" s="66">
        <v>-1290.0</v>
      </c>
      <c r="J547" s="69">
        <v>-0.0818</v>
      </c>
      <c r="K547" s="143" t="s">
        <v>738</v>
      </c>
    </row>
    <row r="548" spans="8:8" ht="14.25" customHeight="1">
      <c r="A548" s="68" t="s">
        <v>770</v>
      </c>
      <c r="B548" s="68" t="s">
        <v>33</v>
      </c>
      <c r="C548" s="68">
        <v>30.0</v>
      </c>
      <c r="D548" s="68" t="s">
        <v>746</v>
      </c>
      <c r="E548" s="68" t="s">
        <v>50</v>
      </c>
      <c r="F548" s="68" t="s">
        <v>390</v>
      </c>
      <c r="G548" s="66">
        <v>15655.0</v>
      </c>
      <c r="H548" s="66">
        <v>16735.0</v>
      </c>
      <c r="I548" s="66">
        <v>-1080.0</v>
      </c>
      <c r="J548" s="69">
        <v>-0.0645</v>
      </c>
      <c r="K548" s="143" t="s">
        <v>738</v>
      </c>
    </row>
    <row r="549" spans="8:8" ht="14.25" customHeight="1">
      <c r="A549" s="68" t="s">
        <v>770</v>
      </c>
      <c r="B549" s="68" t="s">
        <v>32</v>
      </c>
      <c r="C549" s="68">
        <v>15.0</v>
      </c>
      <c r="D549" s="68" t="s">
        <v>746</v>
      </c>
      <c r="E549" s="68" t="s">
        <v>50</v>
      </c>
      <c r="F549" s="68" t="s">
        <v>390</v>
      </c>
      <c r="G549" s="66">
        <v>15655.0</v>
      </c>
      <c r="H549" s="66">
        <v>16735.0</v>
      </c>
      <c r="I549" s="66">
        <v>-1080.0</v>
      </c>
      <c r="J549" s="69">
        <v>-0.0645</v>
      </c>
      <c r="K549" s="143" t="s">
        <v>738</v>
      </c>
    </row>
    <row r="550" spans="8:8" ht="14.25" customHeight="1">
      <c r="A550" s="68" t="s">
        <v>770</v>
      </c>
      <c r="B550" s="68" t="s">
        <v>70</v>
      </c>
      <c r="C550" s="68">
        <v>20.0</v>
      </c>
      <c r="D550" s="68" t="s">
        <v>746</v>
      </c>
      <c r="E550" s="68" t="s">
        <v>50</v>
      </c>
      <c r="F550" s="68" t="s">
        <v>390</v>
      </c>
      <c r="G550" s="66">
        <v>13100.0</v>
      </c>
      <c r="H550" s="66">
        <v>14085.0</v>
      </c>
      <c r="I550" s="66">
        <v>-985.0</v>
      </c>
      <c r="J550" s="69">
        <v>-0.0699</v>
      </c>
      <c r="K550" s="143" t="s">
        <v>738</v>
      </c>
    </row>
    <row r="551" spans="8:8" ht="14.25" customHeight="1">
      <c r="A551" s="68" t="s">
        <v>770</v>
      </c>
      <c r="B551" s="68" t="s">
        <v>31</v>
      </c>
      <c r="C551" s="68">
        <v>40.0</v>
      </c>
      <c r="D551" s="68" t="s">
        <v>746</v>
      </c>
      <c r="E551" s="68" t="s">
        <v>50</v>
      </c>
      <c r="F551" s="68" t="s">
        <v>390</v>
      </c>
      <c r="G551" s="66">
        <v>17200.0</v>
      </c>
      <c r="H551" s="66">
        <v>18615.0</v>
      </c>
      <c r="I551" s="66">
        <v>-1415.0</v>
      </c>
      <c r="J551" s="69">
        <v>-0.076</v>
      </c>
      <c r="K551" s="143" t="s">
        <v>738</v>
      </c>
    </row>
    <row r="552" spans="8:8" ht="14.25" customHeight="1">
      <c r="A552" s="68" t="s">
        <v>770</v>
      </c>
      <c r="B552" s="68" t="s">
        <v>24</v>
      </c>
      <c r="C552" s="68">
        <v>40.0</v>
      </c>
      <c r="D552" s="68" t="s">
        <v>746</v>
      </c>
      <c r="E552" s="68" t="s">
        <v>75</v>
      </c>
      <c r="F552" s="68" t="s">
        <v>392</v>
      </c>
      <c r="G552" s="66">
        <v>5000.0</v>
      </c>
      <c r="H552" s="66">
        <v>6530.0</v>
      </c>
      <c r="I552" s="66">
        <v>-1530.0</v>
      </c>
      <c r="J552" s="69">
        <v>-0.2343</v>
      </c>
      <c r="K552" s="143" t="s">
        <v>738</v>
      </c>
    </row>
    <row r="553" spans="8:8" ht="14.25" customHeight="1">
      <c r="A553" s="68" t="s">
        <v>770</v>
      </c>
      <c r="B553" s="68" t="s">
        <v>24</v>
      </c>
      <c r="C553" s="68">
        <v>100.0</v>
      </c>
      <c r="D553" s="68" t="s">
        <v>749</v>
      </c>
      <c r="E553" s="68" t="s">
        <v>394</v>
      </c>
      <c r="F553" s="68" t="s">
        <v>395</v>
      </c>
      <c r="G553" s="66">
        <v>5000.0</v>
      </c>
      <c r="H553" s="66">
        <v>6195.0</v>
      </c>
      <c r="I553" s="66">
        <v>-1195.0</v>
      </c>
      <c r="J553" s="69">
        <v>-0.1929</v>
      </c>
      <c r="K553" s="143" t="s">
        <v>738</v>
      </c>
    </row>
    <row r="554" spans="8:8" ht="14.25" customHeight="1">
      <c r="A554" s="68" t="s">
        <v>770</v>
      </c>
      <c r="B554" s="68" t="s">
        <v>22</v>
      </c>
      <c r="C554" s="68">
        <v>2.0</v>
      </c>
      <c r="D554" s="68" t="s">
        <v>746</v>
      </c>
      <c r="E554" s="68" t="s">
        <v>15</v>
      </c>
      <c r="F554" s="68" t="s">
        <v>396</v>
      </c>
      <c r="G554" s="66">
        <v>9500.0</v>
      </c>
      <c r="H554" s="66">
        <v>9685.0</v>
      </c>
      <c r="I554" s="66">
        <v>-185.0</v>
      </c>
      <c r="J554" s="69">
        <v>-0.0191</v>
      </c>
      <c r="K554" s="143" t="s">
        <v>738</v>
      </c>
    </row>
    <row r="555" spans="8:8" ht="14.25" customHeight="1">
      <c r="A555" s="68" t="s">
        <v>770</v>
      </c>
      <c r="B555" s="68" t="s">
        <v>24</v>
      </c>
      <c r="C555" s="68">
        <v>248.0</v>
      </c>
      <c r="D555" s="68" t="s">
        <v>749</v>
      </c>
      <c r="E555" s="68" t="s">
        <v>50</v>
      </c>
      <c r="F555" s="68" t="s">
        <v>397</v>
      </c>
      <c r="G555" s="66">
        <v>5000.0</v>
      </c>
      <c r="H555" s="66">
        <v>6195.0</v>
      </c>
      <c r="I555" s="66">
        <v>-1195.0</v>
      </c>
      <c r="J555" s="69">
        <v>-0.1929</v>
      </c>
      <c r="K555" s="143" t="s">
        <v>738</v>
      </c>
    </row>
    <row r="556" spans="8:8" ht="14.25" customHeight="1">
      <c r="A556" s="68" t="s">
        <v>770</v>
      </c>
      <c r="B556" s="68" t="s">
        <v>190</v>
      </c>
      <c r="C556" s="68">
        <v>1.0</v>
      </c>
      <c r="D556" s="68" t="s">
        <v>746</v>
      </c>
      <c r="E556" s="68" t="s">
        <v>25</v>
      </c>
      <c r="F556" s="68" t="s">
        <v>398</v>
      </c>
      <c r="G556" s="66">
        <v>28445.0</v>
      </c>
      <c r="H556" s="66">
        <v>30935.0</v>
      </c>
      <c r="I556" s="66">
        <v>-2490.0</v>
      </c>
      <c r="J556" s="69">
        <v>-0.0805</v>
      </c>
      <c r="K556" s="143" t="s">
        <v>738</v>
      </c>
    </row>
    <row r="557" spans="8:8" ht="14.25" customHeight="1">
      <c r="A557" s="68" t="s">
        <v>770</v>
      </c>
      <c r="B557" s="68" t="s">
        <v>56</v>
      </c>
      <c r="C557" s="68">
        <v>1.0</v>
      </c>
      <c r="D557" s="68" t="s">
        <v>746</v>
      </c>
      <c r="E557" s="68" t="s">
        <v>25</v>
      </c>
      <c r="F557" s="68" t="s">
        <v>398</v>
      </c>
      <c r="G557" s="66">
        <v>24235.0</v>
      </c>
      <c r="H557" s="66">
        <v>28145.0</v>
      </c>
      <c r="I557" s="66">
        <v>-3910.0</v>
      </c>
      <c r="J557" s="69">
        <v>-0.1389</v>
      </c>
      <c r="K557" s="143" t="s">
        <v>738</v>
      </c>
    </row>
    <row r="558" spans="8:8" ht="14.25" customHeight="1">
      <c r="A558" s="68" t="s">
        <v>770</v>
      </c>
      <c r="B558" s="68" t="s">
        <v>24</v>
      </c>
      <c r="C558" s="68">
        <v>210.0</v>
      </c>
      <c r="D558" s="68" t="s">
        <v>749</v>
      </c>
      <c r="E558" s="68" t="s">
        <v>25</v>
      </c>
      <c r="F558" s="68" t="s">
        <v>400</v>
      </c>
      <c r="G558" s="66">
        <v>5000.0</v>
      </c>
      <c r="H558" s="66">
        <v>6195.0</v>
      </c>
      <c r="I558" s="66">
        <v>-1195.0</v>
      </c>
      <c r="J558" s="69">
        <v>-0.1929</v>
      </c>
      <c r="K558" s="143" t="s">
        <v>738</v>
      </c>
    </row>
    <row r="559" spans="8:8" ht="14.25" customHeight="1">
      <c r="A559" s="68" t="s">
        <v>770</v>
      </c>
      <c r="B559" s="68" t="s">
        <v>21</v>
      </c>
      <c r="C559" s="68">
        <v>1.0</v>
      </c>
      <c r="D559" s="68" t="s">
        <v>746</v>
      </c>
      <c r="E559" s="68" t="s">
        <v>15</v>
      </c>
      <c r="F559" s="68" t="s">
        <v>402</v>
      </c>
      <c r="G559" s="66">
        <v>9000.0</v>
      </c>
      <c r="H559" s="66">
        <v>9190.0</v>
      </c>
      <c r="I559" s="66">
        <v>-190.0</v>
      </c>
      <c r="J559" s="69">
        <v>-0.0207</v>
      </c>
      <c r="K559" s="143" t="s">
        <v>738</v>
      </c>
    </row>
    <row r="560" spans="8:8" ht="14.25" customHeight="1">
      <c r="A560" s="68" t="s">
        <v>770</v>
      </c>
      <c r="B560" s="68" t="s">
        <v>22</v>
      </c>
      <c r="C560" s="68">
        <v>1.0</v>
      </c>
      <c r="D560" s="68" t="s">
        <v>746</v>
      </c>
      <c r="E560" s="68" t="s">
        <v>15</v>
      </c>
      <c r="F560" s="68" t="s">
        <v>402</v>
      </c>
      <c r="G560" s="66">
        <v>9500.0</v>
      </c>
      <c r="H560" s="66">
        <v>9685.0</v>
      </c>
      <c r="I560" s="66">
        <v>-185.0</v>
      </c>
      <c r="J560" s="69">
        <v>-0.0191</v>
      </c>
      <c r="K560" s="143" t="s">
        <v>738</v>
      </c>
    </row>
    <row r="561" spans="8:8" ht="14.25" customHeight="1">
      <c r="A561" s="68" t="s">
        <v>770</v>
      </c>
      <c r="B561" s="68" t="s">
        <v>44</v>
      </c>
      <c r="C561" s="68">
        <v>1.0</v>
      </c>
      <c r="D561" s="68" t="s">
        <v>746</v>
      </c>
      <c r="E561" s="68" t="s">
        <v>15</v>
      </c>
      <c r="F561" s="68" t="s">
        <v>402</v>
      </c>
      <c r="G561" s="66">
        <v>9500.0</v>
      </c>
      <c r="H561" s="66">
        <v>9685.0</v>
      </c>
      <c r="I561" s="66">
        <v>-185.0</v>
      </c>
      <c r="J561" s="69">
        <v>-0.0191</v>
      </c>
      <c r="K561" s="143" t="s">
        <v>738</v>
      </c>
    </row>
    <row r="562" spans="8:8" ht="14.25" customHeight="1">
      <c r="A562" s="68" t="s">
        <v>770</v>
      </c>
      <c r="B562" s="68" t="s">
        <v>45</v>
      </c>
      <c r="C562" s="68">
        <v>1.0</v>
      </c>
      <c r="D562" s="68" t="s">
        <v>746</v>
      </c>
      <c r="E562" s="68" t="s">
        <v>15</v>
      </c>
      <c r="F562" s="68" t="s">
        <v>402</v>
      </c>
      <c r="G562" s="66">
        <v>13950.0</v>
      </c>
      <c r="H562" s="66">
        <v>13932.0</v>
      </c>
      <c r="I562" s="66">
        <v>18.0</v>
      </c>
      <c r="J562" s="69">
        <v>0.0013</v>
      </c>
      <c r="K562" s="146" t="s">
        <v>747</v>
      </c>
    </row>
    <row r="563" spans="8:8" ht="14.25" customHeight="1">
      <c r="A563" s="68" t="s">
        <v>770</v>
      </c>
      <c r="B563" s="68" t="s">
        <v>22</v>
      </c>
      <c r="C563" s="68">
        <v>60.0</v>
      </c>
      <c r="D563" s="68" t="s">
        <v>749</v>
      </c>
      <c r="E563" s="68" t="s">
        <v>75</v>
      </c>
      <c r="F563" s="68" t="s">
        <v>403</v>
      </c>
      <c r="G563" s="66">
        <v>9200.0</v>
      </c>
      <c r="H563" s="66">
        <v>9335.0</v>
      </c>
      <c r="I563" s="66">
        <v>-135.0</v>
      </c>
      <c r="J563" s="69">
        <v>-0.0145</v>
      </c>
      <c r="K563" s="143" t="s">
        <v>738</v>
      </c>
    </row>
    <row r="564" spans="8:8" ht="14.25" customHeight="1">
      <c r="A564" s="68" t="s">
        <v>770</v>
      </c>
      <c r="B564" s="68" t="s">
        <v>70</v>
      </c>
      <c r="C564" s="68">
        <v>1.0</v>
      </c>
      <c r="D564" s="68" t="s">
        <v>746</v>
      </c>
      <c r="E564" s="68" t="s">
        <v>122</v>
      </c>
      <c r="F564" s="68" t="s">
        <v>405</v>
      </c>
      <c r="G564" s="66">
        <v>13460.0</v>
      </c>
      <c r="H564" s="66">
        <v>14085.0</v>
      </c>
      <c r="I564" s="66">
        <v>-625.0</v>
      </c>
      <c r="J564" s="69">
        <v>-0.0444</v>
      </c>
      <c r="K564" s="143" t="s">
        <v>738</v>
      </c>
    </row>
    <row r="565" spans="8:8" ht="14.25" customHeight="1">
      <c r="A565" s="68" t="s">
        <v>770</v>
      </c>
      <c r="B565" s="68" t="s">
        <v>45</v>
      </c>
      <c r="C565" s="68">
        <v>1.0</v>
      </c>
      <c r="D565" s="68" t="s">
        <v>746</v>
      </c>
      <c r="E565" s="68" t="s">
        <v>122</v>
      </c>
      <c r="F565" s="68" t="s">
        <v>405</v>
      </c>
      <c r="G565" s="66">
        <v>13950.0</v>
      </c>
      <c r="H565" s="66">
        <v>13932.0</v>
      </c>
      <c r="I565" s="66">
        <v>18.0</v>
      </c>
      <c r="J565" s="69">
        <v>0.0013</v>
      </c>
      <c r="K565" s="146" t="s">
        <v>747</v>
      </c>
    </row>
    <row r="566" spans="8:8" ht="14.25" customHeight="1">
      <c r="A566" s="68" t="s">
        <v>770</v>
      </c>
      <c r="B566" s="68" t="s">
        <v>44</v>
      </c>
      <c r="C566" s="68">
        <v>1.0</v>
      </c>
      <c r="D566" s="68" t="s">
        <v>746</v>
      </c>
      <c r="E566" s="68" t="s">
        <v>122</v>
      </c>
      <c r="F566" s="68" t="s">
        <v>405</v>
      </c>
      <c r="G566" s="66">
        <v>9200.0</v>
      </c>
      <c r="H566" s="66">
        <v>9685.0</v>
      </c>
      <c r="I566" s="66">
        <v>-485.0</v>
      </c>
      <c r="J566" s="69">
        <v>-0.0501</v>
      </c>
      <c r="K566" s="143" t="s">
        <v>738</v>
      </c>
    </row>
    <row r="567" spans="8:8" ht="14.25" customHeight="1">
      <c r="A567" s="68" t="s">
        <v>770</v>
      </c>
      <c r="B567" s="68" t="s">
        <v>22</v>
      </c>
      <c r="C567" s="68">
        <v>1.0</v>
      </c>
      <c r="D567" s="68" t="s">
        <v>746</v>
      </c>
      <c r="E567" s="68" t="s">
        <v>122</v>
      </c>
      <c r="F567" s="68" t="s">
        <v>405</v>
      </c>
      <c r="G567" s="66">
        <v>9200.0</v>
      </c>
      <c r="H567" s="66">
        <v>9685.0</v>
      </c>
      <c r="I567" s="66">
        <v>-485.0</v>
      </c>
      <c r="J567" s="69">
        <v>-0.0501</v>
      </c>
      <c r="K567" s="143" t="s">
        <v>738</v>
      </c>
    </row>
    <row r="568" spans="8:8" ht="14.25" customHeight="1">
      <c r="A568" s="68" t="s">
        <v>770</v>
      </c>
      <c r="B568" s="68" t="s">
        <v>21</v>
      </c>
      <c r="C568" s="68">
        <v>1.0</v>
      </c>
      <c r="D568" s="68" t="s">
        <v>746</v>
      </c>
      <c r="E568" s="68" t="s">
        <v>122</v>
      </c>
      <c r="F568" s="68" t="s">
        <v>405</v>
      </c>
      <c r="G568" s="66">
        <v>9000.0</v>
      </c>
      <c r="H568" s="66">
        <v>9190.0</v>
      </c>
      <c r="I568" s="66">
        <v>-190.0</v>
      </c>
      <c r="J568" s="69">
        <v>-0.0207</v>
      </c>
      <c r="K568" s="143" t="s">
        <v>738</v>
      </c>
    </row>
    <row r="569" spans="8:8" ht="14.25" customHeight="1">
      <c r="A569" s="68" t="s">
        <v>770</v>
      </c>
      <c r="B569" s="68" t="s">
        <v>119</v>
      </c>
      <c r="C569" s="68">
        <v>1.0</v>
      </c>
      <c r="D569" s="68" t="s">
        <v>746</v>
      </c>
      <c r="E569" s="68" t="s">
        <v>15</v>
      </c>
      <c r="F569" s="68" t="s">
        <v>406</v>
      </c>
      <c r="G569" s="66">
        <v>13900.0</v>
      </c>
      <c r="H569" s="66">
        <v>13900.0</v>
      </c>
      <c r="I569" s="66">
        <v>0.0</v>
      </c>
      <c r="J569" s="69">
        <v>0.0</v>
      </c>
      <c r="K569" s="146" t="s">
        <v>747</v>
      </c>
    </row>
    <row r="570" spans="8:8" ht="14.25" customHeight="1">
      <c r="A570" s="68" t="s">
        <v>770</v>
      </c>
      <c r="B570" s="68" t="s">
        <v>37</v>
      </c>
      <c r="C570" s="68">
        <v>1.0</v>
      </c>
      <c r="D570" s="68" t="s">
        <v>746</v>
      </c>
      <c r="E570" s="68" t="s">
        <v>15</v>
      </c>
      <c r="F570" s="68" t="s">
        <v>406</v>
      </c>
      <c r="G570" s="66">
        <v>9200.0</v>
      </c>
      <c r="H570" s="66">
        <v>9235.0</v>
      </c>
      <c r="I570" s="66">
        <v>-35.0</v>
      </c>
      <c r="J570" s="69">
        <v>-0.0038</v>
      </c>
      <c r="K570" s="146" t="s">
        <v>747</v>
      </c>
    </row>
    <row r="571" spans="8:8" ht="14.25" customHeight="1">
      <c r="A571" s="68" t="s">
        <v>771</v>
      </c>
      <c r="B571" s="68" t="s">
        <v>24</v>
      </c>
      <c r="C571" s="68">
        <v>496.0</v>
      </c>
      <c r="D571" s="68" t="s">
        <v>755</v>
      </c>
      <c r="E571" s="68" t="s">
        <v>50</v>
      </c>
      <c r="F571" s="68" t="s">
        <v>407</v>
      </c>
      <c r="G571" s="66">
        <v>5000.0</v>
      </c>
      <c r="H571" s="66">
        <v>5970.0</v>
      </c>
      <c r="I571" s="66">
        <v>-970.0</v>
      </c>
      <c r="J571" s="69">
        <v>-0.1625</v>
      </c>
      <c r="K571" s="143" t="s">
        <v>738</v>
      </c>
    </row>
    <row r="572" spans="8:8" ht="14.25" customHeight="1">
      <c r="A572" s="68" t="s">
        <v>771</v>
      </c>
      <c r="B572" s="68" t="s">
        <v>101</v>
      </c>
      <c r="C572" s="68">
        <v>5.0</v>
      </c>
      <c r="D572" s="68" t="s">
        <v>746</v>
      </c>
      <c r="E572" s="68" t="s">
        <v>50</v>
      </c>
      <c r="F572" s="68" t="s">
        <v>409</v>
      </c>
      <c r="G572" s="66">
        <v>13550.0</v>
      </c>
      <c r="H572" s="66">
        <v>14455.0</v>
      </c>
      <c r="I572" s="66">
        <v>-905.0</v>
      </c>
      <c r="J572" s="69">
        <v>-0.0626</v>
      </c>
      <c r="K572" s="143" t="s">
        <v>738</v>
      </c>
    </row>
    <row r="573" spans="8:8" ht="14.25" customHeight="1">
      <c r="A573" s="68" t="s">
        <v>771</v>
      </c>
      <c r="B573" s="68" t="s">
        <v>24</v>
      </c>
      <c r="C573" s="68">
        <v>248.0</v>
      </c>
      <c r="D573" s="68" t="s">
        <v>749</v>
      </c>
      <c r="E573" s="68" t="s">
        <v>25</v>
      </c>
      <c r="F573" s="68" t="s">
        <v>411</v>
      </c>
      <c r="G573" s="66">
        <v>5000.0</v>
      </c>
      <c r="H573" s="66">
        <v>6195.0</v>
      </c>
      <c r="I573" s="66">
        <v>-1195.0</v>
      </c>
      <c r="J573" s="69">
        <v>-0.1929</v>
      </c>
      <c r="K573" s="143" t="s">
        <v>738</v>
      </c>
    </row>
    <row r="574" spans="8:8" ht="14.25" customHeight="1">
      <c r="A574" s="68" t="s">
        <v>771</v>
      </c>
      <c r="B574" s="68" t="s">
        <v>22</v>
      </c>
      <c r="C574" s="68">
        <v>4.0</v>
      </c>
      <c r="D574" s="68" t="s">
        <v>746</v>
      </c>
      <c r="E574" s="68" t="s">
        <v>341</v>
      </c>
      <c r="F574" s="68" t="s">
        <v>412</v>
      </c>
      <c r="G574" s="66">
        <v>9335.0</v>
      </c>
      <c r="H574" s="66">
        <v>9685.0</v>
      </c>
      <c r="I574" s="66">
        <v>-350.0</v>
      </c>
      <c r="J574" s="69">
        <v>-0.0361</v>
      </c>
      <c r="K574" s="143" t="s">
        <v>738</v>
      </c>
    </row>
    <row r="575" spans="8:8" ht="14.25" customHeight="1">
      <c r="A575" s="68" t="s">
        <v>771</v>
      </c>
      <c r="B575" s="68" t="s">
        <v>45</v>
      </c>
      <c r="C575" s="68">
        <v>5.0</v>
      </c>
      <c r="D575" s="68" t="s">
        <v>746</v>
      </c>
      <c r="E575" s="68" t="s">
        <v>29</v>
      </c>
      <c r="F575" s="68" t="s">
        <v>414</v>
      </c>
      <c r="G575" s="66">
        <v>13335.0</v>
      </c>
      <c r="H575" s="66">
        <v>13932.0</v>
      </c>
      <c r="I575" s="66">
        <v>-597.0</v>
      </c>
      <c r="J575" s="69">
        <v>-0.0429</v>
      </c>
      <c r="K575" s="143" t="s">
        <v>738</v>
      </c>
    </row>
    <row r="576" spans="8:8" ht="14.25" customHeight="1">
      <c r="A576" s="68" t="s">
        <v>771</v>
      </c>
      <c r="B576" s="68" t="s">
        <v>44</v>
      </c>
      <c r="C576" s="68">
        <v>10.0</v>
      </c>
      <c r="D576" s="68" t="s">
        <v>746</v>
      </c>
      <c r="E576" s="68" t="s">
        <v>29</v>
      </c>
      <c r="F576" s="68" t="s">
        <v>414</v>
      </c>
      <c r="G576" s="66">
        <v>9200.0</v>
      </c>
      <c r="H576" s="66">
        <v>9685.0</v>
      </c>
      <c r="I576" s="66">
        <v>-485.0</v>
      </c>
      <c r="J576" s="69">
        <v>-0.0501</v>
      </c>
      <c r="K576" s="143" t="s">
        <v>738</v>
      </c>
    </row>
    <row r="577" spans="8:8" ht="14.25" customHeight="1">
      <c r="A577" s="68" t="s">
        <v>771</v>
      </c>
      <c r="B577" s="68" t="s">
        <v>22</v>
      </c>
      <c r="C577" s="68">
        <v>10.0</v>
      </c>
      <c r="D577" s="68" t="s">
        <v>746</v>
      </c>
      <c r="E577" s="68" t="s">
        <v>29</v>
      </c>
      <c r="F577" s="68" t="s">
        <v>414</v>
      </c>
      <c r="G577" s="66">
        <v>8800.0</v>
      </c>
      <c r="H577" s="66">
        <v>9685.0</v>
      </c>
      <c r="I577" s="66">
        <v>-885.0</v>
      </c>
      <c r="J577" s="69">
        <v>-0.0914</v>
      </c>
      <c r="K577" s="143" t="s">
        <v>738</v>
      </c>
    </row>
    <row r="578" spans="8:8" ht="14.25" customHeight="1">
      <c r="A578" s="68" t="s">
        <v>771</v>
      </c>
      <c r="B578" s="68" t="s">
        <v>87</v>
      </c>
      <c r="C578" s="68">
        <v>1.0</v>
      </c>
      <c r="D578" s="68" t="s">
        <v>746</v>
      </c>
      <c r="E578" s="68" t="s">
        <v>29</v>
      </c>
      <c r="F578" s="68" t="s">
        <v>414</v>
      </c>
      <c r="G578" s="66">
        <v>21400.0</v>
      </c>
      <c r="H578" s="66">
        <v>22565.0</v>
      </c>
      <c r="I578" s="66">
        <v>-1165.0</v>
      </c>
      <c r="J578" s="69">
        <v>-0.0516</v>
      </c>
      <c r="K578" s="143" t="s">
        <v>738</v>
      </c>
    </row>
    <row r="579" spans="8:8" ht="14.25" customHeight="1">
      <c r="A579" s="68" t="s">
        <v>771</v>
      </c>
      <c r="B579" s="68" t="s">
        <v>36</v>
      </c>
      <c r="C579" s="68">
        <v>2.0</v>
      </c>
      <c r="D579" s="68" t="s">
        <v>746</v>
      </c>
      <c r="E579" s="68" t="s">
        <v>29</v>
      </c>
      <c r="F579" s="68" t="s">
        <v>414</v>
      </c>
      <c r="G579" s="66">
        <v>15525.0</v>
      </c>
      <c r="H579" s="66">
        <v>16140.0</v>
      </c>
      <c r="I579" s="66">
        <v>-615.0</v>
      </c>
      <c r="J579" s="69">
        <v>-0.0381</v>
      </c>
      <c r="K579" s="143" t="s">
        <v>738</v>
      </c>
    </row>
    <row r="580" spans="8:8" ht="14.25" customHeight="1">
      <c r="A580" s="68" t="s">
        <v>771</v>
      </c>
      <c r="B580" s="68" t="s">
        <v>70</v>
      </c>
      <c r="C580" s="68">
        <v>1.0</v>
      </c>
      <c r="D580" s="68" t="s">
        <v>746</v>
      </c>
      <c r="E580" s="68" t="s">
        <v>29</v>
      </c>
      <c r="F580" s="68" t="s">
        <v>414</v>
      </c>
      <c r="G580" s="66">
        <v>13460.0</v>
      </c>
      <c r="H580" s="66">
        <v>14085.0</v>
      </c>
      <c r="I580" s="66">
        <v>-625.0</v>
      </c>
      <c r="J580" s="69">
        <v>-0.0444</v>
      </c>
      <c r="K580" s="143" t="s">
        <v>738</v>
      </c>
    </row>
    <row r="581" spans="8:8" ht="14.25" customHeight="1">
      <c r="A581" s="68" t="s">
        <v>771</v>
      </c>
      <c r="B581" s="68" t="s">
        <v>65</v>
      </c>
      <c r="C581" s="68">
        <v>2.0</v>
      </c>
      <c r="D581" s="68" t="s">
        <v>746</v>
      </c>
      <c r="E581" s="68" t="s">
        <v>29</v>
      </c>
      <c r="F581" s="68" t="s">
        <v>414</v>
      </c>
      <c r="G581" s="66">
        <v>11910.0</v>
      </c>
      <c r="H581" s="66">
        <v>12525.0</v>
      </c>
      <c r="I581" s="66">
        <v>-615.0</v>
      </c>
      <c r="J581" s="69">
        <v>-0.0491</v>
      </c>
      <c r="K581" s="143" t="s">
        <v>738</v>
      </c>
    </row>
    <row r="582" spans="8:8" ht="14.25" customHeight="1">
      <c r="A582" s="68" t="s">
        <v>771</v>
      </c>
      <c r="B582" s="68" t="s">
        <v>22</v>
      </c>
      <c r="C582" s="68">
        <v>20.0</v>
      </c>
      <c r="D582" s="68" t="s">
        <v>746</v>
      </c>
      <c r="E582" s="68" t="s">
        <v>157</v>
      </c>
      <c r="F582" s="68" t="s">
        <v>416</v>
      </c>
      <c r="G582" s="66">
        <v>9200.0</v>
      </c>
      <c r="H582" s="66">
        <v>9685.0</v>
      </c>
      <c r="I582" s="66">
        <v>-485.0</v>
      </c>
      <c r="J582" s="69">
        <v>-0.0501</v>
      </c>
      <c r="K582" s="143" t="s">
        <v>738</v>
      </c>
    </row>
    <row r="583" spans="8:8" ht="14.25" customHeight="1">
      <c r="A583" s="68" t="s">
        <v>771</v>
      </c>
      <c r="B583" s="68" t="s">
        <v>44</v>
      </c>
      <c r="C583" s="68">
        <v>6.0</v>
      </c>
      <c r="D583" s="68" t="s">
        <v>746</v>
      </c>
      <c r="E583" s="68" t="s">
        <v>157</v>
      </c>
      <c r="F583" s="68" t="s">
        <v>416</v>
      </c>
      <c r="G583" s="66">
        <v>9200.0</v>
      </c>
      <c r="H583" s="66">
        <v>9685.0</v>
      </c>
      <c r="I583" s="66">
        <v>-485.0</v>
      </c>
      <c r="J583" s="69">
        <v>-0.0501</v>
      </c>
      <c r="K583" s="143" t="s">
        <v>738</v>
      </c>
    </row>
    <row r="584" spans="8:8" ht="14.25" customHeight="1">
      <c r="A584" s="68" t="s">
        <v>771</v>
      </c>
      <c r="B584" s="68" t="s">
        <v>37</v>
      </c>
      <c r="C584" s="68">
        <v>5.0</v>
      </c>
      <c r="D584" s="68" t="s">
        <v>746</v>
      </c>
      <c r="E584" s="68" t="s">
        <v>157</v>
      </c>
      <c r="F584" s="68" t="s">
        <v>416</v>
      </c>
      <c r="G584" s="66">
        <v>8880.0</v>
      </c>
      <c r="H584" s="66">
        <v>9235.0</v>
      </c>
      <c r="I584" s="66">
        <v>-355.0</v>
      </c>
      <c r="J584" s="69">
        <v>-0.0384</v>
      </c>
      <c r="K584" s="143" t="s">
        <v>738</v>
      </c>
    </row>
    <row r="585" spans="8:8" ht="14.25" customHeight="1">
      <c r="A585" s="68" t="s">
        <v>771</v>
      </c>
      <c r="B585" s="68" t="s">
        <v>100</v>
      </c>
      <c r="C585" s="68">
        <v>2.0</v>
      </c>
      <c r="D585" s="68" t="s">
        <v>746</v>
      </c>
      <c r="E585" s="68" t="s">
        <v>157</v>
      </c>
      <c r="F585" s="68" t="s">
        <v>416</v>
      </c>
      <c r="G585" s="66">
        <v>11480.0</v>
      </c>
      <c r="H585" s="66">
        <v>12045.0</v>
      </c>
      <c r="I585" s="66">
        <v>-565.0</v>
      </c>
      <c r="J585" s="69">
        <v>-0.0469</v>
      </c>
      <c r="K585" s="143" t="s">
        <v>738</v>
      </c>
    </row>
    <row r="586" spans="8:8" ht="14.25" customHeight="1">
      <c r="A586" s="68" t="s">
        <v>771</v>
      </c>
      <c r="B586" s="68" t="s">
        <v>80</v>
      </c>
      <c r="C586" s="68">
        <v>2.0</v>
      </c>
      <c r="D586" s="68" t="s">
        <v>746</v>
      </c>
      <c r="E586" s="68" t="s">
        <v>157</v>
      </c>
      <c r="F586" s="68" t="s">
        <v>416</v>
      </c>
      <c r="G586" s="66">
        <v>9345.0</v>
      </c>
      <c r="H586" s="66">
        <v>9720.0</v>
      </c>
      <c r="I586" s="66">
        <v>-375.0</v>
      </c>
      <c r="J586" s="69">
        <v>-0.0386</v>
      </c>
      <c r="K586" s="143" t="s">
        <v>738</v>
      </c>
    </row>
    <row r="587" spans="8:8" ht="14.25" customHeight="1">
      <c r="A587" s="68" t="s">
        <v>771</v>
      </c>
      <c r="B587" s="68" t="s">
        <v>45</v>
      </c>
      <c r="C587" s="68">
        <v>4.0</v>
      </c>
      <c r="D587" s="68" t="s">
        <v>746</v>
      </c>
      <c r="E587" s="68" t="s">
        <v>157</v>
      </c>
      <c r="F587" s="68" t="s">
        <v>416</v>
      </c>
      <c r="G587" s="66">
        <v>13335.0</v>
      </c>
      <c r="H587" s="66">
        <v>13932.0</v>
      </c>
      <c r="I587" s="66">
        <v>-597.0</v>
      </c>
      <c r="J587" s="69">
        <v>-0.0429</v>
      </c>
      <c r="K587" s="143" t="s">
        <v>738</v>
      </c>
    </row>
    <row r="588" spans="8:8" ht="14.25" customHeight="1">
      <c r="A588" s="68" t="s">
        <v>771</v>
      </c>
      <c r="B588" s="68" t="s">
        <v>24</v>
      </c>
      <c r="C588" s="68">
        <v>60.0</v>
      </c>
      <c r="D588" s="68" t="s">
        <v>749</v>
      </c>
      <c r="E588" s="68" t="s">
        <v>29</v>
      </c>
      <c r="F588" s="68" t="s">
        <v>418</v>
      </c>
      <c r="G588" s="66">
        <v>5000.0</v>
      </c>
      <c r="H588" s="66">
        <v>6195.0</v>
      </c>
      <c r="I588" s="66">
        <v>-1195.0</v>
      </c>
      <c r="J588" s="69">
        <v>-0.1929</v>
      </c>
      <c r="K588" s="143" t="s">
        <v>738</v>
      </c>
    </row>
    <row r="589" spans="8:8" ht="14.25" customHeight="1">
      <c r="A589" s="68" t="s">
        <v>771</v>
      </c>
      <c r="B589" s="68" t="s">
        <v>22</v>
      </c>
      <c r="C589" s="68">
        <v>2.0</v>
      </c>
      <c r="D589" s="68" t="s">
        <v>746</v>
      </c>
      <c r="E589" s="68" t="s">
        <v>336</v>
      </c>
      <c r="F589" s="68" t="s">
        <v>420</v>
      </c>
      <c r="G589" s="66">
        <v>9200.0</v>
      </c>
      <c r="H589" s="66">
        <v>9685.0</v>
      </c>
      <c r="I589" s="66">
        <v>-485.0</v>
      </c>
      <c r="J589" s="69">
        <v>-0.0501</v>
      </c>
      <c r="K589" s="143" t="s">
        <v>738</v>
      </c>
    </row>
    <row r="590" spans="8:8" ht="14.25" customHeight="1">
      <c r="A590" s="68" t="s">
        <v>771</v>
      </c>
      <c r="B590" s="68" t="s">
        <v>21</v>
      </c>
      <c r="C590" s="68">
        <v>1.0</v>
      </c>
      <c r="D590" s="68" t="s">
        <v>746</v>
      </c>
      <c r="E590" s="68" t="s">
        <v>336</v>
      </c>
      <c r="F590" s="68" t="s">
        <v>420</v>
      </c>
      <c r="G590" s="66">
        <v>8500.0</v>
      </c>
      <c r="H590" s="66">
        <v>9190.0</v>
      </c>
      <c r="I590" s="66">
        <v>-690.0</v>
      </c>
      <c r="J590" s="69">
        <v>-0.0751</v>
      </c>
      <c r="K590" s="143" t="s">
        <v>738</v>
      </c>
    </row>
    <row r="591" spans="8:8" ht="14.25" customHeight="1">
      <c r="A591" s="68" t="s">
        <v>771</v>
      </c>
      <c r="B591" s="68" t="s">
        <v>22</v>
      </c>
      <c r="C591" s="68">
        <v>15.0</v>
      </c>
      <c r="D591" s="68" t="s">
        <v>746</v>
      </c>
      <c r="E591" s="68" t="s">
        <v>25</v>
      </c>
      <c r="F591" s="68" t="s">
        <v>421</v>
      </c>
      <c r="G591" s="66">
        <v>9200.0</v>
      </c>
      <c r="H591" s="66">
        <v>9685.0</v>
      </c>
      <c r="I591" s="66">
        <v>-485.0</v>
      </c>
      <c r="J591" s="69">
        <v>-0.0501</v>
      </c>
      <c r="K591" s="143" t="s">
        <v>738</v>
      </c>
    </row>
    <row r="592" spans="8:8" ht="14.25" customHeight="1">
      <c r="A592" s="68" t="s">
        <v>771</v>
      </c>
      <c r="B592" s="68" t="s">
        <v>21</v>
      </c>
      <c r="C592" s="68">
        <v>15.0</v>
      </c>
      <c r="D592" s="68" t="s">
        <v>746</v>
      </c>
      <c r="E592" s="68" t="s">
        <v>25</v>
      </c>
      <c r="F592" s="68" t="s">
        <v>421</v>
      </c>
      <c r="G592" s="66">
        <v>8200.0</v>
      </c>
      <c r="H592" s="66">
        <v>9190.0</v>
      </c>
      <c r="I592" s="66">
        <v>-990.0</v>
      </c>
      <c r="J592" s="69">
        <v>-0.1077</v>
      </c>
      <c r="K592" s="143" t="s">
        <v>738</v>
      </c>
    </row>
    <row r="593" spans="8:8" ht="14.25" customHeight="1">
      <c r="A593" s="68" t="s">
        <v>772</v>
      </c>
      <c r="B593" s="68" t="s">
        <v>22</v>
      </c>
      <c r="C593" s="68">
        <v>140.0</v>
      </c>
      <c r="D593" s="68" t="s">
        <v>749</v>
      </c>
      <c r="E593" s="68" t="s">
        <v>66</v>
      </c>
      <c r="F593" s="68" t="s">
        <v>422</v>
      </c>
      <c r="G593" s="66">
        <v>8500.0</v>
      </c>
      <c r="H593" s="66">
        <v>9335.0</v>
      </c>
      <c r="I593" s="66">
        <v>-835.0</v>
      </c>
      <c r="J593" s="69">
        <v>-0.0894</v>
      </c>
      <c r="K593" s="143" t="s">
        <v>738</v>
      </c>
    </row>
    <row r="594" spans="8:8" ht="14.25" customHeight="1">
      <c r="A594" s="68" t="s">
        <v>772</v>
      </c>
      <c r="B594" s="68" t="s">
        <v>44</v>
      </c>
      <c r="C594" s="68">
        <v>280.0</v>
      </c>
      <c r="D594" s="68" t="s">
        <v>749</v>
      </c>
      <c r="E594" s="68" t="s">
        <v>66</v>
      </c>
      <c r="F594" s="68" t="s">
        <v>422</v>
      </c>
      <c r="G594" s="66">
        <v>8990.0</v>
      </c>
      <c r="H594" s="66">
        <v>9335.0</v>
      </c>
      <c r="I594" s="66">
        <v>-345.0</v>
      </c>
      <c r="J594" s="69">
        <v>-0.037</v>
      </c>
      <c r="K594" s="143" t="s">
        <v>738</v>
      </c>
    </row>
    <row r="595" spans="8:8" ht="14.25" customHeight="1">
      <c r="A595" s="68" t="s">
        <v>772</v>
      </c>
      <c r="B595" s="68" t="s">
        <v>22</v>
      </c>
      <c r="C595" s="68">
        <v>1.0</v>
      </c>
      <c r="D595" s="68" t="s">
        <v>746</v>
      </c>
      <c r="E595" s="68" t="s">
        <v>102</v>
      </c>
      <c r="F595" s="68" t="s">
        <v>425</v>
      </c>
      <c r="G595" s="66">
        <v>9500.0</v>
      </c>
      <c r="H595" s="66">
        <v>9685.0</v>
      </c>
      <c r="I595" s="66">
        <v>-185.0</v>
      </c>
      <c r="J595" s="69">
        <v>-0.0191</v>
      </c>
      <c r="K595" s="143" t="s">
        <v>738</v>
      </c>
    </row>
    <row r="596" spans="8:8" ht="14.25" customHeight="1">
      <c r="A596" s="68" t="s">
        <v>772</v>
      </c>
      <c r="B596" s="68" t="s">
        <v>45</v>
      </c>
      <c r="C596" s="68">
        <v>1.0</v>
      </c>
      <c r="D596" s="68" t="s">
        <v>746</v>
      </c>
      <c r="E596" s="68" t="s">
        <v>102</v>
      </c>
      <c r="F596" s="68" t="s">
        <v>426</v>
      </c>
      <c r="G596" s="66">
        <v>13950.0</v>
      </c>
      <c r="H596" s="66">
        <v>13932.0</v>
      </c>
      <c r="I596" s="66">
        <v>18.0</v>
      </c>
      <c r="J596" s="69">
        <v>0.0013</v>
      </c>
      <c r="K596" s="146" t="s">
        <v>747</v>
      </c>
    </row>
    <row r="597" spans="8:8" ht="14.25" customHeight="1">
      <c r="A597" s="68" t="s">
        <v>772</v>
      </c>
      <c r="B597" s="68" t="s">
        <v>22</v>
      </c>
      <c r="C597" s="68">
        <v>20.0</v>
      </c>
      <c r="D597" s="68" t="s">
        <v>746</v>
      </c>
      <c r="E597" s="68" t="s">
        <v>29</v>
      </c>
      <c r="F597" s="68" t="s">
        <v>427</v>
      </c>
      <c r="G597" s="66">
        <v>8800.0</v>
      </c>
      <c r="H597" s="66">
        <v>9685.0</v>
      </c>
      <c r="I597" s="66">
        <v>-885.0</v>
      </c>
      <c r="J597" s="69">
        <v>-0.0914</v>
      </c>
      <c r="K597" s="143" t="s">
        <v>738</v>
      </c>
    </row>
    <row r="598" spans="8:8" ht="14.25" customHeight="1">
      <c r="A598" s="68" t="s">
        <v>772</v>
      </c>
      <c r="B598" s="68" t="s">
        <v>24</v>
      </c>
      <c r="C598" s="68">
        <v>5.0</v>
      </c>
      <c r="D598" s="68" t="s">
        <v>746</v>
      </c>
      <c r="E598" s="68" t="s">
        <v>29</v>
      </c>
      <c r="F598" s="68" t="s">
        <v>427</v>
      </c>
      <c r="G598" s="66">
        <v>5000.0</v>
      </c>
      <c r="H598" s="66">
        <v>6530.0</v>
      </c>
      <c r="I598" s="66">
        <v>-1530.0</v>
      </c>
      <c r="J598" s="69">
        <v>-0.2343</v>
      </c>
      <c r="K598" s="143" t="s">
        <v>738</v>
      </c>
    </row>
    <row r="599" spans="8:8" ht="14.25" customHeight="1">
      <c r="A599" s="68" t="s">
        <v>772</v>
      </c>
      <c r="B599" s="68" t="s">
        <v>87</v>
      </c>
      <c r="C599" s="68">
        <v>1.0</v>
      </c>
      <c r="D599" s="68" t="s">
        <v>746</v>
      </c>
      <c r="E599" s="68" t="s">
        <v>29</v>
      </c>
      <c r="F599" s="68" t="s">
        <v>427</v>
      </c>
      <c r="G599" s="66">
        <v>21400.0</v>
      </c>
      <c r="H599" s="66">
        <v>22565.0</v>
      </c>
      <c r="I599" s="66">
        <v>-1165.0</v>
      </c>
      <c r="J599" s="69">
        <v>-0.0516</v>
      </c>
      <c r="K599" s="143" t="s">
        <v>738</v>
      </c>
    </row>
    <row r="600" spans="8:8" ht="14.25" customHeight="1">
      <c r="A600" s="68" t="s">
        <v>772</v>
      </c>
      <c r="B600" s="68" t="s">
        <v>101</v>
      </c>
      <c r="C600" s="68">
        <v>3.0</v>
      </c>
      <c r="D600" s="68" t="s">
        <v>746</v>
      </c>
      <c r="E600" s="68" t="s">
        <v>29</v>
      </c>
      <c r="F600" s="68" t="s">
        <v>427</v>
      </c>
      <c r="G600" s="66">
        <v>13020.0</v>
      </c>
      <c r="H600" s="66">
        <v>14455.0</v>
      </c>
      <c r="I600" s="66">
        <v>-1435.0</v>
      </c>
      <c r="J600" s="69">
        <v>-0.0993</v>
      </c>
      <c r="K600" s="143" t="s">
        <v>738</v>
      </c>
    </row>
    <row r="601" spans="8:8" ht="14.25" customHeight="1">
      <c r="A601" s="68" t="s">
        <v>772</v>
      </c>
      <c r="B601" s="68" t="s">
        <v>44</v>
      </c>
      <c r="C601" s="68">
        <v>6.0</v>
      </c>
      <c r="D601" s="68" t="s">
        <v>746</v>
      </c>
      <c r="E601" s="68" t="s">
        <v>29</v>
      </c>
      <c r="F601" s="68" t="s">
        <v>427</v>
      </c>
      <c r="G601" s="66">
        <v>9200.0</v>
      </c>
      <c r="H601" s="66">
        <v>9685.0</v>
      </c>
      <c r="I601" s="66">
        <v>-485.0</v>
      </c>
      <c r="J601" s="69">
        <v>-0.0501</v>
      </c>
      <c r="K601" s="143" t="s">
        <v>738</v>
      </c>
    </row>
    <row r="602" spans="8:8" ht="14.25" customHeight="1">
      <c r="A602" s="68" t="s">
        <v>772</v>
      </c>
      <c r="B602" s="68" t="s">
        <v>113</v>
      </c>
      <c r="C602" s="68">
        <v>1.0</v>
      </c>
      <c r="D602" s="68" t="s">
        <v>746</v>
      </c>
      <c r="E602" s="68" t="s">
        <v>29</v>
      </c>
      <c r="F602" s="68" t="s">
        <v>427</v>
      </c>
      <c r="G602" s="66">
        <v>14575.0</v>
      </c>
      <c r="H602" s="66">
        <v>15765.0</v>
      </c>
      <c r="I602" s="66">
        <v>-1190.0</v>
      </c>
      <c r="J602" s="69">
        <v>-0.0755</v>
      </c>
      <c r="K602" s="143" t="s">
        <v>738</v>
      </c>
    </row>
    <row r="603" spans="8:8" ht="14.25" customHeight="1">
      <c r="A603" s="68" t="s">
        <v>772</v>
      </c>
      <c r="B603" s="68" t="s">
        <v>65</v>
      </c>
      <c r="C603" s="68">
        <v>1.0</v>
      </c>
      <c r="D603" s="68" t="s">
        <v>746</v>
      </c>
      <c r="E603" s="68" t="s">
        <v>29</v>
      </c>
      <c r="F603" s="68" t="s">
        <v>427</v>
      </c>
      <c r="G603" s="66">
        <v>11910.0</v>
      </c>
      <c r="H603" s="66">
        <v>12525.0</v>
      </c>
      <c r="I603" s="66">
        <v>-615.0</v>
      </c>
      <c r="J603" s="69">
        <v>-0.0491</v>
      </c>
      <c r="K603" s="143" t="s">
        <v>738</v>
      </c>
    </row>
    <row r="604" spans="8:8" ht="14.25" customHeight="1">
      <c r="A604" s="68" t="s">
        <v>772</v>
      </c>
      <c r="B604" s="68" t="s">
        <v>45</v>
      </c>
      <c r="C604" s="68">
        <v>1.0</v>
      </c>
      <c r="D604" s="68" t="s">
        <v>746</v>
      </c>
      <c r="E604" s="68" t="s">
        <v>29</v>
      </c>
      <c r="F604" s="68" t="s">
        <v>427</v>
      </c>
      <c r="G604" s="66">
        <v>13335.0</v>
      </c>
      <c r="H604" s="66">
        <v>13932.0</v>
      </c>
      <c r="I604" s="66">
        <v>-597.0</v>
      </c>
      <c r="J604" s="69">
        <v>-0.0429</v>
      </c>
      <c r="K604" s="143" t="s">
        <v>738</v>
      </c>
    </row>
    <row r="605" spans="8:8" ht="14.25" customHeight="1">
      <c r="A605" s="68" t="s">
        <v>772</v>
      </c>
      <c r="B605" s="68" t="s">
        <v>44</v>
      </c>
      <c r="C605" s="68">
        <v>1.0</v>
      </c>
      <c r="D605" s="68" t="s">
        <v>746</v>
      </c>
      <c r="E605" s="68" t="s">
        <v>15</v>
      </c>
      <c r="F605" s="68" t="s">
        <v>429</v>
      </c>
      <c r="G605" s="66">
        <v>9500.0</v>
      </c>
      <c r="H605" s="66">
        <v>9685.0</v>
      </c>
      <c r="I605" s="66">
        <v>-185.0</v>
      </c>
      <c r="J605" s="69">
        <v>-0.0191</v>
      </c>
      <c r="K605" s="143" t="s">
        <v>738</v>
      </c>
    </row>
    <row r="606" spans="8:8" ht="14.25" customHeight="1">
      <c r="A606" s="68" t="s">
        <v>772</v>
      </c>
      <c r="B606" s="68" t="s">
        <v>37</v>
      </c>
      <c r="C606" s="68">
        <v>1.0</v>
      </c>
      <c r="D606" s="68" t="s">
        <v>746</v>
      </c>
      <c r="E606" s="68" t="s">
        <v>15</v>
      </c>
      <c r="F606" s="68" t="s">
        <v>429</v>
      </c>
      <c r="G606" s="66">
        <v>9500.0</v>
      </c>
      <c r="H606" s="66">
        <v>9235.0</v>
      </c>
      <c r="I606" s="66">
        <v>265.0</v>
      </c>
      <c r="J606" s="69">
        <v>0.0287</v>
      </c>
      <c r="K606" s="145" t="s">
        <v>744</v>
      </c>
    </row>
    <row r="607" spans="8:8" ht="14.25" customHeight="1">
      <c r="A607" s="68" t="s">
        <v>772</v>
      </c>
      <c r="B607" s="68" t="s">
        <v>24</v>
      </c>
      <c r="C607" s="68">
        <v>270.0</v>
      </c>
      <c r="D607" s="68" t="s">
        <v>749</v>
      </c>
      <c r="E607" s="68" t="s">
        <v>25</v>
      </c>
      <c r="F607" s="68" t="s">
        <v>430</v>
      </c>
      <c r="G607" s="66">
        <v>5000.0</v>
      </c>
      <c r="H607" s="66">
        <v>6195.0</v>
      </c>
      <c r="I607" s="66">
        <v>-1195.0</v>
      </c>
      <c r="J607" s="69">
        <v>-0.1929</v>
      </c>
      <c r="K607" s="143" t="s">
        <v>738</v>
      </c>
    </row>
    <row r="608" spans="8:8" ht="14.25" customHeight="1">
      <c r="A608" s="68" t="s">
        <v>772</v>
      </c>
      <c r="B608" s="68" t="s">
        <v>24</v>
      </c>
      <c r="C608" s="68">
        <v>15.0</v>
      </c>
      <c r="D608" s="68" t="s">
        <v>746</v>
      </c>
      <c r="E608" s="68" t="s">
        <v>104</v>
      </c>
      <c r="F608" s="68" t="s">
        <v>432</v>
      </c>
      <c r="G608" s="66">
        <v>5000.0</v>
      </c>
      <c r="H608" s="66">
        <v>6530.0</v>
      </c>
      <c r="I608" s="66">
        <v>-1530.0</v>
      </c>
      <c r="J608" s="69">
        <v>-0.2343</v>
      </c>
      <c r="K608" s="143" t="s">
        <v>738</v>
      </c>
    </row>
    <row r="609" spans="8:8" ht="14.25" customHeight="1">
      <c r="A609" s="68" t="s">
        <v>772</v>
      </c>
      <c r="B609" s="68" t="s">
        <v>22</v>
      </c>
      <c r="C609" s="68">
        <v>10.0</v>
      </c>
      <c r="D609" s="68" t="s">
        <v>746</v>
      </c>
      <c r="E609" s="68" t="s">
        <v>104</v>
      </c>
      <c r="F609" s="68" t="s">
        <v>432</v>
      </c>
      <c r="G609" s="66">
        <v>9200.0</v>
      </c>
      <c r="H609" s="66">
        <v>9685.0</v>
      </c>
      <c r="I609" s="66">
        <v>-485.0</v>
      </c>
      <c r="J609" s="69">
        <v>-0.0501</v>
      </c>
      <c r="K609" s="143" t="s">
        <v>738</v>
      </c>
    </row>
    <row r="610" spans="8:8" ht="14.25" customHeight="1">
      <c r="A610" s="68" t="s">
        <v>772</v>
      </c>
      <c r="B610" s="68" t="s">
        <v>44</v>
      </c>
      <c r="C610" s="68">
        <v>5.0</v>
      </c>
      <c r="D610" s="68" t="s">
        <v>746</v>
      </c>
      <c r="E610" s="68" t="s">
        <v>104</v>
      </c>
      <c r="F610" s="68" t="s">
        <v>432</v>
      </c>
      <c r="G610" s="66">
        <v>9200.0</v>
      </c>
      <c r="H610" s="66">
        <v>9685.0</v>
      </c>
      <c r="I610" s="66">
        <v>-485.0</v>
      </c>
      <c r="J610" s="69">
        <v>-0.0501</v>
      </c>
      <c r="K610" s="143" t="s">
        <v>738</v>
      </c>
    </row>
    <row r="611" spans="8:8" ht="14.25" customHeight="1">
      <c r="A611" s="68" t="s">
        <v>772</v>
      </c>
      <c r="B611" s="68" t="s">
        <v>45</v>
      </c>
      <c r="C611" s="68">
        <v>5.0</v>
      </c>
      <c r="D611" s="68" t="s">
        <v>746</v>
      </c>
      <c r="E611" s="68" t="s">
        <v>104</v>
      </c>
      <c r="F611" s="68" t="s">
        <v>432</v>
      </c>
      <c r="G611" s="66">
        <v>13335.0</v>
      </c>
      <c r="H611" s="66">
        <v>13932.0</v>
      </c>
      <c r="I611" s="66">
        <v>-597.0</v>
      </c>
      <c r="J611" s="69">
        <v>-0.0429</v>
      </c>
      <c r="K611" s="143" t="s">
        <v>738</v>
      </c>
    </row>
    <row r="612" spans="8:8" ht="14.25" customHeight="1">
      <c r="A612" s="68" t="s">
        <v>772</v>
      </c>
      <c r="B612" s="68" t="s">
        <v>100</v>
      </c>
      <c r="C612" s="68">
        <v>5.0</v>
      </c>
      <c r="D612" s="68" t="s">
        <v>746</v>
      </c>
      <c r="E612" s="68" t="s">
        <v>104</v>
      </c>
      <c r="F612" s="68" t="s">
        <v>432</v>
      </c>
      <c r="G612" s="66">
        <v>11480.0</v>
      </c>
      <c r="H612" s="66">
        <v>12045.0</v>
      </c>
      <c r="I612" s="66">
        <v>-565.0</v>
      </c>
      <c r="J612" s="69">
        <v>-0.0469</v>
      </c>
      <c r="K612" s="143" t="s">
        <v>738</v>
      </c>
    </row>
    <row r="613" spans="8:8" ht="14.25" customHeight="1">
      <c r="A613" s="68" t="s">
        <v>772</v>
      </c>
      <c r="B613" s="68" t="s">
        <v>22</v>
      </c>
      <c r="C613" s="68">
        <v>2.0</v>
      </c>
      <c r="D613" s="68" t="s">
        <v>746</v>
      </c>
      <c r="E613" s="68" t="s">
        <v>75</v>
      </c>
      <c r="F613" s="68" t="s">
        <v>433</v>
      </c>
      <c r="G613" s="66">
        <v>9335.0</v>
      </c>
      <c r="H613" s="66">
        <v>9685.0</v>
      </c>
      <c r="I613" s="66">
        <v>-350.0</v>
      </c>
      <c r="J613" s="69">
        <v>-0.0361</v>
      </c>
      <c r="K613" s="143" t="s">
        <v>738</v>
      </c>
    </row>
    <row r="614" spans="8:8" ht="14.25" customHeight="1">
      <c r="A614" s="68" t="s">
        <v>772</v>
      </c>
      <c r="B614" s="68" t="s">
        <v>65</v>
      </c>
      <c r="C614" s="68">
        <v>2.0</v>
      </c>
      <c r="D614" s="68" t="s">
        <v>746</v>
      </c>
      <c r="E614" s="68" t="s">
        <v>212</v>
      </c>
      <c r="F614" s="68" t="s">
        <v>434</v>
      </c>
      <c r="G614" s="66">
        <v>11910.0</v>
      </c>
      <c r="H614" s="66">
        <v>12525.0</v>
      </c>
      <c r="I614" s="66">
        <v>-615.0</v>
      </c>
      <c r="J614" s="69">
        <v>-0.0491</v>
      </c>
      <c r="K614" s="143" t="s">
        <v>738</v>
      </c>
    </row>
    <row r="615" spans="8:8" ht="14.25" customHeight="1">
      <c r="A615" s="68" t="s">
        <v>772</v>
      </c>
      <c r="B615" s="68" t="s">
        <v>101</v>
      </c>
      <c r="C615" s="68">
        <v>2.0</v>
      </c>
      <c r="D615" s="68" t="s">
        <v>746</v>
      </c>
      <c r="E615" s="68" t="s">
        <v>212</v>
      </c>
      <c r="F615" s="68" t="s">
        <v>434</v>
      </c>
      <c r="G615" s="66">
        <v>13550.0</v>
      </c>
      <c r="H615" s="66">
        <v>14455.0</v>
      </c>
      <c r="I615" s="66">
        <v>-905.0</v>
      </c>
      <c r="J615" s="69">
        <v>-0.0626</v>
      </c>
      <c r="K615" s="143" t="s">
        <v>738</v>
      </c>
    </row>
    <row r="616" spans="8:8" ht="14.25" customHeight="1">
      <c r="A616" s="68" t="s">
        <v>772</v>
      </c>
      <c r="B616" s="68" t="s">
        <v>45</v>
      </c>
      <c r="C616" s="68">
        <v>4.0</v>
      </c>
      <c r="D616" s="68" t="s">
        <v>746</v>
      </c>
      <c r="E616" s="68" t="s">
        <v>212</v>
      </c>
      <c r="F616" s="68" t="s">
        <v>434</v>
      </c>
      <c r="G616" s="66">
        <v>13950.0</v>
      </c>
      <c r="H616" s="66">
        <v>13932.0</v>
      </c>
      <c r="I616" s="66">
        <v>18.0</v>
      </c>
      <c r="J616" s="69">
        <v>0.0013</v>
      </c>
      <c r="K616" s="146" t="s">
        <v>747</v>
      </c>
    </row>
    <row r="617" spans="8:8" ht="14.25" customHeight="1">
      <c r="A617" s="68" t="s">
        <v>772</v>
      </c>
      <c r="B617" s="68" t="s">
        <v>22</v>
      </c>
      <c r="C617" s="68">
        <v>2.0</v>
      </c>
      <c r="D617" s="68" t="s">
        <v>746</v>
      </c>
      <c r="E617" s="68" t="s">
        <v>212</v>
      </c>
      <c r="F617" s="68" t="s">
        <v>434</v>
      </c>
      <c r="G617" s="66">
        <v>9200.0</v>
      </c>
      <c r="H617" s="66">
        <v>9685.0</v>
      </c>
      <c r="I617" s="66">
        <v>-485.0</v>
      </c>
      <c r="J617" s="69">
        <v>-0.0501</v>
      </c>
      <c r="K617" s="143" t="s">
        <v>738</v>
      </c>
    </row>
    <row r="618" spans="8:8" ht="14.25" customHeight="1">
      <c r="A618" s="68" t="s">
        <v>772</v>
      </c>
      <c r="B618" s="68" t="s">
        <v>21</v>
      </c>
      <c r="C618" s="68">
        <v>2.0</v>
      </c>
      <c r="D618" s="68" t="s">
        <v>746</v>
      </c>
      <c r="E618" s="68" t="s">
        <v>212</v>
      </c>
      <c r="F618" s="68" t="s">
        <v>434</v>
      </c>
      <c r="G618" s="66">
        <v>9000.0</v>
      </c>
      <c r="H618" s="66">
        <v>9190.0</v>
      </c>
      <c r="I618" s="66">
        <v>-190.0</v>
      </c>
      <c r="J618" s="69">
        <v>-0.0207</v>
      </c>
      <c r="K618" s="143" t="s">
        <v>738</v>
      </c>
    </row>
    <row r="619" spans="8:8" ht="14.25" customHeight="1">
      <c r="A619" s="68" t="s">
        <v>772</v>
      </c>
      <c r="B619" s="68" t="s">
        <v>235</v>
      </c>
      <c r="C619" s="68">
        <v>1.0</v>
      </c>
      <c r="D619" s="68" t="s">
        <v>746</v>
      </c>
      <c r="E619" s="68" t="s">
        <v>212</v>
      </c>
      <c r="F619" s="68" t="s">
        <v>434</v>
      </c>
      <c r="G619" s="66">
        <v>9710.0</v>
      </c>
      <c r="H619" s="66">
        <v>10150.0</v>
      </c>
      <c r="I619" s="66">
        <v>-440.0</v>
      </c>
      <c r="J619" s="69">
        <v>-0.0433</v>
      </c>
      <c r="K619" s="143" t="s">
        <v>738</v>
      </c>
    </row>
    <row r="620" spans="8:8" ht="14.25" customHeight="1">
      <c r="A620" s="68" t="s">
        <v>772</v>
      </c>
      <c r="B620" s="68" t="s">
        <v>21</v>
      </c>
      <c r="C620" s="68">
        <v>1.0</v>
      </c>
      <c r="D620" s="68" t="s">
        <v>746</v>
      </c>
      <c r="E620" s="68" t="s">
        <v>15</v>
      </c>
      <c r="F620" s="68" t="s">
        <v>435</v>
      </c>
      <c r="G620" s="66">
        <v>9000.0</v>
      </c>
      <c r="H620" s="66">
        <v>9190.0</v>
      </c>
      <c r="I620" s="66">
        <v>-190.0</v>
      </c>
      <c r="J620" s="69">
        <v>-0.0207</v>
      </c>
      <c r="K620" s="143" t="s">
        <v>738</v>
      </c>
    </row>
    <row r="621" spans="8:8" ht="14.25" customHeight="1">
      <c r="A621" s="68" t="s">
        <v>772</v>
      </c>
      <c r="B621" s="68" t="s">
        <v>22</v>
      </c>
      <c r="C621" s="68">
        <v>1.0</v>
      </c>
      <c r="D621" s="68" t="s">
        <v>746</v>
      </c>
      <c r="E621" s="68" t="s">
        <v>15</v>
      </c>
      <c r="F621" s="68" t="s">
        <v>435</v>
      </c>
      <c r="G621" s="66">
        <v>9500.0</v>
      </c>
      <c r="H621" s="66">
        <v>9685.0</v>
      </c>
      <c r="I621" s="66">
        <v>-185.0</v>
      </c>
      <c r="J621" s="69">
        <v>-0.0191</v>
      </c>
      <c r="K621" s="143" t="s">
        <v>738</v>
      </c>
    </row>
    <row r="622" spans="8:8" ht="14.25" customHeight="1">
      <c r="A622" s="68" t="s">
        <v>772</v>
      </c>
      <c r="B622" s="68" t="s">
        <v>44</v>
      </c>
      <c r="C622" s="68">
        <v>1.0</v>
      </c>
      <c r="D622" s="68" t="s">
        <v>746</v>
      </c>
      <c r="E622" s="68" t="s">
        <v>15</v>
      </c>
      <c r="F622" s="68" t="s">
        <v>435</v>
      </c>
      <c r="G622" s="66">
        <v>9500.0</v>
      </c>
      <c r="H622" s="66">
        <v>9685.0</v>
      </c>
      <c r="I622" s="66">
        <v>-185.0</v>
      </c>
      <c r="J622" s="69">
        <v>-0.0191</v>
      </c>
      <c r="K622" s="143" t="s">
        <v>738</v>
      </c>
    </row>
    <row r="623" spans="8:8" ht="14.25" customHeight="1">
      <c r="A623" s="68" t="s">
        <v>772</v>
      </c>
      <c r="B623" s="68" t="s">
        <v>65</v>
      </c>
      <c r="C623" s="68">
        <v>1.0</v>
      </c>
      <c r="D623" s="68" t="s">
        <v>746</v>
      </c>
      <c r="E623" s="68" t="s">
        <v>15</v>
      </c>
      <c r="F623" s="68" t="s">
        <v>435</v>
      </c>
      <c r="G623" s="66">
        <v>12525.0</v>
      </c>
      <c r="H623" s="66">
        <v>12525.0</v>
      </c>
      <c r="I623" s="66">
        <v>0.0</v>
      </c>
      <c r="J623" s="69">
        <v>0.0</v>
      </c>
      <c r="K623" s="146" t="s">
        <v>747</v>
      </c>
    </row>
    <row r="624" spans="8:8" ht="14.25" customHeight="1">
      <c r="A624" s="68" t="s">
        <v>772</v>
      </c>
      <c r="B624" s="68" t="s">
        <v>24</v>
      </c>
      <c r="C624" s="68">
        <v>2.0</v>
      </c>
      <c r="D624" s="68" t="s">
        <v>746</v>
      </c>
      <c r="E624" s="68" t="s">
        <v>15</v>
      </c>
      <c r="F624" s="68" t="s">
        <v>435</v>
      </c>
      <c r="G624" s="66">
        <v>5200.0</v>
      </c>
      <c r="H624" s="66">
        <v>6530.0</v>
      </c>
      <c r="I624" s="66">
        <v>-1330.0</v>
      </c>
      <c r="J624" s="69">
        <v>-0.2037</v>
      </c>
      <c r="K624" s="143" t="s">
        <v>738</v>
      </c>
    </row>
    <row r="625" spans="8:8" ht="14.25" customHeight="1">
      <c r="A625" s="68" t="s">
        <v>772</v>
      </c>
      <c r="B625" s="68" t="s">
        <v>22</v>
      </c>
      <c r="C625" s="68">
        <v>20.0</v>
      </c>
      <c r="D625" s="68" t="s">
        <v>746</v>
      </c>
      <c r="E625" s="68" t="s">
        <v>394</v>
      </c>
      <c r="F625" s="68" t="s">
        <v>437</v>
      </c>
      <c r="G625" s="66">
        <v>9200.0</v>
      </c>
      <c r="H625" s="66">
        <v>9685.0</v>
      </c>
      <c r="I625" s="66">
        <v>-485.0</v>
      </c>
      <c r="J625" s="69">
        <v>-0.0501</v>
      </c>
      <c r="K625" s="143" t="s">
        <v>738</v>
      </c>
    </row>
    <row r="626" spans="8:8" ht="14.25" customHeight="1">
      <c r="A626" s="68" t="s">
        <v>772</v>
      </c>
      <c r="B626" s="68" t="s">
        <v>44</v>
      </c>
      <c r="C626" s="68">
        <v>5.0</v>
      </c>
      <c r="D626" s="68" t="s">
        <v>746</v>
      </c>
      <c r="E626" s="68" t="s">
        <v>394</v>
      </c>
      <c r="F626" s="68" t="s">
        <v>437</v>
      </c>
      <c r="G626" s="66">
        <v>9200.0</v>
      </c>
      <c r="H626" s="66">
        <v>9685.0</v>
      </c>
      <c r="I626" s="66">
        <v>-485.0</v>
      </c>
      <c r="J626" s="69">
        <v>-0.0501</v>
      </c>
      <c r="K626" s="143" t="s">
        <v>738</v>
      </c>
    </row>
    <row r="627" spans="8:8" ht="14.25" customHeight="1">
      <c r="A627" s="68" t="s">
        <v>772</v>
      </c>
      <c r="B627" s="68" t="s">
        <v>22</v>
      </c>
      <c r="C627" s="68">
        <v>2.0</v>
      </c>
      <c r="D627" s="68" t="s">
        <v>746</v>
      </c>
      <c r="E627" s="68" t="s">
        <v>75</v>
      </c>
      <c r="F627" s="68" t="s">
        <v>438</v>
      </c>
      <c r="G627" s="66">
        <v>9335.0</v>
      </c>
      <c r="H627" s="66">
        <v>9685.0</v>
      </c>
      <c r="I627" s="66">
        <v>-350.0</v>
      </c>
      <c r="J627" s="69">
        <v>-0.0361</v>
      </c>
      <c r="K627" s="143" t="s">
        <v>738</v>
      </c>
    </row>
    <row r="628" spans="8:8" ht="14.25" customHeight="1">
      <c r="A628" s="68" t="s">
        <v>772</v>
      </c>
      <c r="B628" s="68" t="s">
        <v>22</v>
      </c>
      <c r="C628" s="68">
        <v>60.0</v>
      </c>
      <c r="D628" s="68" t="s">
        <v>749</v>
      </c>
      <c r="E628" s="68" t="s">
        <v>75</v>
      </c>
      <c r="F628" s="68" t="s">
        <v>440</v>
      </c>
      <c r="G628" s="66">
        <v>9335.0</v>
      </c>
      <c r="H628" s="66">
        <v>9335.0</v>
      </c>
      <c r="I628" s="66">
        <v>0.0</v>
      </c>
      <c r="J628" s="69">
        <v>0.0</v>
      </c>
      <c r="K628" s="146" t="s">
        <v>747</v>
      </c>
    </row>
    <row r="629" spans="8:8" ht="14.25" customHeight="1">
      <c r="A629" s="68" t="s">
        <v>773</v>
      </c>
      <c r="B629" s="68" t="s">
        <v>87</v>
      </c>
      <c r="C629" s="68">
        <v>1.0</v>
      </c>
      <c r="D629" s="68" t="s">
        <v>746</v>
      </c>
      <c r="E629" s="68" t="s">
        <v>104</v>
      </c>
      <c r="F629" s="68" t="s">
        <v>444</v>
      </c>
      <c r="G629" s="66">
        <v>21485.0</v>
      </c>
      <c r="H629" s="66">
        <v>22565.0</v>
      </c>
      <c r="I629" s="66">
        <v>-1080.0</v>
      </c>
      <c r="J629" s="69">
        <v>-0.0479</v>
      </c>
      <c r="K629" s="143" t="s">
        <v>738</v>
      </c>
    </row>
    <row r="630" spans="8:8" ht="14.25" customHeight="1">
      <c r="A630" s="68" t="s">
        <v>773</v>
      </c>
      <c r="B630" s="68" t="s">
        <v>141</v>
      </c>
      <c r="C630" s="68">
        <v>2.0</v>
      </c>
      <c r="D630" s="68" t="s">
        <v>746</v>
      </c>
      <c r="E630" s="68" t="s">
        <v>104</v>
      </c>
      <c r="F630" s="68" t="s">
        <v>444</v>
      </c>
      <c r="G630" s="66">
        <v>14145.0</v>
      </c>
      <c r="H630" s="66">
        <v>14765.0</v>
      </c>
      <c r="I630" s="66">
        <v>-620.0</v>
      </c>
      <c r="J630" s="69">
        <v>-0.042</v>
      </c>
      <c r="K630" s="143" t="s">
        <v>738</v>
      </c>
    </row>
    <row r="631" spans="8:8" ht="14.25" customHeight="1">
      <c r="A631" s="68" t="s">
        <v>773</v>
      </c>
      <c r="B631" s="68" t="s">
        <v>24</v>
      </c>
      <c r="C631" s="68">
        <v>1.0</v>
      </c>
      <c r="D631" s="68" t="s">
        <v>746</v>
      </c>
      <c r="E631" s="68" t="s">
        <v>15</v>
      </c>
      <c r="F631" s="68" t="s">
        <v>445</v>
      </c>
      <c r="G631" s="66">
        <v>5300.0</v>
      </c>
      <c r="H631" s="66">
        <v>6530.0</v>
      </c>
      <c r="I631" s="66">
        <v>-1230.0</v>
      </c>
      <c r="J631" s="69">
        <v>-0.1884</v>
      </c>
      <c r="K631" s="143" t="s">
        <v>738</v>
      </c>
    </row>
    <row r="632" spans="8:8" ht="14.25" customHeight="1">
      <c r="A632" s="68" t="s">
        <v>773</v>
      </c>
      <c r="B632" s="68" t="s">
        <v>24</v>
      </c>
      <c r="C632" s="68">
        <v>260.0</v>
      </c>
      <c r="D632" s="68" t="s">
        <v>749</v>
      </c>
      <c r="E632" s="68" t="s">
        <v>59</v>
      </c>
      <c r="F632" s="68" t="s">
        <v>446</v>
      </c>
      <c r="G632" s="66">
        <v>5000.0</v>
      </c>
      <c r="H632" s="66">
        <v>6195.0</v>
      </c>
      <c r="I632" s="66">
        <v>-1195.0</v>
      </c>
      <c r="J632" s="69">
        <v>-0.1929</v>
      </c>
      <c r="K632" s="143" t="s">
        <v>738</v>
      </c>
    </row>
    <row r="633" spans="8:8" ht="14.25" customHeight="1">
      <c r="A633" s="68" t="s">
        <v>773</v>
      </c>
      <c r="B633" s="68" t="s">
        <v>22</v>
      </c>
      <c r="C633" s="68">
        <v>10.0</v>
      </c>
      <c r="D633" s="68" t="s">
        <v>746</v>
      </c>
      <c r="E633" s="68" t="s">
        <v>104</v>
      </c>
      <c r="F633" s="68" t="s">
        <v>448</v>
      </c>
      <c r="G633" s="66">
        <v>9200.0</v>
      </c>
      <c r="H633" s="66">
        <v>9685.0</v>
      </c>
      <c r="I633" s="66">
        <v>-485.0</v>
      </c>
      <c r="J633" s="69">
        <v>-0.0501</v>
      </c>
      <c r="K633" s="143" t="s">
        <v>738</v>
      </c>
    </row>
    <row r="634" spans="8:8" ht="14.25" customHeight="1">
      <c r="A634" s="68" t="s">
        <v>773</v>
      </c>
      <c r="B634" s="68" t="s">
        <v>24</v>
      </c>
      <c r="C634" s="68">
        <v>5.0</v>
      </c>
      <c r="D634" s="68" t="s">
        <v>746</v>
      </c>
      <c r="E634" s="68" t="s">
        <v>104</v>
      </c>
      <c r="F634" s="68" t="s">
        <v>448</v>
      </c>
      <c r="G634" s="66">
        <v>5000.0</v>
      </c>
      <c r="H634" s="66">
        <v>6530.0</v>
      </c>
      <c r="I634" s="66">
        <v>-1530.0</v>
      </c>
      <c r="J634" s="69">
        <v>-0.2343</v>
      </c>
      <c r="K634" s="143" t="s">
        <v>738</v>
      </c>
    </row>
    <row r="635" spans="8:8" ht="14.25" customHeight="1">
      <c r="A635" s="68" t="s">
        <v>773</v>
      </c>
      <c r="B635" s="68" t="s">
        <v>34</v>
      </c>
      <c r="C635" s="68">
        <v>5.0</v>
      </c>
      <c r="D635" s="68" t="s">
        <v>746</v>
      </c>
      <c r="E635" s="68" t="s">
        <v>253</v>
      </c>
      <c r="F635" s="68" t="s">
        <v>449</v>
      </c>
      <c r="G635" s="66">
        <v>22740.0</v>
      </c>
      <c r="H635" s="66">
        <v>23895.0</v>
      </c>
      <c r="I635" s="66">
        <v>-1155.0</v>
      </c>
      <c r="J635" s="69">
        <v>-0.0483</v>
      </c>
      <c r="K635" s="143" t="s">
        <v>738</v>
      </c>
    </row>
    <row r="636" spans="8:8" ht="14.25" customHeight="1">
      <c r="A636" s="68" t="s">
        <v>773</v>
      </c>
      <c r="B636" s="68" t="s">
        <v>35</v>
      </c>
      <c r="C636" s="68">
        <v>3.0</v>
      </c>
      <c r="D636" s="68" t="s">
        <v>746</v>
      </c>
      <c r="E636" s="68" t="s">
        <v>253</v>
      </c>
      <c r="F636" s="68" t="s">
        <v>449</v>
      </c>
      <c r="G636" s="66">
        <v>21170.0</v>
      </c>
      <c r="H636" s="66">
        <v>21830.0</v>
      </c>
      <c r="I636" s="66">
        <v>-660.0</v>
      </c>
      <c r="J636" s="69">
        <v>-0.0302</v>
      </c>
      <c r="K636" s="143" t="s">
        <v>738</v>
      </c>
    </row>
    <row r="637" spans="8:8" ht="14.25" customHeight="1">
      <c r="A637" s="68" t="s">
        <v>773</v>
      </c>
      <c r="B637" s="68" t="s">
        <v>22</v>
      </c>
      <c r="C637" s="68">
        <v>10.0</v>
      </c>
      <c r="D637" s="68" t="s">
        <v>746</v>
      </c>
      <c r="E637" s="68" t="s">
        <v>154</v>
      </c>
      <c r="F637" s="68" t="s">
        <v>450</v>
      </c>
      <c r="G637" s="66">
        <v>9200.0</v>
      </c>
      <c r="H637" s="66">
        <v>9685.0</v>
      </c>
      <c r="I637" s="66">
        <v>-485.0</v>
      </c>
      <c r="J637" s="69">
        <v>-0.0501</v>
      </c>
      <c r="K637" s="143" t="s">
        <v>738</v>
      </c>
    </row>
    <row r="638" spans="8:8" ht="14.25" customHeight="1">
      <c r="A638" s="68" t="s">
        <v>773</v>
      </c>
      <c r="B638" s="68" t="s">
        <v>22</v>
      </c>
      <c r="C638" s="68">
        <v>3.0</v>
      </c>
      <c r="D638" s="68" t="s">
        <v>746</v>
      </c>
      <c r="E638" s="68" t="s">
        <v>212</v>
      </c>
      <c r="F638" s="68" t="s">
        <v>451</v>
      </c>
      <c r="G638" s="66">
        <v>9200.0</v>
      </c>
      <c r="H638" s="66">
        <v>9685.0</v>
      </c>
      <c r="I638" s="66">
        <v>-485.0</v>
      </c>
      <c r="J638" s="69">
        <v>-0.0501</v>
      </c>
      <c r="K638" s="143" t="s">
        <v>738</v>
      </c>
    </row>
    <row r="639" spans="8:8" ht="14.25" customHeight="1">
      <c r="A639" s="68" t="s">
        <v>773</v>
      </c>
      <c r="B639" s="68" t="s">
        <v>22</v>
      </c>
      <c r="C639" s="68">
        <v>30.0</v>
      </c>
      <c r="D639" s="68" t="s">
        <v>746</v>
      </c>
      <c r="E639" s="68" t="s">
        <v>29</v>
      </c>
      <c r="F639" s="68" t="s">
        <v>452</v>
      </c>
      <c r="G639" s="66">
        <v>8800.0</v>
      </c>
      <c r="H639" s="66">
        <v>9685.0</v>
      </c>
      <c r="I639" s="66">
        <v>-885.0</v>
      </c>
      <c r="J639" s="69">
        <v>-0.0914</v>
      </c>
      <c r="K639" s="143" t="s">
        <v>738</v>
      </c>
    </row>
    <row r="640" spans="8:8" ht="14.25" customHeight="1">
      <c r="A640" s="68" t="s">
        <v>773</v>
      </c>
      <c r="B640" s="68" t="s">
        <v>37</v>
      </c>
      <c r="C640" s="68">
        <v>10.0</v>
      </c>
      <c r="D640" s="68" t="s">
        <v>746</v>
      </c>
      <c r="E640" s="68" t="s">
        <v>29</v>
      </c>
      <c r="F640" s="68" t="s">
        <v>452</v>
      </c>
      <c r="G640" s="66">
        <v>8880.0</v>
      </c>
      <c r="H640" s="66">
        <v>9235.0</v>
      </c>
      <c r="I640" s="66">
        <v>-355.0</v>
      </c>
      <c r="J640" s="69">
        <v>-0.0384</v>
      </c>
      <c r="K640" s="143" t="s">
        <v>738</v>
      </c>
    </row>
    <row r="641" spans="8:8" ht="14.25" customHeight="1">
      <c r="A641" s="68" t="s">
        <v>773</v>
      </c>
      <c r="B641" s="68" t="s">
        <v>44</v>
      </c>
      <c r="C641" s="68">
        <v>10.0</v>
      </c>
      <c r="D641" s="68" t="s">
        <v>746</v>
      </c>
      <c r="E641" s="68" t="s">
        <v>29</v>
      </c>
      <c r="F641" s="68" t="s">
        <v>452</v>
      </c>
      <c r="G641" s="66">
        <v>9200.0</v>
      </c>
      <c r="H641" s="66">
        <v>9685.0</v>
      </c>
      <c r="I641" s="66">
        <v>-485.0</v>
      </c>
      <c r="J641" s="69">
        <v>-0.0501</v>
      </c>
      <c r="K641" s="143" t="s">
        <v>738</v>
      </c>
    </row>
    <row r="642" spans="8:8" ht="14.25" customHeight="1">
      <c r="A642" s="68" t="s">
        <v>773</v>
      </c>
      <c r="B642" s="68" t="s">
        <v>45</v>
      </c>
      <c r="C642" s="68">
        <v>5.0</v>
      </c>
      <c r="D642" s="68" t="s">
        <v>746</v>
      </c>
      <c r="E642" s="68" t="s">
        <v>29</v>
      </c>
      <c r="F642" s="68" t="s">
        <v>452</v>
      </c>
      <c r="G642" s="66">
        <v>13335.0</v>
      </c>
      <c r="H642" s="66">
        <v>13932.0</v>
      </c>
      <c r="I642" s="66">
        <v>-597.0</v>
      </c>
      <c r="J642" s="69">
        <v>-0.0429</v>
      </c>
      <c r="K642" s="143" t="s">
        <v>738</v>
      </c>
    </row>
    <row r="643" spans="8:8" ht="14.25" customHeight="1">
      <c r="A643" s="68" t="s">
        <v>773</v>
      </c>
      <c r="B643" s="68" t="s">
        <v>22</v>
      </c>
      <c r="C643" s="68">
        <v>1.0</v>
      </c>
      <c r="D643" s="68" t="s">
        <v>746</v>
      </c>
      <c r="E643" s="68" t="s">
        <v>75</v>
      </c>
      <c r="F643" s="68" t="s">
        <v>454</v>
      </c>
      <c r="G643" s="66">
        <v>9335.0</v>
      </c>
      <c r="H643" s="66">
        <v>9685.0</v>
      </c>
      <c r="I643" s="66">
        <v>-350.0</v>
      </c>
      <c r="J643" s="69">
        <v>-0.0361</v>
      </c>
      <c r="K643" s="143" t="s">
        <v>738</v>
      </c>
    </row>
    <row r="644" spans="8:8" ht="14.25" customHeight="1">
      <c r="A644" s="68" t="s">
        <v>773</v>
      </c>
      <c r="B644" s="68" t="s">
        <v>22</v>
      </c>
      <c r="C644" s="68">
        <v>3.0</v>
      </c>
      <c r="D644" s="68" t="s">
        <v>746</v>
      </c>
      <c r="E644" s="68" t="s">
        <v>75</v>
      </c>
      <c r="F644" s="68" t="s">
        <v>456</v>
      </c>
      <c r="G644" s="66">
        <v>8800.0</v>
      </c>
      <c r="H644" s="66">
        <v>9685.0</v>
      </c>
      <c r="I644" s="66">
        <v>-885.0</v>
      </c>
      <c r="J644" s="69">
        <v>-0.0914</v>
      </c>
      <c r="K644" s="143" t="s">
        <v>738</v>
      </c>
    </row>
    <row r="645" spans="8:8" ht="14.25" customHeight="1">
      <c r="A645" s="68" t="s">
        <v>773</v>
      </c>
      <c r="B645" s="68" t="s">
        <v>45</v>
      </c>
      <c r="C645" s="68">
        <v>1.0</v>
      </c>
      <c r="D645" s="68" t="s">
        <v>746</v>
      </c>
      <c r="E645" s="68" t="s">
        <v>458</v>
      </c>
      <c r="F645" s="68" t="s">
        <v>459</v>
      </c>
      <c r="G645" s="66">
        <v>13335.0</v>
      </c>
      <c r="H645" s="66">
        <v>13932.0</v>
      </c>
      <c r="I645" s="66">
        <v>-597.0</v>
      </c>
      <c r="J645" s="69">
        <v>-0.0429</v>
      </c>
      <c r="K645" s="143" t="s">
        <v>738</v>
      </c>
    </row>
    <row r="646" spans="8:8" ht="14.25" customHeight="1">
      <c r="A646" s="68" t="s">
        <v>773</v>
      </c>
      <c r="B646" s="68" t="s">
        <v>21</v>
      </c>
      <c r="C646" s="68">
        <v>1.0</v>
      </c>
      <c r="D646" s="68" t="s">
        <v>746</v>
      </c>
      <c r="E646" s="68" t="s">
        <v>458</v>
      </c>
      <c r="F646" s="68" t="s">
        <v>459</v>
      </c>
      <c r="G646" s="66">
        <v>8500.0</v>
      </c>
      <c r="H646" s="66">
        <v>9190.0</v>
      </c>
      <c r="I646" s="66">
        <v>-690.0</v>
      </c>
      <c r="J646" s="69">
        <v>-0.0751</v>
      </c>
      <c r="K646" s="143" t="s">
        <v>738</v>
      </c>
    </row>
    <row r="647" spans="8:8" ht="14.25" customHeight="1">
      <c r="A647" s="68" t="s">
        <v>773</v>
      </c>
      <c r="B647" s="68" t="s">
        <v>22</v>
      </c>
      <c r="C647" s="68">
        <v>1.0</v>
      </c>
      <c r="D647" s="68" t="s">
        <v>746</v>
      </c>
      <c r="E647" s="68" t="s">
        <v>458</v>
      </c>
      <c r="F647" s="68" t="s">
        <v>459</v>
      </c>
      <c r="G647" s="66">
        <v>9200.0</v>
      </c>
      <c r="H647" s="66">
        <v>9685.0</v>
      </c>
      <c r="I647" s="66">
        <v>-485.0</v>
      </c>
      <c r="J647" s="69">
        <v>-0.0501</v>
      </c>
      <c r="K647" s="143" t="s">
        <v>738</v>
      </c>
    </row>
    <row r="648" spans="8:8" ht="14.25" customHeight="1">
      <c r="A648" s="68" t="s">
        <v>773</v>
      </c>
      <c r="B648" s="68" t="s">
        <v>34</v>
      </c>
      <c r="C648" s="68">
        <v>1.0</v>
      </c>
      <c r="D648" s="68" t="s">
        <v>746</v>
      </c>
      <c r="E648" s="68" t="s">
        <v>458</v>
      </c>
      <c r="F648" s="68" t="s">
        <v>459</v>
      </c>
      <c r="G648" s="66">
        <v>22740.0</v>
      </c>
      <c r="H648" s="66">
        <v>23895.0</v>
      </c>
      <c r="I648" s="66">
        <v>-1155.0</v>
      </c>
      <c r="J648" s="69">
        <v>-0.0483</v>
      </c>
      <c r="K648" s="143" t="s">
        <v>738</v>
      </c>
    </row>
    <row r="649" spans="8:8" ht="14.25" customHeight="1">
      <c r="A649" s="68" t="s">
        <v>773</v>
      </c>
      <c r="B649" s="68" t="s">
        <v>460</v>
      </c>
      <c r="C649" s="68">
        <v>1.0</v>
      </c>
      <c r="D649" s="68" t="s">
        <v>746</v>
      </c>
      <c r="E649" s="68" t="s">
        <v>458</v>
      </c>
      <c r="F649" s="68" t="s">
        <v>459</v>
      </c>
      <c r="G649" s="66">
        <v>4200.0</v>
      </c>
      <c r="H649" s="66">
        <v>4845.0</v>
      </c>
      <c r="I649" s="66">
        <v>-645.0</v>
      </c>
      <c r="J649" s="69">
        <v>-0.1331</v>
      </c>
      <c r="K649" s="143" t="s">
        <v>738</v>
      </c>
    </row>
    <row r="650" spans="8:8" ht="14.25" customHeight="1">
      <c r="A650" s="68" t="s">
        <v>773</v>
      </c>
      <c r="B650" s="68" t="s">
        <v>33</v>
      </c>
      <c r="C650" s="68">
        <v>1.0</v>
      </c>
      <c r="D650" s="68" t="s">
        <v>746</v>
      </c>
      <c r="E650" s="68" t="s">
        <v>458</v>
      </c>
      <c r="F650" s="68" t="s">
        <v>459</v>
      </c>
      <c r="G650" s="66">
        <v>16145.0</v>
      </c>
      <c r="H650" s="66">
        <v>16735.0</v>
      </c>
      <c r="I650" s="66">
        <v>-590.0</v>
      </c>
      <c r="J650" s="69">
        <v>-0.0353</v>
      </c>
      <c r="K650" s="143" t="s">
        <v>738</v>
      </c>
    </row>
    <row r="651" spans="8:8" ht="14.25" customHeight="1">
      <c r="A651" s="68" t="s">
        <v>773</v>
      </c>
      <c r="B651" s="68" t="s">
        <v>24</v>
      </c>
      <c r="C651" s="68">
        <v>1.0</v>
      </c>
      <c r="D651" s="68" t="s">
        <v>746</v>
      </c>
      <c r="E651" s="68" t="s">
        <v>15</v>
      </c>
      <c r="F651" s="68" t="s">
        <v>461</v>
      </c>
      <c r="G651" s="66">
        <v>5300.0</v>
      </c>
      <c r="H651" s="66">
        <v>6530.0</v>
      </c>
      <c r="I651" s="66">
        <v>-1230.0</v>
      </c>
      <c r="J651" s="69">
        <v>-0.1884</v>
      </c>
      <c r="K651" s="143" t="s">
        <v>738</v>
      </c>
    </row>
    <row r="652" spans="8:8" ht="14.25" customHeight="1">
      <c r="A652" s="68" t="s">
        <v>773</v>
      </c>
      <c r="B652" s="68" t="s">
        <v>32</v>
      </c>
      <c r="C652" s="68">
        <v>5.0</v>
      </c>
      <c r="D652" s="68" t="s">
        <v>746</v>
      </c>
      <c r="E652" s="68" t="s">
        <v>104</v>
      </c>
      <c r="F652" s="68" t="s">
        <v>462</v>
      </c>
      <c r="G652" s="66">
        <v>16145.0</v>
      </c>
      <c r="H652" s="66">
        <v>16735.0</v>
      </c>
      <c r="I652" s="66">
        <v>-590.0</v>
      </c>
      <c r="J652" s="69">
        <v>-0.0353</v>
      </c>
      <c r="K652" s="143" t="s">
        <v>738</v>
      </c>
    </row>
    <row r="653" spans="8:8" ht="14.25" customHeight="1">
      <c r="A653" s="68" t="s">
        <v>773</v>
      </c>
      <c r="B653" s="68" t="s">
        <v>22</v>
      </c>
      <c r="C653" s="68">
        <v>2.0</v>
      </c>
      <c r="D653" s="68" t="s">
        <v>746</v>
      </c>
      <c r="E653" s="68" t="s">
        <v>122</v>
      </c>
      <c r="F653" s="68" t="s">
        <v>463</v>
      </c>
      <c r="G653" s="66">
        <v>9200.0</v>
      </c>
      <c r="H653" s="66">
        <v>9685.0</v>
      </c>
      <c r="I653" s="66">
        <v>-485.0</v>
      </c>
      <c r="J653" s="69">
        <v>-0.0501</v>
      </c>
      <c r="K653" s="143" t="s">
        <v>738</v>
      </c>
    </row>
    <row r="654" spans="8:8" ht="14.25" customHeight="1">
      <c r="A654" s="68" t="s">
        <v>773</v>
      </c>
      <c r="B654" s="68" t="s">
        <v>37</v>
      </c>
      <c r="C654" s="68">
        <v>1.0</v>
      </c>
      <c r="D654" s="68" t="s">
        <v>746</v>
      </c>
      <c r="E654" s="68" t="s">
        <v>122</v>
      </c>
      <c r="F654" s="68" t="s">
        <v>463</v>
      </c>
      <c r="G654" s="66">
        <v>9200.0</v>
      </c>
      <c r="H654" s="66">
        <v>9235.0</v>
      </c>
      <c r="I654" s="66">
        <v>-35.0</v>
      </c>
      <c r="J654" s="69">
        <v>-0.0038</v>
      </c>
      <c r="K654" s="146" t="s">
        <v>747</v>
      </c>
    </row>
    <row r="655" spans="8:8" ht="14.25" customHeight="1">
      <c r="A655" s="68" t="s">
        <v>773</v>
      </c>
      <c r="B655" s="68" t="s">
        <v>21</v>
      </c>
      <c r="C655" s="68">
        <v>1.0</v>
      </c>
      <c r="D655" s="68" t="s">
        <v>746</v>
      </c>
      <c r="E655" s="68" t="s">
        <v>122</v>
      </c>
      <c r="F655" s="68" t="s">
        <v>463</v>
      </c>
      <c r="G655" s="66">
        <v>9000.0</v>
      </c>
      <c r="H655" s="66">
        <v>9190.0</v>
      </c>
      <c r="I655" s="66">
        <v>-190.0</v>
      </c>
      <c r="J655" s="69">
        <v>-0.0207</v>
      </c>
      <c r="K655" s="143" t="s">
        <v>738</v>
      </c>
    </row>
    <row r="656" spans="8:8" ht="14.25" customHeight="1">
      <c r="A656" s="68" t="s">
        <v>773</v>
      </c>
      <c r="B656" s="68" t="s">
        <v>22</v>
      </c>
      <c r="C656" s="68">
        <v>1.0</v>
      </c>
      <c r="D656" s="68" t="s">
        <v>746</v>
      </c>
      <c r="E656" s="68" t="s">
        <v>102</v>
      </c>
      <c r="F656" s="68" t="s">
        <v>464</v>
      </c>
      <c r="G656" s="66">
        <v>9500.0</v>
      </c>
      <c r="H656" s="66">
        <v>9685.0</v>
      </c>
      <c r="I656" s="66">
        <v>-185.0</v>
      </c>
      <c r="J656" s="69">
        <v>-0.0191</v>
      </c>
      <c r="K656" s="143" t="s">
        <v>738</v>
      </c>
    </row>
    <row r="657" spans="8:8" ht="14.25" customHeight="1">
      <c r="A657" s="68" t="s">
        <v>773</v>
      </c>
      <c r="B657" s="68" t="s">
        <v>45</v>
      </c>
      <c r="C657" s="68">
        <v>1.0</v>
      </c>
      <c r="D657" s="68" t="s">
        <v>746</v>
      </c>
      <c r="E657" s="68" t="s">
        <v>102</v>
      </c>
      <c r="F657" s="68" t="s">
        <v>465</v>
      </c>
      <c r="G657" s="66">
        <v>13950.0</v>
      </c>
      <c r="H657" s="66">
        <v>13932.0</v>
      </c>
      <c r="I657" s="66">
        <v>18.0</v>
      </c>
      <c r="J657" s="69">
        <v>0.0013</v>
      </c>
      <c r="K657" s="146" t="s">
        <v>747</v>
      </c>
    </row>
    <row r="658" spans="8:8" ht="14.25" customHeight="1">
      <c r="A658" s="68" t="s">
        <v>773</v>
      </c>
      <c r="B658" s="68" t="s">
        <v>181</v>
      </c>
      <c r="C658" s="68">
        <v>1.0</v>
      </c>
      <c r="D658" s="68" t="s">
        <v>746</v>
      </c>
      <c r="E658" s="68" t="s">
        <v>15</v>
      </c>
      <c r="F658" s="68" t="s">
        <v>466</v>
      </c>
      <c r="G658" s="66">
        <v>16950.0</v>
      </c>
      <c r="H658" s="66">
        <v>17770.0</v>
      </c>
      <c r="I658" s="66">
        <v>-820.0</v>
      </c>
      <c r="J658" s="69">
        <v>-0.0461</v>
      </c>
      <c r="K658" s="143" t="s">
        <v>738</v>
      </c>
    </row>
    <row r="659" spans="8:8" ht="14.25" customHeight="1">
      <c r="A659" s="68" t="s">
        <v>773</v>
      </c>
      <c r="B659" s="68" t="s">
        <v>22</v>
      </c>
      <c r="C659" s="68">
        <v>3.0</v>
      </c>
      <c r="D659" s="68" t="s">
        <v>746</v>
      </c>
      <c r="E659" s="68" t="s">
        <v>95</v>
      </c>
      <c r="F659" s="68" t="s">
        <v>467</v>
      </c>
      <c r="G659" s="66">
        <v>9200.0</v>
      </c>
      <c r="H659" s="66">
        <v>9685.0</v>
      </c>
      <c r="I659" s="66">
        <v>-485.0</v>
      </c>
      <c r="J659" s="69">
        <v>-0.0501</v>
      </c>
      <c r="K659" s="143" t="s">
        <v>738</v>
      </c>
    </row>
    <row r="660" spans="8:8" ht="14.25" customHeight="1">
      <c r="A660" s="68" t="s">
        <v>773</v>
      </c>
      <c r="B660" s="68" t="s">
        <v>44</v>
      </c>
      <c r="C660" s="68">
        <v>2.0</v>
      </c>
      <c r="D660" s="68" t="s">
        <v>746</v>
      </c>
      <c r="E660" s="68" t="s">
        <v>95</v>
      </c>
      <c r="F660" s="68" t="s">
        <v>467</v>
      </c>
      <c r="G660" s="66">
        <v>9200.0</v>
      </c>
      <c r="H660" s="66">
        <v>9685.0</v>
      </c>
      <c r="I660" s="66">
        <v>-485.0</v>
      </c>
      <c r="J660" s="69">
        <v>-0.0501</v>
      </c>
      <c r="K660" s="143" t="s">
        <v>738</v>
      </c>
    </row>
    <row r="661" spans="8:8" ht="14.25" customHeight="1">
      <c r="A661" s="68" t="s">
        <v>773</v>
      </c>
      <c r="B661" s="68" t="s">
        <v>45</v>
      </c>
      <c r="C661" s="68">
        <v>1.0</v>
      </c>
      <c r="D661" s="68" t="s">
        <v>746</v>
      </c>
      <c r="E661" s="68" t="s">
        <v>95</v>
      </c>
      <c r="F661" s="68" t="s">
        <v>467</v>
      </c>
      <c r="G661" s="66">
        <v>13335.0</v>
      </c>
      <c r="H661" s="66">
        <v>13932.0</v>
      </c>
      <c r="I661" s="66">
        <v>-597.0</v>
      </c>
      <c r="J661" s="69">
        <v>-0.0429</v>
      </c>
      <c r="K661" s="143" t="s">
        <v>738</v>
      </c>
    </row>
    <row r="662" spans="8:8" ht="14.25" customHeight="1">
      <c r="A662" s="68" t="s">
        <v>774</v>
      </c>
      <c r="B662" s="68" t="s">
        <v>24</v>
      </c>
      <c r="C662" s="68">
        <v>2.0</v>
      </c>
      <c r="D662" s="68" t="s">
        <v>746</v>
      </c>
      <c r="E662" s="68" t="s">
        <v>15</v>
      </c>
      <c r="F662" s="68" t="s">
        <v>468</v>
      </c>
      <c r="G662" s="66">
        <v>5300.0</v>
      </c>
      <c r="H662" s="66">
        <v>6530.0</v>
      </c>
      <c r="I662" s="66">
        <v>-1230.0</v>
      </c>
      <c r="J662" s="69">
        <v>-0.1884</v>
      </c>
      <c r="K662" s="143" t="s">
        <v>738</v>
      </c>
    </row>
    <row r="663" spans="8:8" ht="14.25" customHeight="1">
      <c r="A663" s="68" t="s">
        <v>774</v>
      </c>
      <c r="B663" s="68" t="s">
        <v>32</v>
      </c>
      <c r="C663" s="68">
        <v>1.0</v>
      </c>
      <c r="D663" s="68" t="s">
        <v>746</v>
      </c>
      <c r="E663" s="68" t="s">
        <v>104</v>
      </c>
      <c r="F663" s="68" t="s">
        <v>469</v>
      </c>
      <c r="G663" s="66">
        <v>16145.0</v>
      </c>
      <c r="H663" s="66">
        <v>16735.0</v>
      </c>
      <c r="I663" s="66">
        <v>-590.0</v>
      </c>
      <c r="J663" s="69">
        <v>-0.0353</v>
      </c>
      <c r="K663" s="143" t="s">
        <v>738</v>
      </c>
    </row>
    <row r="664" spans="8:8" ht="14.25" customHeight="1">
      <c r="A664" s="68" t="s">
        <v>774</v>
      </c>
      <c r="B664" s="68" t="s">
        <v>100</v>
      </c>
      <c r="C664" s="68">
        <v>10.0</v>
      </c>
      <c r="D664" s="68" t="s">
        <v>746</v>
      </c>
      <c r="E664" s="68" t="s">
        <v>29</v>
      </c>
      <c r="F664" s="68" t="s">
        <v>470</v>
      </c>
      <c r="G664" s="66">
        <v>11480.0</v>
      </c>
      <c r="H664" s="66">
        <v>12045.0</v>
      </c>
      <c r="I664" s="66">
        <v>-565.0</v>
      </c>
      <c r="J664" s="69">
        <v>-0.0469</v>
      </c>
      <c r="K664" s="143" t="s">
        <v>738</v>
      </c>
    </row>
    <row r="665" spans="8:8" ht="14.25" customHeight="1">
      <c r="A665" s="68" t="s">
        <v>774</v>
      </c>
      <c r="B665" s="68" t="s">
        <v>87</v>
      </c>
      <c r="C665" s="68">
        <v>10.0</v>
      </c>
      <c r="D665" s="68" t="s">
        <v>746</v>
      </c>
      <c r="E665" s="68" t="s">
        <v>29</v>
      </c>
      <c r="F665" s="68" t="s">
        <v>470</v>
      </c>
      <c r="G665" s="66">
        <v>21400.0</v>
      </c>
      <c r="H665" s="66">
        <v>22565.0</v>
      </c>
      <c r="I665" s="66">
        <v>-1165.0</v>
      </c>
      <c r="J665" s="69">
        <v>-0.0516</v>
      </c>
      <c r="K665" s="143" t="s">
        <v>738</v>
      </c>
    </row>
    <row r="666" spans="8:8" ht="14.25" customHeight="1">
      <c r="A666" s="68" t="s">
        <v>774</v>
      </c>
      <c r="B666" s="68" t="s">
        <v>21</v>
      </c>
      <c r="C666" s="68">
        <v>3.0</v>
      </c>
      <c r="D666" s="68" t="s">
        <v>746</v>
      </c>
      <c r="E666" s="68" t="s">
        <v>212</v>
      </c>
      <c r="F666" s="68" t="s">
        <v>471</v>
      </c>
      <c r="G666" s="66">
        <v>9000.0</v>
      </c>
      <c r="H666" s="66">
        <v>9190.0</v>
      </c>
      <c r="I666" s="66">
        <v>-190.0</v>
      </c>
      <c r="J666" s="69">
        <v>-0.0207</v>
      </c>
      <c r="K666" s="143" t="s">
        <v>738</v>
      </c>
    </row>
    <row r="667" spans="8:8" ht="14.25" customHeight="1">
      <c r="A667" s="68" t="s">
        <v>774</v>
      </c>
      <c r="B667" s="68" t="s">
        <v>43</v>
      </c>
      <c r="C667" s="68">
        <v>1.0</v>
      </c>
      <c r="D667" s="68" t="s">
        <v>746</v>
      </c>
      <c r="E667" s="68" t="s">
        <v>212</v>
      </c>
      <c r="F667" s="68" t="s">
        <v>471</v>
      </c>
      <c r="G667" s="66">
        <v>18300.0</v>
      </c>
      <c r="H667" s="66">
        <v>18100.0</v>
      </c>
      <c r="I667" s="66">
        <v>200.0</v>
      </c>
      <c r="J667" s="69">
        <v>0.011</v>
      </c>
      <c r="K667" s="145" t="s">
        <v>744</v>
      </c>
    </row>
    <row r="668" spans="8:8" ht="14.25" customHeight="1">
      <c r="A668" s="68" t="s">
        <v>774</v>
      </c>
      <c r="B668" s="68" t="s">
        <v>45</v>
      </c>
      <c r="C668" s="68">
        <v>50.0</v>
      </c>
      <c r="D668" s="68" t="s">
        <v>749</v>
      </c>
      <c r="E668" s="68" t="s">
        <v>152</v>
      </c>
      <c r="F668" s="68" t="s">
        <v>472</v>
      </c>
      <c r="G668" s="66">
        <v>12930.0</v>
      </c>
      <c r="H668" s="66">
        <v>13332.0</v>
      </c>
      <c r="I668" s="66">
        <v>-402.0</v>
      </c>
      <c r="J668" s="69">
        <v>-0.0302</v>
      </c>
      <c r="K668" s="143" t="s">
        <v>738</v>
      </c>
    </row>
    <row r="669" spans="8:8" ht="14.25" customHeight="1">
      <c r="A669" s="68" t="s">
        <v>774</v>
      </c>
      <c r="B669" s="68" t="s">
        <v>24</v>
      </c>
      <c r="C669" s="68">
        <v>210.0</v>
      </c>
      <c r="D669" s="68" t="s">
        <v>749</v>
      </c>
      <c r="E669" s="68" t="s">
        <v>25</v>
      </c>
      <c r="F669" s="68" t="s">
        <v>474</v>
      </c>
      <c r="G669" s="66">
        <v>5000.0</v>
      </c>
      <c r="H669" s="66">
        <v>6195.0</v>
      </c>
      <c r="I669" s="66">
        <v>-1195.0</v>
      </c>
      <c r="J669" s="69">
        <v>-0.1929</v>
      </c>
      <c r="K669" s="143" t="s">
        <v>738</v>
      </c>
    </row>
    <row r="670" spans="8:8" ht="14.25" customHeight="1">
      <c r="A670" s="68" t="s">
        <v>774</v>
      </c>
      <c r="B670" s="68" t="s">
        <v>22</v>
      </c>
      <c r="C670" s="68">
        <v>200.0</v>
      </c>
      <c r="D670" s="68" t="s">
        <v>749</v>
      </c>
      <c r="E670" s="68" t="s">
        <v>165</v>
      </c>
      <c r="F670" s="68" t="s">
        <v>475</v>
      </c>
      <c r="G670" s="66">
        <v>8500.0</v>
      </c>
      <c r="H670" s="66">
        <v>9335.0</v>
      </c>
      <c r="I670" s="66">
        <v>-835.0</v>
      </c>
      <c r="J670" s="69">
        <v>-0.0894</v>
      </c>
      <c r="K670" s="143" t="s">
        <v>738</v>
      </c>
    </row>
    <row r="671" spans="8:8" ht="14.25" customHeight="1">
      <c r="A671" s="68" t="s">
        <v>774</v>
      </c>
      <c r="B671" s="68" t="s">
        <v>37</v>
      </c>
      <c r="C671" s="68">
        <v>100.0</v>
      </c>
      <c r="D671" s="68" t="s">
        <v>749</v>
      </c>
      <c r="E671" s="68" t="s">
        <v>165</v>
      </c>
      <c r="F671" s="68" t="s">
        <v>475</v>
      </c>
      <c r="G671" s="66">
        <v>8880.0</v>
      </c>
      <c r="H671" s="66">
        <v>8880.0</v>
      </c>
      <c r="I671" s="66">
        <v>0.0</v>
      </c>
      <c r="J671" s="69">
        <v>0.0</v>
      </c>
      <c r="K671" s="146" t="s">
        <v>747</v>
      </c>
    </row>
    <row r="672" spans="8:8" ht="14.25" customHeight="1">
      <c r="A672" s="68" t="s">
        <v>774</v>
      </c>
      <c r="B672" s="68" t="s">
        <v>45</v>
      </c>
      <c r="C672" s="68">
        <v>30.0</v>
      </c>
      <c r="D672" s="68" t="s">
        <v>746</v>
      </c>
      <c r="E672" s="68" t="s">
        <v>165</v>
      </c>
      <c r="F672" s="68" t="s">
        <v>475</v>
      </c>
      <c r="G672" s="66">
        <v>12830.0</v>
      </c>
      <c r="H672" s="66">
        <v>13932.0</v>
      </c>
      <c r="I672" s="66">
        <v>-1102.0</v>
      </c>
      <c r="J672" s="69">
        <v>-0.0791</v>
      </c>
      <c r="K672" s="143" t="s">
        <v>738</v>
      </c>
    </row>
    <row r="673" spans="8:8" ht="14.25" customHeight="1">
      <c r="A673" s="68" t="s">
        <v>774</v>
      </c>
      <c r="B673" s="68" t="s">
        <v>43</v>
      </c>
      <c r="C673" s="68">
        <v>20.0</v>
      </c>
      <c r="D673" s="68" t="s">
        <v>746</v>
      </c>
      <c r="E673" s="68" t="s">
        <v>165</v>
      </c>
      <c r="F673" s="68" t="s">
        <v>475</v>
      </c>
      <c r="G673" s="66">
        <v>17700.0</v>
      </c>
      <c r="H673" s="66">
        <v>18100.0</v>
      </c>
      <c r="I673" s="66">
        <v>-400.0</v>
      </c>
      <c r="J673" s="69">
        <v>-0.0221</v>
      </c>
      <c r="K673" s="143" t="s">
        <v>738</v>
      </c>
    </row>
    <row r="674" spans="8:8" ht="14.25" customHeight="1">
      <c r="A674" s="68" t="s">
        <v>774</v>
      </c>
      <c r="B674" s="68" t="s">
        <v>22</v>
      </c>
      <c r="C674" s="68">
        <v>40.0</v>
      </c>
      <c r="D674" s="68" t="s">
        <v>746</v>
      </c>
      <c r="E674" s="68" t="s">
        <v>59</v>
      </c>
      <c r="F674" s="68" t="s">
        <v>479</v>
      </c>
      <c r="G674" s="66">
        <v>9000.0</v>
      </c>
      <c r="H674" s="66">
        <v>9685.0</v>
      </c>
      <c r="I674" s="66">
        <v>-685.0</v>
      </c>
      <c r="J674" s="69">
        <v>-0.0707</v>
      </c>
      <c r="K674" s="143" t="s">
        <v>738</v>
      </c>
    </row>
    <row r="675" spans="8:8" ht="14.25" customHeight="1">
      <c r="A675" s="68" t="s">
        <v>774</v>
      </c>
      <c r="B675" s="68" t="s">
        <v>22</v>
      </c>
      <c r="C675" s="68">
        <v>70.0</v>
      </c>
      <c r="D675" s="68" t="s">
        <v>749</v>
      </c>
      <c r="E675" s="68" t="s">
        <v>139</v>
      </c>
      <c r="F675" s="68" t="s">
        <v>482</v>
      </c>
      <c r="G675" s="66">
        <v>8500.0</v>
      </c>
      <c r="H675" s="66">
        <v>9335.0</v>
      </c>
      <c r="I675" s="66">
        <v>-835.0</v>
      </c>
      <c r="J675" s="69">
        <v>-0.0894</v>
      </c>
      <c r="K675" s="143" t="s">
        <v>738</v>
      </c>
    </row>
    <row r="676" spans="8:8" ht="14.25" customHeight="1">
      <c r="A676" s="68" t="s">
        <v>774</v>
      </c>
      <c r="B676" s="68" t="s">
        <v>27</v>
      </c>
      <c r="C676" s="68">
        <v>8.0</v>
      </c>
      <c r="D676" s="68" t="s">
        <v>746</v>
      </c>
      <c r="E676" s="68" t="s">
        <v>25</v>
      </c>
      <c r="F676" s="68" t="s">
        <v>483</v>
      </c>
      <c r="G676" s="66">
        <v>8020.0</v>
      </c>
      <c r="H676" s="66">
        <v>8355.0</v>
      </c>
      <c r="I676" s="66">
        <v>-335.0</v>
      </c>
      <c r="J676" s="69">
        <v>-0.0401</v>
      </c>
      <c r="K676" s="143" t="s">
        <v>738</v>
      </c>
    </row>
    <row r="677" spans="8:8" ht="14.25" customHeight="1">
      <c r="A677" s="68" t="s">
        <v>774</v>
      </c>
      <c r="B677" s="68" t="s">
        <v>45</v>
      </c>
      <c r="C677" s="68">
        <v>5.0</v>
      </c>
      <c r="D677" s="68" t="s">
        <v>746</v>
      </c>
      <c r="E677" s="68" t="s">
        <v>145</v>
      </c>
      <c r="F677" s="68" t="s">
        <v>485</v>
      </c>
      <c r="G677" s="66">
        <v>13335.0</v>
      </c>
      <c r="H677" s="66">
        <v>13932.0</v>
      </c>
      <c r="I677" s="66">
        <v>-597.0</v>
      </c>
      <c r="J677" s="69">
        <v>-0.0429</v>
      </c>
      <c r="K677" s="143" t="s">
        <v>738</v>
      </c>
    </row>
    <row r="678" spans="8:8" ht="14.25" customHeight="1">
      <c r="A678" s="68" t="s">
        <v>774</v>
      </c>
      <c r="B678" s="68" t="s">
        <v>24</v>
      </c>
      <c r="C678" s="68">
        <v>1.0</v>
      </c>
      <c r="D678" s="68" t="s">
        <v>746</v>
      </c>
      <c r="E678" s="68" t="s">
        <v>15</v>
      </c>
      <c r="F678" s="68" t="s">
        <v>486</v>
      </c>
      <c r="G678" s="66">
        <v>5300.0</v>
      </c>
      <c r="H678" s="66">
        <v>6530.0</v>
      </c>
      <c r="I678" s="66">
        <v>-1230.0</v>
      </c>
      <c r="J678" s="69">
        <v>-0.1884</v>
      </c>
      <c r="K678" s="143" t="s">
        <v>738</v>
      </c>
    </row>
    <row r="679" spans="8:8" ht="14.25" customHeight="1">
      <c r="A679" s="68" t="s">
        <v>774</v>
      </c>
      <c r="B679" s="68" t="s">
        <v>45</v>
      </c>
      <c r="C679" s="68">
        <v>10.0</v>
      </c>
      <c r="D679" s="68" t="s">
        <v>746</v>
      </c>
      <c r="E679" s="68" t="s">
        <v>85</v>
      </c>
      <c r="F679" s="68" t="s">
        <v>487</v>
      </c>
      <c r="G679" s="66">
        <v>13950.0</v>
      </c>
      <c r="H679" s="66">
        <v>13932.0</v>
      </c>
      <c r="I679" s="66">
        <v>18.0</v>
      </c>
      <c r="J679" s="69">
        <v>0.0013</v>
      </c>
      <c r="K679" s="146" t="s">
        <v>747</v>
      </c>
    </row>
    <row r="680" spans="8:8" ht="14.25" customHeight="1">
      <c r="A680" s="68" t="s">
        <v>774</v>
      </c>
      <c r="B680" s="68" t="s">
        <v>22</v>
      </c>
      <c r="C680" s="68">
        <v>5.0</v>
      </c>
      <c r="D680" s="68" t="s">
        <v>746</v>
      </c>
      <c r="E680" s="68" t="s">
        <v>85</v>
      </c>
      <c r="F680" s="68" t="s">
        <v>487</v>
      </c>
      <c r="G680" s="66">
        <v>9300.0</v>
      </c>
      <c r="H680" s="66">
        <v>9685.0</v>
      </c>
      <c r="I680" s="66">
        <v>-385.0</v>
      </c>
      <c r="J680" s="69">
        <v>-0.0398</v>
      </c>
      <c r="K680" s="143" t="s">
        <v>738</v>
      </c>
    </row>
    <row r="681" spans="8:8" ht="14.25" customHeight="1">
      <c r="A681" s="68" t="s">
        <v>774</v>
      </c>
      <c r="B681" s="68" t="s">
        <v>101</v>
      </c>
      <c r="C681" s="68">
        <v>3.0</v>
      </c>
      <c r="D681" s="68" t="s">
        <v>746</v>
      </c>
      <c r="E681" s="68" t="s">
        <v>85</v>
      </c>
      <c r="F681" s="68" t="s">
        <v>487</v>
      </c>
      <c r="G681" s="66">
        <v>14455.0</v>
      </c>
      <c r="H681" s="66">
        <v>14455.0</v>
      </c>
      <c r="I681" s="66">
        <v>0.0</v>
      </c>
      <c r="J681" s="69">
        <v>0.0</v>
      </c>
      <c r="K681" s="146" t="s">
        <v>747</v>
      </c>
    </row>
    <row r="682" spans="8:8" ht="14.25" customHeight="1">
      <c r="A682" s="68" t="s">
        <v>774</v>
      </c>
      <c r="B682" s="68" t="s">
        <v>87</v>
      </c>
      <c r="C682" s="68">
        <v>5.0</v>
      </c>
      <c r="D682" s="68" t="s">
        <v>746</v>
      </c>
      <c r="E682" s="68" t="s">
        <v>85</v>
      </c>
      <c r="F682" s="68" t="s">
        <v>487</v>
      </c>
      <c r="G682" s="66">
        <v>22565.0</v>
      </c>
      <c r="H682" s="66">
        <v>22565.0</v>
      </c>
      <c r="I682" s="66">
        <v>0.0</v>
      </c>
      <c r="J682" s="69">
        <v>0.0</v>
      </c>
      <c r="K682" s="146" t="s">
        <v>747</v>
      </c>
    </row>
    <row r="683" spans="8:8" ht="14.25" customHeight="1">
      <c r="A683" s="68" t="s">
        <v>774</v>
      </c>
      <c r="B683" s="68" t="s">
        <v>24</v>
      </c>
      <c r="C683" s="68">
        <v>100.0</v>
      </c>
      <c r="D683" s="68" t="s">
        <v>749</v>
      </c>
      <c r="E683" s="68" t="s">
        <v>59</v>
      </c>
      <c r="F683" s="68" t="s">
        <v>488</v>
      </c>
      <c r="G683" s="66">
        <v>5000.0</v>
      </c>
      <c r="H683" s="66">
        <v>6195.0</v>
      </c>
      <c r="I683" s="66">
        <v>-1195.0</v>
      </c>
      <c r="J683" s="69">
        <v>-0.1929</v>
      </c>
      <c r="K683" s="143" t="s">
        <v>738</v>
      </c>
    </row>
    <row r="684" spans="8:8" ht="14.25" customHeight="1">
      <c r="A684" s="68" t="s">
        <v>774</v>
      </c>
      <c r="B684" s="68" t="s">
        <v>22</v>
      </c>
      <c r="C684" s="68">
        <v>4.0</v>
      </c>
      <c r="D684" s="68" t="s">
        <v>746</v>
      </c>
      <c r="E684" s="68" t="s">
        <v>75</v>
      </c>
      <c r="F684" s="68" t="s">
        <v>489</v>
      </c>
      <c r="G684" s="66">
        <v>9335.0</v>
      </c>
      <c r="H684" s="66">
        <v>9685.0</v>
      </c>
      <c r="I684" s="66">
        <v>-350.0</v>
      </c>
      <c r="J684" s="69">
        <v>-0.0361</v>
      </c>
      <c r="K684" s="143" t="s">
        <v>738</v>
      </c>
    </row>
    <row r="685" spans="8:8" ht="14.25" customHeight="1">
      <c r="A685" s="68" t="s">
        <v>774</v>
      </c>
      <c r="B685" s="68" t="s">
        <v>45</v>
      </c>
      <c r="C685" s="68">
        <v>2.0</v>
      </c>
      <c r="D685" s="68" t="s">
        <v>746</v>
      </c>
      <c r="E685" s="68" t="s">
        <v>336</v>
      </c>
      <c r="F685" s="68" t="s">
        <v>491</v>
      </c>
      <c r="G685" s="66">
        <v>13335.0</v>
      </c>
      <c r="H685" s="66">
        <v>13932.0</v>
      </c>
      <c r="I685" s="66">
        <v>-597.0</v>
      </c>
      <c r="J685" s="69">
        <v>-0.0429</v>
      </c>
      <c r="K685" s="143" t="s">
        <v>738</v>
      </c>
    </row>
    <row r="686" spans="8:8" ht="14.25" customHeight="1">
      <c r="A686" s="68" t="s">
        <v>774</v>
      </c>
      <c r="B686" s="68" t="s">
        <v>21</v>
      </c>
      <c r="C686" s="68">
        <v>2.0</v>
      </c>
      <c r="D686" s="68" t="s">
        <v>746</v>
      </c>
      <c r="E686" s="68" t="s">
        <v>336</v>
      </c>
      <c r="F686" s="68" t="s">
        <v>491</v>
      </c>
      <c r="G686" s="66">
        <v>9000.0</v>
      </c>
      <c r="H686" s="66">
        <v>9190.0</v>
      </c>
      <c r="I686" s="66">
        <v>-190.0</v>
      </c>
      <c r="J686" s="69">
        <v>-0.0207</v>
      </c>
      <c r="K686" s="143" t="s">
        <v>738</v>
      </c>
    </row>
    <row r="687" spans="8:8" ht="14.25" customHeight="1">
      <c r="A687" s="68" t="s">
        <v>774</v>
      </c>
      <c r="B687" s="68" t="s">
        <v>22</v>
      </c>
      <c r="C687" s="68">
        <v>2.0</v>
      </c>
      <c r="D687" s="68" t="s">
        <v>746</v>
      </c>
      <c r="E687" s="68" t="s">
        <v>336</v>
      </c>
      <c r="F687" s="68" t="s">
        <v>491</v>
      </c>
      <c r="G687" s="66">
        <v>9200.0</v>
      </c>
      <c r="H687" s="66">
        <v>9685.0</v>
      </c>
      <c r="I687" s="66">
        <v>-485.0</v>
      </c>
      <c r="J687" s="69">
        <v>-0.0501</v>
      </c>
      <c r="K687" s="143" t="s">
        <v>738</v>
      </c>
    </row>
    <row r="688" spans="8:8" ht="14.25" customHeight="1">
      <c r="A688" s="68" t="s">
        <v>774</v>
      </c>
      <c r="B688" s="68" t="s">
        <v>44</v>
      </c>
      <c r="C688" s="68">
        <v>1.0</v>
      </c>
      <c r="D688" s="68" t="s">
        <v>746</v>
      </c>
      <c r="E688" s="68" t="s">
        <v>336</v>
      </c>
      <c r="F688" s="68" t="s">
        <v>491</v>
      </c>
      <c r="G688" s="66">
        <v>9200.0</v>
      </c>
      <c r="H688" s="66">
        <v>9685.0</v>
      </c>
      <c r="I688" s="66">
        <v>-485.0</v>
      </c>
      <c r="J688" s="69">
        <v>-0.0501</v>
      </c>
      <c r="K688" s="143" t="s">
        <v>738</v>
      </c>
    </row>
    <row r="689" spans="8:8" ht="14.25" customHeight="1">
      <c r="A689" s="68" t="s">
        <v>774</v>
      </c>
      <c r="B689" s="68" t="s">
        <v>37</v>
      </c>
      <c r="C689" s="68">
        <v>1.0</v>
      </c>
      <c r="D689" s="68" t="s">
        <v>746</v>
      </c>
      <c r="E689" s="68" t="s">
        <v>336</v>
      </c>
      <c r="F689" s="68" t="s">
        <v>491</v>
      </c>
      <c r="G689" s="66">
        <v>9200.0</v>
      </c>
      <c r="H689" s="66">
        <v>9235.0</v>
      </c>
      <c r="I689" s="66">
        <v>-35.0</v>
      </c>
      <c r="J689" s="69">
        <v>-0.0038</v>
      </c>
      <c r="K689" s="146" t="s">
        <v>747</v>
      </c>
    </row>
    <row r="690" spans="8:8" ht="14.25" customHeight="1">
      <c r="A690" s="68" t="s">
        <v>774</v>
      </c>
      <c r="B690" s="68" t="s">
        <v>43</v>
      </c>
      <c r="C690" s="68">
        <v>1.0</v>
      </c>
      <c r="D690" s="68" t="s">
        <v>746</v>
      </c>
      <c r="E690" s="68" t="s">
        <v>336</v>
      </c>
      <c r="F690" s="68" t="s">
        <v>491</v>
      </c>
      <c r="G690" s="66">
        <v>18300.0</v>
      </c>
      <c r="H690" s="66">
        <v>18100.0</v>
      </c>
      <c r="I690" s="66">
        <v>200.0</v>
      </c>
      <c r="J690" s="69">
        <v>0.011</v>
      </c>
      <c r="K690" s="145" t="s">
        <v>744</v>
      </c>
    </row>
    <row r="691" spans="8:8" ht="14.25" customHeight="1">
      <c r="A691" s="68" t="s">
        <v>774</v>
      </c>
      <c r="B691" s="68" t="s">
        <v>24</v>
      </c>
      <c r="C691" s="68">
        <v>1.0</v>
      </c>
      <c r="D691" s="68" t="s">
        <v>746</v>
      </c>
      <c r="E691" s="68" t="s">
        <v>336</v>
      </c>
      <c r="F691" s="68" t="s">
        <v>491</v>
      </c>
      <c r="G691" s="66">
        <v>5300.0</v>
      </c>
      <c r="H691" s="66">
        <v>6530.0</v>
      </c>
      <c r="I691" s="66">
        <v>-1230.0</v>
      </c>
      <c r="J691" s="69">
        <v>-0.1884</v>
      </c>
      <c r="K691" s="143" t="s">
        <v>738</v>
      </c>
    </row>
    <row r="692" spans="8:8" ht="14.25" customHeight="1">
      <c r="A692" s="68" t="s">
        <v>774</v>
      </c>
      <c r="B692" s="68" t="s">
        <v>24</v>
      </c>
      <c r="C692" s="68">
        <v>60.0</v>
      </c>
      <c r="D692" s="68" t="s">
        <v>749</v>
      </c>
      <c r="E692" s="68" t="s">
        <v>59</v>
      </c>
      <c r="F692" s="68" t="s">
        <v>492</v>
      </c>
      <c r="G692" s="66">
        <v>5000.0</v>
      </c>
      <c r="H692" s="66">
        <v>6195.0</v>
      </c>
      <c r="I692" s="66">
        <v>-1195.0</v>
      </c>
      <c r="J692" s="69">
        <v>-0.1929</v>
      </c>
      <c r="K692" s="143" t="s">
        <v>738</v>
      </c>
    </row>
    <row r="693" spans="8:8" ht="14.25" customHeight="1">
      <c r="A693" s="68" t="s">
        <v>774</v>
      </c>
      <c r="B693" s="68" t="s">
        <v>27</v>
      </c>
      <c r="C693" s="68">
        <v>10.0</v>
      </c>
      <c r="D693" s="68" t="s">
        <v>746</v>
      </c>
      <c r="E693" s="68" t="s">
        <v>59</v>
      </c>
      <c r="F693" s="68" t="s">
        <v>492</v>
      </c>
      <c r="G693" s="66">
        <v>8020.0</v>
      </c>
      <c r="H693" s="66">
        <v>8355.0</v>
      </c>
      <c r="I693" s="66">
        <v>-335.0</v>
      </c>
      <c r="J693" s="69">
        <v>-0.0401</v>
      </c>
      <c r="K693" s="143" t="s">
        <v>738</v>
      </c>
    </row>
    <row r="694" spans="8:8" ht="14.25" customHeight="1">
      <c r="A694" s="68" t="s">
        <v>774</v>
      </c>
      <c r="B694" s="68" t="s">
        <v>44</v>
      </c>
      <c r="C694" s="68">
        <v>1.0</v>
      </c>
      <c r="D694" s="68" t="s">
        <v>746</v>
      </c>
      <c r="E694" s="68" t="s">
        <v>15</v>
      </c>
      <c r="F694" s="68" t="s">
        <v>493</v>
      </c>
      <c r="G694" s="66">
        <v>9500.0</v>
      </c>
      <c r="H694" s="66">
        <v>9685.0</v>
      </c>
      <c r="I694" s="66">
        <v>-185.0</v>
      </c>
      <c r="J694" s="69">
        <v>-0.0191</v>
      </c>
      <c r="K694" s="143" t="s">
        <v>738</v>
      </c>
    </row>
    <row r="695" spans="8:8" ht="14.25" customHeight="1">
      <c r="A695" s="68" t="s">
        <v>774</v>
      </c>
      <c r="B695" s="68" t="s">
        <v>37</v>
      </c>
      <c r="C695" s="68">
        <v>1.0</v>
      </c>
      <c r="D695" s="68" t="s">
        <v>746</v>
      </c>
      <c r="E695" s="68" t="s">
        <v>15</v>
      </c>
      <c r="F695" s="68" t="s">
        <v>493</v>
      </c>
      <c r="G695" s="66">
        <v>9500.0</v>
      </c>
      <c r="H695" s="66">
        <v>9235.0</v>
      </c>
      <c r="I695" s="66">
        <v>265.0</v>
      </c>
      <c r="J695" s="69">
        <v>0.0287</v>
      </c>
      <c r="K695" s="145" t="s">
        <v>744</v>
      </c>
    </row>
    <row r="696" spans="8:8" ht="14.25" customHeight="1">
      <c r="A696" s="68" t="s">
        <v>774</v>
      </c>
      <c r="B696" s="68" t="s">
        <v>21</v>
      </c>
      <c r="C696" s="68">
        <v>1.0</v>
      </c>
      <c r="D696" s="68" t="s">
        <v>746</v>
      </c>
      <c r="E696" s="68" t="s">
        <v>15</v>
      </c>
      <c r="F696" s="68" t="s">
        <v>493</v>
      </c>
      <c r="G696" s="66">
        <v>9000.0</v>
      </c>
      <c r="H696" s="66">
        <v>9190.0</v>
      </c>
      <c r="I696" s="66">
        <v>-190.0</v>
      </c>
      <c r="J696" s="69">
        <v>-0.0207</v>
      </c>
      <c r="K696" s="143" t="s">
        <v>738</v>
      </c>
    </row>
    <row r="697" spans="8:8" ht="14.25" customHeight="1">
      <c r="A697" s="68" t="s">
        <v>775</v>
      </c>
      <c r="B697" s="68" t="s">
        <v>22</v>
      </c>
      <c r="C697" s="68">
        <v>4.0</v>
      </c>
      <c r="D697" s="68" t="s">
        <v>746</v>
      </c>
      <c r="E697" s="68" t="s">
        <v>212</v>
      </c>
      <c r="F697" s="68" t="s">
        <v>494</v>
      </c>
      <c r="G697" s="66">
        <v>9200.0</v>
      </c>
      <c r="H697" s="66">
        <v>9685.0</v>
      </c>
      <c r="I697" s="66">
        <v>-485.0</v>
      </c>
      <c r="J697" s="69">
        <v>-0.0501</v>
      </c>
      <c r="K697" s="143" t="s">
        <v>738</v>
      </c>
    </row>
    <row r="698" spans="8:8" ht="14.25" customHeight="1">
      <c r="A698" s="68" t="s">
        <v>775</v>
      </c>
      <c r="B698" s="68" t="s">
        <v>44</v>
      </c>
      <c r="C698" s="68">
        <v>1.0</v>
      </c>
      <c r="D698" s="68" t="s">
        <v>746</v>
      </c>
      <c r="E698" s="68" t="s">
        <v>212</v>
      </c>
      <c r="F698" s="68" t="s">
        <v>494</v>
      </c>
      <c r="G698" s="66">
        <v>9200.0</v>
      </c>
      <c r="H698" s="66">
        <v>9685.0</v>
      </c>
      <c r="I698" s="66">
        <v>-485.0</v>
      </c>
      <c r="J698" s="69">
        <v>-0.0501</v>
      </c>
      <c r="K698" s="143" t="s">
        <v>738</v>
      </c>
    </row>
    <row r="699" spans="8:8" ht="14.25" customHeight="1">
      <c r="A699" s="68" t="s">
        <v>775</v>
      </c>
      <c r="B699" s="68" t="s">
        <v>24</v>
      </c>
      <c r="C699" s="68">
        <v>248.0</v>
      </c>
      <c r="D699" s="68" t="s">
        <v>749</v>
      </c>
      <c r="E699" s="68" t="s">
        <v>95</v>
      </c>
      <c r="F699" s="68" t="s">
        <v>495</v>
      </c>
      <c r="G699" s="66">
        <v>4950.0</v>
      </c>
      <c r="H699" s="66">
        <v>6195.0</v>
      </c>
      <c r="I699" s="66">
        <v>-1245.0</v>
      </c>
      <c r="J699" s="69">
        <v>-0.201</v>
      </c>
      <c r="K699" s="143" t="s">
        <v>738</v>
      </c>
    </row>
    <row r="700" spans="8:8" ht="14.25" customHeight="1">
      <c r="A700" s="68" t="s">
        <v>775</v>
      </c>
      <c r="B700" s="68" t="s">
        <v>27</v>
      </c>
      <c r="C700" s="68">
        <v>10.0</v>
      </c>
      <c r="D700" s="68" t="s">
        <v>746</v>
      </c>
      <c r="E700" s="68" t="s">
        <v>95</v>
      </c>
      <c r="F700" s="68" t="s">
        <v>495</v>
      </c>
      <c r="G700" s="66">
        <v>8020.0</v>
      </c>
      <c r="H700" s="66">
        <v>8355.0</v>
      </c>
      <c r="I700" s="66">
        <v>-335.0</v>
      </c>
      <c r="J700" s="69">
        <v>-0.0401</v>
      </c>
      <c r="K700" s="143" t="s">
        <v>738</v>
      </c>
    </row>
    <row r="701" spans="8:8" ht="14.25" customHeight="1">
      <c r="A701" s="68" t="s">
        <v>775</v>
      </c>
      <c r="B701" s="68" t="s">
        <v>24</v>
      </c>
      <c r="C701" s="68">
        <v>1.0</v>
      </c>
      <c r="D701" s="68" t="s">
        <v>746</v>
      </c>
      <c r="E701" s="68" t="s">
        <v>15</v>
      </c>
      <c r="F701" s="68" t="s">
        <v>496</v>
      </c>
      <c r="G701" s="66">
        <v>5300.0</v>
      </c>
      <c r="H701" s="66">
        <v>6530.0</v>
      </c>
      <c r="I701" s="66">
        <v>-1230.0</v>
      </c>
      <c r="J701" s="69">
        <v>-0.1884</v>
      </c>
      <c r="K701" s="143" t="s">
        <v>738</v>
      </c>
    </row>
    <row r="702" spans="8:8" ht="14.25" customHeight="1">
      <c r="A702" s="68" t="s">
        <v>775</v>
      </c>
      <c r="B702" s="68" t="s">
        <v>24</v>
      </c>
      <c r="C702" s="68">
        <v>248.0</v>
      </c>
      <c r="D702" s="68" t="s">
        <v>749</v>
      </c>
      <c r="E702" s="68" t="s">
        <v>25</v>
      </c>
      <c r="F702" s="68" t="s">
        <v>497</v>
      </c>
      <c r="G702" s="66">
        <v>5000.0</v>
      </c>
      <c r="H702" s="66">
        <v>6195.0</v>
      </c>
      <c r="I702" s="66">
        <v>-1195.0</v>
      </c>
      <c r="J702" s="69">
        <v>-0.1929</v>
      </c>
      <c r="K702" s="143" t="s">
        <v>738</v>
      </c>
    </row>
    <row r="703" spans="8:8" ht="14.25" customHeight="1">
      <c r="A703" s="68" t="s">
        <v>775</v>
      </c>
      <c r="B703" s="68" t="s">
        <v>190</v>
      </c>
      <c r="C703" s="68">
        <v>3.0</v>
      </c>
      <c r="D703" s="68" t="s">
        <v>746</v>
      </c>
      <c r="E703" s="68" t="s">
        <v>25</v>
      </c>
      <c r="F703" s="68" t="s">
        <v>497</v>
      </c>
      <c r="G703" s="66">
        <v>28445.0</v>
      </c>
      <c r="H703" s="66">
        <v>30935.0</v>
      </c>
      <c r="I703" s="66">
        <v>-2490.0</v>
      </c>
      <c r="J703" s="69">
        <v>-0.0805</v>
      </c>
      <c r="K703" s="143" t="s">
        <v>738</v>
      </c>
    </row>
    <row r="704" spans="8:8" ht="14.25" customHeight="1">
      <c r="A704" s="68" t="s">
        <v>775</v>
      </c>
      <c r="B704" s="68" t="s">
        <v>24</v>
      </c>
      <c r="C704" s="68">
        <v>15.0</v>
      </c>
      <c r="D704" s="68" t="s">
        <v>746</v>
      </c>
      <c r="E704" s="68" t="s">
        <v>50</v>
      </c>
      <c r="F704" s="68" t="s">
        <v>499</v>
      </c>
      <c r="G704" s="66">
        <v>5000.0</v>
      </c>
      <c r="H704" s="66">
        <v>6530.0</v>
      </c>
      <c r="I704" s="66">
        <v>-1530.0</v>
      </c>
      <c r="J704" s="69">
        <v>-0.2343</v>
      </c>
      <c r="K704" s="143" t="s">
        <v>738</v>
      </c>
    </row>
    <row r="705" spans="8:8" ht="14.25" customHeight="1">
      <c r="A705" s="68" t="s">
        <v>775</v>
      </c>
      <c r="B705" s="68" t="s">
        <v>44</v>
      </c>
      <c r="C705" s="68">
        <v>18.0</v>
      </c>
      <c r="D705" s="68" t="s">
        <v>746</v>
      </c>
      <c r="E705" s="68" t="s">
        <v>29</v>
      </c>
      <c r="F705" s="68" t="s">
        <v>500</v>
      </c>
      <c r="G705" s="66">
        <v>9200.0</v>
      </c>
      <c r="H705" s="66">
        <v>9685.0</v>
      </c>
      <c r="I705" s="66">
        <v>-485.0</v>
      </c>
      <c r="J705" s="69">
        <v>-0.0501</v>
      </c>
      <c r="K705" s="143" t="s">
        <v>738</v>
      </c>
    </row>
    <row r="706" spans="8:8" ht="14.25" customHeight="1">
      <c r="A706" s="68" t="s">
        <v>775</v>
      </c>
      <c r="B706" s="68" t="s">
        <v>45</v>
      </c>
      <c r="C706" s="68">
        <v>19.0</v>
      </c>
      <c r="D706" s="68" t="s">
        <v>746</v>
      </c>
      <c r="E706" s="68" t="s">
        <v>29</v>
      </c>
      <c r="F706" s="68" t="s">
        <v>500</v>
      </c>
      <c r="G706" s="66">
        <v>13335.0</v>
      </c>
      <c r="H706" s="66">
        <v>13932.0</v>
      </c>
      <c r="I706" s="66">
        <v>-597.0</v>
      </c>
      <c r="J706" s="69">
        <v>-0.0429</v>
      </c>
      <c r="K706" s="143" t="s">
        <v>738</v>
      </c>
    </row>
    <row r="707" spans="8:8" ht="14.25" customHeight="1">
      <c r="A707" s="68" t="s">
        <v>775</v>
      </c>
      <c r="B707" s="68" t="s">
        <v>37</v>
      </c>
      <c r="C707" s="68">
        <v>12.0</v>
      </c>
      <c r="D707" s="68" t="s">
        <v>746</v>
      </c>
      <c r="E707" s="68" t="s">
        <v>29</v>
      </c>
      <c r="F707" s="68" t="s">
        <v>500</v>
      </c>
      <c r="G707" s="66">
        <v>8880.0</v>
      </c>
      <c r="H707" s="66">
        <v>9235.0</v>
      </c>
      <c r="I707" s="66">
        <v>-355.0</v>
      </c>
      <c r="J707" s="69">
        <v>-0.0384</v>
      </c>
      <c r="K707" s="143" t="s">
        <v>738</v>
      </c>
    </row>
    <row r="708" spans="8:8" ht="14.25" customHeight="1">
      <c r="A708" s="68" t="s">
        <v>775</v>
      </c>
      <c r="B708" s="68" t="s">
        <v>87</v>
      </c>
      <c r="C708" s="68">
        <v>1.0</v>
      </c>
      <c r="D708" s="68" t="s">
        <v>746</v>
      </c>
      <c r="E708" s="68" t="s">
        <v>29</v>
      </c>
      <c r="F708" s="68" t="s">
        <v>500</v>
      </c>
      <c r="G708" s="66">
        <v>21400.0</v>
      </c>
      <c r="H708" s="66">
        <v>22565.0</v>
      </c>
      <c r="I708" s="66">
        <v>-1165.0</v>
      </c>
      <c r="J708" s="69">
        <v>-0.0516</v>
      </c>
      <c r="K708" s="143" t="s">
        <v>738</v>
      </c>
    </row>
    <row r="709" spans="8:8" ht="14.25" customHeight="1">
      <c r="A709" s="68" t="s">
        <v>775</v>
      </c>
      <c r="B709" s="68" t="s">
        <v>65</v>
      </c>
      <c r="C709" s="68">
        <v>11.0</v>
      </c>
      <c r="D709" s="68" t="s">
        <v>746</v>
      </c>
      <c r="E709" s="68" t="s">
        <v>29</v>
      </c>
      <c r="F709" s="68" t="s">
        <v>500</v>
      </c>
      <c r="G709" s="66">
        <v>11910.0</v>
      </c>
      <c r="H709" s="66">
        <v>12525.0</v>
      </c>
      <c r="I709" s="66">
        <v>-615.0</v>
      </c>
      <c r="J709" s="69">
        <v>-0.0491</v>
      </c>
      <c r="K709" s="143" t="s">
        <v>738</v>
      </c>
    </row>
    <row r="710" spans="8:8" ht="14.25" customHeight="1">
      <c r="A710" s="68" t="s">
        <v>775</v>
      </c>
      <c r="B710" s="68" t="s">
        <v>24</v>
      </c>
      <c r="C710" s="68">
        <v>7.0</v>
      </c>
      <c r="D710" s="68" t="s">
        <v>746</v>
      </c>
      <c r="E710" s="68" t="s">
        <v>29</v>
      </c>
      <c r="F710" s="68" t="s">
        <v>500</v>
      </c>
      <c r="G710" s="66">
        <v>5000.0</v>
      </c>
      <c r="H710" s="66">
        <v>6530.0</v>
      </c>
      <c r="I710" s="66">
        <v>-1530.0</v>
      </c>
      <c r="J710" s="69">
        <v>-0.2343</v>
      </c>
      <c r="K710" s="143" t="s">
        <v>738</v>
      </c>
    </row>
    <row r="711" spans="8:8" ht="14.25" customHeight="1">
      <c r="A711" s="68" t="s">
        <v>775</v>
      </c>
      <c r="B711" s="68" t="s">
        <v>28</v>
      </c>
      <c r="C711" s="68">
        <v>1.0</v>
      </c>
      <c r="D711" s="68" t="s">
        <v>746</v>
      </c>
      <c r="E711" s="68" t="s">
        <v>29</v>
      </c>
      <c r="F711" s="68" t="s">
        <v>500</v>
      </c>
      <c r="G711" s="66">
        <v>13200.0</v>
      </c>
      <c r="H711" s="66">
        <v>15015.0</v>
      </c>
      <c r="I711" s="66">
        <v>-1815.0</v>
      </c>
      <c r="J711" s="69">
        <v>-0.1209</v>
      </c>
      <c r="K711" s="143" t="s">
        <v>738</v>
      </c>
    </row>
    <row r="712" spans="8:8" ht="14.25" customHeight="1">
      <c r="A712" s="68" t="s">
        <v>775</v>
      </c>
      <c r="B712" s="68" t="s">
        <v>93</v>
      </c>
      <c r="C712" s="68">
        <v>2.0</v>
      </c>
      <c r="D712" s="68" t="s">
        <v>746</v>
      </c>
      <c r="E712" s="68" t="s">
        <v>29</v>
      </c>
      <c r="F712" s="68" t="s">
        <v>500</v>
      </c>
      <c r="G712" s="66">
        <v>11415.0</v>
      </c>
      <c r="H712" s="66">
        <v>12090.0</v>
      </c>
      <c r="I712" s="66">
        <v>-675.0</v>
      </c>
      <c r="J712" s="69">
        <v>-0.0558</v>
      </c>
      <c r="K712" s="143" t="s">
        <v>738</v>
      </c>
    </row>
    <row r="713" spans="8:8" ht="14.25" customHeight="1">
      <c r="A713" s="68" t="s">
        <v>775</v>
      </c>
      <c r="B713" s="68" t="s">
        <v>22</v>
      </c>
      <c r="C713" s="68">
        <v>82.0</v>
      </c>
      <c r="D713" s="68" t="s">
        <v>749</v>
      </c>
      <c r="E713" s="68" t="s">
        <v>75</v>
      </c>
      <c r="F713" s="68" t="s">
        <v>505</v>
      </c>
      <c r="G713" s="66">
        <v>9335.0</v>
      </c>
      <c r="H713" s="66">
        <v>9335.0</v>
      </c>
      <c r="I713" s="66">
        <v>0.0</v>
      </c>
      <c r="J713" s="69">
        <v>0.0</v>
      </c>
      <c r="K713" s="146" t="s">
        <v>747</v>
      </c>
    </row>
    <row r="714" spans="8:8" ht="14.25" customHeight="1">
      <c r="A714" s="68" t="s">
        <v>775</v>
      </c>
      <c r="B714" s="68" t="s">
        <v>24</v>
      </c>
      <c r="C714" s="68">
        <v>28.0</v>
      </c>
      <c r="D714" s="68" t="s">
        <v>746</v>
      </c>
      <c r="E714" s="68" t="s">
        <v>75</v>
      </c>
      <c r="F714" s="68" t="s">
        <v>505</v>
      </c>
      <c r="G714" s="66">
        <v>5970.0</v>
      </c>
      <c r="H714" s="66">
        <v>6530.0</v>
      </c>
      <c r="I714" s="66">
        <v>-560.0</v>
      </c>
      <c r="J714" s="69">
        <v>-0.0858</v>
      </c>
      <c r="K714" s="143" t="s">
        <v>738</v>
      </c>
    </row>
    <row r="715" spans="8:8" ht="14.25" customHeight="1">
      <c r="A715" s="68" t="s">
        <v>775</v>
      </c>
      <c r="B715" s="68" t="s">
        <v>44</v>
      </c>
      <c r="C715" s="68">
        <v>15.0</v>
      </c>
      <c r="D715" s="68" t="s">
        <v>746</v>
      </c>
      <c r="E715" s="68" t="s">
        <v>29</v>
      </c>
      <c r="F715" s="68" t="s">
        <v>509</v>
      </c>
      <c r="G715" s="66">
        <v>9200.0</v>
      </c>
      <c r="H715" s="66">
        <v>9685.0</v>
      </c>
      <c r="I715" s="66">
        <v>-485.0</v>
      </c>
      <c r="J715" s="69">
        <v>-0.0501</v>
      </c>
      <c r="K715" s="143" t="s">
        <v>738</v>
      </c>
    </row>
    <row r="716" spans="8:8" ht="14.25" customHeight="1">
      <c r="A716" s="68" t="s">
        <v>775</v>
      </c>
      <c r="B716" s="68" t="s">
        <v>45</v>
      </c>
      <c r="C716" s="68">
        <v>10.0</v>
      </c>
      <c r="D716" s="68" t="s">
        <v>746</v>
      </c>
      <c r="E716" s="68" t="s">
        <v>29</v>
      </c>
      <c r="F716" s="68" t="s">
        <v>509</v>
      </c>
      <c r="G716" s="66">
        <v>13335.0</v>
      </c>
      <c r="H716" s="66">
        <v>13932.0</v>
      </c>
      <c r="I716" s="66">
        <v>-597.0</v>
      </c>
      <c r="J716" s="69">
        <v>-0.0429</v>
      </c>
      <c r="K716" s="143" t="s">
        <v>738</v>
      </c>
    </row>
    <row r="717" spans="8:8" ht="14.25" customHeight="1">
      <c r="A717" s="68" t="s">
        <v>775</v>
      </c>
      <c r="B717" s="68" t="s">
        <v>37</v>
      </c>
      <c r="C717" s="68">
        <v>5.0</v>
      </c>
      <c r="D717" s="68" t="s">
        <v>746</v>
      </c>
      <c r="E717" s="68" t="s">
        <v>29</v>
      </c>
      <c r="F717" s="68" t="s">
        <v>509</v>
      </c>
      <c r="G717" s="66">
        <v>8880.0</v>
      </c>
      <c r="H717" s="66">
        <v>9235.0</v>
      </c>
      <c r="I717" s="66">
        <v>-355.0</v>
      </c>
      <c r="J717" s="69">
        <v>-0.0384</v>
      </c>
      <c r="K717" s="143" t="s">
        <v>738</v>
      </c>
    </row>
    <row r="718" spans="8:8" ht="14.25" customHeight="1">
      <c r="A718" s="68" t="s">
        <v>775</v>
      </c>
      <c r="B718" s="68" t="s">
        <v>100</v>
      </c>
      <c r="C718" s="68">
        <v>3.0</v>
      </c>
      <c r="D718" s="68" t="s">
        <v>746</v>
      </c>
      <c r="E718" s="68" t="s">
        <v>29</v>
      </c>
      <c r="F718" s="68" t="s">
        <v>509</v>
      </c>
      <c r="G718" s="66">
        <v>11480.0</v>
      </c>
      <c r="H718" s="66">
        <v>12045.0</v>
      </c>
      <c r="I718" s="66">
        <v>-565.0</v>
      </c>
      <c r="J718" s="69">
        <v>-0.0469</v>
      </c>
      <c r="K718" s="143" t="s">
        <v>738</v>
      </c>
    </row>
    <row r="719" spans="8:8" ht="14.25" customHeight="1">
      <c r="A719" s="68" t="s">
        <v>775</v>
      </c>
      <c r="B719" s="68" t="s">
        <v>113</v>
      </c>
      <c r="C719" s="68">
        <v>3.0</v>
      </c>
      <c r="D719" s="68" t="s">
        <v>746</v>
      </c>
      <c r="E719" s="68" t="s">
        <v>29</v>
      </c>
      <c r="F719" s="68" t="s">
        <v>509</v>
      </c>
      <c r="G719" s="66">
        <v>14575.0</v>
      </c>
      <c r="H719" s="66">
        <v>15765.0</v>
      </c>
      <c r="I719" s="66">
        <v>-1190.0</v>
      </c>
      <c r="J719" s="69">
        <v>-0.0755</v>
      </c>
      <c r="K719" s="143" t="s">
        <v>738</v>
      </c>
    </row>
    <row r="720" spans="8:8" ht="14.25" customHeight="1">
      <c r="A720" s="68" t="s">
        <v>775</v>
      </c>
      <c r="B720" s="68" t="s">
        <v>65</v>
      </c>
      <c r="C720" s="68">
        <v>3.0</v>
      </c>
      <c r="D720" s="68" t="s">
        <v>746</v>
      </c>
      <c r="E720" s="68" t="s">
        <v>29</v>
      </c>
      <c r="F720" s="68" t="s">
        <v>509</v>
      </c>
      <c r="G720" s="66">
        <v>11910.0</v>
      </c>
      <c r="H720" s="66">
        <v>12525.0</v>
      </c>
      <c r="I720" s="66">
        <v>-615.0</v>
      </c>
      <c r="J720" s="69">
        <v>-0.0491</v>
      </c>
      <c r="K720" s="143" t="s">
        <v>738</v>
      </c>
    </row>
    <row r="721" spans="8:8" ht="14.25" customHeight="1">
      <c r="A721" s="68" t="s">
        <v>775</v>
      </c>
      <c r="B721" s="68" t="s">
        <v>24</v>
      </c>
      <c r="C721" s="68">
        <v>5.0</v>
      </c>
      <c r="D721" s="68" t="s">
        <v>746</v>
      </c>
      <c r="E721" s="68" t="s">
        <v>29</v>
      </c>
      <c r="F721" s="68" t="s">
        <v>509</v>
      </c>
      <c r="G721" s="66">
        <v>5000.0</v>
      </c>
      <c r="H721" s="66">
        <v>6530.0</v>
      </c>
      <c r="I721" s="66">
        <v>-1530.0</v>
      </c>
      <c r="J721" s="69">
        <v>-0.2343</v>
      </c>
      <c r="K721" s="143" t="s">
        <v>738</v>
      </c>
    </row>
    <row r="722" spans="8:8" ht="14.25" customHeight="1">
      <c r="A722" s="68" t="s">
        <v>775</v>
      </c>
      <c r="B722" s="68" t="s">
        <v>70</v>
      </c>
      <c r="C722" s="68">
        <v>2.0</v>
      </c>
      <c r="D722" s="68" t="s">
        <v>746</v>
      </c>
      <c r="E722" s="68" t="s">
        <v>29</v>
      </c>
      <c r="F722" s="68" t="s">
        <v>509</v>
      </c>
      <c r="G722" s="66">
        <v>13460.0</v>
      </c>
      <c r="H722" s="66">
        <v>14085.0</v>
      </c>
      <c r="I722" s="66">
        <v>-625.0</v>
      </c>
      <c r="J722" s="69">
        <v>-0.0444</v>
      </c>
      <c r="K722" s="143" t="s">
        <v>738</v>
      </c>
    </row>
    <row r="723" spans="8:8" ht="14.25" customHeight="1">
      <c r="A723" s="68" t="s">
        <v>775</v>
      </c>
      <c r="B723" s="68" t="s">
        <v>93</v>
      </c>
      <c r="C723" s="68">
        <v>3.0</v>
      </c>
      <c r="D723" s="68" t="s">
        <v>746</v>
      </c>
      <c r="E723" s="68" t="s">
        <v>29</v>
      </c>
      <c r="F723" s="68" t="s">
        <v>509</v>
      </c>
      <c r="G723" s="66">
        <v>11415.0</v>
      </c>
      <c r="H723" s="66">
        <v>12090.0</v>
      </c>
      <c r="I723" s="66">
        <v>-675.0</v>
      </c>
      <c r="J723" s="69">
        <v>-0.0558</v>
      </c>
      <c r="K723" s="143" t="s">
        <v>738</v>
      </c>
    </row>
    <row r="724" spans="8:8" ht="14.25" customHeight="1">
      <c r="A724" s="68" t="s">
        <v>775</v>
      </c>
      <c r="B724" s="68" t="s">
        <v>87</v>
      </c>
      <c r="C724" s="68">
        <v>1.0</v>
      </c>
      <c r="D724" s="68" t="s">
        <v>746</v>
      </c>
      <c r="E724" s="68" t="s">
        <v>104</v>
      </c>
      <c r="F724" s="68" t="s">
        <v>511</v>
      </c>
      <c r="G724" s="66">
        <v>21485.0</v>
      </c>
      <c r="H724" s="66">
        <v>22565.0</v>
      </c>
      <c r="I724" s="66">
        <v>-1080.0</v>
      </c>
      <c r="J724" s="69">
        <v>-0.0479</v>
      </c>
      <c r="K724" s="143" t="s">
        <v>738</v>
      </c>
    </row>
    <row r="725" spans="8:8" ht="14.25" customHeight="1">
      <c r="A725" s="68" t="s">
        <v>775</v>
      </c>
      <c r="B725" s="68" t="s">
        <v>141</v>
      </c>
      <c r="C725" s="68">
        <v>1.0</v>
      </c>
      <c r="D725" s="68" t="s">
        <v>746</v>
      </c>
      <c r="E725" s="68" t="s">
        <v>104</v>
      </c>
      <c r="F725" s="68" t="s">
        <v>511</v>
      </c>
      <c r="G725" s="66">
        <v>14145.0</v>
      </c>
      <c r="H725" s="66">
        <v>14765.0</v>
      </c>
      <c r="I725" s="66">
        <v>-620.0</v>
      </c>
      <c r="J725" s="69">
        <v>-0.042</v>
      </c>
      <c r="K725" s="143" t="s">
        <v>738</v>
      </c>
    </row>
    <row r="726" spans="8:8" ht="14.25" customHeight="1">
      <c r="A726" s="68" t="s">
        <v>776</v>
      </c>
      <c r="B726" s="68" t="s">
        <v>22</v>
      </c>
      <c r="C726" s="68">
        <v>140.0</v>
      </c>
      <c r="D726" s="68" t="s">
        <v>749</v>
      </c>
      <c r="E726" s="68" t="s">
        <v>63</v>
      </c>
      <c r="F726" s="68" t="s">
        <v>512</v>
      </c>
      <c r="G726" s="66">
        <v>8500.0</v>
      </c>
      <c r="H726" s="66">
        <v>9335.0</v>
      </c>
      <c r="I726" s="66">
        <v>-835.0</v>
      </c>
      <c r="J726" s="69">
        <v>-0.0894</v>
      </c>
      <c r="K726" s="143" t="s">
        <v>738</v>
      </c>
    </row>
    <row r="727" spans="8:8" ht="14.25" customHeight="1">
      <c r="A727" s="68" t="s">
        <v>776</v>
      </c>
      <c r="B727" s="68" t="s">
        <v>21</v>
      </c>
      <c r="C727" s="68">
        <v>140.0</v>
      </c>
      <c r="D727" s="68" t="s">
        <v>749</v>
      </c>
      <c r="E727" s="68" t="s">
        <v>63</v>
      </c>
      <c r="F727" s="68" t="s">
        <v>512</v>
      </c>
      <c r="G727" s="66">
        <v>8100.0</v>
      </c>
      <c r="H727" s="66">
        <v>8870.0</v>
      </c>
      <c r="I727" s="66">
        <v>-770.0</v>
      </c>
      <c r="J727" s="69">
        <v>-0.0868</v>
      </c>
      <c r="K727" s="143" t="s">
        <v>738</v>
      </c>
    </row>
    <row r="728" spans="8:8" ht="14.25" customHeight="1">
      <c r="A728" s="68" t="s">
        <v>776</v>
      </c>
      <c r="B728" s="68" t="s">
        <v>113</v>
      </c>
      <c r="C728" s="68">
        <v>30.0</v>
      </c>
      <c r="D728" s="68" t="s">
        <v>746</v>
      </c>
      <c r="E728" s="68" t="s">
        <v>63</v>
      </c>
      <c r="F728" s="68" t="s">
        <v>512</v>
      </c>
      <c r="G728" s="66">
        <v>14475.0</v>
      </c>
      <c r="H728" s="66">
        <v>15765.0</v>
      </c>
      <c r="I728" s="66">
        <v>-1290.0</v>
      </c>
      <c r="J728" s="69">
        <v>-0.0818</v>
      </c>
      <c r="K728" s="143" t="s">
        <v>738</v>
      </c>
    </row>
    <row r="729" spans="8:8" ht="14.25" customHeight="1">
      <c r="A729" s="68" t="s">
        <v>776</v>
      </c>
      <c r="B729" s="68" t="s">
        <v>229</v>
      </c>
      <c r="C729" s="68">
        <v>97.0</v>
      </c>
      <c r="D729" s="68" t="s">
        <v>749</v>
      </c>
      <c r="E729" s="68" t="s">
        <v>63</v>
      </c>
      <c r="F729" s="68" t="s">
        <v>512</v>
      </c>
      <c r="G729" s="66">
        <v>13500.0</v>
      </c>
      <c r="H729" s="66">
        <v>15490.0</v>
      </c>
      <c r="I729" s="66">
        <v>-1990.0</v>
      </c>
      <c r="J729" s="69">
        <v>-0.1285</v>
      </c>
      <c r="K729" s="143" t="s">
        <v>738</v>
      </c>
    </row>
    <row r="730" spans="8:8" ht="14.25" customHeight="1">
      <c r="A730" s="68" t="s">
        <v>776</v>
      </c>
      <c r="B730" s="68" t="s">
        <v>32</v>
      </c>
      <c r="C730" s="68">
        <v>96.0</v>
      </c>
      <c r="D730" s="68" t="s">
        <v>749</v>
      </c>
      <c r="E730" s="68" t="s">
        <v>63</v>
      </c>
      <c r="F730" s="68" t="s">
        <v>512</v>
      </c>
      <c r="G730" s="66">
        <v>15555.0</v>
      </c>
      <c r="H730" s="66">
        <v>16145.0</v>
      </c>
      <c r="I730" s="66">
        <v>-590.0</v>
      </c>
      <c r="J730" s="69">
        <v>-0.0365</v>
      </c>
      <c r="K730" s="143" t="s">
        <v>738</v>
      </c>
    </row>
    <row r="731" spans="8:8" ht="14.25" customHeight="1">
      <c r="A731" s="68" t="s">
        <v>776</v>
      </c>
      <c r="B731" s="68" t="s">
        <v>31</v>
      </c>
      <c r="C731" s="68">
        <v>150.0</v>
      </c>
      <c r="D731" s="68" t="s">
        <v>749</v>
      </c>
      <c r="E731" s="68" t="s">
        <v>63</v>
      </c>
      <c r="F731" s="68" t="s">
        <v>512</v>
      </c>
      <c r="G731" s="66">
        <v>17100.0</v>
      </c>
      <c r="H731" s="66">
        <v>17845.0</v>
      </c>
      <c r="I731" s="66">
        <v>-745.0</v>
      </c>
      <c r="J731" s="69">
        <v>-0.0417</v>
      </c>
      <c r="K731" s="143" t="s">
        <v>738</v>
      </c>
    </row>
    <row r="732" spans="8:8" ht="14.25" customHeight="1">
      <c r="A732" s="68" t="s">
        <v>776</v>
      </c>
      <c r="B732" s="68" t="s">
        <v>87</v>
      </c>
      <c r="C732" s="68">
        <v>5.0</v>
      </c>
      <c r="D732" s="68" t="s">
        <v>746</v>
      </c>
      <c r="E732" s="68" t="s">
        <v>75</v>
      </c>
      <c r="F732" s="68" t="s">
        <v>518</v>
      </c>
      <c r="G732" s="66">
        <v>21485.0</v>
      </c>
      <c r="H732" s="66">
        <v>22565.0</v>
      </c>
      <c r="I732" s="66">
        <v>-1080.0</v>
      </c>
      <c r="J732" s="69">
        <v>-0.0479</v>
      </c>
      <c r="K732" s="143" t="s">
        <v>738</v>
      </c>
    </row>
    <row r="733" spans="8:8" ht="14.25" customHeight="1">
      <c r="A733" s="68" t="s">
        <v>776</v>
      </c>
      <c r="B733" s="68" t="s">
        <v>36</v>
      </c>
      <c r="C733" s="68">
        <v>5.0</v>
      </c>
      <c r="D733" s="68" t="s">
        <v>746</v>
      </c>
      <c r="E733" s="68" t="s">
        <v>75</v>
      </c>
      <c r="F733" s="68" t="s">
        <v>518</v>
      </c>
      <c r="G733" s="66">
        <v>15525.0</v>
      </c>
      <c r="H733" s="66">
        <v>16140.0</v>
      </c>
      <c r="I733" s="66">
        <v>-615.0</v>
      </c>
      <c r="J733" s="69">
        <v>-0.0381</v>
      </c>
      <c r="K733" s="143" t="s">
        <v>738</v>
      </c>
    </row>
    <row r="734" spans="8:8" ht="14.25" customHeight="1">
      <c r="A734" s="68" t="s">
        <v>776</v>
      </c>
      <c r="B734" s="68" t="s">
        <v>28</v>
      </c>
      <c r="C734" s="68">
        <v>1.0</v>
      </c>
      <c r="D734" s="68" t="s">
        <v>746</v>
      </c>
      <c r="E734" s="68" t="s">
        <v>75</v>
      </c>
      <c r="F734" s="68" t="s">
        <v>518</v>
      </c>
      <c r="G734" s="66">
        <v>14430.0</v>
      </c>
      <c r="H734" s="66">
        <v>15015.0</v>
      </c>
      <c r="I734" s="66">
        <v>-585.0</v>
      </c>
      <c r="J734" s="69">
        <v>-0.039</v>
      </c>
      <c r="K734" s="143" t="s">
        <v>738</v>
      </c>
    </row>
    <row r="735" spans="8:8" ht="14.25" customHeight="1">
      <c r="A735" s="68" t="s">
        <v>776</v>
      </c>
      <c r="B735" s="68" t="s">
        <v>22</v>
      </c>
      <c r="C735" s="68">
        <v>2.0</v>
      </c>
      <c r="D735" s="68" t="s">
        <v>746</v>
      </c>
      <c r="E735" s="68" t="s">
        <v>95</v>
      </c>
      <c r="F735" s="68" t="s">
        <v>520</v>
      </c>
      <c r="G735" s="66">
        <v>9200.0</v>
      </c>
      <c r="H735" s="66">
        <v>9685.0</v>
      </c>
      <c r="I735" s="66">
        <v>-485.0</v>
      </c>
      <c r="J735" s="69">
        <v>-0.0501</v>
      </c>
      <c r="K735" s="143" t="s">
        <v>738</v>
      </c>
    </row>
    <row r="736" spans="8:8" ht="14.25" customHeight="1">
      <c r="A736" s="68" t="s">
        <v>776</v>
      </c>
      <c r="B736" s="68" t="s">
        <v>44</v>
      </c>
      <c r="C736" s="68">
        <v>2.0</v>
      </c>
      <c r="D736" s="68" t="s">
        <v>746</v>
      </c>
      <c r="E736" s="68" t="s">
        <v>95</v>
      </c>
      <c r="F736" s="68" t="s">
        <v>520</v>
      </c>
      <c r="G736" s="66">
        <v>9200.0</v>
      </c>
      <c r="H736" s="66">
        <v>9685.0</v>
      </c>
      <c r="I736" s="66">
        <v>-485.0</v>
      </c>
      <c r="J736" s="69">
        <v>-0.0501</v>
      </c>
      <c r="K736" s="143" t="s">
        <v>738</v>
      </c>
    </row>
    <row r="737" spans="8:8" ht="14.25" customHeight="1">
      <c r="A737" s="68" t="s">
        <v>776</v>
      </c>
      <c r="B737" s="68" t="s">
        <v>45</v>
      </c>
      <c r="C737" s="68">
        <v>2.0</v>
      </c>
      <c r="D737" s="68" t="s">
        <v>746</v>
      </c>
      <c r="E737" s="68" t="s">
        <v>95</v>
      </c>
      <c r="F737" s="68" t="s">
        <v>520</v>
      </c>
      <c r="G737" s="66">
        <v>13335.0</v>
      </c>
      <c r="H737" s="66">
        <v>13932.0</v>
      </c>
      <c r="I737" s="66">
        <v>-597.0</v>
      </c>
      <c r="J737" s="69">
        <v>-0.0429</v>
      </c>
      <c r="K737" s="143" t="s">
        <v>738</v>
      </c>
    </row>
    <row r="738" spans="8:8" ht="14.25" customHeight="1">
      <c r="A738" s="68" t="s">
        <v>776</v>
      </c>
      <c r="B738" s="68" t="s">
        <v>44</v>
      </c>
      <c r="C738" s="68">
        <v>15.0</v>
      </c>
      <c r="D738" s="68" t="s">
        <v>746</v>
      </c>
      <c r="E738" s="68" t="s">
        <v>29</v>
      </c>
      <c r="F738" s="68" t="s">
        <v>521</v>
      </c>
      <c r="G738" s="66">
        <v>9200.0</v>
      </c>
      <c r="H738" s="66">
        <v>9685.0</v>
      </c>
      <c r="I738" s="66">
        <v>-485.0</v>
      </c>
      <c r="J738" s="69">
        <v>-0.0501</v>
      </c>
      <c r="K738" s="143" t="s">
        <v>738</v>
      </c>
    </row>
    <row r="739" spans="8:8" ht="14.25" customHeight="1">
      <c r="A739" s="68" t="s">
        <v>776</v>
      </c>
      <c r="B739" s="68" t="s">
        <v>31</v>
      </c>
      <c r="C739" s="68">
        <v>2.0</v>
      </c>
      <c r="D739" s="68" t="s">
        <v>746</v>
      </c>
      <c r="E739" s="68" t="s">
        <v>29</v>
      </c>
      <c r="F739" s="68" t="s">
        <v>521</v>
      </c>
      <c r="G739" s="66">
        <v>17100.0</v>
      </c>
      <c r="H739" s="66">
        <v>18615.0</v>
      </c>
      <c r="I739" s="66">
        <v>-1515.0</v>
      </c>
      <c r="J739" s="69">
        <v>-0.0814</v>
      </c>
      <c r="K739" s="143" t="s">
        <v>738</v>
      </c>
    </row>
    <row r="740" spans="8:8" ht="14.25" customHeight="1">
      <c r="A740" s="68" t="s">
        <v>776</v>
      </c>
      <c r="B740" s="68" t="s">
        <v>32</v>
      </c>
      <c r="C740" s="68">
        <v>1.0</v>
      </c>
      <c r="D740" s="68" t="s">
        <v>746</v>
      </c>
      <c r="E740" s="68" t="s">
        <v>29</v>
      </c>
      <c r="F740" s="68" t="s">
        <v>521</v>
      </c>
      <c r="G740" s="66">
        <v>16145.0</v>
      </c>
      <c r="H740" s="66">
        <v>16735.0</v>
      </c>
      <c r="I740" s="66">
        <v>-590.0</v>
      </c>
      <c r="J740" s="69">
        <v>-0.0353</v>
      </c>
      <c r="K740" s="143" t="s">
        <v>738</v>
      </c>
    </row>
    <row r="741" spans="8:8" ht="14.25" customHeight="1">
      <c r="A741" s="68" t="s">
        <v>776</v>
      </c>
      <c r="B741" s="68" t="s">
        <v>34</v>
      </c>
      <c r="C741" s="68">
        <v>1.0</v>
      </c>
      <c r="D741" s="68" t="s">
        <v>746</v>
      </c>
      <c r="E741" s="68" t="s">
        <v>29</v>
      </c>
      <c r="F741" s="68" t="s">
        <v>521</v>
      </c>
      <c r="G741" s="66">
        <v>21695.0</v>
      </c>
      <c r="H741" s="66">
        <v>23895.0</v>
      </c>
      <c r="I741" s="66">
        <v>-2200.0</v>
      </c>
      <c r="J741" s="69">
        <v>-0.0921</v>
      </c>
      <c r="K741" s="143" t="s">
        <v>738</v>
      </c>
    </row>
    <row r="742" spans="8:8" ht="14.25" customHeight="1">
      <c r="A742" s="68" t="s">
        <v>776</v>
      </c>
      <c r="B742" s="68" t="s">
        <v>224</v>
      </c>
      <c r="C742" s="68">
        <v>1.0</v>
      </c>
      <c r="D742" s="68" t="s">
        <v>746</v>
      </c>
      <c r="E742" s="68" t="s">
        <v>29</v>
      </c>
      <c r="F742" s="68" t="s">
        <v>521</v>
      </c>
      <c r="G742" s="66">
        <v>14430.0</v>
      </c>
      <c r="H742" s="66">
        <v>15015.0</v>
      </c>
      <c r="I742" s="66">
        <v>-585.0</v>
      </c>
      <c r="J742" s="69">
        <v>-0.039</v>
      </c>
      <c r="K742" s="143" t="s">
        <v>738</v>
      </c>
    </row>
    <row r="743" spans="8:8" ht="14.25" customHeight="1">
      <c r="A743" s="68" t="s">
        <v>776</v>
      </c>
      <c r="B743" s="68" t="s">
        <v>36</v>
      </c>
      <c r="C743" s="68">
        <v>1.0</v>
      </c>
      <c r="D743" s="68" t="s">
        <v>746</v>
      </c>
      <c r="E743" s="68" t="s">
        <v>29</v>
      </c>
      <c r="F743" s="68" t="s">
        <v>521</v>
      </c>
      <c r="G743" s="66">
        <v>15525.0</v>
      </c>
      <c r="H743" s="66">
        <v>16140.0</v>
      </c>
      <c r="I743" s="66">
        <v>-615.0</v>
      </c>
      <c r="J743" s="69">
        <v>-0.0381</v>
      </c>
      <c r="K743" s="143" t="s">
        <v>738</v>
      </c>
    </row>
    <row r="744" spans="8:8" ht="14.25" customHeight="1">
      <c r="A744" s="68" t="s">
        <v>776</v>
      </c>
      <c r="B744" s="68" t="s">
        <v>70</v>
      </c>
      <c r="C744" s="68">
        <v>1.0</v>
      </c>
      <c r="D744" s="68" t="s">
        <v>746</v>
      </c>
      <c r="E744" s="68" t="s">
        <v>29</v>
      </c>
      <c r="F744" s="68" t="s">
        <v>521</v>
      </c>
      <c r="G744" s="66">
        <v>13460.0</v>
      </c>
      <c r="H744" s="66">
        <v>14085.0</v>
      </c>
      <c r="I744" s="66">
        <v>-625.0</v>
      </c>
      <c r="J744" s="69">
        <v>-0.0444</v>
      </c>
      <c r="K744" s="143" t="s">
        <v>738</v>
      </c>
    </row>
    <row r="745" spans="8:8" ht="14.25" customHeight="1">
      <c r="A745" s="68" t="s">
        <v>776</v>
      </c>
      <c r="B745" s="68" t="s">
        <v>24</v>
      </c>
      <c r="C745" s="68">
        <v>150.0</v>
      </c>
      <c r="D745" s="68" t="s">
        <v>749</v>
      </c>
      <c r="E745" s="68" t="s">
        <v>25</v>
      </c>
      <c r="F745" s="68" t="s">
        <v>522</v>
      </c>
      <c r="G745" s="66">
        <v>5000.0</v>
      </c>
      <c r="H745" s="66">
        <v>6195.0</v>
      </c>
      <c r="I745" s="66">
        <v>-1195.0</v>
      </c>
      <c r="J745" s="69">
        <v>-0.1929</v>
      </c>
      <c r="K745" s="143" t="s">
        <v>738</v>
      </c>
    </row>
    <row r="746" spans="8:8" ht="14.25" customHeight="1">
      <c r="A746" s="68" t="s">
        <v>777</v>
      </c>
      <c r="B746" s="68" t="s">
        <v>24</v>
      </c>
      <c r="C746" s="68">
        <v>1240.0</v>
      </c>
      <c r="D746" s="68" t="s">
        <v>755</v>
      </c>
      <c r="E746" s="68" t="s">
        <v>210</v>
      </c>
      <c r="F746" s="68" t="s">
        <v>524</v>
      </c>
      <c r="G746" s="66">
        <v>4950.0</v>
      </c>
      <c r="H746" s="66">
        <v>5970.0</v>
      </c>
      <c r="I746" s="66">
        <v>-1020.0</v>
      </c>
      <c r="J746" s="69">
        <v>-0.1709</v>
      </c>
      <c r="K746" s="143" t="s">
        <v>738</v>
      </c>
    </row>
    <row r="747" spans="8:8" ht="14.25" customHeight="1">
      <c r="A747" s="68" t="s">
        <v>777</v>
      </c>
      <c r="B747" s="68" t="s">
        <v>45</v>
      </c>
      <c r="C747" s="68">
        <v>7.0</v>
      </c>
      <c r="D747" s="68" t="s">
        <v>746</v>
      </c>
      <c r="E747" s="68" t="s">
        <v>29</v>
      </c>
      <c r="F747" s="68" t="s">
        <v>526</v>
      </c>
      <c r="G747" s="66">
        <v>13335.0</v>
      </c>
      <c r="H747" s="66">
        <v>13932.0</v>
      </c>
      <c r="I747" s="66">
        <v>-597.0</v>
      </c>
      <c r="J747" s="69">
        <v>-0.0429</v>
      </c>
      <c r="K747" s="143" t="s">
        <v>738</v>
      </c>
    </row>
    <row r="748" spans="8:8" ht="14.25" customHeight="1">
      <c r="A748" s="68" t="s">
        <v>777</v>
      </c>
      <c r="B748" s="68" t="s">
        <v>44</v>
      </c>
      <c r="C748" s="68">
        <v>8.0</v>
      </c>
      <c r="D748" s="68" t="s">
        <v>746</v>
      </c>
      <c r="E748" s="68" t="s">
        <v>29</v>
      </c>
      <c r="F748" s="68" t="s">
        <v>526</v>
      </c>
      <c r="G748" s="66">
        <v>9200.0</v>
      </c>
      <c r="H748" s="66">
        <v>9685.0</v>
      </c>
      <c r="I748" s="66">
        <v>-485.0</v>
      </c>
      <c r="J748" s="69">
        <v>-0.0501</v>
      </c>
      <c r="K748" s="143" t="s">
        <v>738</v>
      </c>
    </row>
    <row r="749" spans="8:8" ht="14.25" customHeight="1">
      <c r="A749" s="68" t="s">
        <v>777</v>
      </c>
      <c r="B749" s="68" t="s">
        <v>37</v>
      </c>
      <c r="C749" s="68">
        <v>4.0</v>
      </c>
      <c r="D749" s="68" t="s">
        <v>746</v>
      </c>
      <c r="E749" s="68" t="s">
        <v>29</v>
      </c>
      <c r="F749" s="68" t="s">
        <v>526</v>
      </c>
      <c r="G749" s="66">
        <v>8880.0</v>
      </c>
      <c r="H749" s="66">
        <v>9235.0</v>
      </c>
      <c r="I749" s="66">
        <v>-355.0</v>
      </c>
      <c r="J749" s="69">
        <v>-0.0384</v>
      </c>
      <c r="K749" s="143" t="s">
        <v>738</v>
      </c>
    </row>
    <row r="750" spans="8:8" ht="14.25" customHeight="1">
      <c r="A750" s="68" t="s">
        <v>777</v>
      </c>
      <c r="B750" s="68" t="s">
        <v>65</v>
      </c>
      <c r="C750" s="68">
        <v>3.0</v>
      </c>
      <c r="D750" s="68" t="s">
        <v>746</v>
      </c>
      <c r="E750" s="68" t="s">
        <v>29</v>
      </c>
      <c r="F750" s="68" t="s">
        <v>526</v>
      </c>
      <c r="G750" s="66">
        <v>11910.0</v>
      </c>
      <c r="H750" s="66">
        <v>12525.0</v>
      </c>
      <c r="I750" s="66">
        <v>-615.0</v>
      </c>
      <c r="J750" s="69">
        <v>-0.0491</v>
      </c>
      <c r="K750" s="143" t="s">
        <v>738</v>
      </c>
    </row>
    <row r="751" spans="8:8" ht="14.25" customHeight="1">
      <c r="A751" s="68" t="s">
        <v>777</v>
      </c>
      <c r="B751" s="68" t="s">
        <v>87</v>
      </c>
      <c r="C751" s="68">
        <v>2.0</v>
      </c>
      <c r="D751" s="68" t="s">
        <v>746</v>
      </c>
      <c r="E751" s="68" t="s">
        <v>29</v>
      </c>
      <c r="F751" s="68" t="s">
        <v>526</v>
      </c>
      <c r="G751" s="66">
        <v>21400.0</v>
      </c>
      <c r="H751" s="66">
        <v>22565.0</v>
      </c>
      <c r="I751" s="66">
        <v>-1165.0</v>
      </c>
      <c r="J751" s="69">
        <v>-0.0516</v>
      </c>
      <c r="K751" s="143" t="s">
        <v>738</v>
      </c>
    </row>
    <row r="752" spans="8:8" ht="14.25" customHeight="1">
      <c r="A752" s="68" t="s">
        <v>777</v>
      </c>
      <c r="B752" s="68" t="s">
        <v>36</v>
      </c>
      <c r="C752" s="68">
        <v>1.0</v>
      </c>
      <c r="D752" s="68" t="s">
        <v>746</v>
      </c>
      <c r="E752" s="68" t="s">
        <v>29</v>
      </c>
      <c r="F752" s="68" t="s">
        <v>526</v>
      </c>
      <c r="G752" s="66">
        <v>15525.0</v>
      </c>
      <c r="H752" s="66">
        <v>16140.0</v>
      </c>
      <c r="I752" s="66">
        <v>-615.0</v>
      </c>
      <c r="J752" s="69">
        <v>-0.0381</v>
      </c>
      <c r="K752" s="143" t="s">
        <v>738</v>
      </c>
    </row>
    <row r="753" spans="8:8" ht="14.25" customHeight="1">
      <c r="A753" s="68" t="s">
        <v>777</v>
      </c>
      <c r="B753" s="68" t="s">
        <v>150</v>
      </c>
      <c r="C753" s="68">
        <v>3.0</v>
      </c>
      <c r="D753" s="68" t="s">
        <v>746</v>
      </c>
      <c r="E753" s="68" t="s">
        <v>29</v>
      </c>
      <c r="F753" s="68" t="s">
        <v>526</v>
      </c>
      <c r="G753" s="66">
        <v>10315.0</v>
      </c>
      <c r="H753" s="66">
        <v>10705.0</v>
      </c>
      <c r="I753" s="66">
        <v>-390.0</v>
      </c>
      <c r="J753" s="69">
        <v>-0.0364</v>
      </c>
      <c r="K753" s="143" t="s">
        <v>738</v>
      </c>
    </row>
    <row r="754" spans="8:8" ht="14.25" customHeight="1">
      <c r="A754" s="68" t="s">
        <v>777</v>
      </c>
      <c r="B754" s="68" t="s">
        <v>33</v>
      </c>
      <c r="C754" s="68">
        <v>20.0</v>
      </c>
      <c r="D754" s="68" t="s">
        <v>746</v>
      </c>
      <c r="E754" s="68" t="s">
        <v>29</v>
      </c>
      <c r="F754" s="68" t="s">
        <v>526</v>
      </c>
      <c r="G754" s="66">
        <v>15655.0</v>
      </c>
      <c r="H754" s="66">
        <v>16735.0</v>
      </c>
      <c r="I754" s="66">
        <v>-1080.0</v>
      </c>
      <c r="J754" s="69">
        <v>-0.0645</v>
      </c>
      <c r="K754" s="143" t="s">
        <v>738</v>
      </c>
    </row>
    <row r="755" spans="8:8" ht="14.25" customHeight="1">
      <c r="A755" s="68" t="s">
        <v>777</v>
      </c>
      <c r="B755" s="68" t="s">
        <v>22</v>
      </c>
      <c r="C755" s="68">
        <v>1.0</v>
      </c>
      <c r="D755" s="68" t="s">
        <v>746</v>
      </c>
      <c r="E755" s="68" t="s">
        <v>109</v>
      </c>
      <c r="F755" s="68" t="s">
        <v>530</v>
      </c>
      <c r="G755" s="66">
        <v>9500.0</v>
      </c>
      <c r="H755" s="66">
        <v>9685.0</v>
      </c>
      <c r="I755" s="66">
        <v>-185.0</v>
      </c>
      <c r="J755" s="69">
        <v>-0.0191</v>
      </c>
      <c r="K755" s="143" t="s">
        <v>738</v>
      </c>
    </row>
    <row r="756" spans="8:8" ht="14.25" customHeight="1">
      <c r="A756" s="68" t="s">
        <v>777</v>
      </c>
      <c r="B756" s="68" t="s">
        <v>24</v>
      </c>
      <c r="C756" s="68">
        <v>14.0</v>
      </c>
      <c r="D756" s="68" t="s">
        <v>746</v>
      </c>
      <c r="E756" s="68" t="s">
        <v>29</v>
      </c>
      <c r="F756" s="68" t="s">
        <v>531</v>
      </c>
      <c r="G756" s="66">
        <v>5000.0</v>
      </c>
      <c r="H756" s="66">
        <v>6530.0</v>
      </c>
      <c r="I756" s="66">
        <v>-1530.0</v>
      </c>
      <c r="J756" s="69">
        <v>-0.2343</v>
      </c>
      <c r="K756" s="143" t="s">
        <v>738</v>
      </c>
    </row>
    <row r="757" spans="8:8" ht="14.25" customHeight="1">
      <c r="A757" s="68" t="s">
        <v>777</v>
      </c>
      <c r="B757" s="68" t="s">
        <v>32</v>
      </c>
      <c r="C757" s="68">
        <v>2.0</v>
      </c>
      <c r="D757" s="68" t="s">
        <v>746</v>
      </c>
      <c r="E757" s="68" t="s">
        <v>29</v>
      </c>
      <c r="F757" s="68" t="s">
        <v>531</v>
      </c>
      <c r="G757" s="66">
        <v>15655.0</v>
      </c>
      <c r="H757" s="66">
        <v>16735.0</v>
      </c>
      <c r="I757" s="66">
        <v>-1080.0</v>
      </c>
      <c r="J757" s="69">
        <v>-0.0645</v>
      </c>
      <c r="K757" s="143" t="s">
        <v>738</v>
      </c>
    </row>
    <row r="758" spans="8:8" ht="14.25" customHeight="1">
      <c r="A758" s="68" t="s">
        <v>777</v>
      </c>
      <c r="B758" s="68" t="s">
        <v>33</v>
      </c>
      <c r="C758" s="68">
        <v>2.0</v>
      </c>
      <c r="D758" s="68" t="s">
        <v>746</v>
      </c>
      <c r="E758" s="68" t="s">
        <v>29</v>
      </c>
      <c r="F758" s="68" t="s">
        <v>531</v>
      </c>
      <c r="G758" s="66">
        <v>15655.0</v>
      </c>
      <c r="H758" s="66">
        <v>16735.0</v>
      </c>
      <c r="I758" s="66">
        <v>-1080.0</v>
      </c>
      <c r="J758" s="69">
        <v>-0.0645</v>
      </c>
      <c r="K758" s="143" t="s">
        <v>738</v>
      </c>
    </row>
    <row r="759" spans="8:8" ht="14.25" customHeight="1">
      <c r="A759" s="68" t="s">
        <v>777</v>
      </c>
      <c r="B759" s="68" t="s">
        <v>44</v>
      </c>
      <c r="C759" s="68">
        <v>3.0</v>
      </c>
      <c r="D759" s="68" t="s">
        <v>746</v>
      </c>
      <c r="E759" s="68" t="s">
        <v>29</v>
      </c>
      <c r="F759" s="68" t="s">
        <v>531</v>
      </c>
      <c r="G759" s="66">
        <v>9200.0</v>
      </c>
      <c r="H759" s="66">
        <v>9685.0</v>
      </c>
      <c r="I759" s="66">
        <v>-485.0</v>
      </c>
      <c r="J759" s="69">
        <v>-0.0501</v>
      </c>
      <c r="K759" s="143" t="s">
        <v>738</v>
      </c>
    </row>
    <row r="760" spans="8:8" ht="14.25" customHeight="1">
      <c r="A760" s="68" t="s">
        <v>777</v>
      </c>
      <c r="B760" s="68" t="s">
        <v>80</v>
      </c>
      <c r="C760" s="68">
        <v>1.0</v>
      </c>
      <c r="D760" s="68" t="s">
        <v>746</v>
      </c>
      <c r="E760" s="68" t="s">
        <v>219</v>
      </c>
      <c r="F760" s="68" t="s">
        <v>533</v>
      </c>
      <c r="G760" s="66">
        <v>9345.0</v>
      </c>
      <c r="H760" s="66">
        <v>9720.0</v>
      </c>
      <c r="I760" s="66">
        <v>-375.0</v>
      </c>
      <c r="J760" s="69">
        <v>-0.0386</v>
      </c>
      <c r="K760" s="143" t="s">
        <v>738</v>
      </c>
    </row>
    <row r="761" spans="8:8" ht="14.25" customHeight="1">
      <c r="A761" s="68" t="s">
        <v>777</v>
      </c>
      <c r="B761" s="68" t="s">
        <v>45</v>
      </c>
      <c r="C761" s="68">
        <v>1.0</v>
      </c>
      <c r="D761" s="68" t="s">
        <v>746</v>
      </c>
      <c r="E761" s="68" t="s">
        <v>109</v>
      </c>
      <c r="F761" s="68" t="s">
        <v>535</v>
      </c>
      <c r="G761" s="66">
        <v>13950.0</v>
      </c>
      <c r="H761" s="66">
        <v>13932.0</v>
      </c>
      <c r="I761" s="66">
        <v>18.0</v>
      </c>
      <c r="J761" s="69">
        <v>0.0013</v>
      </c>
      <c r="K761" s="146" t="s">
        <v>747</v>
      </c>
    </row>
    <row r="762" spans="8:8" ht="14.25" customHeight="1">
      <c r="A762" s="68" t="s">
        <v>777</v>
      </c>
      <c r="B762" s="68" t="s">
        <v>65</v>
      </c>
      <c r="C762" s="68">
        <v>1.0</v>
      </c>
      <c r="D762" s="68" t="s">
        <v>746</v>
      </c>
      <c r="E762" s="68" t="s">
        <v>109</v>
      </c>
      <c r="F762" s="68" t="s">
        <v>536</v>
      </c>
      <c r="G762" s="66">
        <v>12525.0</v>
      </c>
      <c r="H762" s="66">
        <v>12525.0</v>
      </c>
      <c r="I762" s="66">
        <v>0.0</v>
      </c>
      <c r="J762" s="69">
        <v>0.0</v>
      </c>
      <c r="K762" s="146" t="s">
        <v>747</v>
      </c>
    </row>
    <row r="763" spans="8:8" ht="14.25" customHeight="1">
      <c r="A763" s="68" t="s">
        <v>777</v>
      </c>
      <c r="B763" s="68" t="s">
        <v>43</v>
      </c>
      <c r="C763" s="68">
        <v>1.0</v>
      </c>
      <c r="D763" s="68" t="s">
        <v>746</v>
      </c>
      <c r="E763" s="68" t="s">
        <v>212</v>
      </c>
      <c r="F763" s="68" t="s">
        <v>537</v>
      </c>
      <c r="G763" s="66">
        <v>18300.0</v>
      </c>
      <c r="H763" s="66">
        <v>18100.0</v>
      </c>
      <c r="I763" s="66">
        <v>200.0</v>
      </c>
      <c r="J763" s="69">
        <v>0.011</v>
      </c>
      <c r="K763" s="145" t="s">
        <v>744</v>
      </c>
    </row>
    <row r="764" spans="8:8" ht="14.25" customHeight="1">
      <c r="A764" s="68" t="s">
        <v>777</v>
      </c>
      <c r="B764" s="68" t="s">
        <v>24</v>
      </c>
      <c r="C764" s="68">
        <v>1.0</v>
      </c>
      <c r="D764" s="68" t="s">
        <v>746</v>
      </c>
      <c r="E764" s="68" t="s">
        <v>15</v>
      </c>
      <c r="F764" s="68" t="s">
        <v>538</v>
      </c>
      <c r="G764" s="66">
        <v>5300.0</v>
      </c>
      <c r="H764" s="66">
        <v>6530.0</v>
      </c>
      <c r="I764" s="66">
        <v>-1230.0</v>
      </c>
      <c r="J764" s="69">
        <v>-0.1884</v>
      </c>
      <c r="K764" s="143" t="s">
        <v>738</v>
      </c>
    </row>
    <row r="765" spans="8:8" ht="14.25" customHeight="1">
      <c r="A765" s="68" t="s">
        <v>778</v>
      </c>
      <c r="B765" s="68" t="s">
        <v>22</v>
      </c>
      <c r="C765" s="68">
        <v>1.0</v>
      </c>
      <c r="D765" s="68" t="s">
        <v>746</v>
      </c>
      <c r="E765" s="68" t="s">
        <v>102</v>
      </c>
      <c r="F765" s="68" t="s">
        <v>539</v>
      </c>
      <c r="G765" s="66">
        <v>9500.0</v>
      </c>
      <c r="H765" s="66">
        <v>9685.0</v>
      </c>
      <c r="I765" s="66">
        <v>-185.0</v>
      </c>
      <c r="J765" s="69">
        <v>-0.0191</v>
      </c>
      <c r="K765" s="143" t="s">
        <v>738</v>
      </c>
    </row>
    <row r="766" spans="8:8" ht="14.25" customHeight="1">
      <c r="A766" s="68" t="s">
        <v>778</v>
      </c>
      <c r="B766" s="68" t="s">
        <v>31</v>
      </c>
      <c r="C766" s="68">
        <v>20.0</v>
      </c>
      <c r="D766" s="68" t="s">
        <v>746</v>
      </c>
      <c r="E766" s="68" t="s">
        <v>50</v>
      </c>
      <c r="F766" s="68" t="s">
        <v>540</v>
      </c>
      <c r="G766" s="66">
        <v>17200.0</v>
      </c>
      <c r="H766" s="66">
        <v>18615.0</v>
      </c>
      <c r="I766" s="66">
        <v>-1415.0</v>
      </c>
      <c r="J766" s="69">
        <v>-0.076</v>
      </c>
      <c r="K766" s="143" t="s">
        <v>738</v>
      </c>
    </row>
    <row r="767" spans="8:8" ht="14.25" customHeight="1">
      <c r="A767" s="68" t="s">
        <v>778</v>
      </c>
      <c r="B767" s="68" t="s">
        <v>33</v>
      </c>
      <c r="C767" s="68">
        <v>10.0</v>
      </c>
      <c r="D767" s="68" t="s">
        <v>746</v>
      </c>
      <c r="E767" s="68" t="s">
        <v>50</v>
      </c>
      <c r="F767" s="68" t="s">
        <v>540</v>
      </c>
      <c r="G767" s="66">
        <v>15655.0</v>
      </c>
      <c r="H767" s="66">
        <v>16735.0</v>
      </c>
      <c r="I767" s="66">
        <v>-1080.0</v>
      </c>
      <c r="J767" s="69">
        <v>-0.0645</v>
      </c>
      <c r="K767" s="143" t="s">
        <v>738</v>
      </c>
    </row>
    <row r="768" spans="8:8" ht="14.25" customHeight="1">
      <c r="A768" s="68" t="s">
        <v>778</v>
      </c>
      <c r="B768" s="68" t="s">
        <v>24</v>
      </c>
      <c r="C768" s="68">
        <v>150.0</v>
      </c>
      <c r="D768" s="68" t="s">
        <v>749</v>
      </c>
      <c r="E768" s="68" t="s">
        <v>25</v>
      </c>
      <c r="F768" s="68" t="s">
        <v>541</v>
      </c>
      <c r="G768" s="66">
        <v>5000.0</v>
      </c>
      <c r="H768" s="66">
        <v>6195.0</v>
      </c>
      <c r="I768" s="66">
        <v>-1195.0</v>
      </c>
      <c r="J768" s="69">
        <v>-0.1929</v>
      </c>
      <c r="K768" s="143" t="s">
        <v>738</v>
      </c>
    </row>
    <row r="769" spans="8:8" ht="14.25" customHeight="1">
      <c r="A769" s="68" t="s">
        <v>778</v>
      </c>
      <c r="B769" s="68" t="s">
        <v>24</v>
      </c>
      <c r="C769" s="68">
        <v>12.0</v>
      </c>
      <c r="D769" s="68" t="s">
        <v>746</v>
      </c>
      <c r="E769" s="68" t="s">
        <v>29</v>
      </c>
      <c r="F769" s="68" t="s">
        <v>542</v>
      </c>
      <c r="G769" s="66">
        <v>5000.0</v>
      </c>
      <c r="H769" s="66">
        <v>6530.0</v>
      </c>
      <c r="I769" s="66">
        <v>-1530.0</v>
      </c>
      <c r="J769" s="69">
        <v>-0.2343</v>
      </c>
      <c r="K769" s="143" t="s">
        <v>738</v>
      </c>
    </row>
    <row r="770" spans="8:8" ht="14.25" customHeight="1">
      <c r="A770" s="68" t="s">
        <v>778</v>
      </c>
      <c r="B770" s="68" t="s">
        <v>24</v>
      </c>
      <c r="C770" s="68">
        <v>30.0</v>
      </c>
      <c r="D770" s="68" t="s">
        <v>746</v>
      </c>
      <c r="E770" s="68" t="s">
        <v>394</v>
      </c>
      <c r="F770" s="68" t="s">
        <v>544</v>
      </c>
      <c r="G770" s="66">
        <v>5000.0</v>
      </c>
      <c r="H770" s="66">
        <v>6530.0</v>
      </c>
      <c r="I770" s="66">
        <v>-1530.0</v>
      </c>
      <c r="J770" s="69">
        <v>-0.2343</v>
      </c>
      <c r="K770" s="143" t="s">
        <v>738</v>
      </c>
    </row>
    <row r="771" spans="8:8" ht="14.25" customHeight="1">
      <c r="A771" s="68" t="s">
        <v>778</v>
      </c>
      <c r="B771" s="68" t="s">
        <v>24</v>
      </c>
      <c r="C771" s="68">
        <v>1.0</v>
      </c>
      <c r="D771" s="68" t="s">
        <v>746</v>
      </c>
      <c r="E771" s="68" t="s">
        <v>122</v>
      </c>
      <c r="F771" s="68" t="s">
        <v>546</v>
      </c>
      <c r="G771" s="66">
        <v>5300.0</v>
      </c>
      <c r="H771" s="66">
        <v>6530.0</v>
      </c>
      <c r="I771" s="66">
        <v>-1230.0</v>
      </c>
      <c r="J771" s="69">
        <v>-0.1884</v>
      </c>
      <c r="K771" s="143" t="s">
        <v>738</v>
      </c>
    </row>
    <row r="772" spans="8:8" ht="14.25" customHeight="1">
      <c r="A772" s="68" t="s">
        <v>778</v>
      </c>
      <c r="B772" s="68" t="s">
        <v>22</v>
      </c>
      <c r="C772" s="68">
        <v>1.0</v>
      </c>
      <c r="D772" s="68" t="s">
        <v>746</v>
      </c>
      <c r="E772" s="68" t="s">
        <v>122</v>
      </c>
      <c r="F772" s="68" t="s">
        <v>546</v>
      </c>
      <c r="G772" s="66">
        <v>9200.0</v>
      </c>
      <c r="H772" s="66">
        <v>9685.0</v>
      </c>
      <c r="I772" s="66">
        <v>-485.0</v>
      </c>
      <c r="J772" s="69">
        <v>-0.0501</v>
      </c>
      <c r="K772" s="143" t="s">
        <v>738</v>
      </c>
    </row>
    <row r="773" spans="8:8" ht="14.25" customHeight="1">
      <c r="A773" s="68" t="s">
        <v>778</v>
      </c>
      <c r="B773" s="68" t="s">
        <v>21</v>
      </c>
      <c r="C773" s="68">
        <v>1.0</v>
      </c>
      <c r="D773" s="68" t="s">
        <v>746</v>
      </c>
      <c r="E773" s="68" t="s">
        <v>122</v>
      </c>
      <c r="F773" s="68" t="s">
        <v>546</v>
      </c>
      <c r="G773" s="66">
        <v>9000.0</v>
      </c>
      <c r="H773" s="66">
        <v>9190.0</v>
      </c>
      <c r="I773" s="66">
        <v>-190.0</v>
      </c>
      <c r="J773" s="69">
        <v>-0.0207</v>
      </c>
      <c r="K773" s="143" t="s">
        <v>738</v>
      </c>
    </row>
    <row r="774" spans="8:8" ht="14.25" customHeight="1">
      <c r="A774" s="68" t="s">
        <v>778</v>
      </c>
      <c r="B774" s="68" t="s">
        <v>31</v>
      </c>
      <c r="C774" s="68">
        <v>20.0</v>
      </c>
      <c r="D774" s="68" t="s">
        <v>746</v>
      </c>
      <c r="E774" s="68" t="s">
        <v>50</v>
      </c>
      <c r="F774" s="68" t="s">
        <v>547</v>
      </c>
      <c r="G774" s="66">
        <v>17200.0</v>
      </c>
      <c r="H774" s="66">
        <v>18615.0</v>
      </c>
      <c r="I774" s="66">
        <v>-1415.0</v>
      </c>
      <c r="J774" s="69">
        <v>-0.076</v>
      </c>
      <c r="K774" s="143" t="s">
        <v>738</v>
      </c>
    </row>
    <row r="775" spans="8:8" ht="14.25" customHeight="1">
      <c r="A775" s="68" t="s">
        <v>778</v>
      </c>
      <c r="B775" s="68" t="s">
        <v>34</v>
      </c>
      <c r="C775" s="68">
        <v>5.0</v>
      </c>
      <c r="D775" s="68" t="s">
        <v>746</v>
      </c>
      <c r="E775" s="68" t="s">
        <v>50</v>
      </c>
      <c r="F775" s="68" t="s">
        <v>547</v>
      </c>
      <c r="G775" s="66">
        <v>21690.0</v>
      </c>
      <c r="H775" s="66">
        <v>23895.0</v>
      </c>
      <c r="I775" s="66">
        <v>-2205.0</v>
      </c>
      <c r="J775" s="69">
        <v>-0.0923</v>
      </c>
      <c r="K775" s="143" t="s">
        <v>738</v>
      </c>
    </row>
    <row r="776" spans="8:8" ht="14.25" customHeight="1">
      <c r="A776" s="68" t="s">
        <v>778</v>
      </c>
      <c r="B776" s="68" t="s">
        <v>22</v>
      </c>
      <c r="C776" s="68">
        <v>17.0</v>
      </c>
      <c r="D776" s="68" t="s">
        <v>746</v>
      </c>
      <c r="E776" s="68" t="s">
        <v>29</v>
      </c>
      <c r="F776" s="68" t="s">
        <v>548</v>
      </c>
      <c r="G776" s="66">
        <v>9000.0</v>
      </c>
      <c r="H776" s="66">
        <v>9685.0</v>
      </c>
      <c r="I776" s="66">
        <v>-685.0</v>
      </c>
      <c r="J776" s="69">
        <v>-0.0707</v>
      </c>
      <c r="K776" s="143" t="s">
        <v>738</v>
      </c>
    </row>
    <row r="777" spans="8:8" ht="14.25" customHeight="1">
      <c r="A777" s="68" t="s">
        <v>778</v>
      </c>
      <c r="B777" s="68" t="s">
        <v>45</v>
      </c>
      <c r="C777" s="68">
        <v>5.0</v>
      </c>
      <c r="D777" s="68" t="s">
        <v>746</v>
      </c>
      <c r="E777" s="68" t="s">
        <v>29</v>
      </c>
      <c r="F777" s="68" t="s">
        <v>548</v>
      </c>
      <c r="G777" s="66">
        <v>13335.0</v>
      </c>
      <c r="H777" s="66">
        <v>13932.0</v>
      </c>
      <c r="I777" s="66">
        <v>-597.0</v>
      </c>
      <c r="J777" s="69">
        <v>-0.0429</v>
      </c>
      <c r="K777" s="143" t="s">
        <v>738</v>
      </c>
    </row>
    <row r="778" spans="8:8" ht="14.25" customHeight="1">
      <c r="A778" s="68" t="s">
        <v>778</v>
      </c>
      <c r="B778" s="68" t="s">
        <v>44</v>
      </c>
      <c r="C778" s="68">
        <v>13.0</v>
      </c>
      <c r="D778" s="68" t="s">
        <v>746</v>
      </c>
      <c r="E778" s="68" t="s">
        <v>29</v>
      </c>
      <c r="F778" s="68" t="s">
        <v>548</v>
      </c>
      <c r="G778" s="66">
        <v>9200.0</v>
      </c>
      <c r="H778" s="66">
        <v>9685.0</v>
      </c>
      <c r="I778" s="66">
        <v>-485.0</v>
      </c>
      <c r="J778" s="69">
        <v>-0.0501</v>
      </c>
      <c r="K778" s="143" t="s">
        <v>738</v>
      </c>
    </row>
    <row r="779" spans="8:8" ht="14.25" customHeight="1">
      <c r="A779" s="68" t="s">
        <v>778</v>
      </c>
      <c r="B779" s="68" t="s">
        <v>37</v>
      </c>
      <c r="C779" s="68">
        <v>8.0</v>
      </c>
      <c r="D779" s="68" t="s">
        <v>746</v>
      </c>
      <c r="E779" s="68" t="s">
        <v>29</v>
      </c>
      <c r="F779" s="68" t="s">
        <v>548</v>
      </c>
      <c r="G779" s="66">
        <v>8880.0</v>
      </c>
      <c r="H779" s="66">
        <v>9235.0</v>
      </c>
      <c r="I779" s="66">
        <v>-355.0</v>
      </c>
      <c r="J779" s="69">
        <v>-0.0384</v>
      </c>
      <c r="K779" s="143" t="s">
        <v>738</v>
      </c>
    </row>
    <row r="780" spans="8:8" ht="14.25" customHeight="1">
      <c r="A780" s="68" t="s">
        <v>778</v>
      </c>
      <c r="B780" s="68" t="s">
        <v>31</v>
      </c>
      <c r="C780" s="68">
        <v>2.0</v>
      </c>
      <c r="D780" s="68" t="s">
        <v>746</v>
      </c>
      <c r="E780" s="68" t="s">
        <v>78</v>
      </c>
      <c r="F780" s="68" t="s">
        <v>552</v>
      </c>
      <c r="G780" s="66">
        <v>17400.0</v>
      </c>
      <c r="H780" s="66">
        <v>18615.0</v>
      </c>
      <c r="I780" s="66">
        <v>-1215.0</v>
      </c>
      <c r="J780" s="69">
        <v>-0.0653</v>
      </c>
      <c r="K780" s="143" t="s">
        <v>738</v>
      </c>
    </row>
    <row r="781" spans="8:8" ht="14.25" customHeight="1">
      <c r="A781" s="68" t="s">
        <v>778</v>
      </c>
      <c r="B781" s="68" t="s">
        <v>34</v>
      </c>
      <c r="C781" s="68">
        <v>3.0</v>
      </c>
      <c r="D781" s="68" t="s">
        <v>746</v>
      </c>
      <c r="E781" s="68" t="s">
        <v>78</v>
      </c>
      <c r="F781" s="68" t="s">
        <v>552</v>
      </c>
      <c r="G781" s="66">
        <v>22740.0</v>
      </c>
      <c r="H781" s="66">
        <v>23895.0</v>
      </c>
      <c r="I781" s="66">
        <v>-1155.0</v>
      </c>
      <c r="J781" s="69">
        <v>-0.0483</v>
      </c>
      <c r="K781" s="143" t="s">
        <v>738</v>
      </c>
    </row>
    <row r="782" spans="8:8" ht="14.25" customHeight="1">
      <c r="A782" s="68" t="s">
        <v>778</v>
      </c>
      <c r="B782" s="68" t="s">
        <v>35</v>
      </c>
      <c r="C782" s="68">
        <v>1.0</v>
      </c>
      <c r="D782" s="68" t="s">
        <v>746</v>
      </c>
      <c r="E782" s="68" t="s">
        <v>78</v>
      </c>
      <c r="F782" s="68" t="s">
        <v>552</v>
      </c>
      <c r="G782" s="66">
        <v>21170.0</v>
      </c>
      <c r="H782" s="66">
        <v>21830.0</v>
      </c>
      <c r="I782" s="66">
        <v>-660.0</v>
      </c>
      <c r="J782" s="69">
        <v>-0.0302</v>
      </c>
      <c r="K782" s="143" t="s">
        <v>738</v>
      </c>
    </row>
    <row r="783" spans="8:8" ht="14.25" customHeight="1">
      <c r="A783" s="68" t="s">
        <v>778</v>
      </c>
      <c r="B783" s="68" t="s">
        <v>61</v>
      </c>
      <c r="C783" s="68">
        <v>1.0</v>
      </c>
      <c r="D783" s="68" t="s">
        <v>746</v>
      </c>
      <c r="E783" s="68" t="s">
        <v>78</v>
      </c>
      <c r="F783" s="68" t="s">
        <v>552</v>
      </c>
      <c r="G783" s="66">
        <v>12885.0</v>
      </c>
      <c r="H783" s="66">
        <v>13420.0</v>
      </c>
      <c r="I783" s="66">
        <v>-535.0</v>
      </c>
      <c r="J783" s="69">
        <v>-0.0399</v>
      </c>
      <c r="K783" s="143" t="s">
        <v>738</v>
      </c>
    </row>
    <row r="784" spans="8:8" ht="14.25" customHeight="1">
      <c r="A784" s="68" t="s">
        <v>778</v>
      </c>
      <c r="B784" s="68" t="s">
        <v>24</v>
      </c>
      <c r="C784" s="68">
        <v>1.0</v>
      </c>
      <c r="D784" s="68" t="s">
        <v>746</v>
      </c>
      <c r="E784" s="68" t="s">
        <v>104</v>
      </c>
      <c r="F784" s="68" t="s">
        <v>553</v>
      </c>
      <c r="G784" s="66">
        <v>5000.0</v>
      </c>
      <c r="H784" s="66">
        <v>6530.0</v>
      </c>
      <c r="I784" s="66">
        <v>-1530.0</v>
      </c>
      <c r="J784" s="69">
        <v>-0.2343</v>
      </c>
      <c r="K784" s="143" t="s">
        <v>738</v>
      </c>
    </row>
  </sheetData>
  <pageMargins left="0.75" right="0.75" top="1.0" bottom="1.0" header="0.511811023622047" footer="0.511811023622047"/>
</worksheet>
</file>

<file path=xl/worksheets/sheet37.xml><?xml version="1.0" encoding="utf-8"?>
<worksheet xmlns:r="http://schemas.openxmlformats.org/officeDocument/2006/relationships" xmlns="http://schemas.openxmlformats.org/spreadsheetml/2006/main">
  <dimension ref="A1:H39"/>
  <sheetViews>
    <sheetView workbookViewId="0" topLeftCell="A27">
      <selection activeCell="C39" sqref="A39:C40"/>
    </sheetView>
  </sheetViews>
  <sheetFormatPr defaultRowHeight="14.5"/>
  <cols>
    <col min="1" max="1" customWidth="1" width="22.0" style="0"/>
    <col min="2" max="7" customWidth="1" width="20.0" style="0"/>
    <col min="8" max="8" customWidth="1" width="3.0" style="0"/>
    <col min="9" max="9" customWidth="1" width="21.542969" style="0"/>
    <col min="10" max="10" customWidth="1" width="12.453125" style="0"/>
    <col min="11" max="11" customWidth="1" width="17.726562" style="0"/>
    <col min="12" max="12" customWidth="1" width="9.542969" style="0"/>
    <col min="13" max="13" customWidth="1" width="3.0" style="0"/>
    <col min="14" max="16" customWidth="1" width="13.0" style="0"/>
  </cols>
  <sheetData>
    <row r="1" spans="8:8" ht="15.5">
      <c r="A1" s="147" t="s">
        <v>779</v>
      </c>
    </row>
    <row r="2" spans="8:8">
      <c r="A2" s="148" t="s">
        <v>780</v>
      </c>
    </row>
    <row r="4" spans="8:8" ht="25.5" customHeight="1">
      <c r="A4" s="106" t="s">
        <v>686</v>
      </c>
      <c r="B4" s="106" t="s">
        <v>781</v>
      </c>
      <c r="C4" s="106" t="s">
        <v>782</v>
      </c>
      <c r="D4" s="106" t="s">
        <v>783</v>
      </c>
      <c r="E4" s="106" t="s">
        <v>784</v>
      </c>
      <c r="F4" s="106" t="s">
        <v>785</v>
      </c>
      <c r="G4" s="106" t="s">
        <v>786</v>
      </c>
    </row>
    <row r="5" spans="8:8">
      <c r="A5" t="s">
        <v>787</v>
      </c>
      <c r="B5" s="149">
        <f>'July 1st Sales Report'!N2</f>
        <v>1557600.0</v>
      </c>
      <c r="C5" s="149">
        <f>'July 1st Sales Report'!O2</f>
        <v>258.0</v>
      </c>
      <c r="D5" s="149">
        <f>'July 1st Sales Report'!J32</f>
        <v>1557600.0</v>
      </c>
      <c r="E5">
        <f>COUNT('July 1st Sales Report'!J29:J31)</f>
        <v>3.0</v>
      </c>
      <c r="F5" s="149">
        <f>SUMPRODUCT('July 1st Sales Report'!J29:J31,'July 1st Sales Report'!K29:K31)</f>
        <v>-44130.0</v>
      </c>
      <c r="G5" s="150">
        <f>F5/D5</f>
        <v>-0.028332049306625577</v>
      </c>
    </row>
    <row r="6" spans="8:8">
      <c r="A6" t="s">
        <v>788</v>
      </c>
      <c r="B6" s="149">
        <f>'July 2nd Sales Report'!N2</f>
        <v>4229335.0</v>
      </c>
      <c r="C6" s="149">
        <f>'July 2nd Sales Report'!O2</f>
        <v>488.0</v>
      </c>
      <c r="D6" s="149">
        <f>'July 2nd Sales Report'!J60</f>
        <v>4241335.0</v>
      </c>
      <c r="E6">
        <f>COUNT('July 2nd Sales Report'!J48:J59)</f>
        <v>12.0</v>
      </c>
      <c r="F6" s="149">
        <f>SUMPRODUCT('July 2nd Sales Report'!J48:J59,'July 2nd Sales Report'!K48:K59)</f>
        <v>-31944.500000000004</v>
      </c>
      <c r="G6" s="150">
        <f>F6/D6</f>
        <v>-0.007531708766225729</v>
      </c>
    </row>
    <row r="7" spans="8:8">
      <c r="A7" t="s">
        <v>789</v>
      </c>
      <c r="B7" s="149">
        <f>'July 3rd Sales Report'!N2</f>
        <v>1.5442745E7</v>
      </c>
      <c r="C7" s="149">
        <f>'July 3rd Sales Report'!O2</f>
        <v>1474.0</v>
      </c>
      <c r="D7" s="149">
        <f>'July 3rd Sales Report'!J59</f>
        <v>1.6674245E7</v>
      </c>
      <c r="E7">
        <f>COUNT('July 3rd Sales Report'!J46:J58)</f>
        <v>12.0</v>
      </c>
      <c r="F7" s="149">
        <f>SUMPRODUCT('July 3rd Sales Report'!J46:J58,'July 3rd Sales Report'!K46:K58)</f>
        <v>297254.85</v>
      </c>
      <c r="G7" s="150">
        <f>F7/D7</f>
        <v>0.01782718497899005</v>
      </c>
    </row>
    <row r="8" spans="8:8">
      <c r="A8" t="s">
        <v>790</v>
      </c>
      <c r="B8" s="149">
        <f>'July 4th Sales Report '!N2</f>
        <v>7269270.0</v>
      </c>
      <c r="C8" s="149">
        <f>'July 4th Sales Report '!O2</f>
        <v>756.0</v>
      </c>
      <c r="D8" s="149">
        <f>'July 4th Sales Report '!J42</f>
        <v>7874270.0</v>
      </c>
      <c r="E8">
        <f>COUNT('July 4th Sales Report '!J33:J41)</f>
        <v>9.0</v>
      </c>
      <c r="F8" s="149">
        <f>SUMPRODUCT('July 4th Sales Report '!J33:J41,'July 4th Sales Report '!K33:K41)</f>
        <v>-59484.600000000006</v>
      </c>
      <c r="G8" s="150">
        <f>F8/D8</f>
        <v>-0.00755430027164423</v>
      </c>
    </row>
    <row r="9" spans="8:8">
      <c r="A9" t="s">
        <v>791</v>
      </c>
    </row>
    <row r="10" spans="8:8">
      <c r="A10" t="s">
        <v>792</v>
      </c>
      <c r="B10" s="149">
        <f>'July 6th Sales Report'!N2</f>
        <v>6855945.0</v>
      </c>
      <c r="C10" s="149">
        <f>'July 6th Sales Report'!O2</f>
        <v>931.0</v>
      </c>
      <c r="D10" s="149">
        <f>'July 6th Sales Report'!J45</f>
        <v>7250945.0</v>
      </c>
      <c r="E10">
        <f>COUNT('July 6th Sales Report'!J32:J44)</f>
        <v>13.0</v>
      </c>
      <c r="F10" s="149">
        <f>SUMPRODUCT('July 6th Sales Report'!J32:J44,'July 6th Sales Report'!K32:K44)</f>
        <v>57122.65</v>
      </c>
      <c r="G10" s="150">
        <f t="shared" si="0" ref="G10:G15">F10/D10</f>
        <v>0.00787795935564261</v>
      </c>
    </row>
    <row r="11" spans="8:8">
      <c r="A11" t="s">
        <v>793</v>
      </c>
      <c r="B11" s="149">
        <f>'July 7th Sales Report'!N2</f>
        <v>1.3981415E7</v>
      </c>
      <c r="C11" s="149">
        <f>'July 7th Sales Report'!O2</f>
        <v>1685.0</v>
      </c>
      <c r="D11" s="149">
        <f>'July 7th Sales Report'!J49</f>
        <v>1.5657915E7</v>
      </c>
      <c r="E11">
        <f>COUNT('July 7th Sales Report'!J35:J48)</f>
        <v>14.0</v>
      </c>
      <c r="F11" s="149">
        <f>SUMPRODUCT('July 7th Sales Report'!J35:J48,'July 7th Sales Report'!K35:K48)</f>
        <v>229005.94999999998</v>
      </c>
      <c r="G11" s="150">
        <f t="shared" si="0"/>
        <v>0.01462557115682388</v>
      </c>
    </row>
    <row r="12" spans="8:8">
      <c r="A12" t="s">
        <v>794</v>
      </c>
      <c r="B12" s="149">
        <f>'July 8th Sales Report'!N2</f>
        <v>7976620.0</v>
      </c>
      <c r="C12" s="149">
        <f>'July 8th Sales Report'!O2</f>
        <v>844.0</v>
      </c>
      <c r="D12" s="149">
        <f>'July 8th Sales Report'!J58</f>
        <v>8995620.0</v>
      </c>
      <c r="E12">
        <f>COUNT('July 8th Sales Report'!J42:J57)</f>
        <v>16.0</v>
      </c>
      <c r="F12" s="149">
        <f>SUMPRODUCT('July 8th Sales Report'!J42:J57,'July 8th Sales Report'!K42:K57)</f>
        <v>450969.0</v>
      </c>
      <c r="G12" s="150">
        <f t="shared" si="0"/>
        <v>0.05013206427127869</v>
      </c>
    </row>
    <row r="13" spans="8:8">
      <c r="A13" t="s">
        <v>795</v>
      </c>
      <c r="B13" s="149">
        <f>'July 9th Sales Report'!N2</f>
        <v>3113625.0</v>
      </c>
      <c r="C13" s="149">
        <f>'July 9th Sales Report'!O2</f>
        <v>236.0</v>
      </c>
      <c r="D13" s="149">
        <f>'July 9th Sales Report'!J51</f>
        <v>3389125.0</v>
      </c>
      <c r="E13">
        <f>COUNT('July 9th Sales Report'!J39:J50)</f>
        <v>12.0</v>
      </c>
      <c r="F13" s="149">
        <f>SUMPRODUCT('July 9th Sales Report'!J39:J50,'July 9th Sales Report'!K39:K50)</f>
        <v>247614.25</v>
      </c>
      <c r="G13" s="150">
        <f t="shared" si="0"/>
        <v>0.07306140965588463</v>
      </c>
    </row>
    <row r="14" spans="8:8">
      <c r="A14" t="s">
        <v>796</v>
      </c>
      <c r="B14" s="149">
        <f>'July 10th Sales Report'!N2</f>
        <v>1529240.0</v>
      </c>
      <c r="C14" s="149">
        <f>'July 10th Sales Report'!O2</f>
        <v>231.0</v>
      </c>
      <c r="D14" s="149">
        <f>'July 10th Sales Report'!J31</f>
        <v>1549040.0</v>
      </c>
      <c r="E14">
        <f>COUNT('July 10th Sales Report'!J24:J30)</f>
        <v>7.0</v>
      </c>
      <c r="F14" s="149">
        <f>SUMPRODUCT('July 10th Sales Report'!J24:J30,'July 10th Sales Report'!K24:K30)</f>
        <v>882.8999999999996</v>
      </c>
      <c r="G14" s="150">
        <f t="shared" si="0"/>
        <v>5.699659143727726E-4</v>
      </c>
    </row>
    <row r="15" spans="8:8">
      <c r="A15" t="s">
        <v>797</v>
      </c>
      <c r="B15" s="149">
        <f>'July 11th Sales Report'!N2</f>
        <v>3303665.0</v>
      </c>
      <c r="C15" s="149">
        <f>'July 11th Sales Report'!O2</f>
        <v>410.0</v>
      </c>
      <c r="D15" s="149">
        <f>'July 11th Sales Report'!J46</f>
        <v>3566065.0</v>
      </c>
      <c r="E15">
        <f>COUNT('July 11th Sales Report'!J34:J45)</f>
        <v>12.0</v>
      </c>
      <c r="F15" s="149">
        <f>SUMPRODUCT('July 11th Sales Report'!J34:J45,'July 11th Sales Report'!K34:K45)</f>
        <v>182394.2</v>
      </c>
      <c r="G15" s="150">
        <f t="shared" si="0"/>
        <v>0.05114718884821225</v>
      </c>
    </row>
    <row r="16" spans="8:8">
      <c r="A16" t="s">
        <v>798</v>
      </c>
    </row>
    <row r="17" spans="8:8">
      <c r="A17" t="s">
        <v>799</v>
      </c>
      <c r="B17" s="149">
        <f>'July 13th Sales Report'!N2</f>
        <v>9567380.0</v>
      </c>
      <c r="C17" s="149">
        <f>'July 13th Sales Report'!O2</f>
        <v>1675.0</v>
      </c>
      <c r="D17" s="149">
        <f>'July 13th Sales Report'!J37</f>
        <v>9709580.0</v>
      </c>
      <c r="E17">
        <f>COUNT('July 13th Sales Report'!J30:J36)</f>
        <v>7.0</v>
      </c>
      <c r="F17" s="149">
        <f>SUMPRODUCT('July 13th Sales Report'!J30:J36,'July 13th Sales Report'!K30:K36)</f>
        <v>-156018.95</v>
      </c>
      <c r="G17" s="150">
        <f t="shared" si="1" ref="G17:G22">F17/D17</f>
        <v>-0.01606855806327359</v>
      </c>
    </row>
    <row r="18" spans="8:8">
      <c r="A18" t="s">
        <v>800</v>
      </c>
      <c r="B18" s="149">
        <f>'July 14th Sales Report'!N2</f>
        <v>8992905.0</v>
      </c>
      <c r="C18" s="149">
        <f>'July 14th Sales Report'!O2</f>
        <v>1093.0</v>
      </c>
      <c r="D18" s="149">
        <f>'July 14th Sales Report'!J54</f>
        <v>9217305.0</v>
      </c>
      <c r="E18">
        <f>COUNT('July 14th Sales Report'!J41:J53)</f>
        <v>13.0</v>
      </c>
      <c r="F18" s="149">
        <f>SUMPRODUCT('July 14th Sales Report'!J41:J53,'July 14th Sales Report'!K41:K53)</f>
        <v>277294.3999999999</v>
      </c>
      <c r="G18" s="150">
        <f t="shared" si="1"/>
        <v>0.030084108098842332</v>
      </c>
    </row>
    <row r="19" spans="8:8">
      <c r="A19" t="s">
        <v>801</v>
      </c>
      <c r="B19" s="149">
        <f>'July 15th Sales Report'!N2</f>
        <v>4492845.0</v>
      </c>
      <c r="C19" s="149">
        <f>'July 15th Sales Report'!O2</f>
        <v>364.0</v>
      </c>
      <c r="D19" s="149">
        <f>'July 15th Sales Report'!J43</f>
        <v>4626845.0</v>
      </c>
      <c r="E19">
        <f>COUNT('July 15th Sales Report'!J38:J42)</f>
        <v>5.0</v>
      </c>
      <c r="F19" s="149">
        <f>SUMPRODUCT('July 15th Sales Report'!J38:J42,'July 15th Sales Report'!K38:K42)</f>
        <v>260021.75</v>
      </c>
      <c r="G19" s="150">
        <f t="shared" si="1"/>
        <v>0.056198500273944775</v>
      </c>
    </row>
    <row r="20" spans="8:8">
      <c r="A20" t="s">
        <v>802</v>
      </c>
      <c r="B20" s="149">
        <f>'July 16th Sales Report'!N2</f>
        <v>2641860.0</v>
      </c>
      <c r="C20" s="149">
        <f>'July 16th Sales Report'!O2</f>
        <v>267.0</v>
      </c>
      <c r="D20" s="149">
        <f>'July 16th Sales Report'!J37</f>
        <v>2735860.0</v>
      </c>
      <c r="E20">
        <f>COUNT('July 16th Sales Report'!J27:J36)</f>
        <v>10.0</v>
      </c>
      <c r="F20" s="149">
        <f>SUMPRODUCT('July 16th Sales Report'!J27:J36,'July 16th Sales Report'!K27:K36)</f>
        <v>18012.8</v>
      </c>
      <c r="G20" s="150">
        <f t="shared" si="1"/>
        <v>0.006583962629666722</v>
      </c>
    </row>
    <row r="21" spans="8:8">
      <c r="A21" t="s">
        <v>803</v>
      </c>
      <c r="B21" s="149">
        <f>'July 17th Sales Report'!N2</f>
        <v>6163655.0</v>
      </c>
      <c r="C21" s="149">
        <f>'July 17th Sales Report'!O2</f>
        <v>798.0</v>
      </c>
      <c r="D21" s="149">
        <f>'July 17th Sales Report'!J44</f>
        <v>6278855.0</v>
      </c>
      <c r="E21">
        <f>COUNT('July 17th Sales Report'!J33:J43)</f>
        <v>11.0</v>
      </c>
      <c r="F21" s="149">
        <f>SUMPRODUCT('July 17th Sales Report'!J33:J43,'July 17th Sales Report'!K33:K43)</f>
        <v>15244.599999999999</v>
      </c>
      <c r="G21" s="150">
        <f t="shared" si="1"/>
        <v>0.0024279267477907993</v>
      </c>
    </row>
    <row r="22" spans="8:8">
      <c r="A22" t="s">
        <v>804</v>
      </c>
      <c r="B22" s="149">
        <f>'July 18th Sales Report'!N2</f>
        <v>1.2655475E7</v>
      </c>
      <c r="C22" s="149">
        <f>'July 18th Sales Report'!O2</f>
        <v>1117.0</v>
      </c>
      <c r="D22" s="149">
        <f>'July 18th Sales Report'!J50</f>
        <v>1.4594475E7</v>
      </c>
      <c r="E22">
        <f>COUNT('July 18th Sales Report'!J36:J49)</f>
        <v>14.0</v>
      </c>
      <c r="F22" s="149">
        <f>SUMPRODUCT('July 18th Sales Report'!J36:J49,'July 18th Sales Report'!K36:K49)</f>
        <v>1078356.6000000003</v>
      </c>
      <c r="G22" s="150">
        <f t="shared" si="1"/>
        <v>0.07388800213779532</v>
      </c>
    </row>
    <row r="23" spans="8:8">
      <c r="A23" t="s">
        <v>805</v>
      </c>
    </row>
    <row r="24" spans="8:8">
      <c r="A24" t="s">
        <v>806</v>
      </c>
      <c r="B24" s="149">
        <f>'July 20th Sales Report'!N2</f>
        <v>9920150.0</v>
      </c>
      <c r="C24" s="149">
        <f>'July 20th Sales Report'!O2</f>
        <v>1200.0</v>
      </c>
      <c r="D24" s="149">
        <f>'July 20th Sales Report'!J46</f>
        <v>1.064255E7</v>
      </c>
      <c r="E24">
        <f>COUNT('July 20th Sales Report'!J36:J45)</f>
        <v>10.0</v>
      </c>
      <c r="F24" s="149">
        <f>SUMPRODUCT('July 20th Sales Report'!J36:J45,'July 20th Sales Report'!K36:K45)</f>
        <v>150030.85</v>
      </c>
      <c r="G24" s="150">
        <f t="shared" si="2" ref="G24:G29">F24/D24</f>
        <v>0.014097265223090332</v>
      </c>
    </row>
    <row r="25" spans="8:8">
      <c r="A25" t="s">
        <v>807</v>
      </c>
      <c r="B25" s="149">
        <f>'July 21st Sales Report'!N2</f>
        <v>2878955.0</v>
      </c>
      <c r="C25" s="149">
        <f>'July 21st Sales Report'!O2</f>
        <v>461.0</v>
      </c>
      <c r="D25" s="149">
        <f>'July 21st Sales Report'!J43</f>
        <v>2982755.0</v>
      </c>
      <c r="E25">
        <f>COUNT('July 21st Sales Report'!J33:J42)</f>
        <v>10.0</v>
      </c>
      <c r="F25" s="149">
        <f>SUMPRODUCT('July 21st Sales Report'!J33:J42,'July 21st Sales Report'!K33:K42)</f>
        <v>6798.400000000005</v>
      </c>
      <c r="G25" s="150">
        <f t="shared" si="2"/>
        <v>0.0022792351366438092</v>
      </c>
    </row>
    <row r="26" spans="8:8">
      <c r="A26" t="s">
        <v>808</v>
      </c>
      <c r="B26" s="149">
        <f>'July 22nd Sales Report'!N2</f>
        <v>5388015.0</v>
      </c>
      <c r="C26" s="149">
        <f>'July 22nd Sales Report'!O2</f>
        <v>778.0</v>
      </c>
      <c r="D26" s="149">
        <f>'July 22nd Sales Report'!J38</f>
        <v>5388015.0</v>
      </c>
      <c r="E26">
        <f>COUNT('July 22nd Sales Report'!J27:J37)</f>
        <v>11.0</v>
      </c>
      <c r="F26" s="149">
        <f>SUMPRODUCT('July 22nd Sales Report'!J27:J37,'July 22nd Sales Report'!K27:K37)</f>
        <v>-54760.450000000004</v>
      </c>
      <c r="G26" s="150">
        <f t="shared" si="2"/>
        <v>-0.01016338113386841</v>
      </c>
    </row>
    <row r="27" spans="8:8">
      <c r="A27" t="s">
        <v>809</v>
      </c>
      <c r="B27" s="149">
        <f>'July 23rd Sales Report'!N2</f>
        <v>5127985.0</v>
      </c>
      <c r="C27" s="149">
        <f>'July 23rd Sales Report'!O2</f>
        <v>916.0</v>
      </c>
      <c r="D27" s="149">
        <f>'July 23rd Sales Report'!J36</f>
        <v>5309685.0</v>
      </c>
      <c r="E27">
        <f>COUNT('July 23rd Sales Report'!J27:J35)</f>
        <v>9.0</v>
      </c>
      <c r="F27" s="149">
        <f>SUMPRODUCT('July 23rd Sales Report'!J27:J35,'July 23rd Sales Report'!K27:K35)</f>
        <v>-71084.15</v>
      </c>
      <c r="G27" s="150">
        <f t="shared" si="2"/>
        <v>-0.013387639756407395</v>
      </c>
    </row>
    <row r="28" spans="8:8">
      <c r="A28" t="s">
        <v>810</v>
      </c>
      <c r="B28" s="149">
        <f>'July 24th Sales Report'!N2</f>
        <v>6824400.0</v>
      </c>
      <c r="C28" s="149">
        <f>'July 24th Sales Report'!O2</f>
        <v>880.0</v>
      </c>
      <c r="D28" s="149">
        <f>'July 24th Sales Report'!J42</f>
        <v>7697200.0</v>
      </c>
      <c r="E28">
        <f>COUNT('July 24th Sales Report'!J29:J41)</f>
        <v>13.0</v>
      </c>
      <c r="F28" s="149">
        <f>SUMPRODUCT('July 24th Sales Report'!J29:J41,'July 24th Sales Report'!K29:K41)</f>
        <v>147670.80000000002</v>
      </c>
      <c r="G28" s="150">
        <f t="shared" si="2"/>
        <v>0.019185002338512707</v>
      </c>
    </row>
    <row r="29" spans="8:8">
      <c r="A29" t="s">
        <v>811</v>
      </c>
      <c r="B29" s="149">
        <f>'July 25th Sales Report'!N2</f>
        <v>2612575.0</v>
      </c>
      <c r="C29" s="149">
        <f>'July 25th Sales Report'!O2</f>
        <v>384.0</v>
      </c>
      <c r="D29" s="149">
        <f>'July 25th Sales Report'!J52</f>
        <v>2758975.0</v>
      </c>
      <c r="E29">
        <f>COUNT('July 25th Sales Report'!J34:J51)</f>
        <v>18.0</v>
      </c>
      <c r="F29" s="149">
        <f>SUMPRODUCT('July 25th Sales Report'!J34:J51,'July 25th Sales Report'!K34:K51)</f>
        <v>40195.6</v>
      </c>
      <c r="G29" s="150">
        <f t="shared" si="2"/>
        <v>0.014569033789722631</v>
      </c>
    </row>
    <row r="30" spans="8:8">
      <c r="A30" t="s">
        <v>812</v>
      </c>
    </row>
    <row r="31" spans="8:8">
      <c r="A31" t="s">
        <v>813</v>
      </c>
      <c r="B31" s="149">
        <f>'July 27th Sales Report'!N2</f>
        <v>7908180.0</v>
      </c>
      <c r="C31" s="149">
        <f>'July 27th Sales Report'!O2</f>
        <v>971.0</v>
      </c>
      <c r="D31" s="149">
        <f>'July 27th Sales Report'!J51</f>
        <v>9013780.0</v>
      </c>
      <c r="E31">
        <f>COUNT('July 27th Sales Report'!J33:J50)</f>
        <v>18.0</v>
      </c>
      <c r="F31" s="149">
        <f>SUMPRODUCT('July 27th Sales Report'!J33:J50,'July 27th Sales Report'!K33:K50)</f>
        <v>525900.2999999999</v>
      </c>
      <c r="G31" s="150">
        <f>F31/D31</f>
        <v>0.058344035465698066</v>
      </c>
    </row>
    <row r="32" spans="8:8">
      <c r="A32" t="s">
        <v>814</v>
      </c>
      <c r="B32" s="149">
        <f>'July 28th Sales Report'!N2</f>
        <v>4992470.0</v>
      </c>
      <c r="C32" s="149">
        <f>'July 28th Sales Report'!O2</f>
        <v>762.0</v>
      </c>
      <c r="D32" s="149">
        <f>'July 28th Sales Report'!J40</f>
        <v>5335070.0</v>
      </c>
      <c r="E32">
        <f>COUNT('July 28th Sales Report'!J31:J39)</f>
        <v>9.0</v>
      </c>
      <c r="F32" s="149">
        <f>SUMPRODUCT('July 28th Sales Report'!J31:J39,'July 28th Sales Report'!K31:K39)</f>
        <v>125847.70000000001</v>
      </c>
      <c r="G32" s="150">
        <f>F32/D32</f>
        <v>0.023588762659159112</v>
      </c>
    </row>
    <row r="33" spans="8:8">
      <c r="A33" t="s">
        <v>815</v>
      </c>
      <c r="B33" s="149">
        <f>'29th Sales Report'!N2</f>
        <v>9392435.0</v>
      </c>
      <c r="C33" s="149">
        <f>'29th Sales Report'!O2</f>
        <v>842.0</v>
      </c>
      <c r="D33" s="149">
        <f>'29th Sales Report'!J33</f>
        <v>1.0012235E7</v>
      </c>
      <c r="E33">
        <f>COUNT('29th Sales Report'!J28:J32)</f>
        <v>5.0</v>
      </c>
      <c r="F33" s="149">
        <f>SUMPRODUCT('29th Sales Report'!J28:J32,'29th Sales Report'!K28:K32)</f>
        <v>90472.5</v>
      </c>
      <c r="G33" s="150">
        <f>F33/D33</f>
        <v>0.009036194216376263</v>
      </c>
    </row>
    <row r="34" spans="8:8">
      <c r="A34" t="s">
        <v>816</v>
      </c>
      <c r="B34" s="149">
        <f>'30th Sales Report'!N2</f>
        <v>7007705.0</v>
      </c>
      <c r="C34" s="149">
        <f>'30th Sales Report'!O2</f>
        <v>1315.0</v>
      </c>
      <c r="D34" s="149">
        <f>'30th Sales Report'!J36</f>
        <v>7065305.0</v>
      </c>
      <c r="E34">
        <f>COUNT('30th Sales Report'!J27:J35)</f>
        <v>9.0</v>
      </c>
      <c r="F34" s="149">
        <f>SUMPRODUCT('30th Sales Report'!J27:J35,'30th Sales Report'!K27:K35)</f>
        <v>-267320.95</v>
      </c>
      <c r="G34" s="150">
        <f>F34/D34</f>
        <v>-0.03783572683698722</v>
      </c>
    </row>
    <row r="35" spans="8:8">
      <c r="A35" t="s">
        <v>817</v>
      </c>
      <c r="B35" s="149">
        <f>'31st Sales Report '!N2</f>
        <v>2498390.0</v>
      </c>
      <c r="C35" s="149">
        <f>'31st Sales Report '!O2</f>
        <v>302.0</v>
      </c>
      <c r="D35" s="149">
        <f>'31st Sales Report '!J37</f>
        <v>2576790.0</v>
      </c>
      <c r="E35">
        <f>COUNT('31st Sales Report '!J27:J36)</f>
        <v>10.0</v>
      </c>
      <c r="F35" s="149">
        <f>SUMPRODUCT('31st Sales Report '!J27:J36,'31st Sales Report '!K27:K36)</f>
        <v>12888.050000000003</v>
      </c>
      <c r="G35" s="150">
        <f>F35/D35</f>
        <v>0.005001591126944766</v>
      </c>
    </row>
    <row r="37" spans="8:8">
      <c r="A37" s="151" t="s">
        <v>818</v>
      </c>
      <c r="B37" s="149">
        <f>SUM(B5:B35)</f>
        <v>1.7432484E8</v>
      </c>
      <c r="C37" s="149">
        <f>SUM(C5:C35)</f>
        <v>21438.0</v>
      </c>
      <c r="D37" s="149">
        <f>SUM(D5:D35)</f>
        <v>1.8670144E8</v>
      </c>
      <c r="E37">
        <f>SUM(E5:E35)</f>
        <v>292.0</v>
      </c>
      <c r="F37" s="149">
        <f>SUM(F5:F35)</f>
        <v>3529234.55</v>
      </c>
      <c r="G37" s="150">
        <f>F37/D37</f>
        <v>0.018903092284665825</v>
      </c>
    </row>
    <row r="39" spans="8:8">
      <c r="A39" s="152"/>
    </row>
  </sheetData>
  <pageMargins left="0.75" right="0.75" top="1.0" bottom="1.0" header="0.511811023622047" footer="0.511811023622047"/>
</worksheet>
</file>

<file path=xl/worksheets/sheet38.xml><?xml version="1.0" encoding="utf-8"?>
<worksheet xmlns:r="http://schemas.openxmlformats.org/officeDocument/2006/relationships" xmlns="http://schemas.openxmlformats.org/spreadsheetml/2006/main">
  <dimension ref="A1:O352"/>
  <sheetViews>
    <sheetView tabSelected="1" workbookViewId="0">
      <pane ySplit="4" topLeftCell="A237" state="frozen" activePane="bottomLeft"/>
      <selection pane="bottomLeft" activeCell="A1" sqref="A1"/>
    </sheetView>
  </sheetViews>
  <sheetFormatPr defaultRowHeight="14.5"/>
  <cols>
    <col min="1" max="1" customWidth="1" width="22.0" style="60"/>
    <col min="2" max="2" customWidth="1" width="14.0" style="60"/>
    <col min="3" max="4" customWidth="1" width="16.0" style="60"/>
    <col min="5" max="5" customWidth="1" width="14.0" style="60"/>
    <col min="6" max="6" customWidth="1" width="13.0" style="60"/>
    <col min="7" max="7" customWidth="1" width="16.0" style="60"/>
    <col min="8" max="8" customWidth="1" width="12.0" style="60"/>
    <col min="9" max="9" customWidth="1" width="22.0" style="60"/>
    <col min="10" max="12" customWidth="1" width="16.0" style="60"/>
    <col min="13" max="13" customWidth="1" width="13.0" style="60"/>
    <col min="14" max="14" customWidth="1" width="22.0" style="60"/>
  </cols>
  <sheetData>
    <row r="1" spans="8:8" ht="15.0" customHeight="1">
      <c r="A1" s="138" t="s">
        <v>819</v>
      </c>
    </row>
    <row r="2" spans="8:8" ht="15.0" customHeight="1">
      <c r="A2" s="137" t="s">
        <v>820</v>
      </c>
    </row>
    <row r="4" spans="8:8" ht="25.5" customHeight="1">
      <c r="A4" s="106" t="s">
        <v>691</v>
      </c>
      <c r="B4" s="106" t="s">
        <v>784</v>
      </c>
      <c r="C4" s="106" t="s">
        <v>710</v>
      </c>
      <c r="D4" s="106" t="s">
        <v>821</v>
      </c>
      <c r="E4" s="106" t="s">
        <v>702</v>
      </c>
      <c r="F4" s="106" t="s">
        <v>822</v>
      </c>
      <c r="G4" s="106" t="s">
        <v>823</v>
      </c>
    </row>
    <row r="5" spans="8:8" ht="15.0" customHeight="1">
      <c r="A5" s="60" t="s">
        <v>25</v>
      </c>
      <c r="B5" s="60">
        <v>31.0</v>
      </c>
      <c r="C5" s="78">
        <v>2.4198115E7</v>
      </c>
      <c r="D5" s="78">
        <v>2.4565107E7</v>
      </c>
      <c r="E5" s="78">
        <v>-366992.0</v>
      </c>
      <c r="F5" s="153">
        <v>-0.0152</v>
      </c>
      <c r="G5" s="139" t="s">
        <v>824</v>
      </c>
    </row>
    <row r="6" spans="8:8" ht="15.0" customHeight="1">
      <c r="A6" s="60" t="s">
        <v>50</v>
      </c>
      <c r="B6" s="60">
        <v>25.0</v>
      </c>
      <c r="C6" s="78">
        <v>2.073284E7</v>
      </c>
      <c r="D6" s="78">
        <v>2.082947E7</v>
      </c>
      <c r="E6" s="78">
        <v>-96630.0</v>
      </c>
      <c r="F6" s="153">
        <v>-0.0047</v>
      </c>
      <c r="G6" s="139" t="s">
        <v>825</v>
      </c>
    </row>
    <row r="7" spans="8:8" ht="15.0" customHeight="1">
      <c r="A7" s="60" t="s">
        <v>66</v>
      </c>
      <c r="B7" s="60">
        <v>3.0</v>
      </c>
      <c r="C7" s="78">
        <v>1.881126E7</v>
      </c>
      <c r="D7" s="78">
        <v>1.8244964E7</v>
      </c>
      <c r="E7" s="78">
        <v>566296.0</v>
      </c>
      <c r="F7" s="153">
        <v>0.0301</v>
      </c>
      <c r="G7" s="139" t="s">
        <v>826</v>
      </c>
    </row>
    <row r="8" spans="8:8" ht="15.0" customHeight="1">
      <c r="A8" s="154" t="s">
        <v>63</v>
      </c>
      <c r="B8" s="60">
        <v>4.0</v>
      </c>
      <c r="C8" s="78">
        <v>1.551749E7</v>
      </c>
      <c r="D8" s="78">
        <v>1.5332928E7</v>
      </c>
      <c r="E8" s="78">
        <v>184562.0</v>
      </c>
      <c r="F8" s="153">
        <v>0.0119</v>
      </c>
      <c r="G8" s="139" t="s">
        <v>827</v>
      </c>
    </row>
    <row r="9" spans="8:8" ht="15.0" customHeight="1">
      <c r="A9" s="154" t="s">
        <v>29</v>
      </c>
      <c r="B9" s="60">
        <v>43.0</v>
      </c>
      <c r="C9" s="78">
        <v>1.5020155E7</v>
      </c>
      <c r="D9" s="78">
        <v>1.4389694E7</v>
      </c>
      <c r="E9" s="78">
        <v>630461.0</v>
      </c>
      <c r="F9" s="153">
        <v>0.042</v>
      </c>
      <c r="G9" s="139" t="s">
        <v>828</v>
      </c>
    </row>
    <row r="10" spans="8:8" ht="15.0" customHeight="1">
      <c r="A10" s="60" t="s">
        <v>210</v>
      </c>
      <c r="B10" s="60">
        <v>2.0</v>
      </c>
      <c r="C10" s="78">
        <v>1.2276E7</v>
      </c>
      <c r="D10" s="78">
        <v>1.2896E7</v>
      </c>
      <c r="E10" s="78">
        <v>-620000.0</v>
      </c>
      <c r="F10" s="153">
        <v>-0.0505</v>
      </c>
      <c r="G10" s="139" t="s">
        <v>829</v>
      </c>
    </row>
    <row r="11" spans="8:8" ht="15.0" customHeight="1">
      <c r="A11" s="60" t="s">
        <v>139</v>
      </c>
      <c r="B11" s="60">
        <v>3.0</v>
      </c>
      <c r="C11" s="78">
        <v>8439865.0</v>
      </c>
      <c r="D11" s="78">
        <v>8039914.0</v>
      </c>
      <c r="E11" s="78">
        <v>399951.0</v>
      </c>
      <c r="F11" s="153">
        <v>0.0474</v>
      </c>
      <c r="G11" s="139" t="s">
        <v>826</v>
      </c>
    </row>
    <row r="12" spans="8:8" ht="15.0" customHeight="1">
      <c r="A12" s="60" t="s">
        <v>165</v>
      </c>
      <c r="B12" s="60">
        <v>2.0</v>
      </c>
      <c r="C12" s="78">
        <v>7750900.0</v>
      </c>
      <c r="D12" s="78">
        <v>7235547.0</v>
      </c>
      <c r="E12" s="78">
        <v>515353.0</v>
      </c>
      <c r="F12" s="153">
        <v>0.0665</v>
      </c>
      <c r="G12" s="139" t="s">
        <v>829</v>
      </c>
    </row>
    <row r="13" spans="8:8" ht="15.0" customHeight="1">
      <c r="A13" s="154" t="s">
        <v>75</v>
      </c>
      <c r="B13" s="60">
        <v>15.0</v>
      </c>
      <c r="C13" s="78">
        <v>7362605.0</v>
      </c>
      <c r="D13" s="78">
        <v>6851611.0</v>
      </c>
      <c r="E13" s="78">
        <v>510994.0</v>
      </c>
      <c r="F13" s="153">
        <v>0.0694</v>
      </c>
      <c r="G13" s="139" t="s">
        <v>830</v>
      </c>
    </row>
    <row r="14" spans="8:8" ht="15.0" customHeight="1">
      <c r="A14" s="60" t="s">
        <v>152</v>
      </c>
      <c r="B14" s="60">
        <v>5.0</v>
      </c>
      <c r="C14" s="78">
        <v>6158900.0</v>
      </c>
      <c r="D14" s="78">
        <v>5838547.0</v>
      </c>
      <c r="E14" s="78">
        <v>320353.0</v>
      </c>
      <c r="F14" s="153">
        <v>0.052</v>
      </c>
      <c r="G14" s="139" t="s">
        <v>831</v>
      </c>
    </row>
    <row r="15" spans="8:8" ht="15.0" customHeight="1">
      <c r="A15" s="60" t="s">
        <v>326</v>
      </c>
      <c r="B15" s="60">
        <v>1.0</v>
      </c>
      <c r="C15" s="78">
        <v>5201650.0</v>
      </c>
      <c r="D15" s="78">
        <v>4840911.0</v>
      </c>
      <c r="E15" s="78">
        <v>360739.0</v>
      </c>
      <c r="F15" s="153">
        <v>0.0694</v>
      </c>
      <c r="G15" s="139" t="s">
        <v>832</v>
      </c>
    </row>
    <row r="16" spans="8:8" ht="15.0" customHeight="1">
      <c r="A16" s="60" t="s">
        <v>97</v>
      </c>
      <c r="B16" s="60">
        <v>1.0</v>
      </c>
      <c r="C16" s="78">
        <v>4939800.0</v>
      </c>
      <c r="D16" s="78">
        <v>4915226.0</v>
      </c>
      <c r="E16" s="78">
        <v>24574.0</v>
      </c>
      <c r="F16" s="153">
        <v>0.005</v>
      </c>
      <c r="G16" s="139" t="s">
        <v>832</v>
      </c>
    </row>
    <row r="17" spans="8:8" ht="15.0" customHeight="1">
      <c r="A17" s="60" t="s">
        <v>231</v>
      </c>
      <c r="B17" s="60">
        <v>1.0</v>
      </c>
      <c r="C17" s="78">
        <v>4538140.0</v>
      </c>
      <c r="D17" s="78">
        <v>4253330.0</v>
      </c>
      <c r="E17" s="78">
        <v>284810.0</v>
      </c>
      <c r="F17" s="153">
        <v>0.0628</v>
      </c>
      <c r="G17" s="139" t="s">
        <v>832</v>
      </c>
    </row>
    <row r="18" spans="8:8" ht="15.0" customHeight="1">
      <c r="A18" s="60" t="s">
        <v>132</v>
      </c>
      <c r="B18" s="60">
        <v>1.0</v>
      </c>
      <c r="C18" s="78">
        <v>4512900.0</v>
      </c>
      <c r="D18" s="78">
        <v>4460698.0</v>
      </c>
      <c r="E18" s="78">
        <v>52202.0</v>
      </c>
      <c r="F18" s="153">
        <v>0.0116</v>
      </c>
      <c r="G18" s="139" t="s">
        <v>832</v>
      </c>
    </row>
    <row r="19" spans="8:8" ht="15.0" customHeight="1">
      <c r="A19" s="60" t="s">
        <v>59</v>
      </c>
      <c r="B19" s="60">
        <v>7.0</v>
      </c>
      <c r="C19" s="78">
        <v>4393180.0</v>
      </c>
      <c r="D19" s="78">
        <v>4437716.0</v>
      </c>
      <c r="E19" s="78">
        <v>-44536.0</v>
      </c>
      <c r="F19" s="153">
        <v>-0.0101</v>
      </c>
      <c r="G19" s="139" t="s">
        <v>833</v>
      </c>
    </row>
    <row r="20" spans="8:8" ht="15.0" customHeight="1">
      <c r="A20" s="60" t="s">
        <v>106</v>
      </c>
      <c r="B20" s="60">
        <v>3.0</v>
      </c>
      <c r="C20" s="78">
        <v>3642500.0</v>
      </c>
      <c r="D20" s="78">
        <v>3755050.0</v>
      </c>
      <c r="E20" s="78">
        <v>-112550.0</v>
      </c>
      <c r="F20" s="153">
        <v>-0.0309</v>
      </c>
      <c r="G20" s="139" t="s">
        <v>826</v>
      </c>
    </row>
    <row r="21" spans="8:8" ht="15.0" customHeight="1">
      <c r="A21" s="60" t="s">
        <v>78</v>
      </c>
      <c r="B21" s="60">
        <v>7.0</v>
      </c>
      <c r="C21" s="78">
        <v>2985985.0</v>
      </c>
      <c r="D21" s="78">
        <v>2779532.0</v>
      </c>
      <c r="E21" s="78">
        <v>206453.0</v>
      </c>
      <c r="F21" s="153">
        <v>0.0691</v>
      </c>
      <c r="G21" s="139" t="s">
        <v>833</v>
      </c>
    </row>
    <row r="22" spans="8:8" ht="15.0" customHeight="1">
      <c r="A22" s="60" t="s">
        <v>294</v>
      </c>
      <c r="B22" s="60">
        <v>1.0</v>
      </c>
      <c r="C22" s="78">
        <v>2976000.0</v>
      </c>
      <c r="D22" s="78">
        <v>2951040.0</v>
      </c>
      <c r="E22" s="78">
        <v>24960.0</v>
      </c>
      <c r="F22" s="153">
        <v>0.0084</v>
      </c>
      <c r="G22" s="139" t="s">
        <v>832</v>
      </c>
    </row>
    <row r="23" spans="8:8" ht="15.0" customHeight="1">
      <c r="A23" s="60" t="s">
        <v>127</v>
      </c>
      <c r="B23" s="60">
        <v>2.0</v>
      </c>
      <c r="C23" s="78">
        <v>2725500.0</v>
      </c>
      <c r="D23" s="78">
        <v>2775520.0</v>
      </c>
      <c r="E23" s="78">
        <v>-50020.0</v>
      </c>
      <c r="F23" s="153">
        <v>-0.0184</v>
      </c>
      <c r="G23" s="139" t="s">
        <v>829</v>
      </c>
    </row>
    <row r="24" spans="8:8" ht="15.0" customHeight="1">
      <c r="A24" s="60" t="s">
        <v>95</v>
      </c>
      <c r="B24" s="60">
        <v>11.0</v>
      </c>
      <c r="C24" s="78">
        <v>2449195.0</v>
      </c>
      <c r="D24" s="78">
        <v>2498835.0</v>
      </c>
      <c r="E24" s="78">
        <v>-49640.0</v>
      </c>
      <c r="F24" s="153">
        <v>-0.0203</v>
      </c>
      <c r="G24" s="139" t="s">
        <v>834</v>
      </c>
    </row>
    <row r="25" spans="8:8" ht="15.0" customHeight="1">
      <c r="A25" s="60" t="s">
        <v>85</v>
      </c>
      <c r="B25" s="60">
        <v>5.0</v>
      </c>
      <c r="C25" s="78">
        <v>1514065.0</v>
      </c>
      <c r="D25" s="78">
        <v>1244876.0</v>
      </c>
      <c r="E25" s="78">
        <v>269189.0</v>
      </c>
      <c r="F25" s="153">
        <v>0.1778</v>
      </c>
      <c r="G25" s="139" t="s">
        <v>831</v>
      </c>
    </row>
    <row r="26" spans="8:8" ht="15.0" customHeight="1">
      <c r="A26" s="60" t="s">
        <v>157</v>
      </c>
      <c r="B26" s="60">
        <v>5.0</v>
      </c>
      <c r="C26" s="78">
        <v>1318545.0</v>
      </c>
      <c r="D26" s="78">
        <v>1284665.0</v>
      </c>
      <c r="E26" s="78">
        <v>33880.0</v>
      </c>
      <c r="F26" s="153">
        <v>0.0257</v>
      </c>
      <c r="G26" s="139" t="s">
        <v>831</v>
      </c>
    </row>
    <row r="27" spans="8:8" ht="15.0" customHeight="1">
      <c r="A27" s="60" t="s">
        <v>334</v>
      </c>
      <c r="B27" s="60">
        <v>2.0</v>
      </c>
      <c r="C27" s="78">
        <v>1243900.0</v>
      </c>
      <c r="D27" s="78">
        <v>1056149.0</v>
      </c>
      <c r="E27" s="78">
        <v>187751.0</v>
      </c>
      <c r="F27" s="153">
        <v>0.1509</v>
      </c>
      <c r="G27" s="139" t="s">
        <v>829</v>
      </c>
    </row>
    <row r="28" spans="8:8" ht="15.0" customHeight="1">
      <c r="A28" s="60" t="s">
        <v>104</v>
      </c>
      <c r="B28" s="60">
        <v>15.0</v>
      </c>
      <c r="C28" s="78">
        <v>1221680.0</v>
      </c>
      <c r="D28" s="78">
        <v>1147581.0</v>
      </c>
      <c r="E28" s="78">
        <v>74099.0</v>
      </c>
      <c r="F28" s="153">
        <v>0.0607</v>
      </c>
      <c r="G28" s="139" t="s">
        <v>830</v>
      </c>
    </row>
    <row r="29" spans="8:8" ht="15.0" customHeight="1">
      <c r="A29" s="60" t="s">
        <v>15</v>
      </c>
      <c r="B29" s="60">
        <v>34.0</v>
      </c>
      <c r="C29" s="78">
        <v>1104095.0</v>
      </c>
      <c r="D29" s="78">
        <v>1040645.0</v>
      </c>
      <c r="E29" s="78">
        <v>63450.0</v>
      </c>
      <c r="F29" s="153">
        <v>0.0575</v>
      </c>
      <c r="G29" s="139" t="s">
        <v>835</v>
      </c>
    </row>
    <row r="30" spans="8:8" ht="15.0" customHeight="1">
      <c r="A30" s="60" t="s">
        <v>168</v>
      </c>
      <c r="B30" s="60">
        <v>2.0</v>
      </c>
      <c r="C30" s="78">
        <v>895800.0</v>
      </c>
      <c r="D30" s="78">
        <v>773071.0</v>
      </c>
      <c r="E30" s="78">
        <v>122729.0</v>
      </c>
      <c r="F30" s="153">
        <v>0.137</v>
      </c>
      <c r="G30" s="139" t="s">
        <v>829</v>
      </c>
    </row>
    <row r="31" spans="8:8" ht="15.0" customHeight="1">
      <c r="A31" s="60" t="s">
        <v>394</v>
      </c>
      <c r="B31" s="60">
        <v>3.0</v>
      </c>
      <c r="C31" s="78">
        <v>880000.0</v>
      </c>
      <c r="D31" s="78">
        <v>894085.0</v>
      </c>
      <c r="E31" s="78">
        <v>-14085.0</v>
      </c>
      <c r="F31" s="153">
        <v>-0.016</v>
      </c>
      <c r="G31" s="139" t="s">
        <v>826</v>
      </c>
    </row>
    <row r="32" spans="8:8" ht="15.0" customHeight="1">
      <c r="A32" s="60" t="s">
        <v>154</v>
      </c>
      <c r="B32" s="60">
        <v>7.0</v>
      </c>
      <c r="C32" s="78">
        <v>722835.0</v>
      </c>
      <c r="D32" s="78">
        <v>677954.0</v>
      </c>
      <c r="E32" s="78">
        <v>44881.0</v>
      </c>
      <c r="F32" s="153">
        <v>0.0621</v>
      </c>
      <c r="G32" s="139" t="s">
        <v>833</v>
      </c>
    </row>
    <row r="33" spans="8:8" ht="15.0" customHeight="1">
      <c r="A33" s="60" t="s">
        <v>125</v>
      </c>
      <c r="B33" s="60">
        <v>1.0</v>
      </c>
      <c r="C33" s="78">
        <v>612000.0</v>
      </c>
      <c r="D33" s="78">
        <v>624000.0</v>
      </c>
      <c r="E33" s="78">
        <v>-12000.0</v>
      </c>
      <c r="F33" s="153">
        <v>-0.0196</v>
      </c>
      <c r="G33" s="139" t="s">
        <v>832</v>
      </c>
    </row>
    <row r="34" spans="8:8" ht="15.0" customHeight="1">
      <c r="A34" s="60" t="s">
        <v>40</v>
      </c>
      <c r="B34" s="60">
        <v>6.0</v>
      </c>
      <c r="C34" s="78">
        <v>566700.0</v>
      </c>
      <c r="D34" s="78">
        <v>568834.0</v>
      </c>
      <c r="E34" s="78">
        <v>-2134.0</v>
      </c>
      <c r="F34" s="153">
        <v>-0.0038</v>
      </c>
      <c r="G34" s="139" t="s">
        <v>836</v>
      </c>
    </row>
    <row r="35" spans="8:8" ht="15.0" customHeight="1">
      <c r="A35" s="60" t="s">
        <v>122</v>
      </c>
      <c r="B35" s="60">
        <v>9.0</v>
      </c>
      <c r="C35" s="78">
        <v>502640.0</v>
      </c>
      <c r="D35" s="78">
        <v>469281.0</v>
      </c>
      <c r="E35" s="78">
        <v>33359.0</v>
      </c>
      <c r="F35" s="153">
        <v>0.0664</v>
      </c>
      <c r="G35" s="139" t="s">
        <v>837</v>
      </c>
    </row>
    <row r="36" spans="8:8" ht="15.0" customHeight="1">
      <c r="A36" s="60" t="s">
        <v>145</v>
      </c>
      <c r="B36" s="60">
        <v>2.0</v>
      </c>
      <c r="C36" s="78">
        <v>416075.0</v>
      </c>
      <c r="D36" s="78">
        <v>367644.0</v>
      </c>
      <c r="E36" s="78">
        <v>48431.0</v>
      </c>
      <c r="F36" s="153">
        <v>0.1164</v>
      </c>
      <c r="G36" s="139" t="s">
        <v>829</v>
      </c>
    </row>
    <row r="37" spans="8:8" ht="15.0" customHeight="1">
      <c r="A37" s="60" t="s">
        <v>212</v>
      </c>
      <c r="B37" s="60">
        <v>7.0</v>
      </c>
      <c r="C37" s="78">
        <v>392530.0</v>
      </c>
      <c r="D37" s="78">
        <v>365754.0</v>
      </c>
      <c r="E37" s="78">
        <v>26776.0</v>
      </c>
      <c r="F37" s="153">
        <v>0.0682</v>
      </c>
      <c r="G37" s="139" t="s">
        <v>833</v>
      </c>
    </row>
    <row r="38" spans="8:8" ht="15.0" customHeight="1">
      <c r="A38" s="60" t="s">
        <v>253</v>
      </c>
      <c r="B38" s="60">
        <v>2.0</v>
      </c>
      <c r="C38" s="78">
        <v>355335.0</v>
      </c>
      <c r="D38" s="78">
        <v>337765.0</v>
      </c>
      <c r="E38" s="78">
        <v>17570.0</v>
      </c>
      <c r="F38" s="153">
        <v>0.0494</v>
      </c>
      <c r="G38" s="139" t="s">
        <v>829</v>
      </c>
    </row>
    <row r="39" spans="8:8" ht="15.0" customHeight="1">
      <c r="A39" s="60" t="s">
        <v>163</v>
      </c>
      <c r="B39" s="60">
        <v>4.0</v>
      </c>
      <c r="C39" s="78">
        <v>326520.0</v>
      </c>
      <c r="D39" s="78">
        <v>308642.0</v>
      </c>
      <c r="E39" s="78">
        <v>17878.0</v>
      </c>
      <c r="F39" s="153">
        <v>0.0548</v>
      </c>
      <c r="G39" s="139" t="s">
        <v>827</v>
      </c>
    </row>
    <row r="40" spans="8:8" ht="15.0" customHeight="1">
      <c r="A40" s="60" t="s">
        <v>336</v>
      </c>
      <c r="B40" s="60">
        <v>4.0</v>
      </c>
      <c r="C40" s="78">
        <v>221540.0</v>
      </c>
      <c r="D40" s="78">
        <v>209198.0</v>
      </c>
      <c r="E40" s="78">
        <v>12342.0</v>
      </c>
      <c r="F40" s="153">
        <v>0.0557</v>
      </c>
      <c r="G40" s="139" t="s">
        <v>827</v>
      </c>
    </row>
    <row r="41" spans="8:8" ht="15.0" customHeight="1">
      <c r="A41" s="60" t="s">
        <v>81</v>
      </c>
      <c r="B41" s="60">
        <v>3.0</v>
      </c>
      <c r="C41" s="78">
        <v>218650.0</v>
      </c>
      <c r="D41" s="78">
        <v>207124.0</v>
      </c>
      <c r="E41" s="78">
        <v>11526.0</v>
      </c>
      <c r="F41" s="153">
        <v>0.0527</v>
      </c>
      <c r="G41" s="139" t="s">
        <v>826</v>
      </c>
    </row>
    <row r="42" spans="8:8" ht="15.0" customHeight="1">
      <c r="A42" s="60" t="s">
        <v>102</v>
      </c>
      <c r="B42" s="60">
        <v>11.0</v>
      </c>
      <c r="C42" s="78">
        <v>159900.0</v>
      </c>
      <c r="D42" s="78">
        <v>145925.0</v>
      </c>
      <c r="E42" s="78">
        <v>13975.0</v>
      </c>
      <c r="F42" s="153">
        <v>0.0874</v>
      </c>
      <c r="G42" s="139" t="s">
        <v>834</v>
      </c>
    </row>
    <row r="43" spans="8:8" ht="15.0" customHeight="1">
      <c r="A43" s="60" t="s">
        <v>341</v>
      </c>
      <c r="B43" s="60">
        <v>2.0</v>
      </c>
      <c r="C43" s="78">
        <v>112020.0</v>
      </c>
      <c r="D43" s="78">
        <v>103881.0</v>
      </c>
      <c r="E43" s="78">
        <v>8139.0</v>
      </c>
      <c r="F43" s="153">
        <v>0.0727</v>
      </c>
      <c r="G43" s="139" t="s">
        <v>829</v>
      </c>
    </row>
    <row r="44" spans="8:8" ht="15.0" customHeight="1">
      <c r="A44" s="60" t="s">
        <v>237</v>
      </c>
      <c r="B44" s="60">
        <v>1.0</v>
      </c>
      <c r="C44" s="78">
        <v>110040.0</v>
      </c>
      <c r="D44" s="78">
        <v>100282.0</v>
      </c>
      <c r="E44" s="78">
        <v>9758.0</v>
      </c>
      <c r="F44" s="153">
        <v>0.0887</v>
      </c>
      <c r="G44" s="139" t="s">
        <v>832</v>
      </c>
    </row>
    <row r="45" spans="8:8" ht="15.0" customHeight="1">
      <c r="A45" s="60" t="s">
        <v>458</v>
      </c>
      <c r="B45" s="60">
        <v>1.0</v>
      </c>
      <c r="C45" s="78">
        <v>74120.0</v>
      </c>
      <c r="D45" s="78">
        <v>70676.0</v>
      </c>
      <c r="E45" s="78">
        <v>3444.0</v>
      </c>
      <c r="F45" s="153">
        <v>0.0465</v>
      </c>
      <c r="G45" s="139" t="s">
        <v>832</v>
      </c>
    </row>
    <row r="46" spans="8:8" ht="15.0" customHeight="1">
      <c r="A46" s="60" t="s">
        <v>109</v>
      </c>
      <c r="B46" s="60">
        <v>4.0</v>
      </c>
      <c r="C46" s="78">
        <v>54275.0</v>
      </c>
      <c r="D46" s="78">
        <v>49868.0</v>
      </c>
      <c r="E46" s="78">
        <v>4407.0</v>
      </c>
      <c r="F46" s="153">
        <v>0.0812</v>
      </c>
      <c r="G46" s="139" t="s">
        <v>827</v>
      </c>
    </row>
    <row r="47" spans="8:8" ht="15.0" customHeight="1">
      <c r="A47" s="60" t="s">
        <v>219</v>
      </c>
      <c r="B47" s="60">
        <v>2.0</v>
      </c>
      <c r="C47" s="78">
        <v>18545.0</v>
      </c>
      <c r="D47" s="78">
        <v>17627.0</v>
      </c>
      <c r="E47" s="78">
        <v>918.0</v>
      </c>
      <c r="F47" s="153">
        <v>0.0495</v>
      </c>
      <c r="G47" s="139" t="s">
        <v>829</v>
      </c>
    </row>
    <row r="48" spans="8:8" ht="15.0" customHeight="1">
      <c r="A48" s="142" t="s">
        <v>838</v>
      </c>
      <c r="B48" s="60">
        <f>SUM(B5:B47)</f>
        <v>300.0</v>
      </c>
      <c r="C48" s="78">
        <f>SUM(C5:C47)</f>
        <v>1.8767479E8</v>
      </c>
      <c r="D48" s="78">
        <f>SUM(D5:D47)</f>
        <v>1.83957167E8</v>
      </c>
      <c r="E48" s="78">
        <f>SUM(E5:E47)</f>
        <v>3717623.0</v>
      </c>
      <c r="F48" s="153">
        <f>E48/C48</f>
        <v>0.0198088565864387</v>
      </c>
    </row>
    <row r="51" spans="8:8" ht="19.5" customHeight="1">
      <c r="A51" s="141" t="s">
        <v>839</v>
      </c>
    </row>
    <row r="52" spans="8:8" ht="25.5" customHeight="1">
      <c r="A52" s="106" t="s">
        <v>691</v>
      </c>
      <c r="B52" s="106" t="s">
        <v>686</v>
      </c>
      <c r="C52" s="106" t="s">
        <v>692</v>
      </c>
      <c r="D52" s="106" t="s">
        <v>840</v>
      </c>
      <c r="E52" s="106" t="s">
        <v>841</v>
      </c>
      <c r="F52" s="106" t="s">
        <v>702</v>
      </c>
      <c r="G52" s="106" t="s">
        <v>822</v>
      </c>
      <c r="H52" s="106" t="s">
        <v>842</v>
      </c>
    </row>
    <row r="53" spans="8:8" ht="15.0" customHeight="1">
      <c r="A53" s="155" t="s">
        <v>75</v>
      </c>
      <c r="B53" s="155" t="s">
        <v>753</v>
      </c>
      <c r="C53" s="155" t="s">
        <v>76</v>
      </c>
      <c r="D53" s="156">
        <v>428160.0</v>
      </c>
      <c r="E53" s="156">
        <v>414360.0</v>
      </c>
      <c r="F53" s="156">
        <v>13800.0</v>
      </c>
      <c r="G53" s="157">
        <v>0.03</v>
      </c>
      <c r="H53" s="155" t="s">
        <v>843</v>
      </c>
    </row>
    <row r="54" spans="8:8" ht="15.0" customHeight="1">
      <c r="A54" s="155" t="s">
        <v>75</v>
      </c>
      <c r="B54" s="155" t="s">
        <v>753</v>
      </c>
      <c r="C54" s="155" t="s">
        <v>84</v>
      </c>
      <c r="D54" s="156">
        <v>7500.0</v>
      </c>
      <c r="E54" s="156">
        <v>7500.0</v>
      </c>
      <c r="F54" s="156">
        <v>0.0</v>
      </c>
      <c r="G54" s="157">
        <v>0.0</v>
      </c>
      <c r="H54" s="155" t="s">
        <v>843</v>
      </c>
    </row>
    <row r="55" spans="8:8" ht="15.0" customHeight="1">
      <c r="A55" s="155" t="s">
        <v>75</v>
      </c>
      <c r="B55" s="155" t="s">
        <v>761</v>
      </c>
      <c r="C55" s="155" t="s">
        <v>206</v>
      </c>
      <c r="D55" s="156">
        <v>308000.0</v>
      </c>
      <c r="E55" s="156">
        <v>283939.0</v>
      </c>
      <c r="F55" s="156">
        <v>24061.0</v>
      </c>
      <c r="G55" s="157">
        <v>0.08</v>
      </c>
      <c r="H55" s="155" t="s">
        <v>843</v>
      </c>
    </row>
    <row r="56" spans="8:8" ht="15.0" customHeight="1">
      <c r="A56" s="155" t="s">
        <v>75</v>
      </c>
      <c r="B56" s="155" t="s">
        <v>764</v>
      </c>
      <c r="C56" s="155" t="s">
        <v>240</v>
      </c>
      <c r="D56" s="156">
        <v>3865320.0</v>
      </c>
      <c r="E56" s="156">
        <v>3589564.0</v>
      </c>
      <c r="F56" s="156">
        <v>275756.0</v>
      </c>
      <c r="G56" s="157">
        <v>0.07</v>
      </c>
      <c r="H56" s="155" t="s">
        <v>843</v>
      </c>
    </row>
    <row r="57" spans="8:8" ht="15.0" customHeight="1">
      <c r="A57" s="155" t="s">
        <v>75</v>
      </c>
      <c r="B57" s="155" t="s">
        <v>770</v>
      </c>
      <c r="C57" s="155" t="s">
        <v>392</v>
      </c>
      <c r="D57" s="156">
        <v>200000.0</v>
      </c>
      <c r="E57" s="156">
        <v>208000.0</v>
      </c>
      <c r="F57" s="156">
        <v>-8000.0</v>
      </c>
      <c r="G57" s="157">
        <v>-0.04</v>
      </c>
      <c r="H57" s="155" t="s">
        <v>844</v>
      </c>
    </row>
    <row r="58" spans="8:8" ht="15.0" customHeight="1">
      <c r="A58" s="155" t="s">
        <v>75</v>
      </c>
      <c r="B58" s="155" t="s">
        <v>770</v>
      </c>
      <c r="C58" s="155" t="s">
        <v>403</v>
      </c>
      <c r="D58" s="156">
        <v>552000.0</v>
      </c>
      <c r="E58" s="156">
        <v>519405.0</v>
      </c>
      <c r="F58" s="156">
        <v>32595.0</v>
      </c>
      <c r="G58" s="157">
        <v>0.06</v>
      </c>
      <c r="H58" s="155" t="s">
        <v>844</v>
      </c>
    </row>
    <row r="59" spans="8:8" ht="15.0" customHeight="1">
      <c r="A59" s="155" t="s">
        <v>75</v>
      </c>
      <c r="B59" s="155" t="s">
        <v>772</v>
      </c>
      <c r="C59" s="155" t="s">
        <v>433</v>
      </c>
      <c r="D59" s="156">
        <v>18670.0</v>
      </c>
      <c r="E59" s="156">
        <v>17313.0</v>
      </c>
      <c r="F59" s="156">
        <v>1357.0</v>
      </c>
      <c r="G59" s="157">
        <v>0.07</v>
      </c>
      <c r="H59" s="155" t="s">
        <v>844</v>
      </c>
    </row>
    <row r="60" spans="8:8" ht="15.0" customHeight="1">
      <c r="A60" s="155" t="s">
        <v>75</v>
      </c>
      <c r="B60" s="155" t="s">
        <v>772</v>
      </c>
      <c r="C60" s="155" t="s">
        <v>438</v>
      </c>
      <c r="D60" s="156">
        <v>20470.0</v>
      </c>
      <c r="E60" s="156">
        <v>18828.0</v>
      </c>
      <c r="F60" s="156">
        <v>1642.0</v>
      </c>
      <c r="G60" s="157">
        <v>0.08</v>
      </c>
      <c r="H60" s="155" t="s">
        <v>844</v>
      </c>
    </row>
    <row r="61" spans="8:8" ht="15.0" customHeight="1">
      <c r="A61" s="155" t="s">
        <v>75</v>
      </c>
      <c r="B61" s="155" t="s">
        <v>772</v>
      </c>
      <c r="C61" s="155" t="s">
        <v>440</v>
      </c>
      <c r="D61" s="156">
        <v>560100.0</v>
      </c>
      <c r="E61" s="156">
        <v>519405.0</v>
      </c>
      <c r="F61" s="156">
        <v>40695.0</v>
      </c>
      <c r="G61" s="157">
        <v>0.07</v>
      </c>
      <c r="H61" s="155" t="s">
        <v>844</v>
      </c>
    </row>
    <row r="62" spans="8:8" ht="15.0" customHeight="1">
      <c r="A62" s="155" t="s">
        <v>75</v>
      </c>
      <c r="B62" s="155" t="s">
        <v>772</v>
      </c>
      <c r="C62" s="155" t="s">
        <v>442</v>
      </c>
      <c r="D62" s="156">
        <v>18000.0</v>
      </c>
      <c r="E62" s="156">
        <v>15145.0</v>
      </c>
      <c r="F62" s="156">
        <v>2855.0</v>
      </c>
      <c r="G62" s="157">
        <v>0.16</v>
      </c>
      <c r="H62" s="155" t="s">
        <v>844</v>
      </c>
    </row>
    <row r="63" spans="8:8" ht="15.0" customHeight="1">
      <c r="A63" s="155" t="s">
        <v>75</v>
      </c>
      <c r="B63" s="155" t="s">
        <v>773</v>
      </c>
      <c r="C63" s="155" t="s">
        <v>454</v>
      </c>
      <c r="D63" s="156">
        <v>9335.0</v>
      </c>
      <c r="E63" s="156">
        <v>8657.0</v>
      </c>
      <c r="F63" s="156">
        <v>678.0</v>
      </c>
      <c r="G63" s="157">
        <v>0.07</v>
      </c>
      <c r="H63" s="155" t="s">
        <v>844</v>
      </c>
    </row>
    <row r="64" spans="8:8" ht="15.0" customHeight="1">
      <c r="A64" s="155" t="s">
        <v>75</v>
      </c>
      <c r="B64" s="155" t="s">
        <v>773</v>
      </c>
      <c r="C64" s="155" t="s">
        <v>456</v>
      </c>
      <c r="D64" s="156">
        <v>31800.0</v>
      </c>
      <c r="E64" s="156">
        <v>30515.0</v>
      </c>
      <c r="F64" s="156">
        <v>1285.0</v>
      </c>
      <c r="G64" s="157">
        <v>0.04</v>
      </c>
      <c r="H64" s="155" t="s">
        <v>844</v>
      </c>
    </row>
    <row r="65" spans="8:8" ht="15.0" customHeight="1">
      <c r="A65" s="155" t="s">
        <v>75</v>
      </c>
      <c r="B65" s="155" t="s">
        <v>774</v>
      </c>
      <c r="C65" s="155" t="s">
        <v>489</v>
      </c>
      <c r="D65" s="156">
        <v>44540.0</v>
      </c>
      <c r="E65" s="156">
        <v>40704.0</v>
      </c>
      <c r="F65" s="156">
        <v>3836.0</v>
      </c>
      <c r="G65" s="157">
        <v>0.09</v>
      </c>
      <c r="H65" s="155" t="s">
        <v>844</v>
      </c>
    </row>
    <row r="66" spans="8:8" ht="15.0" customHeight="1">
      <c r="A66" s="155" t="s">
        <v>75</v>
      </c>
      <c r="B66" s="155" t="s">
        <v>775</v>
      </c>
      <c r="C66" s="155" t="s">
        <v>505</v>
      </c>
      <c r="D66" s="156">
        <v>1080230.0</v>
      </c>
      <c r="E66" s="156">
        <v>980034.0</v>
      </c>
      <c r="F66" s="156">
        <v>100196.0</v>
      </c>
      <c r="G66" s="157">
        <v>0.09</v>
      </c>
      <c r="H66" s="155" t="s">
        <v>844</v>
      </c>
    </row>
    <row r="67" spans="8:8" ht="15.0" customHeight="1">
      <c r="A67" s="155" t="s">
        <v>75</v>
      </c>
      <c r="B67" s="155" t="s">
        <v>776</v>
      </c>
      <c r="C67" s="155" t="s">
        <v>518</v>
      </c>
      <c r="D67" s="156">
        <v>218480.0</v>
      </c>
      <c r="E67" s="156">
        <v>198242.0</v>
      </c>
      <c r="F67" s="156">
        <v>20238.0</v>
      </c>
      <c r="G67" s="157">
        <v>0.09</v>
      </c>
      <c r="H67" s="155" t="s">
        <v>844</v>
      </c>
    </row>
    <row r="68" spans="8:8" ht="15.0" customHeight="1">
      <c r="A68" s="60" t="s">
        <v>106</v>
      </c>
      <c r="B68" s="60" t="s">
        <v>756</v>
      </c>
      <c r="C68" s="60" t="s">
        <v>107</v>
      </c>
      <c r="D68" s="78">
        <v>2647500.0</v>
      </c>
      <c r="E68" s="78">
        <v>2715050.0</v>
      </c>
      <c r="F68" s="78">
        <v>-67550.0</v>
      </c>
      <c r="G68" s="153">
        <v>-0.03</v>
      </c>
      <c r="H68" s="60" t="s">
        <v>843</v>
      </c>
    </row>
    <row r="69" spans="8:8" ht="15.0" customHeight="1">
      <c r="A69" s="60" t="s">
        <v>106</v>
      </c>
      <c r="B69" s="60" t="s">
        <v>756</v>
      </c>
      <c r="C69" s="60" t="s">
        <v>115</v>
      </c>
      <c r="D69" s="78">
        <v>495000.0</v>
      </c>
      <c r="E69" s="78">
        <v>520000.0</v>
      </c>
      <c r="F69" s="78">
        <v>-25000.0</v>
      </c>
      <c r="G69" s="153">
        <v>-0.05</v>
      </c>
      <c r="H69" s="60" t="s">
        <v>843</v>
      </c>
    </row>
    <row r="70" spans="8:8" ht="15.0" customHeight="1">
      <c r="A70" s="60" t="s">
        <v>106</v>
      </c>
      <c r="B70" s="60" t="s">
        <v>761</v>
      </c>
      <c r="C70" s="60" t="s">
        <v>202</v>
      </c>
      <c r="D70" s="78">
        <v>500000.0</v>
      </c>
      <c r="E70" s="78">
        <v>520000.0</v>
      </c>
      <c r="F70" s="78">
        <v>-20000.0</v>
      </c>
      <c r="G70" s="153">
        <v>-0.04</v>
      </c>
      <c r="H70" s="60" t="s">
        <v>843</v>
      </c>
    </row>
    <row r="71" spans="8:8" ht="15.0" customHeight="1">
      <c r="A71" s="60" t="s">
        <v>66</v>
      </c>
      <c r="B71" s="60" t="s">
        <v>753</v>
      </c>
      <c r="C71" s="60" t="s">
        <v>67</v>
      </c>
      <c r="D71" s="78">
        <v>8796760.0</v>
      </c>
      <c r="E71" s="78">
        <v>8663386.0</v>
      </c>
      <c r="F71" s="78">
        <v>133374.0</v>
      </c>
      <c r="G71" s="153">
        <v>0.02</v>
      </c>
      <c r="H71" s="60" t="s">
        <v>843</v>
      </c>
    </row>
    <row r="72" spans="8:8" ht="15.0" customHeight="1">
      <c r="A72" s="60" t="s">
        <v>66</v>
      </c>
      <c r="B72" s="60" t="s">
        <v>767</v>
      </c>
      <c r="C72" s="60" t="s">
        <v>304</v>
      </c>
      <c r="D72" s="78">
        <v>5551300.0</v>
      </c>
      <c r="E72" s="78">
        <v>5216327.0</v>
      </c>
      <c r="F72" s="78">
        <v>334973.0</v>
      </c>
      <c r="G72" s="153">
        <v>0.06</v>
      </c>
      <c r="H72" s="60" t="s">
        <v>844</v>
      </c>
    </row>
    <row r="73" spans="8:8" ht="15.0" customHeight="1">
      <c r="A73" s="60" t="s">
        <v>66</v>
      </c>
      <c r="B73" s="60" t="s">
        <v>772</v>
      </c>
      <c r="C73" s="60" t="s">
        <v>422</v>
      </c>
      <c r="D73" s="78">
        <v>4463200.0</v>
      </c>
      <c r="E73" s="78">
        <v>4365251.0</v>
      </c>
      <c r="F73" s="78">
        <v>97949.0</v>
      </c>
      <c r="G73" s="153">
        <v>0.02</v>
      </c>
      <c r="H73" s="60" t="s">
        <v>844</v>
      </c>
    </row>
    <row r="74" spans="8:8" ht="15.0" customHeight="1">
      <c r="A74" s="60" t="s">
        <v>157</v>
      </c>
      <c r="B74" s="60" t="s">
        <v>758</v>
      </c>
      <c r="C74" s="60" t="s">
        <v>158</v>
      </c>
      <c r="D74" s="78">
        <v>230200.0</v>
      </c>
      <c r="E74" s="78">
        <v>232850.0</v>
      </c>
      <c r="F74" s="78">
        <v>-2650.0</v>
      </c>
      <c r="G74" s="153">
        <v>-0.01</v>
      </c>
      <c r="H74" s="60" t="s">
        <v>843</v>
      </c>
    </row>
    <row r="75" spans="8:8" ht="15.0" customHeight="1">
      <c r="A75" s="60" t="s">
        <v>157</v>
      </c>
      <c r="B75" s="60" t="s">
        <v>758</v>
      </c>
      <c r="C75" s="60" t="s">
        <v>172</v>
      </c>
      <c r="D75" s="78">
        <v>50000.0</v>
      </c>
      <c r="E75" s="78">
        <v>52000.0</v>
      </c>
      <c r="F75" s="78">
        <v>-2000.0</v>
      </c>
      <c r="G75" s="153">
        <v>-0.04</v>
      </c>
      <c r="H75" s="60" t="s">
        <v>843</v>
      </c>
    </row>
    <row r="76" spans="8:8" ht="15.0" customHeight="1">
      <c r="A76" s="60" t="s">
        <v>157</v>
      </c>
      <c r="B76" s="60" t="s">
        <v>759</v>
      </c>
      <c r="C76" s="60" t="s">
        <v>179</v>
      </c>
      <c r="D76" s="78">
        <v>141255.0</v>
      </c>
      <c r="E76" s="78">
        <v>132730.0</v>
      </c>
      <c r="F76" s="78">
        <v>8525.0</v>
      </c>
      <c r="G76" s="153">
        <v>0.06</v>
      </c>
      <c r="H76" s="60" t="s">
        <v>843</v>
      </c>
    </row>
    <row r="77" spans="8:8" ht="15.0" customHeight="1">
      <c r="A77" s="60" t="s">
        <v>157</v>
      </c>
      <c r="B77" s="60" t="s">
        <v>763</v>
      </c>
      <c r="C77" s="60" t="s">
        <v>239</v>
      </c>
      <c r="D77" s="78">
        <v>447500.0</v>
      </c>
      <c r="E77" s="78">
        <v>453125.0</v>
      </c>
      <c r="F77" s="78">
        <v>-5625.0</v>
      </c>
      <c r="G77" s="153">
        <v>-0.01</v>
      </c>
      <c r="H77" s="60" t="s">
        <v>843</v>
      </c>
    </row>
    <row r="78" spans="8:8" ht="15.0" customHeight="1">
      <c r="A78" s="60" t="s">
        <v>157</v>
      </c>
      <c r="B78" s="60" t="s">
        <v>771</v>
      </c>
      <c r="C78" s="60" t="s">
        <v>416</v>
      </c>
      <c r="D78" s="78">
        <v>449590.0</v>
      </c>
      <c r="E78" s="78">
        <v>413960.0</v>
      </c>
      <c r="F78" s="78">
        <v>35630.0</v>
      </c>
      <c r="G78" s="153">
        <v>0.08</v>
      </c>
      <c r="H78" s="60" t="s">
        <v>844</v>
      </c>
    </row>
    <row r="79" spans="8:8" ht="15.0" customHeight="1">
      <c r="A79" s="60" t="s">
        <v>326</v>
      </c>
      <c r="B79" s="60" t="s">
        <v>767</v>
      </c>
      <c r="C79" s="60" t="s">
        <v>327</v>
      </c>
      <c r="D79" s="78">
        <v>5201650.0</v>
      </c>
      <c r="E79" s="78">
        <v>4840911.0</v>
      </c>
      <c r="F79" s="78">
        <v>360739.0</v>
      </c>
      <c r="G79" s="153">
        <v>0.07</v>
      </c>
      <c r="H79" s="60" t="s">
        <v>844</v>
      </c>
    </row>
    <row r="80" spans="8:8" ht="15.0" customHeight="1">
      <c r="A80" s="60" t="s">
        <v>145</v>
      </c>
      <c r="B80" s="60" t="s">
        <v>758</v>
      </c>
      <c r="C80" s="60" t="s">
        <v>146</v>
      </c>
      <c r="D80" s="78">
        <v>339400.0</v>
      </c>
      <c r="E80" s="78">
        <v>303486.0</v>
      </c>
      <c r="F80" s="78">
        <v>35914.0</v>
      </c>
      <c r="G80" s="153">
        <v>0.11</v>
      </c>
      <c r="H80" s="60" t="s">
        <v>843</v>
      </c>
    </row>
    <row r="81" spans="8:8" ht="15.0" customHeight="1">
      <c r="A81" s="60" t="s">
        <v>145</v>
      </c>
      <c r="B81" s="60" t="s">
        <v>774</v>
      </c>
      <c r="C81" s="60" t="s">
        <v>485</v>
      </c>
      <c r="D81" s="78">
        <v>76675.0</v>
      </c>
      <c r="E81" s="78">
        <v>64158.0</v>
      </c>
      <c r="F81" s="78">
        <v>12517.0</v>
      </c>
      <c r="G81" s="153">
        <v>0.16</v>
      </c>
      <c r="H81" s="60" t="s">
        <v>844</v>
      </c>
    </row>
    <row r="82" spans="8:8" ht="15.0" customHeight="1">
      <c r="A82" s="155" t="s">
        <v>29</v>
      </c>
      <c r="B82" s="155" t="s">
        <v>752</v>
      </c>
      <c r="C82" s="155" t="s">
        <v>30</v>
      </c>
      <c r="D82" s="156">
        <v>821130.0</v>
      </c>
      <c r="E82" s="156">
        <v>811313.0</v>
      </c>
      <c r="F82" s="156">
        <v>9817.0</v>
      </c>
      <c r="G82" s="157">
        <v>0.01</v>
      </c>
      <c r="H82" s="155" t="s">
        <v>843</v>
      </c>
    </row>
    <row r="83" spans="8:8" ht="15.0" customHeight="1">
      <c r="A83" s="155" t="s">
        <v>29</v>
      </c>
      <c r="B83" s="155" t="s">
        <v>752</v>
      </c>
      <c r="C83" s="155" t="s">
        <v>39</v>
      </c>
      <c r="D83" s="156">
        <v>256500.0</v>
      </c>
      <c r="E83" s="156">
        <v>256500.0</v>
      </c>
      <c r="F83" s="156">
        <v>0.0</v>
      </c>
      <c r="G83" s="157">
        <v>0.0</v>
      </c>
      <c r="H83" s="155" t="s">
        <v>843</v>
      </c>
    </row>
    <row r="84" spans="8:8" ht="15.0" customHeight="1">
      <c r="A84" s="155" t="s">
        <v>29</v>
      </c>
      <c r="B84" s="155" t="s">
        <v>752</v>
      </c>
      <c r="C84" s="155" t="s">
        <v>42</v>
      </c>
      <c r="D84" s="156">
        <v>62070.0</v>
      </c>
      <c r="E84" s="156">
        <v>59758.0</v>
      </c>
      <c r="F84" s="156">
        <v>2312.0</v>
      </c>
      <c r="G84" s="157">
        <v>0.04</v>
      </c>
      <c r="H84" s="155" t="s">
        <v>843</v>
      </c>
    </row>
    <row r="85" spans="8:8" ht="15.0" customHeight="1">
      <c r="A85" s="155" t="s">
        <v>29</v>
      </c>
      <c r="B85" s="155" t="s">
        <v>752</v>
      </c>
      <c r="C85" s="155" t="s">
        <v>47</v>
      </c>
      <c r="D85" s="156">
        <v>11100.0</v>
      </c>
      <c r="E85" s="156">
        <v>8109.0</v>
      </c>
      <c r="F85" s="156">
        <v>2991.0</v>
      </c>
      <c r="G85" s="157">
        <v>0.27</v>
      </c>
      <c r="H85" s="155" t="s">
        <v>843</v>
      </c>
    </row>
    <row r="86" spans="8:8" ht="15.0" customHeight="1">
      <c r="A86" s="155" t="s">
        <v>29</v>
      </c>
      <c r="B86" s="155" t="s">
        <v>752</v>
      </c>
      <c r="C86" s="155" t="s">
        <v>52</v>
      </c>
      <c r="D86" s="156">
        <v>56940.0</v>
      </c>
      <c r="E86" s="156">
        <v>55795.0</v>
      </c>
      <c r="F86" s="156">
        <v>1145.0</v>
      </c>
      <c r="G86" s="157">
        <v>0.02</v>
      </c>
      <c r="H86" s="155" t="s">
        <v>843</v>
      </c>
    </row>
    <row r="87" spans="8:8" ht="15.0" customHeight="1">
      <c r="A87" s="155" t="s">
        <v>29</v>
      </c>
      <c r="B87" s="155" t="s">
        <v>752</v>
      </c>
      <c r="C87" s="155" t="s">
        <v>54</v>
      </c>
      <c r="D87" s="156">
        <v>8880.0</v>
      </c>
      <c r="E87" s="156">
        <v>8525.0</v>
      </c>
      <c r="F87" s="156">
        <v>355.0</v>
      </c>
      <c r="G87" s="157">
        <v>0.04</v>
      </c>
      <c r="H87" s="155" t="s">
        <v>843</v>
      </c>
    </row>
    <row r="88" spans="8:8" ht="15.0" customHeight="1">
      <c r="A88" s="155" t="s">
        <v>29</v>
      </c>
      <c r="B88" s="155" t="s">
        <v>753</v>
      </c>
      <c r="C88" s="155" t="s">
        <v>68</v>
      </c>
      <c r="D88" s="156">
        <v>491680.0</v>
      </c>
      <c r="E88" s="156">
        <v>475441.0</v>
      </c>
      <c r="F88" s="156">
        <v>16239.0</v>
      </c>
      <c r="G88" s="157">
        <v>0.03</v>
      </c>
      <c r="H88" s="155" t="s">
        <v>843</v>
      </c>
    </row>
    <row r="89" spans="8:8" ht="15.0" customHeight="1">
      <c r="A89" s="155" t="s">
        <v>29</v>
      </c>
      <c r="B89" s="155" t="s">
        <v>753</v>
      </c>
      <c r="C89" s="155" t="s">
        <v>73</v>
      </c>
      <c r="D89" s="156">
        <v>20655.0</v>
      </c>
      <c r="E89" s="156">
        <v>19305.0</v>
      </c>
      <c r="F89" s="156">
        <v>1350.0</v>
      </c>
      <c r="G89" s="157">
        <v>0.07</v>
      </c>
      <c r="H89" s="155" t="s">
        <v>843</v>
      </c>
    </row>
    <row r="90" spans="8:8" ht="15.0" customHeight="1">
      <c r="A90" s="155" t="s">
        <v>29</v>
      </c>
      <c r="B90" s="155" t="s">
        <v>756</v>
      </c>
      <c r="C90" s="155" t="s">
        <v>112</v>
      </c>
      <c r="D90" s="156">
        <v>358030.0</v>
      </c>
      <c r="E90" s="156">
        <v>348817.0</v>
      </c>
      <c r="F90" s="156">
        <v>9213.0</v>
      </c>
      <c r="G90" s="157">
        <v>0.03</v>
      </c>
      <c r="H90" s="155" t="s">
        <v>843</v>
      </c>
    </row>
    <row r="91" spans="8:8" ht="15.0" customHeight="1">
      <c r="A91" s="155" t="s">
        <v>29</v>
      </c>
      <c r="B91" s="155" t="s">
        <v>757</v>
      </c>
      <c r="C91" s="155" t="s">
        <v>136</v>
      </c>
      <c r="D91" s="156">
        <v>756425.0</v>
      </c>
      <c r="E91" s="156">
        <v>750305.0</v>
      </c>
      <c r="F91" s="156">
        <v>6120.0</v>
      </c>
      <c r="G91" s="157">
        <v>0.01</v>
      </c>
      <c r="H91" s="155" t="s">
        <v>843</v>
      </c>
    </row>
    <row r="92" spans="8:8" ht="15.0" customHeight="1">
      <c r="A92" s="155" t="s">
        <v>29</v>
      </c>
      <c r="B92" s="155" t="s">
        <v>757</v>
      </c>
      <c r="C92" s="155" t="s">
        <v>142</v>
      </c>
      <c r="D92" s="156">
        <v>17760.0</v>
      </c>
      <c r="E92" s="156">
        <v>17050.0</v>
      </c>
      <c r="F92" s="156">
        <v>710.0</v>
      </c>
      <c r="G92" s="157">
        <v>0.04</v>
      </c>
      <c r="H92" s="155" t="s">
        <v>843</v>
      </c>
    </row>
    <row r="93" spans="8:8" ht="15.0" customHeight="1">
      <c r="A93" s="155" t="s">
        <v>29</v>
      </c>
      <c r="B93" s="155" t="s">
        <v>758</v>
      </c>
      <c r="C93" s="155" t="s">
        <v>149</v>
      </c>
      <c r="D93" s="156">
        <v>84365.0</v>
      </c>
      <c r="E93" s="156">
        <v>79360.0</v>
      </c>
      <c r="F93" s="156">
        <v>5005.0</v>
      </c>
      <c r="G93" s="157">
        <v>0.06</v>
      </c>
      <c r="H93" s="155" t="s">
        <v>843</v>
      </c>
    </row>
    <row r="94" spans="8:8" ht="15.0" customHeight="1">
      <c r="A94" s="155" t="s">
        <v>29</v>
      </c>
      <c r="B94" s="155" t="s">
        <v>758</v>
      </c>
      <c r="C94" s="155" t="s">
        <v>151</v>
      </c>
      <c r="D94" s="156">
        <v>745625.0</v>
      </c>
      <c r="E94" s="156">
        <v>723181.0</v>
      </c>
      <c r="F94" s="156">
        <v>22444.0</v>
      </c>
      <c r="G94" s="157">
        <v>0.03</v>
      </c>
      <c r="H94" s="155" t="s">
        <v>843</v>
      </c>
    </row>
    <row r="95" spans="8:8" ht="15.0" customHeight="1">
      <c r="A95" s="155" t="s">
        <v>29</v>
      </c>
      <c r="B95" s="155" t="s">
        <v>759</v>
      </c>
      <c r="C95" s="155" t="s">
        <v>176</v>
      </c>
      <c r="D95" s="156">
        <v>216950.0</v>
      </c>
      <c r="E95" s="156">
        <v>215950.0</v>
      </c>
      <c r="F95" s="156">
        <v>1000.0</v>
      </c>
      <c r="G95" s="157">
        <v>0.0</v>
      </c>
      <c r="H95" s="155" t="s">
        <v>843</v>
      </c>
    </row>
    <row r="96" spans="8:8" ht="15.0" customHeight="1">
      <c r="A96" s="155" t="s">
        <v>29</v>
      </c>
      <c r="B96" s="155" t="s">
        <v>759</v>
      </c>
      <c r="C96" s="155" t="s">
        <v>185</v>
      </c>
      <c r="D96" s="156">
        <v>411800.0</v>
      </c>
      <c r="E96" s="156">
        <v>383481.0</v>
      </c>
      <c r="F96" s="156">
        <v>28319.0</v>
      </c>
      <c r="G96" s="157">
        <v>0.07</v>
      </c>
      <c r="H96" s="155" t="s">
        <v>843</v>
      </c>
    </row>
    <row r="97" spans="8:8" ht="15.0" customHeight="1">
      <c r="A97" s="155" t="s">
        <v>29</v>
      </c>
      <c r="B97" s="155" t="s">
        <v>759</v>
      </c>
      <c r="C97" s="155" t="s">
        <v>186</v>
      </c>
      <c r="D97" s="156">
        <v>76675.0</v>
      </c>
      <c r="E97" s="156">
        <v>64423.0</v>
      </c>
      <c r="F97" s="156">
        <v>12252.0</v>
      </c>
      <c r="G97" s="157">
        <v>0.16</v>
      </c>
      <c r="H97" s="155" t="s">
        <v>843</v>
      </c>
    </row>
    <row r="98" spans="8:8" ht="15.0" customHeight="1">
      <c r="A98" s="155" t="s">
        <v>29</v>
      </c>
      <c r="B98" s="155" t="s">
        <v>759</v>
      </c>
      <c r="C98" s="155" t="s">
        <v>187</v>
      </c>
      <c r="D98" s="156">
        <v>101635.0</v>
      </c>
      <c r="E98" s="156">
        <v>94995.0</v>
      </c>
      <c r="F98" s="156">
        <v>6640.0</v>
      </c>
      <c r="G98" s="157">
        <v>0.07</v>
      </c>
      <c r="H98" s="155" t="s">
        <v>843</v>
      </c>
    </row>
    <row r="99" spans="8:8" ht="15.0" customHeight="1">
      <c r="A99" s="155" t="s">
        <v>29</v>
      </c>
      <c r="B99" s="155" t="s">
        <v>760</v>
      </c>
      <c r="C99" s="155" t="s">
        <v>192</v>
      </c>
      <c r="D99" s="156">
        <v>115415.0</v>
      </c>
      <c r="E99" s="156">
        <v>108409.0</v>
      </c>
      <c r="F99" s="156">
        <v>7006.0</v>
      </c>
      <c r="G99" s="157">
        <v>0.06</v>
      </c>
      <c r="H99" s="155" t="s">
        <v>843</v>
      </c>
    </row>
    <row r="100" spans="8:8" ht="15.0" customHeight="1">
      <c r="A100" s="155" t="s">
        <v>29</v>
      </c>
      <c r="B100" s="155" t="s">
        <v>761</v>
      </c>
      <c r="C100" s="155" t="s">
        <v>204</v>
      </c>
      <c r="D100" s="156">
        <v>438990.0</v>
      </c>
      <c r="E100" s="156">
        <v>407274.0</v>
      </c>
      <c r="F100" s="156">
        <v>31716.0</v>
      </c>
      <c r="G100" s="157">
        <v>0.07</v>
      </c>
      <c r="H100" s="155" t="s">
        <v>843</v>
      </c>
    </row>
    <row r="101" spans="8:8" ht="15.0" customHeight="1">
      <c r="A101" s="155" t="s">
        <v>29</v>
      </c>
      <c r="B101" s="155" t="s">
        <v>762</v>
      </c>
      <c r="C101" s="155" t="s">
        <v>214</v>
      </c>
      <c r="D101" s="156">
        <v>707845.0</v>
      </c>
      <c r="E101" s="156">
        <v>661238.0</v>
      </c>
      <c r="F101" s="156">
        <v>46607.0</v>
      </c>
      <c r="G101" s="157">
        <v>0.07</v>
      </c>
      <c r="H101" s="155" t="s">
        <v>843</v>
      </c>
    </row>
    <row r="102" spans="8:8" ht="15.0" customHeight="1">
      <c r="A102" s="155" t="s">
        <v>29</v>
      </c>
      <c r="B102" s="155" t="s">
        <v>762</v>
      </c>
      <c r="C102" s="155" t="s">
        <v>215</v>
      </c>
      <c r="D102" s="156">
        <v>11145.0</v>
      </c>
      <c r="E102" s="156">
        <v>10473.0</v>
      </c>
      <c r="F102" s="156">
        <v>672.0</v>
      </c>
      <c r="G102" s="157">
        <v>0.06</v>
      </c>
      <c r="H102" s="155" t="s">
        <v>843</v>
      </c>
    </row>
    <row r="103" spans="8:8" ht="15.0" customHeight="1">
      <c r="A103" s="155" t="s">
        <v>29</v>
      </c>
      <c r="B103" s="155" t="s">
        <v>763</v>
      </c>
      <c r="C103" s="155" t="s">
        <v>223</v>
      </c>
      <c r="D103" s="156">
        <v>407415.0</v>
      </c>
      <c r="E103" s="156">
        <v>402447.0</v>
      </c>
      <c r="F103" s="156">
        <v>4968.0</v>
      </c>
      <c r="G103" s="157">
        <v>0.01</v>
      </c>
      <c r="H103" s="155" t="s">
        <v>843</v>
      </c>
    </row>
    <row r="104" spans="8:8" ht="15.0" customHeight="1">
      <c r="A104" s="155" t="s">
        <v>29</v>
      </c>
      <c r="B104" s="155" t="s">
        <v>763</v>
      </c>
      <c r="C104" s="155" t="s">
        <v>225</v>
      </c>
      <c r="D104" s="156">
        <v>394075.0</v>
      </c>
      <c r="E104" s="156">
        <v>373874.0</v>
      </c>
      <c r="F104" s="156">
        <v>20201.0</v>
      </c>
      <c r="G104" s="157">
        <v>0.05</v>
      </c>
      <c r="H104" s="155" t="s">
        <v>843</v>
      </c>
    </row>
    <row r="105" spans="8:8" ht="15.0" customHeight="1">
      <c r="A105" s="155" t="s">
        <v>29</v>
      </c>
      <c r="B105" s="155" t="s">
        <v>763</v>
      </c>
      <c r="C105" s="155" t="s">
        <v>236</v>
      </c>
      <c r="D105" s="156">
        <v>439950.0</v>
      </c>
      <c r="E105" s="156">
        <v>419212.0</v>
      </c>
      <c r="F105" s="156">
        <v>20738.0</v>
      </c>
      <c r="G105" s="157">
        <v>0.05</v>
      </c>
      <c r="H105" s="155" t="s">
        <v>843</v>
      </c>
    </row>
    <row r="106" spans="8:8" ht="15.0" customHeight="1">
      <c r="A106" s="155" t="s">
        <v>29</v>
      </c>
      <c r="B106" s="155" t="s">
        <v>766</v>
      </c>
      <c r="C106" s="155" t="s">
        <v>282</v>
      </c>
      <c r="D106" s="156">
        <v>866210.0</v>
      </c>
      <c r="E106" s="156">
        <v>836885.0</v>
      </c>
      <c r="F106" s="156">
        <v>29325.0</v>
      </c>
      <c r="G106" s="157">
        <v>0.03</v>
      </c>
      <c r="H106" s="155" t="s">
        <v>844</v>
      </c>
    </row>
    <row r="107" spans="8:8" ht="15.0" customHeight="1">
      <c r="A107" s="155" t="s">
        <v>29</v>
      </c>
      <c r="B107" s="155" t="s">
        <v>766</v>
      </c>
      <c r="C107" s="155" t="s">
        <v>302</v>
      </c>
      <c r="D107" s="156">
        <v>39680.0</v>
      </c>
      <c r="E107" s="156">
        <v>34772.0</v>
      </c>
      <c r="F107" s="156">
        <v>4908.0</v>
      </c>
      <c r="G107" s="157">
        <v>0.12</v>
      </c>
      <c r="H107" s="155" t="s">
        <v>844</v>
      </c>
    </row>
    <row r="108" spans="8:8" ht="15.0" customHeight="1">
      <c r="A108" s="155" t="s">
        <v>29</v>
      </c>
      <c r="B108" s="155" t="s">
        <v>767</v>
      </c>
      <c r="C108" s="155" t="s">
        <v>321</v>
      </c>
      <c r="D108" s="156">
        <v>17760.0</v>
      </c>
      <c r="E108" s="156">
        <v>17050.0</v>
      </c>
      <c r="F108" s="156">
        <v>710.0</v>
      </c>
      <c r="G108" s="157">
        <v>0.04</v>
      </c>
      <c r="H108" s="155" t="s">
        <v>844</v>
      </c>
    </row>
    <row r="109" spans="8:8" ht="15.0" customHeight="1">
      <c r="A109" s="155" t="s">
        <v>29</v>
      </c>
      <c r="B109" s="155" t="s">
        <v>767</v>
      </c>
      <c r="C109" s="155" t="s">
        <v>322</v>
      </c>
      <c r="D109" s="156">
        <v>458900.0</v>
      </c>
      <c r="E109" s="156">
        <v>440712.0</v>
      </c>
      <c r="F109" s="156">
        <v>18188.0</v>
      </c>
      <c r="G109" s="157">
        <v>0.04</v>
      </c>
      <c r="H109" s="155" t="s">
        <v>844</v>
      </c>
    </row>
    <row r="110" spans="8:8" ht="15.0" customHeight="1">
      <c r="A110" s="155" t="s">
        <v>29</v>
      </c>
      <c r="B110" s="155" t="s">
        <v>768</v>
      </c>
      <c r="C110" s="155" t="s">
        <v>355</v>
      </c>
      <c r="D110" s="156">
        <v>89140.0</v>
      </c>
      <c r="E110" s="156">
        <v>88142.0</v>
      </c>
      <c r="F110" s="156">
        <v>998.0</v>
      </c>
      <c r="G110" s="157">
        <v>0.01</v>
      </c>
      <c r="H110" s="155" t="s">
        <v>844</v>
      </c>
    </row>
    <row r="111" spans="8:8" ht="15.0" customHeight="1">
      <c r="A111" s="155" t="s">
        <v>29</v>
      </c>
      <c r="B111" s="155" t="s">
        <v>768</v>
      </c>
      <c r="C111" s="155" t="s">
        <v>357</v>
      </c>
      <c r="D111" s="156">
        <v>888995.0</v>
      </c>
      <c r="E111" s="156">
        <v>899546.0</v>
      </c>
      <c r="F111" s="156">
        <v>-10551.0</v>
      </c>
      <c r="G111" s="157">
        <v>-0.01</v>
      </c>
      <c r="H111" s="155" t="s">
        <v>844</v>
      </c>
    </row>
    <row r="112" spans="8:8" ht="15.0" customHeight="1">
      <c r="A112" s="155" t="s">
        <v>29</v>
      </c>
      <c r="B112" s="155" t="s">
        <v>769</v>
      </c>
      <c r="C112" s="155" t="s">
        <v>378</v>
      </c>
      <c r="D112" s="156">
        <v>411125.0</v>
      </c>
      <c r="E112" s="156">
        <v>390100.0</v>
      </c>
      <c r="F112" s="156">
        <v>21025.0</v>
      </c>
      <c r="G112" s="157">
        <v>0.05</v>
      </c>
      <c r="H112" s="155" t="s">
        <v>844</v>
      </c>
    </row>
    <row r="113" spans="8:8" ht="15.0" customHeight="1">
      <c r="A113" s="155" t="s">
        <v>29</v>
      </c>
      <c r="B113" s="155" t="s">
        <v>771</v>
      </c>
      <c r="C113" s="155" t="s">
        <v>414</v>
      </c>
      <c r="D113" s="156">
        <v>391605.0</v>
      </c>
      <c r="E113" s="156">
        <v>363016.0</v>
      </c>
      <c r="F113" s="156">
        <v>28589.0</v>
      </c>
      <c r="G113" s="157">
        <v>0.07</v>
      </c>
      <c r="H113" s="155" t="s">
        <v>844</v>
      </c>
    </row>
    <row r="114" spans="8:8" ht="15.0" customHeight="1">
      <c r="A114" s="155" t="s">
        <v>29</v>
      </c>
      <c r="B114" s="155" t="s">
        <v>771</v>
      </c>
      <c r="C114" s="155" t="s">
        <v>418</v>
      </c>
      <c r="D114" s="156">
        <v>300000.0</v>
      </c>
      <c r="E114" s="156">
        <v>312000.0</v>
      </c>
      <c r="F114" s="156">
        <v>-12000.0</v>
      </c>
      <c r="G114" s="157">
        <v>-0.04</v>
      </c>
      <c r="H114" s="155" t="s">
        <v>844</v>
      </c>
    </row>
    <row r="115" spans="8:8" ht="15.0" customHeight="1">
      <c r="A115" s="155" t="s">
        <v>29</v>
      </c>
      <c r="B115" s="155" t="s">
        <v>772</v>
      </c>
      <c r="C115" s="155" t="s">
        <v>427</v>
      </c>
      <c r="D115" s="156">
        <v>416280.0</v>
      </c>
      <c r="E115" s="156">
        <v>398010.0</v>
      </c>
      <c r="F115" s="156">
        <v>18270.0</v>
      </c>
      <c r="G115" s="157">
        <v>0.04</v>
      </c>
      <c r="H115" s="155" t="s">
        <v>844</v>
      </c>
    </row>
    <row r="116" spans="8:8" ht="15.0" customHeight="1">
      <c r="A116" s="155" t="s">
        <v>29</v>
      </c>
      <c r="B116" s="155" t="s">
        <v>773</v>
      </c>
      <c r="C116" s="155" t="s">
        <v>452</v>
      </c>
      <c r="D116" s="156">
        <v>611475.0</v>
      </c>
      <c r="E116" s="156">
        <v>574981.0</v>
      </c>
      <c r="F116" s="156">
        <v>36494.0</v>
      </c>
      <c r="G116" s="157">
        <v>0.06</v>
      </c>
      <c r="H116" s="155" t="s">
        <v>844</v>
      </c>
    </row>
    <row r="117" spans="8:8" ht="15.0" customHeight="1">
      <c r="A117" s="155" t="s">
        <v>29</v>
      </c>
      <c r="B117" s="155" t="s">
        <v>774</v>
      </c>
      <c r="C117" s="155" t="s">
        <v>470</v>
      </c>
      <c r="D117" s="156">
        <v>366800.0</v>
      </c>
      <c r="E117" s="156">
        <v>329598.0</v>
      </c>
      <c r="F117" s="156">
        <v>37202.0</v>
      </c>
      <c r="G117" s="157">
        <v>0.1</v>
      </c>
      <c r="H117" s="155" t="s">
        <v>844</v>
      </c>
    </row>
    <row r="118" spans="8:8" ht="15.0" customHeight="1">
      <c r="A118" s="155" t="s">
        <v>29</v>
      </c>
      <c r="B118" s="155" t="s">
        <v>775</v>
      </c>
      <c r="C118" s="155" t="s">
        <v>500</v>
      </c>
      <c r="D118" s="156">
        <v>866365.0</v>
      </c>
      <c r="E118" s="156">
        <v>790401.0</v>
      </c>
      <c r="F118" s="156">
        <v>75964.0</v>
      </c>
      <c r="G118" s="157">
        <v>0.09</v>
      </c>
      <c r="H118" s="155" t="s">
        <v>844</v>
      </c>
    </row>
    <row r="119" spans="8:8" ht="15.0" customHeight="1">
      <c r="A119" s="155" t="s">
        <v>29</v>
      </c>
      <c r="B119" s="155" t="s">
        <v>775</v>
      </c>
      <c r="C119" s="155" t="s">
        <v>509</v>
      </c>
      <c r="D119" s="156">
        <v>593410.0</v>
      </c>
      <c r="E119" s="156">
        <v>549624.0</v>
      </c>
      <c r="F119" s="156">
        <v>43786.0</v>
      </c>
      <c r="G119" s="157">
        <v>0.07</v>
      </c>
      <c r="H119" s="155" t="s">
        <v>844</v>
      </c>
    </row>
    <row r="120" spans="8:8" ht="15.0" customHeight="1">
      <c r="A120" s="155" t="s">
        <v>29</v>
      </c>
      <c r="B120" s="155" t="s">
        <v>776</v>
      </c>
      <c r="C120" s="155" t="s">
        <v>521</v>
      </c>
      <c r="D120" s="156">
        <v>282255.0</v>
      </c>
      <c r="E120" s="156">
        <v>271884.0</v>
      </c>
      <c r="F120" s="156">
        <v>10371.0</v>
      </c>
      <c r="G120" s="157">
        <v>0.04</v>
      </c>
      <c r="H120" s="155" t="s">
        <v>844</v>
      </c>
    </row>
    <row r="121" spans="8:8" ht="15.0" customHeight="1">
      <c r="A121" s="155" t="s">
        <v>29</v>
      </c>
      <c r="B121" s="155" t="s">
        <v>777</v>
      </c>
      <c r="C121" s="155" t="s">
        <v>526</v>
      </c>
      <c r="D121" s="156">
        <v>692765.0</v>
      </c>
      <c r="E121" s="156">
        <v>655522.0</v>
      </c>
      <c r="F121" s="156">
        <v>37243.0</v>
      </c>
      <c r="G121" s="157">
        <v>0.05</v>
      </c>
      <c r="H121" s="155" t="s">
        <v>844</v>
      </c>
    </row>
    <row r="122" spans="8:8" ht="15.0" customHeight="1">
      <c r="A122" s="155" t="s">
        <v>29</v>
      </c>
      <c r="B122" s="155" t="s">
        <v>777</v>
      </c>
      <c r="C122" s="155" t="s">
        <v>531</v>
      </c>
      <c r="D122" s="156">
        <v>165620.0</v>
      </c>
      <c r="E122" s="156">
        <v>165935.0</v>
      </c>
      <c r="F122" s="156">
        <v>-315.0</v>
      </c>
      <c r="G122" s="157">
        <v>0.0</v>
      </c>
      <c r="H122" s="155" t="s">
        <v>844</v>
      </c>
    </row>
    <row r="123" spans="8:8" ht="15.0" customHeight="1">
      <c r="A123" s="155" t="s">
        <v>29</v>
      </c>
      <c r="B123" s="155" t="s">
        <v>778</v>
      </c>
      <c r="C123" s="155" t="s">
        <v>542</v>
      </c>
      <c r="D123" s="156">
        <v>60000.0</v>
      </c>
      <c r="E123" s="156">
        <v>62400.0</v>
      </c>
      <c r="F123" s="156">
        <v>-2400.0</v>
      </c>
      <c r="G123" s="157">
        <v>-0.04</v>
      </c>
      <c r="H123" s="155" t="s">
        <v>844</v>
      </c>
    </row>
    <row r="124" spans="8:8" ht="15.0" customHeight="1">
      <c r="A124" s="155" t="s">
        <v>29</v>
      </c>
      <c r="B124" s="155" t="s">
        <v>778</v>
      </c>
      <c r="C124" s="155" t="s">
        <v>548</v>
      </c>
      <c r="D124" s="156">
        <v>488715.0</v>
      </c>
      <c r="E124" s="156">
        <v>453881.0</v>
      </c>
      <c r="F124" s="156">
        <v>34834.0</v>
      </c>
      <c r="G124" s="157">
        <v>0.07</v>
      </c>
      <c r="H124" s="155" t="s">
        <v>844</v>
      </c>
    </row>
    <row r="125" spans="8:8" ht="15.0" customHeight="1">
      <c r="A125" s="60" t="s">
        <v>458</v>
      </c>
      <c r="B125" s="60" t="s">
        <v>773</v>
      </c>
      <c r="C125" s="60" t="s">
        <v>459</v>
      </c>
      <c r="D125" s="78">
        <v>74120.0</v>
      </c>
      <c r="E125" s="78">
        <v>70676.0</v>
      </c>
      <c r="F125" s="78">
        <v>3444.0</v>
      </c>
      <c r="G125" s="153">
        <v>0.05</v>
      </c>
      <c r="H125" s="60" t="s">
        <v>844</v>
      </c>
    </row>
    <row r="126" spans="8:8" ht="15.0" customHeight="1">
      <c r="A126" s="60" t="s">
        <v>125</v>
      </c>
      <c r="B126" s="60" t="s">
        <v>757</v>
      </c>
      <c r="C126" s="60" t="s">
        <v>126</v>
      </c>
      <c r="D126" s="78">
        <v>612000.0</v>
      </c>
      <c r="E126" s="78">
        <v>624000.0</v>
      </c>
      <c r="F126" s="78">
        <v>-12000.0</v>
      </c>
      <c r="G126" s="153">
        <v>-0.02</v>
      </c>
      <c r="H126" s="60" t="s">
        <v>843</v>
      </c>
    </row>
    <row r="127" spans="8:8" ht="15.0" customHeight="1">
      <c r="A127" s="60" t="s">
        <v>152</v>
      </c>
      <c r="B127" s="60" t="s">
        <v>758</v>
      </c>
      <c r="C127" s="60" t="s">
        <v>153</v>
      </c>
      <c r="D127" s="78">
        <v>149300.0</v>
      </c>
      <c r="E127" s="78">
        <v>128845.0</v>
      </c>
      <c r="F127" s="78">
        <v>20455.0</v>
      </c>
      <c r="G127" s="153">
        <v>0.14</v>
      </c>
      <c r="H127" s="60" t="s">
        <v>843</v>
      </c>
    </row>
    <row r="128" spans="8:8" ht="15.0" customHeight="1">
      <c r="A128" s="60" t="s">
        <v>152</v>
      </c>
      <c r="B128" s="60" t="s">
        <v>759</v>
      </c>
      <c r="C128" s="60" t="s">
        <v>175</v>
      </c>
      <c r="D128" s="78">
        <v>895800.0</v>
      </c>
      <c r="E128" s="78">
        <v>773071.0</v>
      </c>
      <c r="F128" s="78">
        <v>122729.0</v>
      </c>
      <c r="G128" s="153">
        <v>0.14</v>
      </c>
      <c r="H128" s="60" t="s">
        <v>843</v>
      </c>
    </row>
    <row r="129" spans="8:8" ht="15.0" customHeight="1">
      <c r="A129" s="60" t="s">
        <v>152</v>
      </c>
      <c r="B129" s="60" t="s">
        <v>768</v>
      </c>
      <c r="C129" s="60" t="s">
        <v>347</v>
      </c>
      <c r="D129" s="78">
        <v>3611300.0</v>
      </c>
      <c r="E129" s="78">
        <v>3659161.0</v>
      </c>
      <c r="F129" s="78">
        <v>-47861.0</v>
      </c>
      <c r="G129" s="153">
        <v>-0.01</v>
      </c>
      <c r="H129" s="60" t="s">
        <v>844</v>
      </c>
    </row>
    <row r="130" spans="8:8" ht="15.0" customHeight="1">
      <c r="A130" s="60" t="s">
        <v>152</v>
      </c>
      <c r="B130" s="60" t="s">
        <v>768</v>
      </c>
      <c r="C130" s="60" t="s">
        <v>361</v>
      </c>
      <c r="D130" s="78">
        <v>756000.0</v>
      </c>
      <c r="E130" s="78">
        <v>635888.0</v>
      </c>
      <c r="F130" s="78">
        <v>120112.0</v>
      </c>
      <c r="G130" s="153">
        <v>0.16</v>
      </c>
      <c r="H130" s="60" t="s">
        <v>844</v>
      </c>
    </row>
    <row r="131" spans="8:8" ht="15.0" customHeight="1">
      <c r="A131" s="60" t="s">
        <v>152</v>
      </c>
      <c r="B131" s="60" t="s">
        <v>774</v>
      </c>
      <c r="C131" s="60" t="s">
        <v>472</v>
      </c>
      <c r="D131" s="78">
        <v>746500.0</v>
      </c>
      <c r="E131" s="78">
        <v>641582.0</v>
      </c>
      <c r="F131" s="78">
        <v>104918.0</v>
      </c>
      <c r="G131" s="153">
        <v>0.14</v>
      </c>
      <c r="H131" s="60" t="s">
        <v>844</v>
      </c>
    </row>
    <row r="132" spans="8:8" ht="15.0" customHeight="1">
      <c r="A132" s="60" t="s">
        <v>127</v>
      </c>
      <c r="B132" s="60" t="s">
        <v>757</v>
      </c>
      <c r="C132" s="60" t="s">
        <v>128</v>
      </c>
      <c r="D132" s="78">
        <v>1237500.0</v>
      </c>
      <c r="E132" s="78">
        <v>1300000.0</v>
      </c>
      <c r="F132" s="78">
        <v>-62500.0</v>
      </c>
      <c r="G132" s="153">
        <v>-0.05</v>
      </c>
      <c r="H132" s="60" t="s">
        <v>843</v>
      </c>
    </row>
    <row r="133" spans="8:8" ht="15.0" customHeight="1">
      <c r="A133" s="60" t="s">
        <v>127</v>
      </c>
      <c r="B133" s="60" t="s">
        <v>762</v>
      </c>
      <c r="C133" s="60" t="s">
        <v>218</v>
      </c>
      <c r="D133" s="78">
        <v>1488000.0</v>
      </c>
      <c r="E133" s="78">
        <v>1475520.0</v>
      </c>
      <c r="F133" s="78">
        <v>12480.0</v>
      </c>
      <c r="G133" s="153">
        <v>0.01</v>
      </c>
      <c r="H133" s="60" t="s">
        <v>843</v>
      </c>
    </row>
    <row r="134" spans="8:8" ht="15.0" customHeight="1">
      <c r="A134" s="60" t="s">
        <v>139</v>
      </c>
      <c r="B134" s="60" t="s">
        <v>757</v>
      </c>
      <c r="C134" s="60" t="s">
        <v>140</v>
      </c>
      <c r="D134" s="78">
        <v>3597375.0</v>
      </c>
      <c r="E134" s="78">
        <v>3420503.0</v>
      </c>
      <c r="F134" s="78">
        <v>176872.0</v>
      </c>
      <c r="G134" s="153">
        <v>0.05</v>
      </c>
      <c r="H134" s="60" t="s">
        <v>843</v>
      </c>
    </row>
    <row r="135" spans="8:8" ht="15.0" customHeight="1">
      <c r="A135" s="60" t="s">
        <v>139</v>
      </c>
      <c r="B135" s="60" t="s">
        <v>768</v>
      </c>
      <c r="C135" s="60" t="s">
        <v>365</v>
      </c>
      <c r="D135" s="78">
        <v>4121490.0</v>
      </c>
      <c r="E135" s="78">
        <v>3907090.0</v>
      </c>
      <c r="F135" s="78">
        <v>214400.0</v>
      </c>
      <c r="G135" s="153">
        <v>0.05</v>
      </c>
      <c r="H135" s="60" t="s">
        <v>844</v>
      </c>
    </row>
    <row r="136" spans="8:8" ht="15.0" customHeight="1">
      <c r="A136" s="60" t="s">
        <v>139</v>
      </c>
      <c r="B136" s="60" t="s">
        <v>774</v>
      </c>
      <c r="C136" s="60" t="s">
        <v>482</v>
      </c>
      <c r="D136" s="78">
        <v>721000.0</v>
      </c>
      <c r="E136" s="78">
        <v>712321.0</v>
      </c>
      <c r="F136" s="78">
        <v>8679.0</v>
      </c>
      <c r="G136" s="153">
        <v>0.01</v>
      </c>
      <c r="H136" s="60" t="s">
        <v>844</v>
      </c>
    </row>
    <row r="137" spans="8:8" ht="15.0" customHeight="1">
      <c r="A137" s="60" t="s">
        <v>25</v>
      </c>
      <c r="B137" s="60" t="s">
        <v>745</v>
      </c>
      <c r="C137" s="60" t="s">
        <v>26</v>
      </c>
      <c r="D137" s="78">
        <v>1533700.0</v>
      </c>
      <c r="E137" s="78">
        <v>1579003.0</v>
      </c>
      <c r="F137" s="78">
        <v>-45303.0</v>
      </c>
      <c r="G137" s="153">
        <v>-0.03</v>
      </c>
      <c r="H137" s="60" t="s">
        <v>843</v>
      </c>
    </row>
    <row r="138" spans="8:8" ht="15.0" customHeight="1">
      <c r="A138" s="60" t="s">
        <v>25</v>
      </c>
      <c r="B138" s="60" t="s">
        <v>752</v>
      </c>
      <c r="C138" s="60" t="s">
        <v>55</v>
      </c>
      <c r="D138" s="78">
        <v>1324235.0</v>
      </c>
      <c r="E138" s="78">
        <v>1374250.0</v>
      </c>
      <c r="F138" s="78">
        <v>-50015.0</v>
      </c>
      <c r="G138" s="153">
        <v>-0.04</v>
      </c>
      <c r="H138" s="60" t="s">
        <v>843</v>
      </c>
    </row>
    <row r="139" spans="8:8" ht="15.0" customHeight="1">
      <c r="A139" s="60" t="s">
        <v>25</v>
      </c>
      <c r="B139" s="60" t="s">
        <v>752</v>
      </c>
      <c r="C139" s="60" t="s">
        <v>57</v>
      </c>
      <c r="D139" s="78">
        <v>40100.0</v>
      </c>
      <c r="E139" s="78">
        <v>38425.0</v>
      </c>
      <c r="F139" s="78">
        <v>1675.0</v>
      </c>
      <c r="G139" s="153">
        <v>0.04</v>
      </c>
      <c r="H139" s="60" t="s">
        <v>843</v>
      </c>
    </row>
    <row r="140" spans="8:8" ht="15.0" customHeight="1">
      <c r="A140" s="60" t="s">
        <v>25</v>
      </c>
      <c r="B140" s="60" t="s">
        <v>752</v>
      </c>
      <c r="C140" s="60" t="s">
        <v>58</v>
      </c>
      <c r="D140" s="78">
        <v>80200.0</v>
      </c>
      <c r="E140" s="78">
        <v>76850.0</v>
      </c>
      <c r="F140" s="78">
        <v>3350.0</v>
      </c>
      <c r="G140" s="153">
        <v>0.04</v>
      </c>
      <c r="H140" s="60" t="s">
        <v>843</v>
      </c>
    </row>
    <row r="141" spans="8:8" ht="15.0" customHeight="1">
      <c r="A141" s="60" t="s">
        <v>25</v>
      </c>
      <c r="B141" s="60" t="s">
        <v>753</v>
      </c>
      <c r="C141" s="60" t="s">
        <v>74</v>
      </c>
      <c r="D141" s="78">
        <v>1000000.0</v>
      </c>
      <c r="E141" s="78">
        <v>1040000.0</v>
      </c>
      <c r="F141" s="78">
        <v>-40000.0</v>
      </c>
      <c r="G141" s="153">
        <v>-0.04</v>
      </c>
      <c r="H141" s="60" t="s">
        <v>843</v>
      </c>
    </row>
    <row r="142" spans="8:8" ht="15.0" customHeight="1">
      <c r="A142" s="60" t="s">
        <v>25</v>
      </c>
      <c r="B142" s="60" t="s">
        <v>754</v>
      </c>
      <c r="C142" s="60" t="s">
        <v>94</v>
      </c>
      <c r="D142" s="78">
        <v>495000.0</v>
      </c>
      <c r="E142" s="78">
        <v>486094.0</v>
      </c>
      <c r="F142" s="78">
        <v>8906.0</v>
      </c>
      <c r="G142" s="153">
        <v>0.02</v>
      </c>
      <c r="H142" s="60" t="s">
        <v>843</v>
      </c>
    </row>
    <row r="143" spans="8:8" ht="15.0" customHeight="1">
      <c r="A143" s="60" t="s">
        <v>25</v>
      </c>
      <c r="B143" s="60" t="s">
        <v>756</v>
      </c>
      <c r="C143" s="60" t="s">
        <v>108</v>
      </c>
      <c r="D143" s="78">
        <v>890100.0</v>
      </c>
      <c r="E143" s="78">
        <v>854885.0</v>
      </c>
      <c r="F143" s="78">
        <v>35215.0</v>
      </c>
      <c r="G143" s="153">
        <v>0.04</v>
      </c>
      <c r="H143" s="60" t="s">
        <v>843</v>
      </c>
    </row>
    <row r="144" spans="8:8" ht="15.0" customHeight="1">
      <c r="A144" s="60" t="s">
        <v>25</v>
      </c>
      <c r="B144" s="60" t="s">
        <v>756</v>
      </c>
      <c r="C144" s="60" t="s">
        <v>111</v>
      </c>
      <c r="D144" s="78">
        <v>968400.0</v>
      </c>
      <c r="E144" s="78">
        <v>933561.0</v>
      </c>
      <c r="F144" s="78">
        <v>34839.0</v>
      </c>
      <c r="G144" s="153">
        <v>0.04</v>
      </c>
      <c r="H144" s="60" t="s">
        <v>843</v>
      </c>
    </row>
    <row r="145" spans="8:8" ht="15.0" customHeight="1">
      <c r="A145" s="60" t="s">
        <v>25</v>
      </c>
      <c r="B145" s="60" t="s">
        <v>757</v>
      </c>
      <c r="C145" s="60" t="s">
        <v>131</v>
      </c>
      <c r="D145" s="78">
        <v>626695.0</v>
      </c>
      <c r="E145" s="78">
        <v>595903.0</v>
      </c>
      <c r="F145" s="78">
        <v>30792.0</v>
      </c>
      <c r="G145" s="153">
        <v>0.05</v>
      </c>
      <c r="H145" s="60" t="s">
        <v>843</v>
      </c>
    </row>
    <row r="146" spans="8:8" ht="15.0" customHeight="1">
      <c r="A146" s="60" t="s">
        <v>25</v>
      </c>
      <c r="B146" s="60" t="s">
        <v>758</v>
      </c>
      <c r="C146" s="60" t="s">
        <v>162</v>
      </c>
      <c r="D146" s="78">
        <v>839225.0</v>
      </c>
      <c r="E146" s="78">
        <v>865500.0</v>
      </c>
      <c r="F146" s="78">
        <v>-26275.0</v>
      </c>
      <c r="G146" s="153">
        <v>-0.03</v>
      </c>
      <c r="H146" s="60" t="s">
        <v>843</v>
      </c>
    </row>
    <row r="147" spans="8:8" ht="15.0" customHeight="1">
      <c r="A147" s="60" t="s">
        <v>25</v>
      </c>
      <c r="B147" s="60" t="s">
        <v>760</v>
      </c>
      <c r="C147" s="60" t="s">
        <v>191</v>
      </c>
      <c r="D147" s="78">
        <v>1000000.0</v>
      </c>
      <c r="E147" s="78">
        <v>1040000.0</v>
      </c>
      <c r="F147" s="78">
        <v>-40000.0</v>
      </c>
      <c r="G147" s="153">
        <v>-0.04</v>
      </c>
      <c r="H147" s="60" t="s">
        <v>843</v>
      </c>
    </row>
    <row r="148" spans="8:8" ht="15.0" customHeight="1">
      <c r="A148" s="60" t="s">
        <v>25</v>
      </c>
      <c r="B148" s="60" t="s">
        <v>761</v>
      </c>
      <c r="C148" s="60" t="s">
        <v>205</v>
      </c>
      <c r="D148" s="78">
        <v>660400.0</v>
      </c>
      <c r="E148" s="78">
        <v>673700.0</v>
      </c>
      <c r="F148" s="78">
        <v>-13300.0</v>
      </c>
      <c r="G148" s="153">
        <v>-0.02</v>
      </c>
      <c r="H148" s="60" t="s">
        <v>843</v>
      </c>
    </row>
    <row r="149" spans="8:8" ht="15.0" customHeight="1">
      <c r="A149" s="60" t="s">
        <v>25</v>
      </c>
      <c r="B149" s="60" t="s">
        <v>762</v>
      </c>
      <c r="C149" s="60" t="s">
        <v>216</v>
      </c>
      <c r="D149" s="78">
        <v>815750.0</v>
      </c>
      <c r="E149" s="78">
        <v>847507.0</v>
      </c>
      <c r="F149" s="78">
        <v>-31757.0</v>
      </c>
      <c r="G149" s="153">
        <v>-0.04</v>
      </c>
      <c r="H149" s="60" t="s">
        <v>843</v>
      </c>
    </row>
    <row r="150" spans="8:8" ht="15.0" customHeight="1">
      <c r="A150" s="60" t="s">
        <v>25</v>
      </c>
      <c r="B150" s="60" t="s">
        <v>763</v>
      </c>
      <c r="C150" s="60" t="s">
        <v>228</v>
      </c>
      <c r="D150" s="78">
        <v>835385.0</v>
      </c>
      <c r="E150" s="78">
        <v>835426.0</v>
      </c>
      <c r="F150" s="78">
        <v>-41.0</v>
      </c>
      <c r="G150" s="153">
        <v>0.0</v>
      </c>
      <c r="H150" s="60" t="s">
        <v>843</v>
      </c>
    </row>
    <row r="151" spans="8:8" ht="15.0" customHeight="1">
      <c r="A151" s="60" t="s">
        <v>25</v>
      </c>
      <c r="B151" s="60" t="s">
        <v>764</v>
      </c>
      <c r="C151" s="60" t="s">
        <v>244</v>
      </c>
      <c r="D151" s="78">
        <v>613000.0</v>
      </c>
      <c r="E151" s="78">
        <v>634028.0</v>
      </c>
      <c r="F151" s="78">
        <v>-21028.0</v>
      </c>
      <c r="G151" s="153">
        <v>-0.03</v>
      </c>
      <c r="H151" s="60" t="s">
        <v>843</v>
      </c>
    </row>
    <row r="152" spans="8:8" ht="15.0" customHeight="1">
      <c r="A152" s="60" t="s">
        <v>25</v>
      </c>
      <c r="B152" s="60" t="s">
        <v>765</v>
      </c>
      <c r="C152" s="60" t="s">
        <v>268</v>
      </c>
      <c r="D152" s="78">
        <v>575000.0</v>
      </c>
      <c r="E152" s="78">
        <v>549837.0</v>
      </c>
      <c r="F152" s="78">
        <v>25163.0</v>
      </c>
      <c r="G152" s="153">
        <v>0.04</v>
      </c>
      <c r="H152" s="60" t="s">
        <v>844</v>
      </c>
    </row>
    <row r="153" spans="8:8" ht="15.0" customHeight="1">
      <c r="A153" s="60" t="s">
        <v>25</v>
      </c>
      <c r="B153" s="60" t="s">
        <v>766</v>
      </c>
      <c r="C153" s="60" t="s">
        <v>298</v>
      </c>
      <c r="D153" s="78">
        <v>1000000.0</v>
      </c>
      <c r="E153" s="78">
        <v>1040000.0</v>
      </c>
      <c r="F153" s="78">
        <v>-40000.0</v>
      </c>
      <c r="G153" s="153">
        <v>-0.04</v>
      </c>
      <c r="H153" s="60" t="s">
        <v>844</v>
      </c>
    </row>
    <row r="154" spans="8:8" ht="15.0" customHeight="1">
      <c r="A154" s="60" t="s">
        <v>25</v>
      </c>
      <c r="B154" s="60" t="s">
        <v>767</v>
      </c>
      <c r="C154" s="60" t="s">
        <v>310</v>
      </c>
      <c r="D154" s="78">
        <v>931650.0</v>
      </c>
      <c r="E154" s="78">
        <v>931035.0</v>
      </c>
      <c r="F154" s="78">
        <v>615.0</v>
      </c>
      <c r="G154" s="153">
        <v>0.0</v>
      </c>
      <c r="H154" s="60" t="s">
        <v>844</v>
      </c>
    </row>
    <row r="155" spans="8:8" ht="15.0" customHeight="1">
      <c r="A155" s="60" t="s">
        <v>25</v>
      </c>
      <c r="B155" s="60" t="s">
        <v>767</v>
      </c>
      <c r="C155" s="60" t="s">
        <v>313</v>
      </c>
      <c r="D155" s="78">
        <v>361600.0</v>
      </c>
      <c r="E155" s="78">
        <v>263839.0</v>
      </c>
      <c r="F155" s="78">
        <v>97761.0</v>
      </c>
      <c r="G155" s="153">
        <v>0.27</v>
      </c>
      <c r="H155" s="60" t="s">
        <v>844</v>
      </c>
    </row>
    <row r="156" spans="8:8" ht="15.0" customHeight="1">
      <c r="A156" s="60" t="s">
        <v>25</v>
      </c>
      <c r="B156" s="60" t="s">
        <v>768</v>
      </c>
      <c r="C156" s="60" t="s">
        <v>349</v>
      </c>
      <c r="D156" s="78">
        <v>459000.0</v>
      </c>
      <c r="E156" s="78">
        <v>444217.0</v>
      </c>
      <c r="F156" s="78">
        <v>14783.0</v>
      </c>
      <c r="G156" s="153">
        <v>0.03</v>
      </c>
      <c r="H156" s="60" t="s">
        <v>844</v>
      </c>
    </row>
    <row r="157" spans="8:8" ht="15.0" customHeight="1">
      <c r="A157" s="60" t="s">
        <v>25</v>
      </c>
      <c r="B157" s="60" t="s">
        <v>769</v>
      </c>
      <c r="C157" s="60" t="s">
        <v>382</v>
      </c>
      <c r="D157" s="78">
        <v>1200000.0</v>
      </c>
      <c r="E157" s="78">
        <v>1248000.0</v>
      </c>
      <c r="F157" s="78">
        <v>-48000.0</v>
      </c>
      <c r="G157" s="153">
        <v>-0.04</v>
      </c>
      <c r="H157" s="60" t="s">
        <v>844</v>
      </c>
    </row>
    <row r="158" spans="8:8" ht="15.0" customHeight="1">
      <c r="A158" s="60" t="s">
        <v>25</v>
      </c>
      <c r="B158" s="60" t="s">
        <v>770</v>
      </c>
      <c r="C158" s="60" t="s">
        <v>398</v>
      </c>
      <c r="D158" s="78">
        <v>52680.0</v>
      </c>
      <c r="E158" s="78">
        <v>48180.0</v>
      </c>
      <c r="F158" s="78">
        <v>4500.0</v>
      </c>
      <c r="G158" s="153">
        <v>0.09</v>
      </c>
      <c r="H158" s="60" t="s">
        <v>844</v>
      </c>
    </row>
    <row r="159" spans="8:8" ht="15.0" customHeight="1">
      <c r="A159" s="60" t="s">
        <v>25</v>
      </c>
      <c r="B159" s="60" t="s">
        <v>770</v>
      </c>
      <c r="C159" s="60" t="s">
        <v>400</v>
      </c>
      <c r="D159" s="78">
        <v>1050000.0</v>
      </c>
      <c r="E159" s="78">
        <v>1092000.0</v>
      </c>
      <c r="F159" s="78">
        <v>-42000.0</v>
      </c>
      <c r="G159" s="153">
        <v>-0.04</v>
      </c>
      <c r="H159" s="60" t="s">
        <v>844</v>
      </c>
    </row>
    <row r="160" spans="8:8" ht="15.0" customHeight="1">
      <c r="A160" s="60" t="s">
        <v>25</v>
      </c>
      <c r="B160" s="60" t="s">
        <v>771</v>
      </c>
      <c r="C160" s="60" t="s">
        <v>411</v>
      </c>
      <c r="D160" s="78">
        <v>1240000.0</v>
      </c>
      <c r="E160" s="78">
        <v>1289600.0</v>
      </c>
      <c r="F160" s="78">
        <v>-49600.0</v>
      </c>
      <c r="G160" s="153">
        <v>-0.04</v>
      </c>
      <c r="H160" s="60" t="s">
        <v>844</v>
      </c>
    </row>
    <row r="161" spans="8:8" ht="15.0" customHeight="1">
      <c r="A161" s="60" t="s">
        <v>25</v>
      </c>
      <c r="B161" s="60" t="s">
        <v>771</v>
      </c>
      <c r="C161" s="60" t="s">
        <v>421</v>
      </c>
      <c r="D161" s="78">
        <v>316500.0</v>
      </c>
      <c r="E161" s="78">
        <v>298397.0</v>
      </c>
      <c r="F161" s="78">
        <v>18103.0</v>
      </c>
      <c r="G161" s="153">
        <v>0.06</v>
      </c>
      <c r="H161" s="60" t="s">
        <v>844</v>
      </c>
    </row>
    <row r="162" spans="8:8" ht="15.0" customHeight="1">
      <c r="A162" s="60" t="s">
        <v>25</v>
      </c>
      <c r="B162" s="60" t="s">
        <v>772</v>
      </c>
      <c r="C162" s="60" t="s">
        <v>430</v>
      </c>
      <c r="D162" s="78">
        <v>1350000.0</v>
      </c>
      <c r="E162" s="78">
        <v>1404000.0</v>
      </c>
      <c r="F162" s="78">
        <v>-54000.0</v>
      </c>
      <c r="G162" s="153">
        <v>-0.04</v>
      </c>
      <c r="H162" s="60" t="s">
        <v>844</v>
      </c>
    </row>
    <row r="163" spans="8:8" ht="15.0" customHeight="1">
      <c r="A163" s="60" t="s">
        <v>25</v>
      </c>
      <c r="B163" s="60" t="s">
        <v>774</v>
      </c>
      <c r="C163" s="60" t="s">
        <v>474</v>
      </c>
      <c r="D163" s="78">
        <v>1050000.0</v>
      </c>
      <c r="E163" s="78">
        <v>1092000.0</v>
      </c>
      <c r="F163" s="78">
        <v>-42000.0</v>
      </c>
      <c r="G163" s="153">
        <v>-0.04</v>
      </c>
      <c r="H163" s="60" t="s">
        <v>844</v>
      </c>
    </row>
    <row r="164" spans="8:8" ht="15.0" customHeight="1">
      <c r="A164" s="60" t="s">
        <v>25</v>
      </c>
      <c r="B164" s="60" t="s">
        <v>774</v>
      </c>
      <c r="C164" s="60" t="s">
        <v>483</v>
      </c>
      <c r="D164" s="78">
        <v>64160.0</v>
      </c>
      <c r="E164" s="78">
        <v>61480.0</v>
      </c>
      <c r="F164" s="78">
        <v>2680.0</v>
      </c>
      <c r="G164" s="153">
        <v>0.04</v>
      </c>
      <c r="H164" s="60" t="s">
        <v>844</v>
      </c>
    </row>
    <row r="165" spans="8:8" ht="15.0" customHeight="1">
      <c r="A165" s="60" t="s">
        <v>25</v>
      </c>
      <c r="B165" s="60" t="s">
        <v>775</v>
      </c>
      <c r="C165" s="60" t="s">
        <v>497</v>
      </c>
      <c r="D165" s="78">
        <v>1325335.0</v>
      </c>
      <c r="E165" s="78">
        <v>1367390.0</v>
      </c>
      <c r="F165" s="78">
        <v>-42055.0</v>
      </c>
      <c r="G165" s="153">
        <v>-0.03</v>
      </c>
      <c r="H165" s="60" t="s">
        <v>844</v>
      </c>
    </row>
    <row r="166" spans="8:8" ht="15.0" customHeight="1">
      <c r="A166" s="60" t="s">
        <v>25</v>
      </c>
      <c r="B166" s="60" t="s">
        <v>776</v>
      </c>
      <c r="C166" s="60" t="s">
        <v>522</v>
      </c>
      <c r="D166" s="78">
        <v>750000.0</v>
      </c>
      <c r="E166" s="78">
        <v>780000.0</v>
      </c>
      <c r="F166" s="78">
        <v>-30000.0</v>
      </c>
      <c r="G166" s="153">
        <v>-0.04</v>
      </c>
      <c r="H166" s="60" t="s">
        <v>844</v>
      </c>
    </row>
    <row r="167" spans="8:8" ht="15.0" customHeight="1">
      <c r="A167" s="60" t="s">
        <v>25</v>
      </c>
      <c r="B167" s="60" t="s">
        <v>778</v>
      </c>
      <c r="C167" s="60" t="s">
        <v>541</v>
      </c>
      <c r="D167" s="78">
        <v>750000.0</v>
      </c>
      <c r="E167" s="78">
        <v>780000.0</v>
      </c>
      <c r="F167" s="78">
        <v>-30000.0</v>
      </c>
      <c r="G167" s="153">
        <v>-0.04</v>
      </c>
      <c r="H167" s="60" t="s">
        <v>844</v>
      </c>
    </row>
    <row r="168" spans="8:8" ht="15.0" customHeight="1">
      <c r="A168" s="60" t="s">
        <v>231</v>
      </c>
      <c r="B168" s="60" t="s">
        <v>763</v>
      </c>
      <c r="C168" s="60" t="s">
        <v>232</v>
      </c>
      <c r="D168" s="78">
        <v>4538140.0</v>
      </c>
      <c r="E168" s="78">
        <v>4253330.0</v>
      </c>
      <c r="F168" s="78">
        <v>284810.0</v>
      </c>
      <c r="G168" s="153">
        <v>0.06</v>
      </c>
      <c r="H168" s="60" t="s">
        <v>843</v>
      </c>
    </row>
    <row r="169" spans="8:8" ht="15.0" customHeight="1">
      <c r="A169" s="60" t="s">
        <v>210</v>
      </c>
      <c r="B169" s="60" t="s">
        <v>762</v>
      </c>
      <c r="C169" s="60" t="s">
        <v>211</v>
      </c>
      <c r="D169" s="78">
        <v>6138000.0</v>
      </c>
      <c r="E169" s="78">
        <v>6448000.0</v>
      </c>
      <c r="F169" s="78">
        <v>-310000.0</v>
      </c>
      <c r="G169" s="153">
        <v>-0.05</v>
      </c>
      <c r="H169" s="60" t="s">
        <v>843</v>
      </c>
    </row>
    <row r="170" spans="8:8" ht="15.0" customHeight="1">
      <c r="A170" s="60" t="s">
        <v>210</v>
      </c>
      <c r="B170" s="60" t="s">
        <v>777</v>
      </c>
      <c r="C170" s="60" t="s">
        <v>524</v>
      </c>
      <c r="D170" s="78">
        <v>6138000.0</v>
      </c>
      <c r="E170" s="78">
        <v>6448000.0</v>
      </c>
      <c r="F170" s="78">
        <v>-310000.0</v>
      </c>
      <c r="G170" s="153">
        <v>-0.05</v>
      </c>
      <c r="H170" s="60" t="s">
        <v>844</v>
      </c>
    </row>
    <row r="171" spans="8:8" ht="15.0" customHeight="1">
      <c r="A171" s="60" t="s">
        <v>95</v>
      </c>
      <c r="B171" s="60" t="s">
        <v>754</v>
      </c>
      <c r="C171" s="60" t="s">
        <v>96</v>
      </c>
      <c r="D171" s="78">
        <v>40380.0</v>
      </c>
      <c r="E171" s="78">
        <v>38565.0</v>
      </c>
      <c r="F171" s="78">
        <v>1815.0</v>
      </c>
      <c r="G171" s="153">
        <v>0.04</v>
      </c>
      <c r="H171" s="60" t="s">
        <v>843</v>
      </c>
    </row>
    <row r="172" spans="8:8" ht="15.0" customHeight="1">
      <c r="A172" s="60" t="s">
        <v>95</v>
      </c>
      <c r="B172" s="60" t="s">
        <v>756</v>
      </c>
      <c r="C172" s="60" t="s">
        <v>116</v>
      </c>
      <c r="D172" s="78">
        <v>119620.0</v>
      </c>
      <c r="E172" s="78">
        <v>114936.0</v>
      </c>
      <c r="F172" s="78">
        <v>4684.0</v>
      </c>
      <c r="G172" s="153">
        <v>0.04</v>
      </c>
      <c r="H172" s="60" t="s">
        <v>843</v>
      </c>
    </row>
    <row r="173" spans="8:8" ht="15.0" customHeight="1">
      <c r="A173" s="60" t="s">
        <v>95</v>
      </c>
      <c r="B173" s="60" t="s">
        <v>757</v>
      </c>
      <c r="C173" s="60" t="s">
        <v>143</v>
      </c>
      <c r="D173" s="78">
        <v>160400.0</v>
      </c>
      <c r="E173" s="78">
        <v>153700.0</v>
      </c>
      <c r="F173" s="78">
        <v>6700.0</v>
      </c>
      <c r="G173" s="153">
        <v>0.04</v>
      </c>
      <c r="H173" s="60" t="s">
        <v>843</v>
      </c>
    </row>
    <row r="174" spans="8:8" ht="15.0" customHeight="1">
      <c r="A174" s="60" t="s">
        <v>95</v>
      </c>
      <c r="B174" s="60" t="s">
        <v>759</v>
      </c>
      <c r="C174" s="60" t="s">
        <v>184</v>
      </c>
      <c r="D174" s="78">
        <v>95970.0</v>
      </c>
      <c r="E174" s="78">
        <v>92185.0</v>
      </c>
      <c r="F174" s="78">
        <v>3785.0</v>
      </c>
      <c r="G174" s="153">
        <v>0.04</v>
      </c>
      <c r="H174" s="60" t="s">
        <v>843</v>
      </c>
    </row>
    <row r="175" spans="8:8" ht="15.0" customHeight="1">
      <c r="A175" s="60" t="s">
        <v>95</v>
      </c>
      <c r="B175" s="60" t="s">
        <v>761</v>
      </c>
      <c r="C175" s="60" t="s">
        <v>200</v>
      </c>
      <c r="D175" s="78">
        <v>150000.0</v>
      </c>
      <c r="E175" s="78">
        <v>156000.0</v>
      </c>
      <c r="F175" s="78">
        <v>-6000.0</v>
      </c>
      <c r="G175" s="153">
        <v>-0.04</v>
      </c>
      <c r="H175" s="60" t="s">
        <v>843</v>
      </c>
    </row>
    <row r="176" spans="8:8" ht="15.0" customHeight="1">
      <c r="A176" s="60" t="s">
        <v>95</v>
      </c>
      <c r="B176" s="60" t="s">
        <v>763</v>
      </c>
      <c r="C176" s="60" t="s">
        <v>230</v>
      </c>
      <c r="D176" s="78">
        <v>250000.0</v>
      </c>
      <c r="E176" s="78">
        <v>260000.0</v>
      </c>
      <c r="F176" s="78">
        <v>-10000.0</v>
      </c>
      <c r="G176" s="153">
        <v>-0.04</v>
      </c>
      <c r="H176" s="60" t="s">
        <v>843</v>
      </c>
    </row>
    <row r="177" spans="8:8" ht="15.0" customHeight="1">
      <c r="A177" s="60" t="s">
        <v>95</v>
      </c>
      <c r="B177" s="60" t="s">
        <v>764</v>
      </c>
      <c r="C177" s="60" t="s">
        <v>243</v>
      </c>
      <c r="D177" s="78">
        <v>87120.0</v>
      </c>
      <c r="E177" s="78">
        <v>83092.0</v>
      </c>
      <c r="F177" s="78">
        <v>4028.0</v>
      </c>
      <c r="G177" s="153">
        <v>0.05</v>
      </c>
      <c r="H177" s="60" t="s">
        <v>843</v>
      </c>
    </row>
    <row r="178" spans="8:8" ht="15.0" customHeight="1">
      <c r="A178" s="60" t="s">
        <v>95</v>
      </c>
      <c r="B178" s="60" t="s">
        <v>769</v>
      </c>
      <c r="C178" s="60" t="s">
        <v>388</v>
      </c>
      <c r="D178" s="78">
        <v>115100.0</v>
      </c>
      <c r="E178" s="78">
        <v>116425.0</v>
      </c>
      <c r="F178" s="78">
        <v>-1325.0</v>
      </c>
      <c r="G178" s="153">
        <v>-0.01</v>
      </c>
      <c r="H178" s="60" t="s">
        <v>844</v>
      </c>
    </row>
    <row r="179" spans="8:8" ht="15.0" customHeight="1">
      <c r="A179" s="60" t="s">
        <v>95</v>
      </c>
      <c r="B179" s="60" t="s">
        <v>773</v>
      </c>
      <c r="C179" s="60" t="s">
        <v>467</v>
      </c>
      <c r="D179" s="78">
        <v>59335.0</v>
      </c>
      <c r="E179" s="78">
        <v>56697.0</v>
      </c>
      <c r="F179" s="78">
        <v>2638.0</v>
      </c>
      <c r="G179" s="153">
        <v>0.04</v>
      </c>
      <c r="H179" s="60" t="s">
        <v>844</v>
      </c>
    </row>
    <row r="180" spans="8:8" ht="15.0" customHeight="1">
      <c r="A180" s="60" t="s">
        <v>95</v>
      </c>
      <c r="B180" s="60" t="s">
        <v>775</v>
      </c>
      <c r="C180" s="60" t="s">
        <v>495</v>
      </c>
      <c r="D180" s="78">
        <v>1307800.0</v>
      </c>
      <c r="E180" s="78">
        <v>1366450.0</v>
      </c>
      <c r="F180" s="78">
        <v>-58650.0</v>
      </c>
      <c r="G180" s="153">
        <v>-0.04</v>
      </c>
      <c r="H180" s="60" t="s">
        <v>844</v>
      </c>
    </row>
    <row r="181" spans="8:8" ht="15.0" customHeight="1">
      <c r="A181" s="60" t="s">
        <v>95</v>
      </c>
      <c r="B181" s="60" t="s">
        <v>776</v>
      </c>
      <c r="C181" s="60" t="s">
        <v>520</v>
      </c>
      <c r="D181" s="78">
        <v>63470.0</v>
      </c>
      <c r="E181" s="78">
        <v>60785.0</v>
      </c>
      <c r="F181" s="78">
        <v>2685.0</v>
      </c>
      <c r="G181" s="153">
        <v>0.04</v>
      </c>
      <c r="H181" s="60" t="s">
        <v>844</v>
      </c>
    </row>
    <row r="182" spans="8:8" ht="15.0" customHeight="1">
      <c r="A182" s="60" t="s">
        <v>341</v>
      </c>
      <c r="B182" s="60" t="s">
        <v>767</v>
      </c>
      <c r="C182" s="60" t="s">
        <v>342</v>
      </c>
      <c r="D182" s="78">
        <v>74680.0</v>
      </c>
      <c r="E182" s="78">
        <v>69254.0</v>
      </c>
      <c r="F182" s="78">
        <v>5426.0</v>
      </c>
      <c r="G182" s="153">
        <v>0.07</v>
      </c>
      <c r="H182" s="60" t="s">
        <v>844</v>
      </c>
    </row>
    <row r="183" spans="8:8" ht="15.0" customHeight="1">
      <c r="A183" s="60" t="s">
        <v>341</v>
      </c>
      <c r="B183" s="60" t="s">
        <v>771</v>
      </c>
      <c r="C183" s="60" t="s">
        <v>412</v>
      </c>
      <c r="D183" s="78">
        <v>37340.0</v>
      </c>
      <c r="E183" s="78">
        <v>34627.0</v>
      </c>
      <c r="F183" s="78">
        <v>2713.0</v>
      </c>
      <c r="G183" s="153">
        <v>0.07</v>
      </c>
      <c r="H183" s="60" t="s">
        <v>844</v>
      </c>
    </row>
    <row r="184" spans="8:8" ht="15.0" customHeight="1">
      <c r="A184" s="60" t="s">
        <v>334</v>
      </c>
      <c r="B184" s="60" t="s">
        <v>767</v>
      </c>
      <c r="C184" s="60" t="s">
        <v>335</v>
      </c>
      <c r="D184" s="78">
        <v>564900.0</v>
      </c>
      <c r="E184" s="78">
        <v>375618.0</v>
      </c>
      <c r="F184" s="78">
        <v>189282.0</v>
      </c>
      <c r="G184" s="153">
        <v>0.34</v>
      </c>
      <c r="H184" s="60" t="s">
        <v>844</v>
      </c>
    </row>
    <row r="185" spans="8:8" ht="15.0" customHeight="1">
      <c r="A185" s="60" t="s">
        <v>334</v>
      </c>
      <c r="B185" s="60" t="s">
        <v>767</v>
      </c>
      <c r="C185" s="60" t="s">
        <v>339</v>
      </c>
      <c r="D185" s="78">
        <v>679000.0</v>
      </c>
      <c r="E185" s="78">
        <v>680531.0</v>
      </c>
      <c r="F185" s="78">
        <v>-1531.0</v>
      </c>
      <c r="G185" s="153">
        <v>0.0</v>
      </c>
      <c r="H185" s="60" t="s">
        <v>844</v>
      </c>
    </row>
    <row r="186" spans="8:8" ht="15.0" customHeight="1">
      <c r="A186" s="60" t="s">
        <v>97</v>
      </c>
      <c r="B186" s="60" t="s">
        <v>754</v>
      </c>
      <c r="C186" s="60" t="s">
        <v>98</v>
      </c>
      <c r="D186" s="78">
        <v>4939800.0</v>
      </c>
      <c r="E186" s="78">
        <v>4915226.0</v>
      </c>
      <c r="F186" s="78">
        <v>24574.0</v>
      </c>
      <c r="G186" s="153">
        <v>0.0</v>
      </c>
      <c r="H186" s="60" t="s">
        <v>843</v>
      </c>
    </row>
    <row r="187" spans="8:8" ht="15.0" customHeight="1">
      <c r="A187" s="60" t="s">
        <v>336</v>
      </c>
      <c r="B187" s="60" t="s">
        <v>767</v>
      </c>
      <c r="C187" s="60" t="s">
        <v>337</v>
      </c>
      <c r="D187" s="78">
        <v>40835.0</v>
      </c>
      <c r="E187" s="78">
        <v>38554.0</v>
      </c>
      <c r="F187" s="78">
        <v>2281.0</v>
      </c>
      <c r="G187" s="153">
        <v>0.06</v>
      </c>
      <c r="H187" s="60" t="s">
        <v>844</v>
      </c>
    </row>
    <row r="188" spans="8:8" ht="15.0" customHeight="1">
      <c r="A188" s="60" t="s">
        <v>336</v>
      </c>
      <c r="B188" s="60" t="s">
        <v>769</v>
      </c>
      <c r="C188" s="60" t="s">
        <v>386</v>
      </c>
      <c r="D188" s="78">
        <v>48735.0</v>
      </c>
      <c r="E188" s="78">
        <v>46304.0</v>
      </c>
      <c r="F188" s="78">
        <v>2431.0</v>
      </c>
      <c r="G188" s="153">
        <v>0.05</v>
      </c>
      <c r="H188" s="60" t="s">
        <v>844</v>
      </c>
    </row>
    <row r="189" spans="8:8" ht="15.0" customHeight="1">
      <c r="A189" s="60" t="s">
        <v>336</v>
      </c>
      <c r="B189" s="60" t="s">
        <v>771</v>
      </c>
      <c r="C189" s="60" t="s">
        <v>420</v>
      </c>
      <c r="D189" s="78">
        <v>26900.0</v>
      </c>
      <c r="E189" s="78">
        <v>25435.0</v>
      </c>
      <c r="F189" s="78">
        <v>1465.0</v>
      </c>
      <c r="G189" s="153">
        <v>0.05</v>
      </c>
      <c r="H189" s="60" t="s">
        <v>844</v>
      </c>
    </row>
    <row r="190" spans="8:8" ht="15.0" customHeight="1">
      <c r="A190" s="60" t="s">
        <v>336</v>
      </c>
      <c r="B190" s="60" t="s">
        <v>774</v>
      </c>
      <c r="C190" s="60" t="s">
        <v>491</v>
      </c>
      <c r="D190" s="78">
        <v>105070.0</v>
      </c>
      <c r="E190" s="78">
        <v>98905.0</v>
      </c>
      <c r="F190" s="78">
        <v>6165.0</v>
      </c>
      <c r="G190" s="153">
        <v>0.06</v>
      </c>
      <c r="H190" s="60" t="s">
        <v>844</v>
      </c>
    </row>
    <row r="191" spans="8:8" ht="15.0" customHeight="1">
      <c r="A191" s="60" t="s">
        <v>122</v>
      </c>
      <c r="B191" s="60" t="s">
        <v>756</v>
      </c>
      <c r="C191" s="60" t="s">
        <v>123</v>
      </c>
      <c r="D191" s="78">
        <v>19000.0</v>
      </c>
      <c r="E191" s="78">
        <v>17275.0</v>
      </c>
      <c r="F191" s="78">
        <v>1725.0</v>
      </c>
      <c r="G191" s="153">
        <v>0.09</v>
      </c>
      <c r="H191" s="60" t="s">
        <v>843</v>
      </c>
    </row>
    <row r="192" spans="8:8" ht="15.0" customHeight="1">
      <c r="A192" s="60" t="s">
        <v>122</v>
      </c>
      <c r="B192" s="60" t="s">
        <v>759</v>
      </c>
      <c r="C192" s="60" t="s">
        <v>188</v>
      </c>
      <c r="D192" s="78">
        <v>23800.0</v>
      </c>
      <c r="E192" s="78">
        <v>21959.0</v>
      </c>
      <c r="F192" s="78">
        <v>1841.0</v>
      </c>
      <c r="G192" s="153">
        <v>0.08</v>
      </c>
      <c r="H192" s="60" t="s">
        <v>843</v>
      </c>
    </row>
    <row r="193" spans="8:8" ht="15.0" customHeight="1">
      <c r="A193" s="60" t="s">
        <v>122</v>
      </c>
      <c r="B193" s="60" t="s">
        <v>761</v>
      </c>
      <c r="C193" s="60" t="s">
        <v>208</v>
      </c>
      <c r="D193" s="78">
        <v>136420.0</v>
      </c>
      <c r="E193" s="78">
        <v>128549.0</v>
      </c>
      <c r="F193" s="78">
        <v>7871.0</v>
      </c>
      <c r="G193" s="153">
        <v>0.06</v>
      </c>
      <c r="H193" s="60" t="s">
        <v>843</v>
      </c>
    </row>
    <row r="194" spans="8:8" ht="15.0" customHeight="1">
      <c r="A194" s="60" t="s">
        <v>122</v>
      </c>
      <c r="B194" s="60" t="s">
        <v>765</v>
      </c>
      <c r="C194" s="60" t="s">
        <v>273</v>
      </c>
      <c r="D194" s="78">
        <v>27400.0</v>
      </c>
      <c r="E194" s="78">
        <v>25435.0</v>
      </c>
      <c r="F194" s="78">
        <v>1965.0</v>
      </c>
      <c r="G194" s="153">
        <v>0.07</v>
      </c>
      <c r="H194" s="60" t="s">
        <v>844</v>
      </c>
    </row>
    <row r="195" spans="8:8" ht="15.0" customHeight="1">
      <c r="A195" s="60" t="s">
        <v>122</v>
      </c>
      <c r="B195" s="60" t="s">
        <v>766</v>
      </c>
      <c r="C195" s="60" t="s">
        <v>292</v>
      </c>
      <c r="D195" s="78">
        <v>134460.0</v>
      </c>
      <c r="E195" s="78">
        <v>125041.0</v>
      </c>
      <c r="F195" s="78">
        <v>9419.0</v>
      </c>
      <c r="G195" s="153">
        <v>0.07</v>
      </c>
      <c r="H195" s="60" t="s">
        <v>844</v>
      </c>
    </row>
    <row r="196" spans="8:8" ht="15.0" customHeight="1">
      <c r="A196" s="60" t="s">
        <v>122</v>
      </c>
      <c r="B196" s="60" t="s">
        <v>769</v>
      </c>
      <c r="C196" s="60" t="s">
        <v>385</v>
      </c>
      <c r="D196" s="78">
        <v>46650.0</v>
      </c>
      <c r="E196" s="78">
        <v>43716.0</v>
      </c>
      <c r="F196" s="78">
        <v>2934.0</v>
      </c>
      <c r="G196" s="153">
        <v>0.06</v>
      </c>
      <c r="H196" s="60" t="s">
        <v>844</v>
      </c>
    </row>
    <row r="197" spans="8:8" ht="15.0" customHeight="1">
      <c r="A197" s="60" t="s">
        <v>122</v>
      </c>
      <c r="B197" s="60" t="s">
        <v>770</v>
      </c>
      <c r="C197" s="60" t="s">
        <v>405</v>
      </c>
      <c r="D197" s="78">
        <v>54810.0</v>
      </c>
      <c r="E197" s="78">
        <v>51371.0</v>
      </c>
      <c r="F197" s="78">
        <v>3439.0</v>
      </c>
      <c r="G197" s="153">
        <v>0.06</v>
      </c>
      <c r="H197" s="60" t="s">
        <v>844</v>
      </c>
    </row>
    <row r="198" spans="8:8" ht="15.0" customHeight="1">
      <c r="A198" s="60" t="s">
        <v>122</v>
      </c>
      <c r="B198" s="60" t="s">
        <v>773</v>
      </c>
      <c r="C198" s="60" t="s">
        <v>463</v>
      </c>
      <c r="D198" s="78">
        <v>36600.0</v>
      </c>
      <c r="E198" s="78">
        <v>33960.0</v>
      </c>
      <c r="F198" s="78">
        <v>2640.0</v>
      </c>
      <c r="G198" s="153">
        <v>0.07</v>
      </c>
      <c r="H198" s="60" t="s">
        <v>844</v>
      </c>
    </row>
    <row r="199" spans="8:8" ht="15.0" customHeight="1">
      <c r="A199" s="60" t="s">
        <v>122</v>
      </c>
      <c r="B199" s="60" t="s">
        <v>778</v>
      </c>
      <c r="C199" s="60" t="s">
        <v>546</v>
      </c>
      <c r="D199" s="78">
        <v>23500.0</v>
      </c>
      <c r="E199" s="78">
        <v>21975.0</v>
      </c>
      <c r="F199" s="78">
        <v>1525.0</v>
      </c>
      <c r="G199" s="153">
        <v>0.06</v>
      </c>
      <c r="H199" s="60" t="s">
        <v>844</v>
      </c>
    </row>
    <row r="200" spans="8:8" ht="15.0" customHeight="1">
      <c r="A200" s="60" t="s">
        <v>165</v>
      </c>
      <c r="B200" s="60" t="s">
        <v>758</v>
      </c>
      <c r="C200" s="60" t="s">
        <v>166</v>
      </c>
      <c r="D200" s="78">
        <v>3724000.0</v>
      </c>
      <c r="E200" s="78">
        <v>3542481.0</v>
      </c>
      <c r="F200" s="78">
        <v>181519.0</v>
      </c>
      <c r="G200" s="153">
        <v>0.05</v>
      </c>
      <c r="H200" s="60" t="s">
        <v>843</v>
      </c>
    </row>
    <row r="201" spans="8:8" ht="15.0" customHeight="1">
      <c r="A201" s="60" t="s">
        <v>165</v>
      </c>
      <c r="B201" s="60" t="s">
        <v>774</v>
      </c>
      <c r="C201" s="60" t="s">
        <v>475</v>
      </c>
      <c r="D201" s="78">
        <v>4026900.0</v>
      </c>
      <c r="E201" s="78">
        <v>3693066.0</v>
      </c>
      <c r="F201" s="78">
        <v>333834.0</v>
      </c>
      <c r="G201" s="153">
        <v>0.08</v>
      </c>
      <c r="H201" s="60" t="s">
        <v>844</v>
      </c>
    </row>
    <row r="202" spans="8:8" ht="15.0" customHeight="1">
      <c r="A202" s="60" t="s">
        <v>104</v>
      </c>
      <c r="B202" s="60" t="s">
        <v>754</v>
      </c>
      <c r="C202" s="60" t="s">
        <v>105</v>
      </c>
      <c r="D202" s="78">
        <v>44340.0</v>
      </c>
      <c r="E202" s="78">
        <v>43100.0</v>
      </c>
      <c r="F202" s="78">
        <v>1240.0</v>
      </c>
      <c r="G202" s="153">
        <v>0.03</v>
      </c>
      <c r="H202" s="60" t="s">
        <v>843</v>
      </c>
    </row>
    <row r="203" spans="8:8" ht="15.0" customHeight="1">
      <c r="A203" s="60" t="s">
        <v>104</v>
      </c>
      <c r="B203" s="60" t="s">
        <v>756</v>
      </c>
      <c r="C203" s="60" t="s">
        <v>118</v>
      </c>
      <c r="D203" s="78">
        <v>31550.0</v>
      </c>
      <c r="E203" s="78">
        <v>29980.0</v>
      </c>
      <c r="F203" s="78">
        <v>1570.0</v>
      </c>
      <c r="G203" s="153">
        <v>0.05</v>
      </c>
      <c r="H203" s="60" t="s">
        <v>843</v>
      </c>
    </row>
    <row r="204" spans="8:8" ht="15.0" customHeight="1">
      <c r="A204" s="60" t="s">
        <v>104</v>
      </c>
      <c r="B204" s="60" t="s">
        <v>758</v>
      </c>
      <c r="C204" s="60" t="s">
        <v>160</v>
      </c>
      <c r="D204" s="78">
        <v>15125.0</v>
      </c>
      <c r="E204" s="78">
        <v>13890.0</v>
      </c>
      <c r="F204" s="78">
        <v>1235.0</v>
      </c>
      <c r="G204" s="153">
        <v>0.08</v>
      </c>
      <c r="H204" s="60" t="s">
        <v>843</v>
      </c>
    </row>
    <row r="205" spans="8:8" ht="15.0" customHeight="1">
      <c r="A205" s="60" t="s">
        <v>104</v>
      </c>
      <c r="B205" s="60" t="s">
        <v>760</v>
      </c>
      <c r="C205" s="60" t="s">
        <v>189</v>
      </c>
      <c r="D205" s="78">
        <v>284450.0</v>
      </c>
      <c r="E205" s="78">
        <v>259300.0</v>
      </c>
      <c r="F205" s="78">
        <v>25150.0</v>
      </c>
      <c r="G205" s="153">
        <v>0.09</v>
      </c>
      <c r="H205" s="60" t="s">
        <v>843</v>
      </c>
    </row>
    <row r="206" spans="8:8" ht="15.0" customHeight="1">
      <c r="A206" s="60" t="s">
        <v>104</v>
      </c>
      <c r="B206" s="60" t="s">
        <v>763</v>
      </c>
      <c r="C206" s="60" t="s">
        <v>227</v>
      </c>
      <c r="D206" s="78">
        <v>106000.0</v>
      </c>
      <c r="E206" s="78">
        <v>104000.0</v>
      </c>
      <c r="F206" s="78">
        <v>2000.0</v>
      </c>
      <c r="G206" s="153">
        <v>0.02</v>
      </c>
      <c r="H206" s="60" t="s">
        <v>843</v>
      </c>
    </row>
    <row r="207" spans="8:8" ht="15.0" customHeight="1">
      <c r="A207" s="60" t="s">
        <v>104</v>
      </c>
      <c r="B207" s="60" t="s">
        <v>764</v>
      </c>
      <c r="C207" s="60" t="s">
        <v>242</v>
      </c>
      <c r="D207" s="78">
        <v>20655.0</v>
      </c>
      <c r="E207" s="78">
        <v>19305.0</v>
      </c>
      <c r="F207" s="78">
        <v>1350.0</v>
      </c>
      <c r="G207" s="153">
        <v>0.07</v>
      </c>
      <c r="H207" s="60" t="s">
        <v>843</v>
      </c>
    </row>
    <row r="208" spans="8:8" ht="15.0" customHeight="1">
      <c r="A208" s="60" t="s">
        <v>104</v>
      </c>
      <c r="B208" s="60" t="s">
        <v>766</v>
      </c>
      <c r="C208" s="60" t="s">
        <v>281</v>
      </c>
      <c r="D208" s="78">
        <v>13460.0</v>
      </c>
      <c r="E208" s="78">
        <v>12855.0</v>
      </c>
      <c r="F208" s="78">
        <v>605.0</v>
      </c>
      <c r="G208" s="153">
        <v>0.04</v>
      </c>
      <c r="H208" s="60" t="s">
        <v>844</v>
      </c>
    </row>
    <row r="209" spans="8:8" ht="15.0" customHeight="1">
      <c r="A209" s="60" t="s">
        <v>104</v>
      </c>
      <c r="B209" s="60" t="s">
        <v>767</v>
      </c>
      <c r="C209" s="60" t="s">
        <v>316</v>
      </c>
      <c r="D209" s="78">
        <v>750.0</v>
      </c>
      <c r="E209" s="78">
        <v>577.0</v>
      </c>
      <c r="F209" s="78">
        <v>173.0</v>
      </c>
      <c r="G209" s="153">
        <v>0.23</v>
      </c>
      <c r="H209" s="60" t="s">
        <v>844</v>
      </c>
    </row>
    <row r="210" spans="8:8" ht="15.0" customHeight="1">
      <c r="A210" s="60" t="s">
        <v>104</v>
      </c>
      <c r="B210" s="60" t="s">
        <v>772</v>
      </c>
      <c r="C210" s="60" t="s">
        <v>432</v>
      </c>
      <c r="D210" s="78">
        <v>383075.0</v>
      </c>
      <c r="E210" s="78">
        <v>358735.0</v>
      </c>
      <c r="F210" s="78">
        <v>24340.0</v>
      </c>
      <c r="G210" s="153">
        <v>0.06</v>
      </c>
      <c r="H210" s="60" t="s">
        <v>844</v>
      </c>
    </row>
    <row r="211" spans="8:8" ht="15.0" customHeight="1">
      <c r="A211" s="60" t="s">
        <v>104</v>
      </c>
      <c r="B211" s="60" t="s">
        <v>773</v>
      </c>
      <c r="C211" s="60" t="s">
        <v>444</v>
      </c>
      <c r="D211" s="78">
        <v>49775.0</v>
      </c>
      <c r="E211" s="78">
        <v>47480.0</v>
      </c>
      <c r="F211" s="78">
        <v>2295.0</v>
      </c>
      <c r="G211" s="153">
        <v>0.05</v>
      </c>
      <c r="H211" s="60" t="s">
        <v>844</v>
      </c>
    </row>
    <row r="212" spans="8:8" ht="15.0" customHeight="1">
      <c r="A212" s="60" t="s">
        <v>104</v>
      </c>
      <c r="B212" s="60" t="s">
        <v>773</v>
      </c>
      <c r="C212" s="60" t="s">
        <v>448</v>
      </c>
      <c r="D212" s="78">
        <v>135000.0</v>
      </c>
      <c r="E212" s="78">
        <v>127716.0</v>
      </c>
      <c r="F212" s="78">
        <v>7284.0</v>
      </c>
      <c r="G212" s="153">
        <v>0.05</v>
      </c>
      <c r="H212" s="60" t="s">
        <v>844</v>
      </c>
    </row>
    <row r="213" spans="8:8" ht="15.0" customHeight="1">
      <c r="A213" s="60" t="s">
        <v>104</v>
      </c>
      <c r="B213" s="60" t="s">
        <v>773</v>
      </c>
      <c r="C213" s="60" t="s">
        <v>462</v>
      </c>
      <c r="D213" s="78">
        <v>80725.0</v>
      </c>
      <c r="E213" s="78">
        <v>76236.0</v>
      </c>
      <c r="F213" s="78">
        <v>4489.0</v>
      </c>
      <c r="G213" s="153">
        <v>0.06</v>
      </c>
      <c r="H213" s="60" t="s">
        <v>844</v>
      </c>
    </row>
    <row r="214" spans="8:8" ht="15.0" customHeight="1">
      <c r="A214" s="60" t="s">
        <v>104</v>
      </c>
      <c r="B214" s="60" t="s">
        <v>774</v>
      </c>
      <c r="C214" s="60" t="s">
        <v>469</v>
      </c>
      <c r="D214" s="78">
        <v>16145.0</v>
      </c>
      <c r="E214" s="78">
        <v>15247.0</v>
      </c>
      <c r="F214" s="78">
        <v>898.0</v>
      </c>
      <c r="G214" s="153">
        <v>0.06</v>
      </c>
      <c r="H214" s="60" t="s">
        <v>844</v>
      </c>
    </row>
    <row r="215" spans="8:8" ht="15.0" customHeight="1">
      <c r="A215" s="60" t="s">
        <v>104</v>
      </c>
      <c r="B215" s="60" t="s">
        <v>775</v>
      </c>
      <c r="C215" s="60" t="s">
        <v>511</v>
      </c>
      <c r="D215" s="78">
        <v>35630.0</v>
      </c>
      <c r="E215" s="78">
        <v>33960.0</v>
      </c>
      <c r="F215" s="78">
        <v>1670.0</v>
      </c>
      <c r="G215" s="153">
        <v>0.05</v>
      </c>
      <c r="H215" s="60" t="s">
        <v>844</v>
      </c>
    </row>
    <row r="216" spans="8:8" ht="15.0" customHeight="1">
      <c r="A216" s="60" t="s">
        <v>104</v>
      </c>
      <c r="B216" s="60" t="s">
        <v>778</v>
      </c>
      <c r="C216" s="60" t="s">
        <v>553</v>
      </c>
      <c r="D216" s="78">
        <v>5000.0</v>
      </c>
      <c r="E216" s="78">
        <v>5200.0</v>
      </c>
      <c r="F216" s="78">
        <v>-200.0</v>
      </c>
      <c r="G216" s="153">
        <v>-0.04</v>
      </c>
      <c r="H216" s="60" t="s">
        <v>844</v>
      </c>
    </row>
    <row r="217" spans="8:8" ht="15.0" customHeight="1">
      <c r="A217" s="60" t="s">
        <v>59</v>
      </c>
      <c r="B217" s="60" t="s">
        <v>752</v>
      </c>
      <c r="C217" s="60" t="s">
        <v>60</v>
      </c>
      <c r="D217" s="78">
        <v>67080.0</v>
      </c>
      <c r="E217" s="78">
        <v>62850.0</v>
      </c>
      <c r="F217" s="78">
        <v>4230.0</v>
      </c>
      <c r="G217" s="153">
        <v>0.06</v>
      </c>
      <c r="H217" s="60" t="s">
        <v>843</v>
      </c>
    </row>
    <row r="218" spans="8:8" ht="15.0" customHeight="1">
      <c r="A218" s="60" t="s">
        <v>59</v>
      </c>
      <c r="B218" s="60" t="s">
        <v>757</v>
      </c>
      <c r="C218" s="60" t="s">
        <v>137</v>
      </c>
      <c r="D218" s="78">
        <v>1170400.0</v>
      </c>
      <c r="E218" s="78">
        <v>1204100.0</v>
      </c>
      <c r="F218" s="78">
        <v>-33700.0</v>
      </c>
      <c r="G218" s="153">
        <v>-0.03</v>
      </c>
      <c r="H218" s="60" t="s">
        <v>843</v>
      </c>
    </row>
    <row r="219" spans="8:8" ht="15.0" customHeight="1">
      <c r="A219" s="60" t="s">
        <v>59</v>
      </c>
      <c r="B219" s="60" t="s">
        <v>758</v>
      </c>
      <c r="C219" s="60" t="s">
        <v>171</v>
      </c>
      <c r="D219" s="78">
        <v>535500.0</v>
      </c>
      <c r="E219" s="78">
        <v>502875.0</v>
      </c>
      <c r="F219" s="78">
        <v>32625.0</v>
      </c>
      <c r="G219" s="153">
        <v>0.06</v>
      </c>
      <c r="H219" s="60" t="s">
        <v>843</v>
      </c>
    </row>
    <row r="220" spans="8:8" ht="15.0" customHeight="1">
      <c r="A220" s="60" t="s">
        <v>59</v>
      </c>
      <c r="B220" s="60" t="s">
        <v>773</v>
      </c>
      <c r="C220" s="60" t="s">
        <v>446</v>
      </c>
      <c r="D220" s="78">
        <v>1300000.0</v>
      </c>
      <c r="E220" s="78">
        <v>1352000.0</v>
      </c>
      <c r="F220" s="78">
        <v>-52000.0</v>
      </c>
      <c r="G220" s="153">
        <v>-0.04</v>
      </c>
      <c r="H220" s="60" t="s">
        <v>844</v>
      </c>
    </row>
    <row r="221" spans="8:8" ht="15.0" customHeight="1">
      <c r="A221" s="60" t="s">
        <v>59</v>
      </c>
      <c r="B221" s="60" t="s">
        <v>774</v>
      </c>
      <c r="C221" s="60" t="s">
        <v>479</v>
      </c>
      <c r="D221" s="78">
        <v>440000.0</v>
      </c>
      <c r="E221" s="78">
        <v>407041.0</v>
      </c>
      <c r="F221" s="78">
        <v>32959.0</v>
      </c>
      <c r="G221" s="153">
        <v>0.07</v>
      </c>
      <c r="H221" s="60" t="s">
        <v>844</v>
      </c>
    </row>
    <row r="222" spans="8:8" ht="15.0" customHeight="1">
      <c r="A222" s="60" t="s">
        <v>59</v>
      </c>
      <c r="B222" s="60" t="s">
        <v>774</v>
      </c>
      <c r="C222" s="60" t="s">
        <v>488</v>
      </c>
      <c r="D222" s="78">
        <v>500000.0</v>
      </c>
      <c r="E222" s="78">
        <v>520000.0</v>
      </c>
      <c r="F222" s="78">
        <v>-20000.0</v>
      </c>
      <c r="G222" s="153">
        <v>-0.04</v>
      </c>
      <c r="H222" s="60" t="s">
        <v>844</v>
      </c>
    </row>
    <row r="223" spans="8:8" ht="15.0" customHeight="1">
      <c r="A223" s="60" t="s">
        <v>59</v>
      </c>
      <c r="B223" s="60" t="s">
        <v>774</v>
      </c>
      <c r="C223" s="60" t="s">
        <v>492</v>
      </c>
      <c r="D223" s="78">
        <v>380200.0</v>
      </c>
      <c r="E223" s="78">
        <v>388850.0</v>
      </c>
      <c r="F223" s="78">
        <v>-8650.0</v>
      </c>
      <c r="G223" s="153">
        <v>-0.02</v>
      </c>
      <c r="H223" s="60" t="s">
        <v>844</v>
      </c>
    </row>
    <row r="224" spans="8:8" ht="15.0" customHeight="1">
      <c r="A224" s="60" t="s">
        <v>168</v>
      </c>
      <c r="B224" s="60" t="s">
        <v>758</v>
      </c>
      <c r="C224" s="60" t="s">
        <v>169</v>
      </c>
      <c r="D224" s="78">
        <v>775800.0</v>
      </c>
      <c r="E224" s="78">
        <v>764806.0</v>
      </c>
      <c r="F224" s="78">
        <v>10994.0</v>
      </c>
      <c r="G224" s="153">
        <v>0.01</v>
      </c>
      <c r="H224" s="60" t="s">
        <v>843</v>
      </c>
    </row>
    <row r="225" spans="8:8" ht="15.0" customHeight="1">
      <c r="A225" s="60" t="s">
        <v>168</v>
      </c>
      <c r="B225" s="60" t="s">
        <v>758</v>
      </c>
      <c r="C225" s="60" t="s">
        <v>170</v>
      </c>
      <c r="D225" s="78">
        <v>120000.0</v>
      </c>
      <c r="E225" s="78">
        <v>8265.0</v>
      </c>
      <c r="F225" s="78">
        <v>111735.0</v>
      </c>
      <c r="G225" s="153">
        <v>0.93</v>
      </c>
      <c r="H225" s="60" t="s">
        <v>843</v>
      </c>
    </row>
    <row r="226" spans="8:8" ht="15.0" customHeight="1">
      <c r="A226" s="60" t="s">
        <v>212</v>
      </c>
      <c r="B226" s="60" t="s">
        <v>762</v>
      </c>
      <c r="C226" s="60" t="s">
        <v>213</v>
      </c>
      <c r="D226" s="78">
        <v>46000.0</v>
      </c>
      <c r="E226" s="78">
        <v>43284.0</v>
      </c>
      <c r="F226" s="78">
        <v>2716.0</v>
      </c>
      <c r="G226" s="153">
        <v>0.06</v>
      </c>
      <c r="H226" s="60" t="s">
        <v>843</v>
      </c>
    </row>
    <row r="227" spans="8:8" ht="15.0" customHeight="1">
      <c r="A227" s="60" t="s">
        <v>212</v>
      </c>
      <c r="B227" s="60" t="s">
        <v>768</v>
      </c>
      <c r="C227" s="60" t="s">
        <v>344</v>
      </c>
      <c r="D227" s="78">
        <v>54600.0</v>
      </c>
      <c r="E227" s="78">
        <v>50336.0</v>
      </c>
      <c r="F227" s="78">
        <v>4264.0</v>
      </c>
      <c r="G227" s="153">
        <v>0.08</v>
      </c>
      <c r="H227" s="60" t="s">
        <v>844</v>
      </c>
    </row>
    <row r="228" spans="8:8" ht="15.0" customHeight="1">
      <c r="A228" s="60" t="s">
        <v>212</v>
      </c>
      <c r="B228" s="60" t="s">
        <v>772</v>
      </c>
      <c r="C228" s="60" t="s">
        <v>434</v>
      </c>
      <c r="D228" s="78">
        <v>154730.0</v>
      </c>
      <c r="E228" s="78">
        <v>143894.0</v>
      </c>
      <c r="F228" s="78">
        <v>10836.0</v>
      </c>
      <c r="G228" s="153">
        <v>0.07</v>
      </c>
      <c r="H228" s="60" t="s">
        <v>844</v>
      </c>
    </row>
    <row r="229" spans="8:8" ht="15.0" customHeight="1">
      <c r="A229" s="60" t="s">
        <v>212</v>
      </c>
      <c r="B229" s="60" t="s">
        <v>773</v>
      </c>
      <c r="C229" s="60" t="s">
        <v>451</v>
      </c>
      <c r="D229" s="78">
        <v>27600.0</v>
      </c>
      <c r="E229" s="78">
        <v>25970.0</v>
      </c>
      <c r="F229" s="78">
        <v>1630.0</v>
      </c>
      <c r="G229" s="153">
        <v>0.06</v>
      </c>
      <c r="H229" s="60" t="s">
        <v>844</v>
      </c>
    </row>
    <row r="230" spans="8:8" ht="15.0" customHeight="1">
      <c r="A230" s="60" t="s">
        <v>212</v>
      </c>
      <c r="B230" s="60" t="s">
        <v>774</v>
      </c>
      <c r="C230" s="60" t="s">
        <v>471</v>
      </c>
      <c r="D230" s="78">
        <v>45300.0</v>
      </c>
      <c r="E230" s="78">
        <v>41503.0</v>
      </c>
      <c r="F230" s="78">
        <v>3797.0</v>
      </c>
      <c r="G230" s="153">
        <v>0.08</v>
      </c>
      <c r="H230" s="60" t="s">
        <v>844</v>
      </c>
    </row>
    <row r="231" spans="8:8" ht="15.0" customHeight="1">
      <c r="A231" s="60" t="s">
        <v>212</v>
      </c>
      <c r="B231" s="60" t="s">
        <v>775</v>
      </c>
      <c r="C231" s="60" t="s">
        <v>494</v>
      </c>
      <c r="D231" s="78">
        <v>46000.0</v>
      </c>
      <c r="E231" s="78">
        <v>43617.0</v>
      </c>
      <c r="F231" s="78">
        <v>2383.0</v>
      </c>
      <c r="G231" s="153">
        <v>0.05</v>
      </c>
      <c r="H231" s="60" t="s">
        <v>844</v>
      </c>
    </row>
    <row r="232" spans="8:8" ht="15.0" customHeight="1">
      <c r="A232" s="60" t="s">
        <v>212</v>
      </c>
      <c r="B232" s="60" t="s">
        <v>777</v>
      </c>
      <c r="C232" s="60" t="s">
        <v>537</v>
      </c>
      <c r="D232" s="78">
        <v>18300.0</v>
      </c>
      <c r="E232" s="78">
        <v>17150.0</v>
      </c>
      <c r="F232" s="78">
        <v>1150.0</v>
      </c>
      <c r="G232" s="153">
        <v>0.06</v>
      </c>
      <c r="H232" s="60" t="s">
        <v>844</v>
      </c>
    </row>
    <row r="233" spans="8:8" ht="15.0" customHeight="1">
      <c r="A233" s="60" t="s">
        <v>109</v>
      </c>
      <c r="B233" s="60" t="s">
        <v>756</v>
      </c>
      <c r="C233" s="60" t="s">
        <v>110</v>
      </c>
      <c r="D233" s="78">
        <v>18300.0</v>
      </c>
      <c r="E233" s="78">
        <v>17150.0</v>
      </c>
      <c r="F233" s="78">
        <v>1150.0</v>
      </c>
      <c r="G233" s="153">
        <v>0.06</v>
      </c>
      <c r="H233" s="60" t="s">
        <v>843</v>
      </c>
    </row>
    <row r="234" spans="8:8" ht="15.0" customHeight="1">
      <c r="A234" s="60" t="s">
        <v>109</v>
      </c>
      <c r="B234" s="60" t="s">
        <v>777</v>
      </c>
      <c r="C234" s="60" t="s">
        <v>530</v>
      </c>
      <c r="D234" s="78">
        <v>9500.0</v>
      </c>
      <c r="E234" s="78">
        <v>8657.0</v>
      </c>
      <c r="F234" s="78">
        <v>843.0</v>
      </c>
      <c r="G234" s="153">
        <v>0.09</v>
      </c>
      <c r="H234" s="60" t="s">
        <v>844</v>
      </c>
    </row>
    <row r="235" spans="8:8" ht="15.0" customHeight="1">
      <c r="A235" s="60" t="s">
        <v>109</v>
      </c>
      <c r="B235" s="60" t="s">
        <v>777</v>
      </c>
      <c r="C235" s="60" t="s">
        <v>535</v>
      </c>
      <c r="D235" s="78">
        <v>13950.0</v>
      </c>
      <c r="E235" s="78">
        <v>12746.0</v>
      </c>
      <c r="F235" s="78">
        <v>1204.0</v>
      </c>
      <c r="G235" s="153">
        <v>0.09</v>
      </c>
      <c r="H235" s="60" t="s">
        <v>844</v>
      </c>
    </row>
    <row r="236" spans="8:8" ht="15.0" customHeight="1">
      <c r="A236" s="60" t="s">
        <v>109</v>
      </c>
      <c r="B236" s="60" t="s">
        <v>777</v>
      </c>
      <c r="C236" s="60" t="s">
        <v>536</v>
      </c>
      <c r="D236" s="78">
        <v>12525.0</v>
      </c>
      <c r="E236" s="78">
        <v>11315.0</v>
      </c>
      <c r="F236" s="78">
        <v>1210.0</v>
      </c>
      <c r="G236" s="153">
        <v>0.1</v>
      </c>
      <c r="H236" s="60" t="s">
        <v>844</v>
      </c>
    </row>
    <row r="237" spans="8:8" ht="15.0" customHeight="1">
      <c r="A237" s="60" t="s">
        <v>294</v>
      </c>
      <c r="B237" s="60" t="s">
        <v>766</v>
      </c>
      <c r="C237" s="60" t="s">
        <v>295</v>
      </c>
      <c r="D237" s="78">
        <v>2976000.0</v>
      </c>
      <c r="E237" s="78">
        <v>2951040.0</v>
      </c>
      <c r="F237" s="78">
        <v>24960.0</v>
      </c>
      <c r="G237" s="153">
        <v>0.01</v>
      </c>
      <c r="H237" s="60" t="s">
        <v>844</v>
      </c>
    </row>
    <row r="238" spans="8:8" ht="15.0" customHeight="1">
      <c r="A238" s="60" t="s">
        <v>163</v>
      </c>
      <c r="B238" s="60" t="s">
        <v>758</v>
      </c>
      <c r="C238" s="60" t="s">
        <v>164</v>
      </c>
      <c r="D238" s="78">
        <v>167570.0</v>
      </c>
      <c r="E238" s="78">
        <v>156747.0</v>
      </c>
      <c r="F238" s="78">
        <v>10823.0</v>
      </c>
      <c r="G238" s="153">
        <v>0.06</v>
      </c>
      <c r="H238" s="60" t="s">
        <v>843</v>
      </c>
    </row>
    <row r="239" spans="8:8" ht="15.0" customHeight="1">
      <c r="A239" s="60" t="s">
        <v>163</v>
      </c>
      <c r="B239" s="60" t="s">
        <v>760</v>
      </c>
      <c r="C239" s="60" t="s">
        <v>194</v>
      </c>
      <c r="D239" s="78">
        <v>61125.0</v>
      </c>
      <c r="E239" s="78">
        <v>58500.0</v>
      </c>
      <c r="F239" s="78">
        <v>2625.0</v>
      </c>
      <c r="G239" s="153">
        <v>0.04</v>
      </c>
      <c r="H239" s="60" t="s">
        <v>843</v>
      </c>
    </row>
    <row r="240" spans="8:8" ht="15.0" customHeight="1">
      <c r="A240" s="60" t="s">
        <v>163</v>
      </c>
      <c r="B240" s="60" t="s">
        <v>766</v>
      </c>
      <c r="C240" s="60" t="s">
        <v>297</v>
      </c>
      <c r="D240" s="78">
        <v>13200.0</v>
      </c>
      <c r="E240" s="78">
        <v>13501.0</v>
      </c>
      <c r="F240" s="78">
        <v>-301.0</v>
      </c>
      <c r="G240" s="153">
        <v>-0.02</v>
      </c>
      <c r="H240" s="60" t="s">
        <v>844</v>
      </c>
    </row>
    <row r="241" spans="8:8" ht="15.0" customHeight="1">
      <c r="A241" s="60" t="s">
        <v>163</v>
      </c>
      <c r="B241" s="60" t="s">
        <v>766</v>
      </c>
      <c r="C241" s="60" t="s">
        <v>300</v>
      </c>
      <c r="D241" s="78">
        <v>84625.0</v>
      </c>
      <c r="E241" s="78">
        <v>79894.0</v>
      </c>
      <c r="F241" s="78">
        <v>4731.0</v>
      </c>
      <c r="G241" s="153">
        <v>0.06</v>
      </c>
      <c r="H241" s="60" t="s">
        <v>844</v>
      </c>
    </row>
    <row r="242" spans="8:8" ht="15.0" customHeight="1">
      <c r="A242" s="60" t="s">
        <v>102</v>
      </c>
      <c r="B242" s="60" t="s">
        <v>754</v>
      </c>
      <c r="C242" s="60" t="s">
        <v>103</v>
      </c>
      <c r="D242" s="78">
        <v>9500.0</v>
      </c>
      <c r="E242" s="78">
        <v>8637.0</v>
      </c>
      <c r="F242" s="78">
        <v>863.0</v>
      </c>
      <c r="G242" s="153">
        <v>0.09</v>
      </c>
      <c r="H242" s="60" t="s">
        <v>843</v>
      </c>
    </row>
    <row r="243" spans="8:8" ht="15.0" customHeight="1">
      <c r="A243" s="60" t="s">
        <v>102</v>
      </c>
      <c r="B243" s="60" t="s">
        <v>758</v>
      </c>
      <c r="C243" s="60" t="s">
        <v>156</v>
      </c>
      <c r="D243" s="78">
        <v>9500.0</v>
      </c>
      <c r="E243" s="78">
        <v>8637.0</v>
      </c>
      <c r="F243" s="78">
        <v>863.0</v>
      </c>
      <c r="G243" s="153">
        <v>0.09</v>
      </c>
      <c r="H243" s="60" t="s">
        <v>843</v>
      </c>
    </row>
    <row r="244" spans="8:8" ht="15.0" customHeight="1">
      <c r="A244" s="60" t="s">
        <v>102</v>
      </c>
      <c r="B244" s="60" t="s">
        <v>761</v>
      </c>
      <c r="C244" s="60" t="s">
        <v>198</v>
      </c>
      <c r="D244" s="78">
        <v>56000.0</v>
      </c>
      <c r="E244" s="78">
        <v>51146.0</v>
      </c>
      <c r="F244" s="78">
        <v>4854.0</v>
      </c>
      <c r="G244" s="153">
        <v>0.09</v>
      </c>
      <c r="H244" s="60" t="s">
        <v>843</v>
      </c>
    </row>
    <row r="245" spans="8:8" ht="15.0" customHeight="1">
      <c r="A245" s="60" t="s">
        <v>102</v>
      </c>
      <c r="B245" s="60" t="s">
        <v>761</v>
      </c>
      <c r="C245" s="60" t="s">
        <v>209</v>
      </c>
      <c r="D245" s="78">
        <v>9500.0</v>
      </c>
      <c r="E245" s="78">
        <v>8525.0</v>
      </c>
      <c r="F245" s="78">
        <v>975.0</v>
      </c>
      <c r="G245" s="153">
        <v>0.1</v>
      </c>
      <c r="H245" s="60" t="s">
        <v>843</v>
      </c>
    </row>
    <row r="246" spans="8:8" ht="15.0" customHeight="1">
      <c r="A246" s="60" t="s">
        <v>102</v>
      </c>
      <c r="B246" s="60" t="s">
        <v>765</v>
      </c>
      <c r="C246" s="60" t="s">
        <v>278</v>
      </c>
      <c r="D246" s="78">
        <v>9500.0</v>
      </c>
      <c r="E246" s="78">
        <v>8990.0</v>
      </c>
      <c r="F246" s="78">
        <v>510.0</v>
      </c>
      <c r="G246" s="153">
        <v>0.05</v>
      </c>
      <c r="H246" s="60" t="s">
        <v>844</v>
      </c>
    </row>
    <row r="247" spans="8:8" ht="15.0" customHeight="1">
      <c r="A247" s="60" t="s">
        <v>102</v>
      </c>
      <c r="B247" s="60" t="s">
        <v>767</v>
      </c>
      <c r="C247" s="60" t="s">
        <v>338</v>
      </c>
      <c r="D247" s="78">
        <v>9500.0</v>
      </c>
      <c r="E247" s="78">
        <v>8525.0</v>
      </c>
      <c r="F247" s="78">
        <v>975.0</v>
      </c>
      <c r="G247" s="153">
        <v>0.1</v>
      </c>
      <c r="H247" s="60" t="s">
        <v>844</v>
      </c>
    </row>
    <row r="248" spans="8:8" ht="15.0" customHeight="1">
      <c r="A248" s="60" t="s">
        <v>102</v>
      </c>
      <c r="B248" s="60" t="s">
        <v>772</v>
      </c>
      <c r="C248" s="60" t="s">
        <v>425</v>
      </c>
      <c r="D248" s="78">
        <v>9500.0</v>
      </c>
      <c r="E248" s="78">
        <v>8657.0</v>
      </c>
      <c r="F248" s="78">
        <v>843.0</v>
      </c>
      <c r="G248" s="153">
        <v>0.09</v>
      </c>
      <c r="H248" s="60" t="s">
        <v>844</v>
      </c>
    </row>
    <row r="249" spans="8:8" ht="15.0" customHeight="1">
      <c r="A249" s="60" t="s">
        <v>102</v>
      </c>
      <c r="B249" s="60" t="s">
        <v>772</v>
      </c>
      <c r="C249" s="60" t="s">
        <v>426</v>
      </c>
      <c r="D249" s="78">
        <v>13950.0</v>
      </c>
      <c r="E249" s="78">
        <v>12747.0</v>
      </c>
      <c r="F249" s="78">
        <v>1203.0</v>
      </c>
      <c r="G249" s="153">
        <v>0.09</v>
      </c>
      <c r="H249" s="60" t="s">
        <v>844</v>
      </c>
    </row>
    <row r="250" spans="8:8" ht="15.0" customHeight="1">
      <c r="A250" s="60" t="s">
        <v>102</v>
      </c>
      <c r="B250" s="60" t="s">
        <v>773</v>
      </c>
      <c r="C250" s="60" t="s">
        <v>464</v>
      </c>
      <c r="D250" s="78">
        <v>9500.0</v>
      </c>
      <c r="E250" s="78">
        <v>8657.0</v>
      </c>
      <c r="F250" s="78">
        <v>843.0</v>
      </c>
      <c r="G250" s="153">
        <v>0.09</v>
      </c>
      <c r="H250" s="60" t="s">
        <v>844</v>
      </c>
    </row>
    <row r="251" spans="8:8" ht="15.0" customHeight="1">
      <c r="A251" s="60" t="s">
        <v>102</v>
      </c>
      <c r="B251" s="60" t="s">
        <v>773</v>
      </c>
      <c r="C251" s="60" t="s">
        <v>465</v>
      </c>
      <c r="D251" s="78">
        <v>13950.0</v>
      </c>
      <c r="E251" s="78">
        <v>12747.0</v>
      </c>
      <c r="F251" s="78">
        <v>1203.0</v>
      </c>
      <c r="G251" s="153">
        <v>0.09</v>
      </c>
      <c r="H251" s="60" t="s">
        <v>844</v>
      </c>
    </row>
    <row r="252" spans="8:8" ht="15.0" customHeight="1">
      <c r="A252" s="60" t="s">
        <v>102</v>
      </c>
      <c r="B252" s="60" t="s">
        <v>778</v>
      </c>
      <c r="C252" s="60" t="s">
        <v>539</v>
      </c>
      <c r="D252" s="78">
        <v>9500.0</v>
      </c>
      <c r="E252" s="78">
        <v>8657.0</v>
      </c>
      <c r="F252" s="78">
        <v>843.0</v>
      </c>
      <c r="G252" s="153">
        <v>0.09</v>
      </c>
      <c r="H252" s="60" t="s">
        <v>844</v>
      </c>
    </row>
    <row r="253" spans="8:8" ht="15.0" customHeight="1">
      <c r="A253" s="60" t="s">
        <v>50</v>
      </c>
      <c r="B253" s="60" t="s">
        <v>752</v>
      </c>
      <c r="C253" s="60" t="s">
        <v>51</v>
      </c>
      <c r="D253" s="78">
        <v>1421000.0</v>
      </c>
      <c r="E253" s="78">
        <v>1426855.0</v>
      </c>
      <c r="F253" s="78">
        <v>-5855.0</v>
      </c>
      <c r="G253" s="153">
        <v>0.0</v>
      </c>
      <c r="H253" s="60" t="s">
        <v>843</v>
      </c>
    </row>
    <row r="254" spans="8:8" ht="15.0" customHeight="1">
      <c r="A254" s="60" t="s">
        <v>50</v>
      </c>
      <c r="B254" s="60" t="s">
        <v>753</v>
      </c>
      <c r="C254" s="60" t="s">
        <v>83</v>
      </c>
      <c r="D254" s="78">
        <v>710000.0</v>
      </c>
      <c r="E254" s="78">
        <v>684000.0</v>
      </c>
      <c r="F254" s="78">
        <v>26000.0</v>
      </c>
      <c r="G254" s="153">
        <v>0.04</v>
      </c>
      <c r="H254" s="60" t="s">
        <v>843</v>
      </c>
    </row>
    <row r="255" spans="8:8" ht="15.0" customHeight="1">
      <c r="A255" s="60" t="s">
        <v>50</v>
      </c>
      <c r="B255" s="60" t="s">
        <v>753</v>
      </c>
      <c r="C255" s="60" t="s">
        <v>88</v>
      </c>
      <c r="D255" s="78">
        <v>516000.0</v>
      </c>
      <c r="E255" s="78">
        <v>513000.0</v>
      </c>
      <c r="F255" s="78">
        <v>3000.0</v>
      </c>
      <c r="G255" s="153">
        <v>0.01</v>
      </c>
      <c r="H255" s="60" t="s">
        <v>843</v>
      </c>
    </row>
    <row r="256" spans="8:8" ht="15.0" customHeight="1">
      <c r="A256" s="60" t="s">
        <v>50</v>
      </c>
      <c r="B256" s="60" t="s">
        <v>754</v>
      </c>
      <c r="C256" s="60" t="s">
        <v>91</v>
      </c>
      <c r="D256" s="78">
        <v>1326000.0</v>
      </c>
      <c r="E256" s="78">
        <v>1375100.0</v>
      </c>
      <c r="F256" s="78">
        <v>-49100.0</v>
      </c>
      <c r="G256" s="153">
        <v>-0.04</v>
      </c>
      <c r="H256" s="60" t="s">
        <v>843</v>
      </c>
    </row>
    <row r="257" spans="8:8" ht="15.0" customHeight="1">
      <c r="A257" s="60" t="s">
        <v>50</v>
      </c>
      <c r="B257" s="60" t="s">
        <v>754</v>
      </c>
      <c r="C257" s="60" t="s">
        <v>92</v>
      </c>
      <c r="D257" s="78">
        <v>842250.0</v>
      </c>
      <c r="E257" s="78">
        <v>857292.0</v>
      </c>
      <c r="F257" s="78">
        <v>-15042.0</v>
      </c>
      <c r="G257" s="153">
        <v>-0.02</v>
      </c>
      <c r="H257" s="60" t="s">
        <v>843</v>
      </c>
    </row>
    <row r="258" spans="8:8" ht="15.0" customHeight="1">
      <c r="A258" s="60" t="s">
        <v>50</v>
      </c>
      <c r="B258" s="60" t="s">
        <v>757</v>
      </c>
      <c r="C258" s="60" t="s">
        <v>130</v>
      </c>
      <c r="D258" s="78">
        <v>172000.0</v>
      </c>
      <c r="E258" s="78">
        <v>171000.0</v>
      </c>
      <c r="F258" s="78">
        <v>1000.0</v>
      </c>
      <c r="G258" s="153">
        <v>0.01</v>
      </c>
      <c r="H258" s="60" t="s">
        <v>843</v>
      </c>
    </row>
    <row r="259" spans="8:8" ht="15.0" customHeight="1">
      <c r="A259" s="60" t="s">
        <v>50</v>
      </c>
      <c r="B259" s="60" t="s">
        <v>759</v>
      </c>
      <c r="C259" s="60" t="s">
        <v>177</v>
      </c>
      <c r="D259" s="78">
        <v>1224685.0</v>
      </c>
      <c r="E259" s="78">
        <v>1173635.0</v>
      </c>
      <c r="F259" s="78">
        <v>51050.0</v>
      </c>
      <c r="G259" s="153">
        <v>0.04</v>
      </c>
      <c r="H259" s="60" t="s">
        <v>843</v>
      </c>
    </row>
    <row r="260" spans="8:8" ht="15.0" customHeight="1">
      <c r="A260" s="60" t="s">
        <v>50</v>
      </c>
      <c r="B260" s="60" t="s">
        <v>761</v>
      </c>
      <c r="C260" s="60" t="s">
        <v>207</v>
      </c>
      <c r="D260" s="78">
        <v>936840.0</v>
      </c>
      <c r="E260" s="78">
        <v>843647.0</v>
      </c>
      <c r="F260" s="78">
        <v>93193.0</v>
      </c>
      <c r="G260" s="153">
        <v>0.1</v>
      </c>
      <c r="H260" s="60" t="s">
        <v>843</v>
      </c>
    </row>
    <row r="261" spans="8:8" ht="15.0" customHeight="1">
      <c r="A261" s="60" t="s">
        <v>50</v>
      </c>
      <c r="B261" s="60" t="s">
        <v>763</v>
      </c>
      <c r="C261" s="60" t="s">
        <v>222</v>
      </c>
      <c r="D261" s="78">
        <v>1265000.0</v>
      </c>
      <c r="E261" s="78">
        <v>1315600.0</v>
      </c>
      <c r="F261" s="78">
        <v>-50600.0</v>
      </c>
      <c r="G261" s="153">
        <v>-0.04</v>
      </c>
      <c r="H261" s="60" t="s">
        <v>843</v>
      </c>
    </row>
    <row r="262" spans="8:8" ht="15.0" customHeight="1">
      <c r="A262" s="60" t="s">
        <v>50</v>
      </c>
      <c r="B262" s="60" t="s">
        <v>765</v>
      </c>
      <c r="C262" s="60" t="s">
        <v>258</v>
      </c>
      <c r="D262" s="78">
        <v>1877025.0</v>
      </c>
      <c r="E262" s="78">
        <v>1892820.0</v>
      </c>
      <c r="F262" s="78">
        <v>-15795.0</v>
      </c>
      <c r="G262" s="153">
        <v>-0.01</v>
      </c>
      <c r="H262" s="60" t="s">
        <v>844</v>
      </c>
    </row>
    <row r="263" spans="8:8" ht="15.0" customHeight="1">
      <c r="A263" s="60" t="s">
        <v>50</v>
      </c>
      <c r="B263" s="60" t="s">
        <v>766</v>
      </c>
      <c r="C263" s="60" t="s">
        <v>279</v>
      </c>
      <c r="D263" s="78">
        <v>780000.0</v>
      </c>
      <c r="E263" s="78">
        <v>790692.0</v>
      </c>
      <c r="F263" s="78">
        <v>-10692.0</v>
      </c>
      <c r="G263" s="153">
        <v>-0.01</v>
      </c>
      <c r="H263" s="60" t="s">
        <v>844</v>
      </c>
    </row>
    <row r="264" spans="8:8" ht="15.0" customHeight="1">
      <c r="A264" s="60" t="s">
        <v>50</v>
      </c>
      <c r="B264" s="60" t="s">
        <v>766</v>
      </c>
      <c r="C264" s="60" t="s">
        <v>280</v>
      </c>
      <c r="D264" s="78">
        <v>322500.0</v>
      </c>
      <c r="E264" s="78">
        <v>337535.0</v>
      </c>
      <c r="F264" s="78">
        <v>-15035.0</v>
      </c>
      <c r="G264" s="153">
        <v>-0.05</v>
      </c>
      <c r="H264" s="60" t="s">
        <v>844</v>
      </c>
    </row>
    <row r="265" spans="8:8" ht="15.0" customHeight="1">
      <c r="A265" s="60" t="s">
        <v>50</v>
      </c>
      <c r="B265" s="60" t="s">
        <v>767</v>
      </c>
      <c r="C265" s="60" t="s">
        <v>317</v>
      </c>
      <c r="D265" s="78">
        <v>212000.0</v>
      </c>
      <c r="E265" s="78">
        <v>203415.0</v>
      </c>
      <c r="F265" s="78">
        <v>8585.0</v>
      </c>
      <c r="G265" s="153">
        <v>0.04</v>
      </c>
      <c r="H265" s="60" t="s">
        <v>844</v>
      </c>
    </row>
    <row r="266" spans="8:8" ht="15.0" customHeight="1">
      <c r="A266" s="60" t="s">
        <v>50</v>
      </c>
      <c r="B266" s="60" t="s">
        <v>767</v>
      </c>
      <c r="C266" s="60" t="s">
        <v>320</v>
      </c>
      <c r="D266" s="78">
        <v>440700.0</v>
      </c>
      <c r="E266" s="78">
        <v>383808.0</v>
      </c>
      <c r="F266" s="78">
        <v>56892.0</v>
      </c>
      <c r="G266" s="153">
        <v>0.13</v>
      </c>
      <c r="H266" s="60" t="s">
        <v>844</v>
      </c>
    </row>
    <row r="267" spans="8:8" ht="15.0" customHeight="1">
      <c r="A267" s="60" t="s">
        <v>50</v>
      </c>
      <c r="B267" s="60" t="s">
        <v>767</v>
      </c>
      <c r="C267" s="60" t="s">
        <v>332</v>
      </c>
      <c r="D267" s="78">
        <v>50000.0</v>
      </c>
      <c r="E267" s="78">
        <v>52000.0</v>
      </c>
      <c r="F267" s="78">
        <v>-2000.0</v>
      </c>
      <c r="G267" s="153">
        <v>-0.04</v>
      </c>
      <c r="H267" s="60" t="s">
        <v>844</v>
      </c>
    </row>
    <row r="268" spans="8:8" ht="15.0" customHeight="1">
      <c r="A268" s="60" t="s">
        <v>50</v>
      </c>
      <c r="B268" s="60" t="s">
        <v>768</v>
      </c>
      <c r="C268" s="60" t="s">
        <v>345</v>
      </c>
      <c r="D268" s="78">
        <v>1240000.0</v>
      </c>
      <c r="E268" s="78">
        <v>1289600.0</v>
      </c>
      <c r="F268" s="78">
        <v>-49600.0</v>
      </c>
      <c r="G268" s="153">
        <v>-0.04</v>
      </c>
      <c r="H268" s="60" t="s">
        <v>844</v>
      </c>
    </row>
    <row r="269" spans="8:8" ht="15.0" customHeight="1">
      <c r="A269" s="60" t="s">
        <v>50</v>
      </c>
      <c r="B269" s="60" t="s">
        <v>769</v>
      </c>
      <c r="C269" s="60" t="s">
        <v>373</v>
      </c>
      <c r="D269" s="78">
        <v>600000.0</v>
      </c>
      <c r="E269" s="78">
        <v>624000.0</v>
      </c>
      <c r="F269" s="78">
        <v>-24000.0</v>
      </c>
      <c r="G269" s="153">
        <v>-0.04</v>
      </c>
      <c r="H269" s="60" t="s">
        <v>844</v>
      </c>
    </row>
    <row r="270" spans="8:8" ht="15.0" customHeight="1">
      <c r="A270" s="60" t="s">
        <v>50</v>
      </c>
      <c r="B270" s="60" t="s">
        <v>769</v>
      </c>
      <c r="C270" s="60" t="s">
        <v>375</v>
      </c>
      <c r="D270" s="78">
        <v>326615.0</v>
      </c>
      <c r="E270" s="78">
        <v>300088.0</v>
      </c>
      <c r="F270" s="78">
        <v>26527.0</v>
      </c>
      <c r="G270" s="153">
        <v>0.08</v>
      </c>
      <c r="H270" s="60" t="s">
        <v>844</v>
      </c>
    </row>
    <row r="271" spans="8:8" ht="15.0" customHeight="1">
      <c r="A271" s="60" t="s">
        <v>50</v>
      </c>
      <c r="B271" s="60" t="s">
        <v>770</v>
      </c>
      <c r="C271" s="60" t="s">
        <v>390</v>
      </c>
      <c r="D271" s="78">
        <v>1654475.0</v>
      </c>
      <c r="E271" s="78">
        <v>1636458.0</v>
      </c>
      <c r="F271" s="78">
        <v>18017.0</v>
      </c>
      <c r="G271" s="153">
        <v>0.01</v>
      </c>
      <c r="H271" s="60" t="s">
        <v>844</v>
      </c>
    </row>
    <row r="272" spans="8:8" ht="15.0" customHeight="1">
      <c r="A272" s="60" t="s">
        <v>50</v>
      </c>
      <c r="B272" s="60" t="s">
        <v>770</v>
      </c>
      <c r="C272" s="60" t="s">
        <v>397</v>
      </c>
      <c r="D272" s="78">
        <v>1240000.0</v>
      </c>
      <c r="E272" s="78">
        <v>1289600.0</v>
      </c>
      <c r="F272" s="78">
        <v>-49600.0</v>
      </c>
      <c r="G272" s="153">
        <v>-0.04</v>
      </c>
      <c r="H272" s="60" t="s">
        <v>844</v>
      </c>
    </row>
    <row r="273" spans="8:8" ht="15.0" customHeight="1">
      <c r="A273" s="60" t="s">
        <v>50</v>
      </c>
      <c r="B273" s="60" t="s">
        <v>771</v>
      </c>
      <c r="C273" s="60" t="s">
        <v>407</v>
      </c>
      <c r="D273" s="78">
        <v>2480000.0</v>
      </c>
      <c r="E273" s="78">
        <v>2579200.0</v>
      </c>
      <c r="F273" s="78">
        <v>-99200.0</v>
      </c>
      <c r="G273" s="153">
        <v>-0.04</v>
      </c>
      <c r="H273" s="60" t="s">
        <v>844</v>
      </c>
    </row>
    <row r="274" spans="8:8" ht="15.0" customHeight="1">
      <c r="A274" s="60" t="s">
        <v>50</v>
      </c>
      <c r="B274" s="60" t="s">
        <v>771</v>
      </c>
      <c r="C274" s="60" t="s">
        <v>409</v>
      </c>
      <c r="D274" s="78">
        <v>67750.0</v>
      </c>
      <c r="E274" s="78">
        <v>64600.0</v>
      </c>
      <c r="F274" s="78">
        <v>3150.0</v>
      </c>
      <c r="G274" s="153">
        <v>0.05</v>
      </c>
      <c r="H274" s="60" t="s">
        <v>844</v>
      </c>
    </row>
    <row r="275" spans="8:8" ht="15.0" customHeight="1">
      <c r="A275" s="60" t="s">
        <v>50</v>
      </c>
      <c r="B275" s="60" t="s">
        <v>775</v>
      </c>
      <c r="C275" s="60" t="s">
        <v>499</v>
      </c>
      <c r="D275" s="78">
        <v>75000.0</v>
      </c>
      <c r="E275" s="78">
        <v>78000.0</v>
      </c>
      <c r="F275" s="78">
        <v>-3000.0</v>
      </c>
      <c r="G275" s="153">
        <v>-0.04</v>
      </c>
      <c r="H275" s="60" t="s">
        <v>844</v>
      </c>
    </row>
    <row r="276" spans="8:8" ht="15.0" customHeight="1">
      <c r="A276" s="60" t="s">
        <v>50</v>
      </c>
      <c r="B276" s="60" t="s">
        <v>778</v>
      </c>
      <c r="C276" s="60" t="s">
        <v>540</v>
      </c>
      <c r="D276" s="78">
        <v>500550.0</v>
      </c>
      <c r="E276" s="78">
        <v>497550.0</v>
      </c>
      <c r="F276" s="78">
        <v>3000.0</v>
      </c>
      <c r="G276" s="153">
        <v>0.01</v>
      </c>
      <c r="H276" s="60" t="s">
        <v>844</v>
      </c>
    </row>
    <row r="277" spans="8:8" ht="15.0" customHeight="1">
      <c r="A277" s="60" t="s">
        <v>50</v>
      </c>
      <c r="B277" s="60" t="s">
        <v>778</v>
      </c>
      <c r="C277" s="60" t="s">
        <v>547</v>
      </c>
      <c r="D277" s="78">
        <v>452450.0</v>
      </c>
      <c r="E277" s="78">
        <v>449975.0</v>
      </c>
      <c r="F277" s="78">
        <v>2475.0</v>
      </c>
      <c r="G277" s="153">
        <v>0.01</v>
      </c>
      <c r="H277" s="60" t="s">
        <v>844</v>
      </c>
    </row>
    <row r="278" spans="8:8" ht="15.0" customHeight="1">
      <c r="A278" s="60" t="s">
        <v>132</v>
      </c>
      <c r="B278" s="60" t="s">
        <v>757</v>
      </c>
      <c r="C278" s="60" t="s">
        <v>133</v>
      </c>
      <c r="D278" s="78">
        <v>4512900.0</v>
      </c>
      <c r="E278" s="78">
        <v>4460698.0</v>
      </c>
      <c r="F278" s="78">
        <v>52202.0</v>
      </c>
      <c r="G278" s="153">
        <v>0.01</v>
      </c>
      <c r="H278" s="60" t="s">
        <v>843</v>
      </c>
    </row>
    <row r="279" spans="8:8" ht="15.0" customHeight="1">
      <c r="A279" s="60" t="s">
        <v>154</v>
      </c>
      <c r="B279" s="60" t="s">
        <v>758</v>
      </c>
      <c r="C279" s="60" t="s">
        <v>155</v>
      </c>
      <c r="D279" s="78">
        <v>226290.0</v>
      </c>
      <c r="E279" s="78">
        <v>210309.0</v>
      </c>
      <c r="F279" s="78">
        <v>15981.0</v>
      </c>
      <c r="G279" s="153">
        <v>0.07</v>
      </c>
      <c r="H279" s="60" t="s">
        <v>843</v>
      </c>
    </row>
    <row r="280" spans="8:8" ht="15.0" customHeight="1">
      <c r="A280" s="60" t="s">
        <v>154</v>
      </c>
      <c r="B280" s="60" t="s">
        <v>759</v>
      </c>
      <c r="C280" s="60" t="s">
        <v>182</v>
      </c>
      <c r="D280" s="78">
        <v>94455.0</v>
      </c>
      <c r="E280" s="78">
        <v>88600.0</v>
      </c>
      <c r="F280" s="78">
        <v>5855.0</v>
      </c>
      <c r="G280" s="153">
        <v>0.06</v>
      </c>
      <c r="H280" s="60" t="s">
        <v>843</v>
      </c>
    </row>
    <row r="281" spans="8:8" ht="15.0" customHeight="1">
      <c r="A281" s="60" t="s">
        <v>154</v>
      </c>
      <c r="B281" s="60" t="s">
        <v>763</v>
      </c>
      <c r="C281" s="60" t="s">
        <v>226</v>
      </c>
      <c r="D281" s="78">
        <v>100000.0</v>
      </c>
      <c r="E281" s="78">
        <v>104000.0</v>
      </c>
      <c r="F281" s="78">
        <v>-4000.0</v>
      </c>
      <c r="G281" s="153">
        <v>-0.04</v>
      </c>
      <c r="H281" s="60" t="s">
        <v>843</v>
      </c>
    </row>
    <row r="282" spans="8:8" ht="15.0" customHeight="1">
      <c r="A282" s="60" t="s">
        <v>154</v>
      </c>
      <c r="B282" s="60" t="s">
        <v>768</v>
      </c>
      <c r="C282" s="60" t="s">
        <v>352</v>
      </c>
      <c r="D282" s="78">
        <v>154540.0</v>
      </c>
      <c r="E282" s="78">
        <v>136150.0</v>
      </c>
      <c r="F282" s="78">
        <v>18390.0</v>
      </c>
      <c r="G282" s="153">
        <v>0.12</v>
      </c>
      <c r="H282" s="60" t="s">
        <v>844</v>
      </c>
    </row>
    <row r="283" spans="8:8" ht="15.0" customHeight="1">
      <c r="A283" s="60" t="s">
        <v>154</v>
      </c>
      <c r="B283" s="60" t="s">
        <v>769</v>
      </c>
      <c r="C283" s="60" t="s">
        <v>387</v>
      </c>
      <c r="D283" s="78">
        <v>5000.0</v>
      </c>
      <c r="E283" s="78">
        <v>5200.0</v>
      </c>
      <c r="F283" s="78">
        <v>-200.0</v>
      </c>
      <c r="G283" s="153">
        <v>-0.04</v>
      </c>
      <c r="H283" s="60" t="s">
        <v>844</v>
      </c>
    </row>
    <row r="284" spans="8:8" ht="15.0" customHeight="1">
      <c r="A284" s="60" t="s">
        <v>154</v>
      </c>
      <c r="B284" s="60" t="s">
        <v>769</v>
      </c>
      <c r="C284" s="60" t="s">
        <v>389</v>
      </c>
      <c r="D284" s="78">
        <v>32550.0</v>
      </c>
      <c r="E284" s="78">
        <v>31979.0</v>
      </c>
      <c r="F284" s="78">
        <v>571.0</v>
      </c>
      <c r="G284" s="153">
        <v>0.02</v>
      </c>
      <c r="H284" s="60" t="s">
        <v>844</v>
      </c>
    </row>
    <row r="285" spans="8:8" ht="15.0" customHeight="1">
      <c r="A285" s="60" t="s">
        <v>154</v>
      </c>
      <c r="B285" s="60" t="s">
        <v>773</v>
      </c>
      <c r="C285" s="60" t="s">
        <v>450</v>
      </c>
      <c r="D285" s="78">
        <v>110000.0</v>
      </c>
      <c r="E285" s="78">
        <v>101716.0</v>
      </c>
      <c r="F285" s="78">
        <v>8284.0</v>
      </c>
      <c r="G285" s="153">
        <v>0.08</v>
      </c>
      <c r="H285" s="60" t="s">
        <v>844</v>
      </c>
    </row>
    <row r="286" spans="8:8" ht="15.0" customHeight="1">
      <c r="A286" s="60" t="s">
        <v>219</v>
      </c>
      <c r="B286" s="60" t="s">
        <v>763</v>
      </c>
      <c r="C286" s="60" t="s">
        <v>220</v>
      </c>
      <c r="D286" s="78">
        <v>9200.0</v>
      </c>
      <c r="E286" s="78">
        <v>8657.0</v>
      </c>
      <c r="F286" s="78">
        <v>543.0</v>
      </c>
      <c r="G286" s="153">
        <v>0.06</v>
      </c>
      <c r="H286" s="60" t="s">
        <v>843</v>
      </c>
    </row>
    <row r="287" spans="8:8" ht="15.0" customHeight="1">
      <c r="A287" s="60" t="s">
        <v>219</v>
      </c>
      <c r="B287" s="60" t="s">
        <v>777</v>
      </c>
      <c r="C287" s="60" t="s">
        <v>533</v>
      </c>
      <c r="D287" s="78">
        <v>9345.0</v>
      </c>
      <c r="E287" s="78">
        <v>8970.0</v>
      </c>
      <c r="F287" s="78">
        <v>375.0</v>
      </c>
      <c r="G287" s="153">
        <v>0.04</v>
      </c>
      <c r="H287" s="60" t="s">
        <v>844</v>
      </c>
    </row>
    <row r="288" spans="8:8" ht="15.0" customHeight="1">
      <c r="A288" s="60" t="s">
        <v>394</v>
      </c>
      <c r="B288" s="60" t="s">
        <v>770</v>
      </c>
      <c r="C288" s="60" t="s">
        <v>395</v>
      </c>
      <c r="D288" s="78">
        <v>500000.0</v>
      </c>
      <c r="E288" s="78">
        <v>520000.0</v>
      </c>
      <c r="F288" s="78">
        <v>-20000.0</v>
      </c>
      <c r="G288" s="153">
        <v>-0.04</v>
      </c>
      <c r="H288" s="60" t="s">
        <v>844</v>
      </c>
    </row>
    <row r="289" spans="8:8" ht="15.0" customHeight="1">
      <c r="A289" s="60" t="s">
        <v>394</v>
      </c>
      <c r="B289" s="60" t="s">
        <v>772</v>
      </c>
      <c r="C289" s="60" t="s">
        <v>437</v>
      </c>
      <c r="D289" s="78">
        <v>230000.0</v>
      </c>
      <c r="E289" s="78">
        <v>218085.0</v>
      </c>
      <c r="F289" s="78">
        <v>11915.0</v>
      </c>
      <c r="G289" s="153">
        <v>0.05</v>
      </c>
      <c r="H289" s="60" t="s">
        <v>844</v>
      </c>
    </row>
    <row r="290" spans="8:8" ht="15.0" customHeight="1">
      <c r="A290" s="60" t="s">
        <v>394</v>
      </c>
      <c r="B290" s="60" t="s">
        <v>778</v>
      </c>
      <c r="C290" s="60" t="s">
        <v>544</v>
      </c>
      <c r="D290" s="78">
        <v>150000.0</v>
      </c>
      <c r="E290" s="78">
        <v>156000.0</v>
      </c>
      <c r="F290" s="78">
        <v>-6000.0</v>
      </c>
      <c r="G290" s="153">
        <v>-0.04</v>
      </c>
      <c r="H290" s="60" t="s">
        <v>844</v>
      </c>
    </row>
    <row r="291" spans="8:8" ht="15.0" customHeight="1">
      <c r="A291" s="60" t="s">
        <v>40</v>
      </c>
      <c r="B291" s="60" t="s">
        <v>752</v>
      </c>
      <c r="C291" s="60" t="s">
        <v>41</v>
      </c>
      <c r="D291" s="78">
        <v>86000.0</v>
      </c>
      <c r="E291" s="78">
        <v>86374.0</v>
      </c>
      <c r="F291" s="78">
        <v>-374.0</v>
      </c>
      <c r="G291" s="153">
        <v>0.0</v>
      </c>
      <c r="H291" s="60" t="s">
        <v>843</v>
      </c>
    </row>
    <row r="292" spans="8:8" ht="15.0" customHeight="1">
      <c r="A292" s="60" t="s">
        <v>40</v>
      </c>
      <c r="B292" s="60" t="s">
        <v>752</v>
      </c>
      <c r="C292" s="60" t="s">
        <v>46</v>
      </c>
      <c r="D292" s="78">
        <v>15000.0</v>
      </c>
      <c r="E292" s="78">
        <v>15000.0</v>
      </c>
      <c r="F292" s="78">
        <v>0.0</v>
      </c>
      <c r="G292" s="153">
        <v>0.0</v>
      </c>
      <c r="H292" s="60" t="s">
        <v>843</v>
      </c>
    </row>
    <row r="293" spans="8:8" ht="15.0" customHeight="1">
      <c r="A293" s="60" t="s">
        <v>40</v>
      </c>
      <c r="B293" s="60" t="s">
        <v>752</v>
      </c>
      <c r="C293" s="60" t="s">
        <v>53</v>
      </c>
      <c r="D293" s="78">
        <v>17200.0</v>
      </c>
      <c r="E293" s="78">
        <v>17275.0</v>
      </c>
      <c r="F293" s="78">
        <v>-75.0</v>
      </c>
      <c r="G293" s="153">
        <v>0.0</v>
      </c>
      <c r="H293" s="60" t="s">
        <v>843</v>
      </c>
    </row>
    <row r="294" spans="8:8" ht="15.0" customHeight="1">
      <c r="A294" s="60" t="s">
        <v>40</v>
      </c>
      <c r="B294" s="60" t="s">
        <v>753</v>
      </c>
      <c r="C294" s="60" t="s">
        <v>72</v>
      </c>
      <c r="D294" s="78">
        <v>303000.0</v>
      </c>
      <c r="E294" s="78">
        <v>304123.0</v>
      </c>
      <c r="F294" s="78">
        <v>-1123.0</v>
      </c>
      <c r="G294" s="153">
        <v>0.0</v>
      </c>
      <c r="H294" s="60" t="s">
        <v>843</v>
      </c>
    </row>
    <row r="295" spans="8:8" ht="15.0" customHeight="1">
      <c r="A295" s="60" t="s">
        <v>40</v>
      </c>
      <c r="B295" s="60" t="s">
        <v>756</v>
      </c>
      <c r="C295" s="60" t="s">
        <v>114</v>
      </c>
      <c r="D295" s="78">
        <v>34400.0</v>
      </c>
      <c r="E295" s="78">
        <v>34550.0</v>
      </c>
      <c r="F295" s="78">
        <v>-150.0</v>
      </c>
      <c r="G295" s="153">
        <v>0.0</v>
      </c>
      <c r="H295" s="60" t="s">
        <v>843</v>
      </c>
    </row>
    <row r="296" spans="8:8" ht="15.0" customHeight="1">
      <c r="A296" s="60" t="s">
        <v>40</v>
      </c>
      <c r="B296" s="60" t="s">
        <v>757</v>
      </c>
      <c r="C296" s="60" t="s">
        <v>135</v>
      </c>
      <c r="D296" s="78">
        <v>111100.0</v>
      </c>
      <c r="E296" s="78">
        <v>111512.0</v>
      </c>
      <c r="F296" s="78">
        <v>-412.0</v>
      </c>
      <c r="G296" s="153">
        <v>0.0</v>
      </c>
      <c r="H296" s="60" t="s">
        <v>843</v>
      </c>
    </row>
    <row r="297" spans="8:8" ht="15.0" customHeight="1">
      <c r="A297" s="60" t="s">
        <v>253</v>
      </c>
      <c r="B297" s="60" t="s">
        <v>765</v>
      </c>
      <c r="C297" s="60" t="s">
        <v>254</v>
      </c>
      <c r="D297" s="78">
        <v>178125.0</v>
      </c>
      <c r="E297" s="78">
        <v>168575.0</v>
      </c>
      <c r="F297" s="78">
        <v>9550.0</v>
      </c>
      <c r="G297" s="153">
        <v>0.05</v>
      </c>
      <c r="H297" s="60" t="s">
        <v>844</v>
      </c>
    </row>
    <row r="298" spans="8:8" ht="15.0" customHeight="1">
      <c r="A298" s="60" t="s">
        <v>253</v>
      </c>
      <c r="B298" s="60" t="s">
        <v>773</v>
      </c>
      <c r="C298" s="60" t="s">
        <v>449</v>
      </c>
      <c r="D298" s="78">
        <v>177210.0</v>
      </c>
      <c r="E298" s="78">
        <v>169190.0</v>
      </c>
      <c r="F298" s="78">
        <v>8020.0</v>
      </c>
      <c r="G298" s="153">
        <v>0.05</v>
      </c>
      <c r="H298" s="60" t="s">
        <v>844</v>
      </c>
    </row>
    <row r="299" spans="8:8" ht="15.0" customHeight="1">
      <c r="A299" s="60" t="s">
        <v>78</v>
      </c>
      <c r="B299" s="60" t="s">
        <v>753</v>
      </c>
      <c r="C299" s="60" t="s">
        <v>79</v>
      </c>
      <c r="D299" s="78">
        <v>216900.0</v>
      </c>
      <c r="E299" s="78">
        <v>209400.0</v>
      </c>
      <c r="F299" s="78">
        <v>7500.0</v>
      </c>
      <c r="G299" s="153">
        <v>0.03</v>
      </c>
      <c r="H299" s="60" t="s">
        <v>843</v>
      </c>
    </row>
    <row r="300" spans="8:8" ht="15.0" customHeight="1">
      <c r="A300" s="60" t="s">
        <v>78</v>
      </c>
      <c r="B300" s="60" t="s">
        <v>756</v>
      </c>
      <c r="C300" s="60" t="s">
        <v>120</v>
      </c>
      <c r="D300" s="78">
        <v>777505.0</v>
      </c>
      <c r="E300" s="78">
        <v>737753.0</v>
      </c>
      <c r="F300" s="78">
        <v>39752.0</v>
      </c>
      <c r="G300" s="153">
        <v>0.05</v>
      </c>
      <c r="H300" s="60" t="s">
        <v>843</v>
      </c>
    </row>
    <row r="301" spans="8:8" ht="15.0" customHeight="1">
      <c r="A301" s="60" t="s">
        <v>78</v>
      </c>
      <c r="B301" s="60" t="s">
        <v>757</v>
      </c>
      <c r="C301" s="60" t="s">
        <v>138</v>
      </c>
      <c r="D301" s="78">
        <v>747900.0</v>
      </c>
      <c r="E301" s="78">
        <v>737493.0</v>
      </c>
      <c r="F301" s="78">
        <v>10407.0</v>
      </c>
      <c r="G301" s="153">
        <v>0.01</v>
      </c>
      <c r="H301" s="60" t="s">
        <v>843</v>
      </c>
    </row>
    <row r="302" spans="8:8" ht="15.0" customHeight="1">
      <c r="A302" s="60" t="s">
        <v>78</v>
      </c>
      <c r="B302" s="60" t="s">
        <v>758</v>
      </c>
      <c r="C302" s="60" t="s">
        <v>161</v>
      </c>
      <c r="D302" s="78">
        <v>1048720.0</v>
      </c>
      <c r="E302" s="78">
        <v>916641.0</v>
      </c>
      <c r="F302" s="78">
        <v>132079.0</v>
      </c>
      <c r="G302" s="153">
        <v>0.13</v>
      </c>
      <c r="H302" s="60" t="s">
        <v>843</v>
      </c>
    </row>
    <row r="303" spans="8:8" ht="15.0" customHeight="1">
      <c r="A303" s="60" t="s">
        <v>78</v>
      </c>
      <c r="B303" s="60" t="s">
        <v>758</v>
      </c>
      <c r="C303" s="60" t="s">
        <v>173</v>
      </c>
      <c r="D303" s="78">
        <v>45000.0</v>
      </c>
      <c r="E303" s="78">
        <v>34615.0</v>
      </c>
      <c r="F303" s="78">
        <v>10385.0</v>
      </c>
      <c r="G303" s="153">
        <v>0.23</v>
      </c>
      <c r="H303" s="60" t="s">
        <v>843</v>
      </c>
    </row>
    <row r="304" spans="8:8" ht="15.0" customHeight="1">
      <c r="A304" s="60" t="s">
        <v>78</v>
      </c>
      <c r="B304" s="60" t="s">
        <v>768</v>
      </c>
      <c r="C304" s="60" t="s">
        <v>363</v>
      </c>
      <c r="D304" s="78">
        <v>12885.0</v>
      </c>
      <c r="E304" s="78">
        <v>12120.0</v>
      </c>
      <c r="F304" s="78">
        <v>765.0</v>
      </c>
      <c r="G304" s="153">
        <v>0.06</v>
      </c>
      <c r="H304" s="60" t="s">
        <v>844</v>
      </c>
    </row>
    <row r="305" spans="8:8" ht="15.0" customHeight="1">
      <c r="A305" s="60" t="s">
        <v>78</v>
      </c>
      <c r="B305" s="60" t="s">
        <v>778</v>
      </c>
      <c r="C305" s="60" t="s">
        <v>552</v>
      </c>
      <c r="D305" s="78">
        <v>137075.0</v>
      </c>
      <c r="E305" s="78">
        <v>131510.0</v>
      </c>
      <c r="F305" s="78">
        <v>5565.0</v>
      </c>
      <c r="G305" s="153">
        <v>0.04</v>
      </c>
      <c r="H305" s="60" t="s">
        <v>844</v>
      </c>
    </row>
    <row r="306" spans="8:8" ht="15.0" customHeight="1">
      <c r="A306" s="155" t="s">
        <v>63</v>
      </c>
      <c r="B306" s="155" t="s">
        <v>753</v>
      </c>
      <c r="C306" s="155" t="s">
        <v>64</v>
      </c>
      <c r="D306" s="156">
        <v>4026260.0</v>
      </c>
      <c r="E306" s="156">
        <v>3965433.0</v>
      </c>
      <c r="F306" s="156">
        <v>60827.0</v>
      </c>
      <c r="G306" s="157">
        <v>0.02</v>
      </c>
      <c r="H306" s="155" t="s">
        <v>843</v>
      </c>
    </row>
    <row r="307" spans="8:8" ht="15.0" customHeight="1">
      <c r="A307" s="155" t="s">
        <v>63</v>
      </c>
      <c r="B307" s="155" t="s">
        <v>756</v>
      </c>
      <c r="C307" s="155" t="s">
        <v>117</v>
      </c>
      <c r="D307" s="156">
        <v>863040.0</v>
      </c>
      <c r="E307" s="156">
        <v>838361.0</v>
      </c>
      <c r="F307" s="156">
        <v>24679.0</v>
      </c>
      <c r="G307" s="157">
        <v>0.03</v>
      </c>
      <c r="H307" s="155" t="s">
        <v>843</v>
      </c>
    </row>
    <row r="308" spans="8:8" ht="15.0" customHeight="1">
      <c r="A308" s="155" t="s">
        <v>63</v>
      </c>
      <c r="B308" s="155" t="s">
        <v>757</v>
      </c>
      <c r="C308" s="155" t="s">
        <v>124</v>
      </c>
      <c r="D308" s="156">
        <v>1930160.0</v>
      </c>
      <c r="E308" s="156">
        <v>1880801.0</v>
      </c>
      <c r="F308" s="156">
        <v>49359.0</v>
      </c>
      <c r="G308" s="157">
        <v>0.03</v>
      </c>
      <c r="H308" s="155" t="s">
        <v>843</v>
      </c>
    </row>
    <row r="309" spans="8:8" ht="15.0" customHeight="1">
      <c r="A309" s="155" t="s">
        <v>63</v>
      </c>
      <c r="B309" s="155" t="s">
        <v>776</v>
      </c>
      <c r="C309" s="155" t="s">
        <v>512</v>
      </c>
      <c r="D309" s="156">
        <v>8698030.0</v>
      </c>
      <c r="E309" s="156">
        <v>8648333.0</v>
      </c>
      <c r="F309" s="156">
        <v>49697.0</v>
      </c>
      <c r="G309" s="157">
        <v>0.01</v>
      </c>
      <c r="H309" s="155" t="s">
        <v>844</v>
      </c>
    </row>
    <row r="310" spans="8:8" ht="15.0" customHeight="1">
      <c r="A310" s="60" t="s">
        <v>15</v>
      </c>
      <c r="B310" s="60" t="s">
        <v>745</v>
      </c>
      <c r="C310" s="60" t="s">
        <v>16</v>
      </c>
      <c r="D310" s="78">
        <v>18500.0</v>
      </c>
      <c r="E310" s="78">
        <v>16759.0</v>
      </c>
      <c r="F310" s="78">
        <v>1741.0</v>
      </c>
      <c r="G310" s="153">
        <v>0.09</v>
      </c>
      <c r="H310" s="60" t="s">
        <v>843</v>
      </c>
    </row>
    <row r="311" spans="8:8" ht="15.0" customHeight="1">
      <c r="A311" s="60" t="s">
        <v>15</v>
      </c>
      <c r="B311" s="60" t="s">
        <v>745</v>
      </c>
      <c r="C311" s="60" t="s">
        <v>23</v>
      </c>
      <c r="D311" s="78">
        <v>5400.0</v>
      </c>
      <c r="E311" s="78">
        <v>5200.0</v>
      </c>
      <c r="F311" s="78">
        <v>200.0</v>
      </c>
      <c r="G311" s="153">
        <v>0.04</v>
      </c>
      <c r="H311" s="60" t="s">
        <v>843</v>
      </c>
    </row>
    <row r="312" spans="8:8" ht="15.0" customHeight="1">
      <c r="A312" s="60" t="s">
        <v>15</v>
      </c>
      <c r="B312" s="60" t="s">
        <v>754</v>
      </c>
      <c r="C312" s="60" t="s">
        <v>89</v>
      </c>
      <c r="D312" s="78">
        <v>27000.0</v>
      </c>
      <c r="E312" s="78">
        <v>24366.0</v>
      </c>
      <c r="F312" s="78">
        <v>2634.0</v>
      </c>
      <c r="G312" s="153">
        <v>0.1</v>
      </c>
      <c r="H312" s="60" t="s">
        <v>843</v>
      </c>
    </row>
    <row r="313" spans="8:8" ht="15.0" customHeight="1">
      <c r="A313" s="60" t="s">
        <v>15</v>
      </c>
      <c r="B313" s="60" t="s">
        <v>754</v>
      </c>
      <c r="C313" s="60" t="s">
        <v>90</v>
      </c>
      <c r="D313" s="78">
        <v>150000.0</v>
      </c>
      <c r="E313" s="78">
        <v>156000.0</v>
      </c>
      <c r="F313" s="78">
        <v>-6000.0</v>
      </c>
      <c r="G313" s="153">
        <v>-0.04</v>
      </c>
      <c r="H313" s="60" t="s">
        <v>843</v>
      </c>
    </row>
    <row r="314" spans="8:8" ht="15.0" customHeight="1">
      <c r="A314" s="60" t="s">
        <v>15</v>
      </c>
      <c r="B314" s="60" t="s">
        <v>756</v>
      </c>
      <c r="C314" s="60" t="s">
        <v>121</v>
      </c>
      <c r="D314" s="78">
        <v>28500.0</v>
      </c>
      <c r="E314" s="78">
        <v>26152.0</v>
      </c>
      <c r="F314" s="78">
        <v>2348.0</v>
      </c>
      <c r="G314" s="153">
        <v>0.08</v>
      </c>
      <c r="H314" s="60" t="s">
        <v>843</v>
      </c>
    </row>
    <row r="315" spans="8:8" ht="15.0" customHeight="1">
      <c r="A315" s="60" t="s">
        <v>15</v>
      </c>
      <c r="B315" s="60" t="s">
        <v>757</v>
      </c>
      <c r="C315" s="60" t="s">
        <v>144</v>
      </c>
      <c r="D315" s="78">
        <v>5300.0</v>
      </c>
      <c r="E315" s="78">
        <v>5200.0</v>
      </c>
      <c r="F315" s="78">
        <v>100.0</v>
      </c>
      <c r="G315" s="153">
        <v>0.02</v>
      </c>
      <c r="H315" s="60" t="s">
        <v>843</v>
      </c>
    </row>
    <row r="316" spans="8:8" ht="15.0" customHeight="1">
      <c r="A316" s="60" t="s">
        <v>15</v>
      </c>
      <c r="B316" s="60" t="s">
        <v>758</v>
      </c>
      <c r="C316" s="60" t="s">
        <v>159</v>
      </c>
      <c r="D316" s="78">
        <v>55000.0</v>
      </c>
      <c r="E316" s="78">
        <v>50575.0</v>
      </c>
      <c r="F316" s="78">
        <v>4425.0</v>
      </c>
      <c r="G316" s="153">
        <v>0.08</v>
      </c>
      <c r="H316" s="60" t="s">
        <v>843</v>
      </c>
    </row>
    <row r="317" spans="8:8" ht="15.0" customHeight="1">
      <c r="A317" s="60" t="s">
        <v>15</v>
      </c>
      <c r="B317" s="60" t="s">
        <v>759</v>
      </c>
      <c r="C317" s="60" t="s">
        <v>183</v>
      </c>
      <c r="D317" s="78">
        <v>18400.0</v>
      </c>
      <c r="E317" s="78">
        <v>17627.0</v>
      </c>
      <c r="F317" s="78">
        <v>773.0</v>
      </c>
      <c r="G317" s="153">
        <v>0.04</v>
      </c>
      <c r="H317" s="60" t="s">
        <v>843</v>
      </c>
    </row>
    <row r="318" spans="8:8" ht="15.0" customHeight="1">
      <c r="A318" s="60" t="s">
        <v>15</v>
      </c>
      <c r="B318" s="60" t="s">
        <v>760</v>
      </c>
      <c r="C318" s="60" t="s">
        <v>195</v>
      </c>
      <c r="D318" s="78">
        <v>22600.0</v>
      </c>
      <c r="E318" s="78">
        <v>20280.0</v>
      </c>
      <c r="F318" s="78">
        <v>2320.0</v>
      </c>
      <c r="G318" s="153">
        <v>0.1</v>
      </c>
      <c r="H318" s="60" t="s">
        <v>843</v>
      </c>
    </row>
    <row r="319" spans="8:8" ht="15.0" customHeight="1">
      <c r="A319" s="60" t="s">
        <v>15</v>
      </c>
      <c r="B319" s="60" t="s">
        <v>760</v>
      </c>
      <c r="C319" s="60" t="s">
        <v>197</v>
      </c>
      <c r="D319" s="78">
        <v>9500.0</v>
      </c>
      <c r="E319" s="78">
        <v>8637.0</v>
      </c>
      <c r="F319" s="78">
        <v>863.0</v>
      </c>
      <c r="G319" s="153">
        <v>0.09</v>
      </c>
      <c r="H319" s="60" t="s">
        <v>843</v>
      </c>
    </row>
    <row r="320" spans="8:8" ht="15.0" customHeight="1">
      <c r="A320" s="60" t="s">
        <v>15</v>
      </c>
      <c r="B320" s="60" t="s">
        <v>761</v>
      </c>
      <c r="C320" s="60" t="s">
        <v>199</v>
      </c>
      <c r="D320" s="78">
        <v>16140.0</v>
      </c>
      <c r="E320" s="78">
        <v>14900.0</v>
      </c>
      <c r="F320" s="78">
        <v>1240.0</v>
      </c>
      <c r="G320" s="153">
        <v>0.08</v>
      </c>
      <c r="H320" s="60" t="s">
        <v>843</v>
      </c>
    </row>
    <row r="321" spans="8:8" ht="15.0" customHeight="1">
      <c r="A321" s="60" t="s">
        <v>15</v>
      </c>
      <c r="B321" s="60" t="s">
        <v>761</v>
      </c>
      <c r="C321" s="60" t="s">
        <v>201</v>
      </c>
      <c r="D321" s="78">
        <v>15950.0</v>
      </c>
      <c r="E321" s="78">
        <v>12888.0</v>
      </c>
      <c r="F321" s="78">
        <v>3062.0</v>
      </c>
      <c r="G321" s="153">
        <v>0.19</v>
      </c>
      <c r="H321" s="60" t="s">
        <v>843</v>
      </c>
    </row>
    <row r="322" spans="8:8" ht="15.0" customHeight="1">
      <c r="A322" s="60" t="s">
        <v>15</v>
      </c>
      <c r="B322" s="60" t="s">
        <v>763</v>
      </c>
      <c r="C322" s="60" t="s">
        <v>234</v>
      </c>
      <c r="D322" s="78">
        <v>314600.0</v>
      </c>
      <c r="E322" s="78">
        <v>299413.0</v>
      </c>
      <c r="F322" s="78">
        <v>15187.0</v>
      </c>
      <c r="G322" s="153">
        <v>0.05</v>
      </c>
      <c r="H322" s="60" t="s">
        <v>843</v>
      </c>
    </row>
    <row r="323" spans="8:8" ht="15.0" customHeight="1">
      <c r="A323" s="60" t="s">
        <v>15</v>
      </c>
      <c r="B323" s="60" t="s">
        <v>764</v>
      </c>
      <c r="C323" s="60" t="s">
        <v>245</v>
      </c>
      <c r="D323" s="78">
        <v>40750.0</v>
      </c>
      <c r="E323" s="78">
        <v>38516.0</v>
      </c>
      <c r="F323" s="78">
        <v>2234.0</v>
      </c>
      <c r="G323" s="153">
        <v>0.05</v>
      </c>
      <c r="H323" s="60" t="s">
        <v>843</v>
      </c>
    </row>
    <row r="324" spans="8:8" ht="15.0" customHeight="1">
      <c r="A324" s="60" t="s">
        <v>15</v>
      </c>
      <c r="B324" s="60" t="s">
        <v>765</v>
      </c>
      <c r="C324" s="60" t="s">
        <v>256</v>
      </c>
      <c r="D324" s="78">
        <v>5300.0</v>
      </c>
      <c r="E324" s="78">
        <v>5200.0</v>
      </c>
      <c r="F324" s="78">
        <v>100.0</v>
      </c>
      <c r="G324" s="153">
        <v>0.02</v>
      </c>
      <c r="H324" s="60" t="s">
        <v>844</v>
      </c>
    </row>
    <row r="325" spans="8:8" ht="15.0" customHeight="1">
      <c r="A325" s="60" t="s">
        <v>15</v>
      </c>
      <c r="B325" s="60" t="s">
        <v>765</v>
      </c>
      <c r="C325" s="60" t="s">
        <v>264</v>
      </c>
      <c r="D325" s="78">
        <v>24060.0</v>
      </c>
      <c r="E325" s="78">
        <v>23255.0</v>
      </c>
      <c r="F325" s="78">
        <v>805.0</v>
      </c>
      <c r="G325" s="153">
        <v>0.03</v>
      </c>
      <c r="H325" s="60" t="s">
        <v>844</v>
      </c>
    </row>
    <row r="326" spans="8:8" ht="15.0" customHeight="1">
      <c r="A326" s="60" t="s">
        <v>15</v>
      </c>
      <c r="B326" s="60" t="s">
        <v>765</v>
      </c>
      <c r="C326" s="60" t="s">
        <v>267</v>
      </c>
      <c r="D326" s="78">
        <v>5300.0</v>
      </c>
      <c r="E326" s="78">
        <v>5200.0</v>
      </c>
      <c r="F326" s="78">
        <v>100.0</v>
      </c>
      <c r="G326" s="153">
        <v>0.02</v>
      </c>
      <c r="H326" s="60" t="s">
        <v>844</v>
      </c>
    </row>
    <row r="327" spans="8:8" ht="15.0" customHeight="1">
      <c r="A327" s="60" t="s">
        <v>15</v>
      </c>
      <c r="B327" s="60" t="s">
        <v>765</v>
      </c>
      <c r="C327" s="60" t="s">
        <v>276</v>
      </c>
      <c r="D327" s="78">
        <v>24950.0</v>
      </c>
      <c r="E327" s="78">
        <v>23877.0</v>
      </c>
      <c r="F327" s="78">
        <v>1073.0</v>
      </c>
      <c r="G327" s="153">
        <v>0.04</v>
      </c>
      <c r="H327" s="60" t="s">
        <v>844</v>
      </c>
    </row>
    <row r="328" spans="8:8" ht="15.0" customHeight="1">
      <c r="A328" s="60" t="s">
        <v>15</v>
      </c>
      <c r="B328" s="60" t="s">
        <v>765</v>
      </c>
      <c r="C328" s="60" t="s">
        <v>277</v>
      </c>
      <c r="D328" s="78">
        <v>9200.0</v>
      </c>
      <c r="E328" s="78">
        <v>8657.0</v>
      </c>
      <c r="F328" s="78">
        <v>543.0</v>
      </c>
      <c r="G328" s="153">
        <v>0.06</v>
      </c>
      <c r="H328" s="60" t="s">
        <v>844</v>
      </c>
    </row>
    <row r="329" spans="8:8" ht="15.0" customHeight="1">
      <c r="A329" s="60" t="s">
        <v>15</v>
      </c>
      <c r="B329" s="60" t="s">
        <v>766</v>
      </c>
      <c r="C329" s="60" t="s">
        <v>290</v>
      </c>
      <c r="D329" s="78">
        <v>48720.0</v>
      </c>
      <c r="E329" s="78">
        <v>44894.0</v>
      </c>
      <c r="F329" s="78">
        <v>3826.0</v>
      </c>
      <c r="G329" s="153">
        <v>0.08</v>
      </c>
      <c r="H329" s="60" t="s">
        <v>844</v>
      </c>
    </row>
    <row r="330" spans="8:8" ht="15.0" customHeight="1">
      <c r="A330" s="60" t="s">
        <v>15</v>
      </c>
      <c r="B330" s="60" t="s">
        <v>768</v>
      </c>
      <c r="C330" s="60" t="s">
        <v>364</v>
      </c>
      <c r="D330" s="78">
        <v>10600.0</v>
      </c>
      <c r="E330" s="78">
        <v>10400.0</v>
      </c>
      <c r="F330" s="78">
        <v>200.0</v>
      </c>
      <c r="G330" s="153">
        <v>0.02</v>
      </c>
      <c r="H330" s="60" t="s">
        <v>844</v>
      </c>
    </row>
    <row r="331" spans="8:8" ht="15.0" customHeight="1">
      <c r="A331" s="60" t="s">
        <v>15</v>
      </c>
      <c r="B331" s="60" t="s">
        <v>770</v>
      </c>
      <c r="C331" s="60" t="s">
        <v>396</v>
      </c>
      <c r="D331" s="78">
        <v>19000.0</v>
      </c>
      <c r="E331" s="78">
        <v>17313.0</v>
      </c>
      <c r="F331" s="78">
        <v>1687.0</v>
      </c>
      <c r="G331" s="153">
        <v>0.09</v>
      </c>
      <c r="H331" s="60" t="s">
        <v>844</v>
      </c>
    </row>
    <row r="332" spans="8:8" ht="15.0" customHeight="1">
      <c r="A332" s="60" t="s">
        <v>15</v>
      </c>
      <c r="B332" s="60" t="s">
        <v>770</v>
      </c>
      <c r="C332" s="60" t="s">
        <v>402</v>
      </c>
      <c r="D332" s="78">
        <v>41950.0</v>
      </c>
      <c r="E332" s="78">
        <v>38516.0</v>
      </c>
      <c r="F332" s="78">
        <v>3434.0</v>
      </c>
      <c r="G332" s="153">
        <v>0.08</v>
      </c>
      <c r="H332" s="60" t="s">
        <v>844</v>
      </c>
    </row>
    <row r="333" spans="8:8" ht="15.0" customHeight="1">
      <c r="A333" s="60" t="s">
        <v>15</v>
      </c>
      <c r="B333" s="60" t="s">
        <v>770</v>
      </c>
      <c r="C333" s="60" t="s">
        <v>406</v>
      </c>
      <c r="D333" s="78">
        <v>23100.0</v>
      </c>
      <c r="E333" s="78">
        <v>20915.0</v>
      </c>
      <c r="F333" s="78">
        <v>2185.0</v>
      </c>
      <c r="G333" s="153">
        <v>0.09</v>
      </c>
      <c r="H333" s="60" t="s">
        <v>844</v>
      </c>
    </row>
    <row r="334" spans="8:8" ht="15.0" customHeight="1">
      <c r="A334" s="60" t="s">
        <v>15</v>
      </c>
      <c r="B334" s="60" t="s">
        <v>772</v>
      </c>
      <c r="C334" s="60" t="s">
        <v>429</v>
      </c>
      <c r="D334" s="78">
        <v>19000.0</v>
      </c>
      <c r="E334" s="78">
        <v>17515.0</v>
      </c>
      <c r="F334" s="78">
        <v>1485.0</v>
      </c>
      <c r="G334" s="153">
        <v>0.08</v>
      </c>
      <c r="H334" s="60" t="s">
        <v>844</v>
      </c>
    </row>
    <row r="335" spans="8:8" ht="15.0" customHeight="1">
      <c r="A335" s="60" t="s">
        <v>15</v>
      </c>
      <c r="B335" s="60" t="s">
        <v>772</v>
      </c>
      <c r="C335" s="60" t="s">
        <v>435</v>
      </c>
      <c r="D335" s="78">
        <v>58225.0</v>
      </c>
      <c r="E335" s="78">
        <v>53628.0</v>
      </c>
      <c r="F335" s="78">
        <v>4597.0</v>
      </c>
      <c r="G335" s="153">
        <v>0.08</v>
      </c>
      <c r="H335" s="60" t="s">
        <v>844</v>
      </c>
    </row>
    <row r="336" spans="8:8" ht="15.0" customHeight="1">
      <c r="A336" s="60" t="s">
        <v>15</v>
      </c>
      <c r="B336" s="60" t="s">
        <v>773</v>
      </c>
      <c r="C336" s="60" t="s">
        <v>445</v>
      </c>
      <c r="D336" s="78">
        <v>5300.0</v>
      </c>
      <c r="E336" s="78">
        <v>5200.0</v>
      </c>
      <c r="F336" s="78">
        <v>100.0</v>
      </c>
      <c r="G336" s="153">
        <v>0.02</v>
      </c>
      <c r="H336" s="60" t="s">
        <v>844</v>
      </c>
    </row>
    <row r="337" spans="8:8" ht="15.0" customHeight="1">
      <c r="A337" s="60" t="s">
        <v>15</v>
      </c>
      <c r="B337" s="60" t="s">
        <v>773</v>
      </c>
      <c r="C337" s="60" t="s">
        <v>461</v>
      </c>
      <c r="D337" s="78">
        <v>5300.0</v>
      </c>
      <c r="E337" s="78">
        <v>5200.0</v>
      </c>
      <c r="F337" s="78">
        <v>100.0</v>
      </c>
      <c r="G337" s="153">
        <v>0.02</v>
      </c>
      <c r="H337" s="60" t="s">
        <v>844</v>
      </c>
    </row>
    <row r="338" spans="8:8" ht="15.0" customHeight="1">
      <c r="A338" s="60" t="s">
        <v>15</v>
      </c>
      <c r="B338" s="60" t="s">
        <v>773</v>
      </c>
      <c r="C338" s="60" t="s">
        <v>466</v>
      </c>
      <c r="D338" s="78">
        <v>21950.0</v>
      </c>
      <c r="E338" s="78">
        <v>12729.0</v>
      </c>
      <c r="F338" s="78">
        <v>9221.0</v>
      </c>
      <c r="G338" s="153">
        <v>0.42</v>
      </c>
      <c r="H338" s="60" t="s">
        <v>844</v>
      </c>
    </row>
    <row r="339" spans="8:8" ht="15.0" customHeight="1">
      <c r="A339" s="60" t="s">
        <v>15</v>
      </c>
      <c r="B339" s="60" t="s">
        <v>774</v>
      </c>
      <c r="C339" s="60" t="s">
        <v>468</v>
      </c>
      <c r="D339" s="78">
        <v>10600.0</v>
      </c>
      <c r="E339" s="78">
        <v>10400.0</v>
      </c>
      <c r="F339" s="78">
        <v>200.0</v>
      </c>
      <c r="G339" s="153">
        <v>0.02</v>
      </c>
      <c r="H339" s="60" t="s">
        <v>844</v>
      </c>
    </row>
    <row r="340" spans="8:8" ht="15.0" customHeight="1">
      <c r="A340" s="60" t="s">
        <v>15</v>
      </c>
      <c r="B340" s="60" t="s">
        <v>774</v>
      </c>
      <c r="C340" s="60" t="s">
        <v>486</v>
      </c>
      <c r="D340" s="78">
        <v>5300.0</v>
      </c>
      <c r="E340" s="78">
        <v>5200.0</v>
      </c>
      <c r="F340" s="78">
        <v>100.0</v>
      </c>
      <c r="G340" s="153">
        <v>0.02</v>
      </c>
      <c r="H340" s="60" t="s">
        <v>844</v>
      </c>
    </row>
    <row r="341" spans="8:8" ht="15.0" customHeight="1">
      <c r="A341" s="60" t="s">
        <v>15</v>
      </c>
      <c r="B341" s="60" t="s">
        <v>774</v>
      </c>
      <c r="C341" s="60" t="s">
        <v>493</v>
      </c>
      <c r="D341" s="78">
        <v>28000.0</v>
      </c>
      <c r="E341" s="78">
        <v>25633.0</v>
      </c>
      <c r="F341" s="78">
        <v>2367.0</v>
      </c>
      <c r="G341" s="153">
        <v>0.08</v>
      </c>
      <c r="H341" s="60" t="s">
        <v>844</v>
      </c>
    </row>
    <row r="342" spans="8:8" ht="15.0" customHeight="1">
      <c r="A342" s="60" t="s">
        <v>15</v>
      </c>
      <c r="B342" s="60" t="s">
        <v>775</v>
      </c>
      <c r="C342" s="60" t="s">
        <v>496</v>
      </c>
      <c r="D342" s="78">
        <v>5300.0</v>
      </c>
      <c r="E342" s="78">
        <v>5200.0</v>
      </c>
      <c r="F342" s="78">
        <v>100.0</v>
      </c>
      <c r="G342" s="153">
        <v>0.02</v>
      </c>
      <c r="H342" s="60" t="s">
        <v>844</v>
      </c>
    </row>
    <row r="343" spans="8:8" ht="15.0" customHeight="1">
      <c r="A343" s="60" t="s">
        <v>15</v>
      </c>
      <c r="B343" s="60" t="s">
        <v>777</v>
      </c>
      <c r="C343" s="60" t="s">
        <v>538</v>
      </c>
      <c r="D343" s="78">
        <v>5300.0</v>
      </c>
      <c r="E343" s="78">
        <v>5200.0</v>
      </c>
      <c r="F343" s="78">
        <v>100.0</v>
      </c>
      <c r="G343" s="153">
        <v>0.02</v>
      </c>
      <c r="H343" s="60" t="s">
        <v>844</v>
      </c>
    </row>
    <row r="344" spans="8:8" ht="15.0" customHeight="1">
      <c r="A344" s="60" t="s">
        <v>85</v>
      </c>
      <c r="B344" s="60" t="s">
        <v>753</v>
      </c>
      <c r="C344" s="60" t="s">
        <v>86</v>
      </c>
      <c r="D344" s="78">
        <v>89830.0</v>
      </c>
      <c r="E344" s="78">
        <v>82513.0</v>
      </c>
      <c r="F344" s="78">
        <v>7317.0</v>
      </c>
      <c r="G344" s="153">
        <v>0.08</v>
      </c>
      <c r="H344" s="60" t="s">
        <v>843</v>
      </c>
    </row>
    <row r="345" spans="8:8" ht="15.0" customHeight="1">
      <c r="A345" s="60" t="s">
        <v>85</v>
      </c>
      <c r="B345" s="60" t="s">
        <v>761</v>
      </c>
      <c r="C345" s="60" t="s">
        <v>203</v>
      </c>
      <c r="D345" s="78">
        <v>337825.0</v>
      </c>
      <c r="E345" s="78">
        <v>282487.0</v>
      </c>
      <c r="F345" s="78">
        <v>55338.0</v>
      </c>
      <c r="G345" s="153">
        <v>0.16</v>
      </c>
      <c r="H345" s="60" t="s">
        <v>843</v>
      </c>
    </row>
    <row r="346" spans="8:8" ht="15.0" customHeight="1">
      <c r="A346" s="60" t="s">
        <v>85</v>
      </c>
      <c r="B346" s="60" t="s">
        <v>762</v>
      </c>
      <c r="C346" s="60" t="s">
        <v>217</v>
      </c>
      <c r="D346" s="78">
        <v>502840.0</v>
      </c>
      <c r="E346" s="78">
        <v>384870.0</v>
      </c>
      <c r="F346" s="78">
        <v>117970.0</v>
      </c>
      <c r="G346" s="153">
        <v>0.23</v>
      </c>
      <c r="H346" s="60" t="s">
        <v>843</v>
      </c>
    </row>
    <row r="347" spans="8:8" ht="15.0" customHeight="1">
      <c r="A347" s="60" t="s">
        <v>85</v>
      </c>
      <c r="B347" s="60" t="s">
        <v>769</v>
      </c>
      <c r="C347" s="60" t="s">
        <v>384</v>
      </c>
      <c r="D347" s="78">
        <v>196980.0</v>
      </c>
      <c r="E347" s="78">
        <v>169864.0</v>
      </c>
      <c r="F347" s="78">
        <v>27116.0</v>
      </c>
      <c r="G347" s="153">
        <v>0.14</v>
      </c>
      <c r="H347" s="60" t="s">
        <v>844</v>
      </c>
    </row>
    <row r="348" spans="8:8" ht="15.0" customHeight="1">
      <c r="A348" s="60" t="s">
        <v>85</v>
      </c>
      <c r="B348" s="60" t="s">
        <v>774</v>
      </c>
      <c r="C348" s="60" t="s">
        <v>487</v>
      </c>
      <c r="D348" s="78">
        <v>386590.0</v>
      </c>
      <c r="E348" s="78">
        <v>325142.0</v>
      </c>
      <c r="F348" s="78">
        <v>61448.0</v>
      </c>
      <c r="G348" s="153">
        <v>0.16</v>
      </c>
      <c r="H348" s="60" t="s">
        <v>844</v>
      </c>
    </row>
    <row r="349" spans="8:8" ht="15.0" customHeight="1">
      <c r="A349" s="60" t="s">
        <v>237</v>
      </c>
      <c r="B349" s="60" t="s">
        <v>763</v>
      </c>
      <c r="C349" s="60" t="s">
        <v>238</v>
      </c>
      <c r="D349" s="78">
        <v>110040.0</v>
      </c>
      <c r="E349" s="78">
        <v>100282.0</v>
      </c>
      <c r="F349" s="78">
        <v>9758.0</v>
      </c>
      <c r="G349" s="153">
        <v>0.09</v>
      </c>
      <c r="H349" s="60" t="s">
        <v>843</v>
      </c>
    </row>
    <row r="350" spans="8:8" ht="15.0" customHeight="1">
      <c r="A350" s="60" t="s">
        <v>81</v>
      </c>
      <c r="B350" s="60" t="s">
        <v>753</v>
      </c>
      <c r="C350" s="60" t="s">
        <v>82</v>
      </c>
      <c r="D350" s="78">
        <v>75000.0</v>
      </c>
      <c r="E350" s="78">
        <v>70852.0</v>
      </c>
      <c r="F350" s="78">
        <v>4148.0</v>
      </c>
      <c r="G350" s="153">
        <v>0.06</v>
      </c>
      <c r="H350" s="60" t="s">
        <v>843</v>
      </c>
    </row>
    <row r="351" spans="8:8" ht="15.0" customHeight="1">
      <c r="A351" s="60" t="s">
        <v>81</v>
      </c>
      <c r="B351" s="60" t="s">
        <v>759</v>
      </c>
      <c r="C351" s="60" t="s">
        <v>180</v>
      </c>
      <c r="D351" s="78">
        <v>87700.0</v>
      </c>
      <c r="E351" s="78">
        <v>83263.0</v>
      </c>
      <c r="F351" s="78">
        <v>4437.0</v>
      </c>
      <c r="G351" s="153">
        <v>0.05</v>
      </c>
      <c r="H351" s="60" t="s">
        <v>843</v>
      </c>
    </row>
    <row r="352" spans="8:8" ht="15.0" customHeight="1">
      <c r="A352" s="60" t="s">
        <v>81</v>
      </c>
      <c r="B352" s="60" t="s">
        <v>760</v>
      </c>
      <c r="C352" s="60" t="s">
        <v>193</v>
      </c>
      <c r="D352" s="78">
        <v>55950.0</v>
      </c>
      <c r="E352" s="78">
        <v>53009.0</v>
      </c>
      <c r="F352" s="78">
        <v>2941.0</v>
      </c>
      <c r="G352" s="153">
        <v>0.05</v>
      </c>
      <c r="H352" s="60" t="s">
        <v>843</v>
      </c>
    </row>
  </sheetData>
  <pageMargins left="0.75" right="0.75" top="1.0" bottom="1.0" header="0.511811023622047" footer="0.511811023622047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USER</cp:lastModifiedBy>
  <dcterms:created xsi:type="dcterms:W3CDTF">2026-07-30T13:16:36Z</dcterms:created>
  <dcterms:modified xsi:type="dcterms:W3CDTF">2026-08-09T21:25:35Z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c9b1df2a1df1416d857ccfdb1fad5959_23</vt:lpwstr>
  </property>
</Properties>
</file>