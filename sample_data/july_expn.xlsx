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6610" activeTab="13"/>
  </bookViews>
  <sheets>
    <sheet name="tmp6F17" sheetId="11" r:id="rId1"/>
    <sheet name="Forklift" sheetId="1" r:id="rId2"/>
    <sheet name="Bank charges" sheetId="2" r:id="rId3"/>
    <sheet name="Transportation" sheetId="3" r:id="rId4"/>
    <sheet name="Building project" sheetId="4" r:id="rId5"/>
    <sheet name="Ola VAN KRD882YK" sheetId="5" r:id="rId6"/>
    <sheet name="Eniola Van BDG301XX" sheetId="6" r:id="rId7"/>
    <sheet name="Printing cost" sheetId="7" r:id="rId8"/>
    <sheet name="Advance Salary" sheetId="8" r:id="rId9"/>
    <sheet name="Driver tips" sheetId="9" r:id="rId10"/>
    <sheet name="Generator Expenses" sheetId="10" r:id="rId11"/>
    <sheet name="Warehouse Expenses" sheetId="12" r:id="rId12"/>
    <sheet name="Cash" sheetId="13" r:id="rId13"/>
    <sheet name="GTB (KaneJones)" sheetId="14" r:id="rId14"/>
    <sheet name="Mr God's Will" sheetId="15" r:id="rId15"/>
    <sheet name="July Expenses threshold " sheetId="16" r:id="rId16"/>
  </sheets>
  <definedNames>
    <definedName name="_xlnm._FilterDatabase" localSheetId="12" hidden="1">Cash!$A$6:$H$42</definedName>
    <definedName name="_xlnm._FilterDatabase" localSheetId="13" hidden="1">'GTB (KaneJones)'!$A$6:$H$24</definedName>
    <definedName name="_xlnm._FilterDatabase" localSheetId="14" hidden="1">'Mr God''s Will'!$A$6:$H$14</definedName>
  </definedNames>
  <calcPr calcId="152511" iterateDelta="1.0E-4"/>
  <pivotCaches>
    <pivotCache cacheId="0" r:id="rId17"/>
    <pivotCache cacheId="1" r:id="rId18"/>
  </pivotCaches>
</workbook>
</file>

<file path=xl/sharedStrings.xml><?xml version="1.0" encoding="utf-8"?>
<sst xmlns="http://schemas.openxmlformats.org/spreadsheetml/2006/main" uniqueCount="213" count="213">
  <si>
    <t>Date</t>
  </si>
  <si>
    <t>Narration</t>
  </si>
  <si>
    <t>VCHNO</t>
  </si>
  <si>
    <t>DEBIT AMOUNT</t>
  </si>
  <si>
    <t>CREDIT</t>
  </si>
  <si>
    <t>Diesel</t>
  </si>
  <si>
    <t>johnh1-PAY28</t>
  </si>
  <si>
    <t>GTB (KaneJones)</t>
  </si>
  <si>
    <t>-</t>
  </si>
  <si>
    <t>ann-PAY45</t>
  </si>
  <si>
    <t>Cash</t>
  </si>
  <si>
    <t>ann-PAY54</t>
  </si>
  <si>
    <t>Total</t>
  </si>
  <si>
    <t>Charges</t>
  </si>
  <si>
    <t>ann-PAY27</t>
  </si>
  <si>
    <t>GTB POS</t>
  </si>
  <si>
    <t>Tobi</t>
  </si>
  <si>
    <t>ann-PAY31</t>
  </si>
  <si>
    <t>tobi</t>
  </si>
  <si>
    <t>ann-PAY56</t>
  </si>
  <si>
    <t>Clearing</t>
  </si>
  <si>
    <t>ann-PAY64</t>
  </si>
  <si>
    <t>Corn &amp; Payment for Labour</t>
  </si>
  <si>
    <t>ann-PAY78</t>
  </si>
  <si>
    <t>ann-PAY38</t>
  </si>
  <si>
    <t>ann-PAY47</t>
  </si>
  <si>
    <t>ann-PAY55</t>
  </si>
  <si>
    <t>Repair</t>
  </si>
  <si>
    <t>ann-PAY70</t>
  </si>
  <si>
    <t>Tollgate</t>
  </si>
  <si>
    <t>ann-PAY72</t>
  </si>
  <si>
    <t>ann-PAY73</t>
  </si>
  <si>
    <t>johnh1-PAY27</t>
  </si>
  <si>
    <t>Servicing</t>
  </si>
  <si>
    <t>ann-PAY41</t>
  </si>
  <si>
    <t>ann-PAY42</t>
  </si>
  <si>
    <t>ann-PAY51</t>
  </si>
  <si>
    <t>ann-PAY52</t>
  </si>
  <si>
    <t>ann-PAY74</t>
  </si>
  <si>
    <t>Printing</t>
  </si>
  <si>
    <t>ann-PAY58</t>
  </si>
  <si>
    <t>jumi</t>
  </si>
  <si>
    <t>ann-PAY50</t>
  </si>
  <si>
    <t>jumoke</t>
  </si>
  <si>
    <t>ann-PAY62</t>
  </si>
  <si>
    <t>ann-PAY63</t>
  </si>
  <si>
    <t>Fuel</t>
  </si>
  <si>
    <t>ann-PAY48</t>
  </si>
  <si>
    <t>KANE-JONES</t>
  </si>
  <si>
    <t>DAY BOOK</t>
  </si>
  <si>
    <t>7/1/2026 TO 7/31/2026</t>
  </si>
  <si>
    <t>VOUCHER DATE</t>
  </si>
  <si>
    <t>DEBIT</t>
  </si>
  <si>
    <t>VCH TYPE</t>
  </si>
  <si>
    <t>CREDIT AMOUNT</t>
  </si>
  <si>
    <t>Bank charges</t>
  </si>
  <si>
    <t>Payment</t>
  </si>
  <si>
    <t>Warehouse Expenses</t>
  </si>
  <si>
    <t>ann-PAY28</t>
  </si>
  <si>
    <t>ann-PAY29</t>
  </si>
  <si>
    <t>ann-PAY30</t>
  </si>
  <si>
    <t>Narration: pumping machine</t>
  </si>
  <si>
    <t>Eniola Van BDG301XX</t>
  </si>
  <si>
    <t>Forklift</t>
  </si>
  <si>
    <t>Narration: Diesel</t>
  </si>
  <si>
    <t>Transportation</t>
  </si>
  <si>
    <t>Narration: tobi</t>
  </si>
  <si>
    <t>ann-PAY32</t>
  </si>
  <si>
    <t>Narration: mr Godswill</t>
  </si>
  <si>
    <t>ann-PAY33</t>
  </si>
  <si>
    <t>Narration: VULCANIZER</t>
  </si>
  <si>
    <t>ann-PAY34</t>
  </si>
  <si>
    <t>Narration: mechanic</t>
  </si>
  <si>
    <t>ann-PAY35</t>
  </si>
  <si>
    <t>Narration: Wifi guy 5000, Sunny 3000, Water and glue, Corn 2000</t>
  </si>
  <si>
    <t>Narration: Everstart battery</t>
  </si>
  <si>
    <t>ann-PAY36</t>
  </si>
  <si>
    <t>Narration: Handwash 3000,swiss spray1000,foot mat 5500,ziplock bag 14000, gusset pouch 8000,</t>
  </si>
  <si>
    <t>ann-PAY37</t>
  </si>
  <si>
    <t>Narration: fan 55,000 food 6000</t>
  </si>
  <si>
    <t>Ola VAN KRD882YK</t>
  </si>
  <si>
    <t>ann-PAY39</t>
  </si>
  <si>
    <t>Narration: water</t>
  </si>
  <si>
    <t>ann-PAY40</t>
  </si>
  <si>
    <t>Narration: d</t>
  </si>
  <si>
    <t>Narration: servicing</t>
  </si>
  <si>
    <t>ann-PAY43</t>
  </si>
  <si>
    <t>Narration: bottle water 1000 corn 7000 food 16,700</t>
  </si>
  <si>
    <t>ann-PAY44</t>
  </si>
  <si>
    <t>Narration: fuel</t>
  </si>
  <si>
    <t>Narration: spanner 700 piler 2500 host 2000</t>
  </si>
  <si>
    <t>ann-PAY46</t>
  </si>
  <si>
    <t>Narration: mr Godswill food 16000 Damilare loan 5000</t>
  </si>
  <si>
    <t>Generator Expenses</t>
  </si>
  <si>
    <t>ann-PAY49</t>
  </si>
  <si>
    <t>Narration: detergent 2500 transport 1000 bottle water 200</t>
  </si>
  <si>
    <t>Advance Salary</t>
  </si>
  <si>
    <t>Narration: jumi</t>
  </si>
  <si>
    <t>Narration: Repair</t>
  </si>
  <si>
    <t>ann-PAY53</t>
  </si>
  <si>
    <t>Narration: corn 3500 water 500</t>
  </si>
  <si>
    <t>ann-PAY57</t>
  </si>
  <si>
    <t>Narration: Food for mr Godswill</t>
  </si>
  <si>
    <t>Printing cost</t>
  </si>
  <si>
    <t>Narration: printing</t>
  </si>
  <si>
    <t>Warehouse party</t>
  </si>
  <si>
    <t>ann-PAY59</t>
  </si>
  <si>
    <t>Narration: emiola birthday cost</t>
  </si>
  <si>
    <t>ann-PAY60</t>
  </si>
  <si>
    <t>Narration: Furniture</t>
  </si>
  <si>
    <t>Narration: jumoke</t>
  </si>
  <si>
    <t>ann-PAY61</t>
  </si>
  <si>
    <t>Narration: Food for mr Godswill 4600 Food from iya calabar 1800</t>
  </si>
  <si>
    <t>Driver tips</t>
  </si>
  <si>
    <t>Building project</t>
  </si>
  <si>
    <t>Narration: clearing</t>
  </si>
  <si>
    <t>ann-PAY65</t>
  </si>
  <si>
    <t>Narration: ola driver wife</t>
  </si>
  <si>
    <t>ann-PAY66</t>
  </si>
  <si>
    <t>Narration: Repair laptop</t>
  </si>
  <si>
    <t>ann-PAY68</t>
  </si>
  <si>
    <t>Narration: Bottle water for mr Godswill</t>
  </si>
  <si>
    <t>ann-PAY67</t>
  </si>
  <si>
    <t>Narration: Burial cloth for mr Godswill</t>
  </si>
  <si>
    <t>ann-PAY69</t>
  </si>
  <si>
    <t>Narration: snacks</t>
  </si>
  <si>
    <t>ann-PAY71</t>
  </si>
  <si>
    <t>Narration: bottle water 1200 drink 500 for Mr Godswill</t>
  </si>
  <si>
    <t>Narration: Tollgate</t>
  </si>
  <si>
    <t>ann-PAY75</t>
  </si>
  <si>
    <t>ann-PAY76</t>
  </si>
  <si>
    <t>Narration: manager ( transport) 1500 Bottle water 1000 corn 5000 mr Godswill food (25000)</t>
  </si>
  <si>
    <t>Narration: corn and payment for labour</t>
  </si>
  <si>
    <t>ann-PAY77</t>
  </si>
  <si>
    <t>Narration: fumigation of the warehouse</t>
  </si>
  <si>
    <t>TOTAL (55 transactions)</t>
  </si>
  <si>
    <t>Pumping Machine</t>
  </si>
  <si>
    <t>Mr Godswill</t>
  </si>
  <si>
    <t>VULCANIZER</t>
  </si>
  <si>
    <t>mechanic</t>
  </si>
  <si>
    <t>Wifi guy 5000, Sunny 3000, Water and glue, Corn 2000</t>
  </si>
  <si>
    <t>Everstart battery</t>
  </si>
  <si>
    <t>Handwash 3000,swiss spray1000,foot mat 5500,ziplock bag</t>
  </si>
  <si>
    <t>fan 55,000 food 6000</t>
  </si>
  <si>
    <t xml:space="preserve"> water</t>
  </si>
  <si>
    <t>bottle water 1000 corn 7000 food 16,700</t>
  </si>
  <si>
    <t xml:space="preserve"> fuel</t>
  </si>
  <si>
    <t>mr Godswill food 16000 Damilare loan 5000</t>
  </si>
  <si>
    <t xml:space="preserve"> detergent 2500 transport 1000 bottle water 200</t>
  </si>
  <si>
    <t>corn 3500 water 500</t>
  </si>
  <si>
    <t>Food for mr Godswill</t>
  </si>
  <si>
    <t>emiola birthday cost</t>
  </si>
  <si>
    <t>Furniture</t>
  </si>
  <si>
    <t>Food for mr Godswill 4600 Food from iya calabar 1800</t>
  </si>
  <si>
    <t>ola driver wife</t>
  </si>
  <si>
    <t>Repair laptop</t>
  </si>
  <si>
    <t>Bottle water for mr Godswill</t>
  </si>
  <si>
    <t>Burial cloth for mr Godswill</t>
  </si>
  <si>
    <t xml:space="preserve"> snacks</t>
  </si>
  <si>
    <t>Bottle water 1200 drink 500 for Mr Godswill</t>
  </si>
  <si>
    <t xml:space="preserve"> manager ( transport) 1500 Bottle water 1000 corn 5000 mr Godswill food (25000)</t>
  </si>
  <si>
    <t>fumigation of the warehouse</t>
  </si>
  <si>
    <t>All July 2026 payments credited to Cash, extracted from the KANE-JONES Day Book.</t>
  </si>
  <si>
    <t>TOTAL
790,449</t>
  </si>
  <si>
    <t>TRANSACTIONS
36</t>
  </si>
  <si>
    <t>LARGEST PAYMENT
250,000</t>
  </si>
  <si>
    <t>Category</t>
  </si>
  <si>
    <t>Voucher No.</t>
  </si>
  <si>
    <t>Payment Type</t>
  </si>
  <si>
    <t>Amount</t>
  </si>
  <si>
    <t>Running Total</t>
  </si>
  <si>
    <t>Source</t>
  </si>
  <si>
    <t>tmp6F17</t>
  </si>
  <si>
    <t>mr Godswill</t>
  </si>
  <si>
    <t>fuel</t>
  </si>
  <si>
    <t>spanner 700 piler 2500 host 2000</t>
  </si>
  <si>
    <t>detergent 2500 transport 1000 bottle water 200</t>
  </si>
  <si>
    <t>printing</t>
  </si>
  <si>
    <t>clearing</t>
  </si>
  <si>
    <t>snacks</t>
  </si>
  <si>
    <t>bottle water 1200 drink 500 for Mr Godswill</t>
  </si>
  <si>
    <t>manager ( transport) 1500 Bottle water 1000 corn 5000 mr Godswill food (25000)</t>
  </si>
  <si>
    <t>corn and payment for labour</t>
  </si>
  <si>
    <t>TOTAL</t>
  </si>
  <si>
    <t>CATEGORY SUMMARY</t>
  </si>
  <si>
    <t>% of total</t>
  </si>
  <si>
    <t>Day Book reconciliation: Cash = ₦790,449. Cash + GTB (KaneJones) = ₦2,014,449; total Day Book payments = ₦2,059,599. The ₦45,150 difference is GTB POS bank charges.</t>
  </si>
  <si>
    <t>All July 2026 payments credited to GTB (KaneJones), extracted from the KANE-JONES Day Book.</t>
  </si>
  <si>
    <t>TOTAL
1,224,000</t>
  </si>
  <si>
    <t>TRANSACTIONS
18</t>
  </si>
  <si>
    <t>LARGEST PAYMENT
190,000</t>
  </si>
  <si>
    <t>pumping machine</t>
  </si>
  <si>
    <t>Handwash 3000,swiss spray1000,foot mat 5500,ziplock bag 14000, gusset pouch 8000,</t>
  </si>
  <si>
    <t>water</t>
  </si>
  <si>
    <t>servicing</t>
  </si>
  <si>
    <t>Day Book reconciliation: GTB (KaneJones) = ₦1,224,000. Cash + GTB (KaneJones) = ₦2,014,449; total Day Book payments = ₦2,059,599. The ₦45,150 difference is GTB POS bank charges.</t>
  </si>
  <si>
    <t>Mr God's Will</t>
  </si>
  <si>
    <t>TOTAL
68,300</t>
  </si>
  <si>
    <t>TRANSACTIONS
8</t>
  </si>
  <si>
    <t>LARGEST PAYMENT
25,000</t>
  </si>
  <si>
    <t>MIXED TXNS
3</t>
  </si>
  <si>
    <t>Payment Source</t>
  </si>
  <si>
    <t>Transaction Total</t>
  </si>
  <si>
    <t>Mr God's Will Amount</t>
  </si>
  <si>
    <t>Other / Unattributed</t>
  </si>
  <si>
    <r>
      <rPr>
        <b/>
        <sz val="11"/>
        <color rgb="FFFFFFFF"/>
        <rFont val="Calibri"/>
      </rPr>
      <t>DEBIT</t>
    </r>
    <r>
      <rPr>
        <b/>
        <sz val="11"/>
        <color rgb="FF000000"/>
        <rFont val="Calibri"/>
      </rPr>
      <t xml:space="preserve"> AMOUNT</t>
    </r>
  </si>
  <si>
    <r>
      <rPr>
        <b/>
        <sz val="11"/>
        <color rgb="FFFFFFFF"/>
        <rFont val="Calibri"/>
      </rPr>
      <t>DEBIT</t>
    </r>
    <r>
      <rPr>
        <b/>
        <sz val="11"/>
        <color rgb="FF000000"/>
        <rFont val="Calibri"/>
      </rPr>
      <t xml:space="preserve"> </t>
    </r>
    <r>
      <rPr>
        <b/>
        <sz val="11"/>
        <color rgb="FFFFFFFF"/>
        <rFont val="Calibri"/>
      </rPr>
      <t>AMOUNT</t>
    </r>
  </si>
  <si>
    <t>Row Labels</t>
  </si>
  <si>
    <t>Grand Total</t>
  </si>
  <si>
    <t>Sum of Amount</t>
  </si>
  <si>
    <t>Journal</t>
  </si>
  <si>
    <t>%of Total Expenses</t>
  </si>
  <si>
    <t xml:space="preserve"> </t>
  </si>
</sst>
</file>

<file path=xl/styles.xml><?xml version="1.0" encoding="utf-8"?>
<styleSheet xmlns="http://schemas.openxmlformats.org/spreadsheetml/2006/main">
  <numFmts count="9">
    <numFmt numFmtId="0" formatCode="General"/>
    <numFmt numFmtId="14" formatCode="m/d/yyyy"/>
    <numFmt numFmtId="3" formatCode="#,##0"/>
    <numFmt numFmtId="165" formatCode="dd\-mmm\-yyyy"/>
    <numFmt numFmtId="166" formatCode="\₦#,##0"/>
    <numFmt numFmtId="168" formatCode="_(* #,##0_);_(* \(#,##0\);_(* &quot;-&quot;??_);_(@_)"/>
    <numFmt numFmtId="167" formatCode="0.0%"/>
    <numFmt numFmtId="9" formatCode="0%"/>
    <numFmt numFmtId="164" formatCode="_(* #,##0.00_);_(* \(#,##0.00\);_(* &quot;-&quot;??_);_(@_)"/>
  </numFmts>
  <fonts count="14">
    <font>
      <name val="Calibri"/>
      <sz val="11"/>
    </font>
    <font>
      <name val="Calibri"/>
      <sz val="11"/>
      <color rgb="FF000000"/>
    </font>
    <font>
      <name val="Calibri"/>
      <b/>
      <sz val="11"/>
      <color rgb="FF000000"/>
    </font>
    <font>
      <name val="Calibri"/>
      <u/>
      <sz val="11"/>
      <color rgb="FF000000"/>
    </font>
    <font>
      <name val="Calibri"/>
      <b/>
      <sz val="11"/>
      <color rgb="FFFFFFFF"/>
    </font>
    <font>
      <name val="Calibri"/>
      <sz val="11"/>
      <color rgb="FF000000"/>
    </font>
    <font>
      <name val="Calibri"/>
      <b/>
      <sz val="11"/>
      <color rgb="FF000000"/>
    </font>
    <font>
      <name val="Calibri"/>
      <b/>
      <sz val="11"/>
      <color rgb="FF17365D"/>
    </font>
    <font>
      <name val="Aptos Display"/>
      <b/>
      <sz val="20"/>
      <color rgb="FFFFFFFF"/>
    </font>
    <font>
      <name val="Aptos"/>
      <i/>
      <sz val="10"/>
      <color rgb="FF5B6573"/>
    </font>
    <font>
      <name val="Aptos"/>
      <b/>
      <sz val="11"/>
      <color rgb="FF1F4E79"/>
    </font>
    <font>
      <name val="Calibri"/>
      <b/>
      <sz val="11"/>
      <color rgb="FFFFFFFF"/>
    </font>
    <font>
      <name val="Calibri"/>
      <b/>
      <sz val="14"/>
      <color rgb="FF17365D"/>
    </font>
    <font>
      <name val="Calibri"/>
      <sz val="11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bottom"/>
      <protection locked="0" hidden="0"/>
    </xf>
    <xf numFmtId="164" fontId="13" fillId="0" borderId="0">
      <alignment vertical="top"/>
      <protection locked="0" hidden="0"/>
    </xf>
    <xf numFmtId="9" fontId="13" fillId="0" borderId="0">
      <alignment vertical="top"/>
      <protection locked="0" hidden="0"/>
    </xf>
  </cellStyleXfs>
  <cellXfs count="86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0" xfId="0" applyFont="1" applyAlignment="1">
      <alignment vertical="bottom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14" fontId="1" fillId="0" borderId="0" xfId="0" applyNumberFormat="1" applyAlignment="1">
      <alignment vertical="bottom" wrapText="1"/>
    </xf>
    <xf numFmtId="0" fontId="2" fillId="0" borderId="0" xfId="0" applyFont="1" applyAlignment="1">
      <alignment vertical="bottom" wrapText="1"/>
    </xf>
    <xf numFmtId="0" fontId="1" fillId="0" borderId="0" xfId="0" applyAlignment="1">
      <alignment vertical="bottom" wrapText="1"/>
    </xf>
    <xf numFmtId="0" fontId="3" fillId="0" borderId="0" xfId="1" applyAlignment="1">
      <alignment vertical="bottom" wrapText="1"/>
    </xf>
    <xf numFmtId="3" fontId="1" fillId="0" borderId="0" xfId="0" applyNumberFormat="1" applyAlignment="1">
      <alignment horizontal="right" vertical="bottom" wrapText="1"/>
    </xf>
    <xf numFmtId="14" fontId="1" fillId="3" borderId="0" xfId="0" applyNumberFormat="1" applyFill="1" applyAlignment="1">
      <alignment vertical="bottom" wrapText="1"/>
    </xf>
    <xf numFmtId="0" fontId="2" fillId="4" borderId="0" xfId="0" applyFont="1" applyFill="1" applyAlignment="1">
      <alignment vertical="bottom" wrapText="1"/>
    </xf>
    <xf numFmtId="0" fontId="2" fillId="5" borderId="0" xfId="0" applyFont="1" applyFill="1" applyAlignment="1">
      <alignment vertical="bottom" wrapText="1"/>
    </xf>
    <xf numFmtId="0" fontId="1" fillId="0" borderId="0" xfId="0" applyAlignment="1">
      <alignment horizontal="right" vertical="bottom" wrapText="1"/>
    </xf>
    <xf numFmtId="0" fontId="1" fillId="0" borderId="2" xfId="0" applyBorder="1" applyAlignment="1">
      <alignment vertical="bottom" wrapText="1"/>
    </xf>
    <xf numFmtId="3" fontId="2" fillId="2" borderId="1" xfId="0" applyNumberFormat="1" applyFont="1" applyFill="1" applyBorder="1" applyAlignment="1">
      <alignment horizontal="right" vertical="center" wrapText="1" indent="1"/>
    </xf>
    <xf numFmtId="0" fontId="4" fillId="6" borderId="3" xfId="0" applyFont="1" applyFill="1" applyBorder="1" applyAlignment="1">
      <alignment vertical="bottom" wrapText="1"/>
    </xf>
    <xf numFmtId="0" fontId="4" fillId="6" borderId="3" xfId="0" applyFont="1" applyFill="1" applyBorder="1" applyAlignment="1">
      <alignment vertical="bottom"/>
    </xf>
    <xf numFmtId="0" fontId="4" fillId="6" borderId="3" xfId="0" applyFont="1" applyFill="1" applyBorder="1" applyAlignment="1">
      <alignment horizontal="left" vertical="center" wrapText="1" indent="1"/>
    </xf>
    <xf numFmtId="0" fontId="2" fillId="6" borderId="3" xfId="0" applyFont="1" applyFill="1" applyBorder="1" applyAlignment="1">
      <alignment horizontal="right" vertical="center" wrapText="1" indent="1"/>
    </xf>
    <xf numFmtId="0" fontId="4" fillId="6" borderId="3" xfId="0" applyFont="1" applyFill="1" applyBorder="1" applyAlignment="1">
      <alignment horizontal="right" vertical="center" wrapText="1" indent="1"/>
    </xf>
    <xf numFmtId="14" fontId="1" fillId="0" borderId="3" xfId="0" applyNumberFormat="1" applyBorder="1" applyAlignment="1">
      <alignment vertical="bottom" wrapText="1"/>
    </xf>
    <xf numFmtId="0" fontId="1" fillId="0" borderId="3" xfId="0" applyBorder="1" applyAlignment="1">
      <alignment vertical="bottom"/>
    </xf>
    <xf numFmtId="0" fontId="3" fillId="0" borderId="3" xfId="1" applyBorder="1" applyAlignment="1">
      <alignment vertical="bottom" wrapText="1"/>
    </xf>
    <xf numFmtId="3" fontId="1" fillId="0" borderId="3" xfId="0" applyNumberFormat="1" applyBorder="1" applyAlignment="1">
      <alignment horizontal="right" vertical="bottom" wrapText="1"/>
    </xf>
    <xf numFmtId="0" fontId="2" fillId="0" borderId="3" xfId="0" applyFont="1" applyBorder="1" applyAlignment="1">
      <alignment vertical="bottom" wrapText="1"/>
    </xf>
    <xf numFmtId="0" fontId="1" fillId="7" borderId="3" xfId="0" applyFill="1" applyBorder="1" applyAlignment="1">
      <alignment vertical="bottom"/>
    </xf>
    <xf numFmtId="3" fontId="1" fillId="7" borderId="3" xfId="0" applyNumberFormat="1" applyFill="1" applyBorder="1" applyAlignment="1">
      <alignment vertical="bottom"/>
    </xf>
    <xf numFmtId="0" fontId="1" fillId="0" borderId="3" xfId="0" applyFill="1" applyBorder="1" applyAlignment="1">
      <alignment vertical="bottom"/>
    </xf>
    <xf numFmtId="3" fontId="1" fillId="0" borderId="3" xfId="0" applyNumberFormat="1" applyBorder="1" applyAlignment="1">
      <alignment vertical="bottom"/>
    </xf>
    <xf numFmtId="0" fontId="3" fillId="7" borderId="3" xfId="1" applyFill="1" applyBorder="1" applyAlignment="1">
      <alignment vertical="bottom" wrapText="1"/>
    </xf>
    <xf numFmtId="3" fontId="5" fillId="7" borderId="3" xfId="0" applyNumberFormat="1" applyFont="1" applyFill="1" applyBorder="1" applyAlignment="1">
      <alignment horizontal="right" vertical="bottom" wrapText="1"/>
    </xf>
    <xf numFmtId="0" fontId="6" fillId="0" borderId="3" xfId="0" applyFont="1" applyBorder="1" applyAlignment="1">
      <alignment vertical="bottom" wrapText="1"/>
    </xf>
    <xf numFmtId="0" fontId="1" fillId="0" borderId="3" xfId="0" applyBorder="1" applyAlignment="1">
      <alignment horizontal="right" vertical="bottom" wrapText="1"/>
    </xf>
    <xf numFmtId="0" fontId="1" fillId="0" borderId="3" xfId="0" applyBorder="1" applyAlignment="1">
      <alignment vertical="bottom" wrapText="1"/>
    </xf>
    <xf numFmtId="0" fontId="7" fillId="8" borderId="4" xfId="0" applyFont="1" applyFill="1" applyBorder="1" applyAlignment="1">
      <alignment vertical="bottom"/>
    </xf>
    <xf numFmtId="0" fontId="8" fillId="9" borderId="0" xfId="0" applyFont="1" applyFill="1" applyAlignment="1">
      <alignment horizontal="left" vertical="center"/>
    </xf>
    <xf numFmtId="0" fontId="1" fillId="0" borderId="0" xfId="0" applyAlignment="1">
      <alignment vertical="bottom"/>
    </xf>
    <xf numFmtId="0" fontId="9" fillId="0" borderId="0" xfId="0" applyFont="1">
      <alignment vertical="center"/>
    </xf>
    <xf numFmtId="0" fontId="10" fillId="10" borderId="4" xfId="0" applyFont="1" applyFill="1" applyBorder="1" applyAlignment="1">
      <alignment horizontal="center" vertical="center" wrapText="1"/>
    </xf>
    <xf numFmtId="0" fontId="1" fillId="0" borderId="4" xfId="0" applyBorder="1" applyAlignment="1">
      <alignment vertical="bottom"/>
    </xf>
    <xf numFmtId="0" fontId="11" fillId="11" borderId="3" xfId="0" applyFont="1" applyFill="1" applyBorder="1" applyAlignment="1">
      <alignment horizontal="center" vertical="bottom"/>
    </xf>
    <xf numFmtId="165" fontId="1" fillId="0" borderId="3" xfId="0" applyNumberFormat="1" applyBorder="1" applyAlignment="1">
      <alignment vertical="top"/>
    </xf>
    <xf numFmtId="0" fontId="1" fillId="0" borderId="3" xfId="0" applyBorder="1" applyAlignment="1">
      <alignment vertical="top" wrapText="1"/>
    </xf>
    <xf numFmtId="0" fontId="1" fillId="0" borderId="3" xfId="0" applyBorder="1" applyAlignment="1">
      <alignment vertical="top"/>
    </xf>
    <xf numFmtId="166" fontId="1" fillId="0" borderId="3" xfId="0" applyNumberFormat="1" applyBorder="1" applyAlignment="1">
      <alignment vertical="top"/>
    </xf>
    <xf numFmtId="0" fontId="1" fillId="0" borderId="0" xfId="0" applyAlignment="1">
      <alignment vertical="bottom"/>
    </xf>
    <xf numFmtId="0" fontId="1" fillId="0" borderId="0" xfId="0" applyAlignment="1">
      <alignment horizontal="left" vertical="bottom"/>
    </xf>
    <xf numFmtId="168" fontId="1" fillId="0" borderId="0" xfId="0" applyNumberFormat="1" applyAlignment="1">
      <alignment vertical="bottom"/>
    </xf>
    <xf numFmtId="0" fontId="7" fillId="8" borderId="3" xfId="0" applyFont="1" applyFill="1" applyBorder="1" applyAlignment="1">
      <alignment vertical="bottom"/>
    </xf>
    <xf numFmtId="166" fontId="7" fillId="8" borderId="3" xfId="0" applyNumberFormat="1" applyFont="1" applyFill="1" applyBorder="1" applyAlignment="1">
      <alignment vertical="bottom"/>
    </xf>
    <xf numFmtId="0" fontId="12" fillId="0" borderId="0" xfId="0" applyFont="1" applyAlignment="1">
      <alignment vertical="bottom"/>
    </xf>
    <xf numFmtId="0" fontId="11" fillId="11" borderId="3" xfId="0" applyFont="1" applyFill="1" applyBorder="1" applyAlignment="1">
      <alignment vertical="bottom"/>
    </xf>
    <xf numFmtId="166" fontId="1" fillId="0" borderId="3" xfId="0" applyNumberFormat="1" applyBorder="1" applyAlignment="1">
      <alignment vertical="bottom"/>
    </xf>
    <xf numFmtId="167" fontId="1" fillId="0" borderId="3" xfId="0" applyNumberFormat="1" applyBorder="1" applyAlignment="1">
      <alignment vertical="bottom"/>
    </xf>
    <xf numFmtId="0" fontId="1" fillId="10" borderId="0" xfId="0" applyFill="1" applyAlignment="1">
      <alignment vertical="bottom" wrapText="1"/>
    </xf>
    <xf numFmtId="0" fontId="11" fillId="11" borderId="4" xfId="0" applyFont="1" applyFill="1" applyBorder="1" applyAlignment="1">
      <alignment horizontal="center" vertical="bottom"/>
    </xf>
    <xf numFmtId="165" fontId="1" fillId="0" borderId="4" xfId="0" applyNumberFormat="1" applyBorder="1" applyAlignment="1">
      <alignment vertical="top"/>
    </xf>
    <xf numFmtId="0" fontId="1" fillId="0" borderId="4" xfId="0" applyBorder="1" applyAlignment="1">
      <alignment vertical="top" wrapText="1"/>
    </xf>
    <xf numFmtId="0" fontId="1" fillId="0" borderId="4" xfId="0" applyBorder="1" applyAlignment="1">
      <alignment vertical="top"/>
    </xf>
    <xf numFmtId="166" fontId="1" fillId="0" borderId="4" xfId="0" applyNumberFormat="1" applyBorder="1" applyAlignment="1">
      <alignment vertical="top"/>
    </xf>
    <xf numFmtId="0" fontId="1" fillId="0" borderId="0" xfId="0" applyNumberFormat="1" applyAlignment="1">
      <alignment vertical="bottom"/>
    </xf>
    <xf numFmtId="166" fontId="7" fillId="8" borderId="4" xfId="0" applyNumberFormat="1" applyFont="1" applyFill="1" applyBorder="1" applyAlignment="1">
      <alignment vertical="bottom"/>
    </xf>
    <xf numFmtId="0" fontId="11" fillId="11" borderId="4" xfId="0" applyFont="1" applyFill="1" applyBorder="1" applyAlignment="1">
      <alignment vertical="bottom"/>
    </xf>
    <xf numFmtId="0" fontId="1" fillId="0" borderId="4" xfId="0" applyBorder="1" applyAlignment="1">
      <alignment vertical="bottom"/>
    </xf>
    <xf numFmtId="166" fontId="1" fillId="0" borderId="4" xfId="0" applyNumberFormat="1" applyBorder="1" applyAlignment="1">
      <alignment vertical="bottom"/>
    </xf>
    <xf numFmtId="167" fontId="1" fillId="0" borderId="4" xfId="0" applyNumberFormat="1" applyBorder="1" applyAlignment="1">
      <alignment vertical="bottom"/>
    </xf>
    <xf numFmtId="0" fontId="11" fillId="11" borderId="3" xfId="0" applyFont="1" applyFill="1" applyBorder="1" applyAlignment="1">
      <alignment horizontal="center" vertical="bottom" wrapText="1"/>
    </xf>
    <xf numFmtId="0" fontId="1" fillId="0" borderId="0" xfId="0" applyFill="1" applyAlignment="1">
      <alignment vertical="bottom" wrapText="1"/>
    </xf>
    <xf numFmtId="0" fontId="1" fillId="0" borderId="0" xfId="0" applyFill="1" applyAlignment="1">
      <alignment vertical="bottom"/>
    </xf>
    <xf numFmtId="0" fontId="1" fillId="0" borderId="0" xfId="0" applyFill="1" applyAlignment="1">
      <alignment vertical="bottom"/>
    </xf>
    <xf numFmtId="0" fontId="1" fillId="0" borderId="0" xfId="0" applyAlignment="1">
      <alignment vertical="bottom"/>
    </xf>
    <xf numFmtId="0" fontId="4" fillId="12" borderId="3" xfId="0" applyFont="1" applyFill="1" applyBorder="1" applyAlignment="1">
      <alignment vertical="bottom"/>
    </xf>
    <xf numFmtId="0" fontId="1" fillId="13" borderId="3" xfId="0" applyFont="1" applyFill="1" applyBorder="1" applyAlignment="1">
      <alignment vertical="bottom"/>
    </xf>
    <xf numFmtId="168" fontId="1" fillId="13" borderId="3" xfId="2" applyNumberFormat="1" applyFont="1" applyFill="1" applyBorder="1" applyAlignment="1">
      <alignment vertical="bottom"/>
    </xf>
    <xf numFmtId="9" fontId="1" fillId="0" borderId="3" xfId="3" applyFont="1" applyBorder="1" applyAlignment="1">
      <alignment vertical="bottom"/>
    </xf>
    <xf numFmtId="0" fontId="1" fillId="0" borderId="3" xfId="0" applyFont="1" applyBorder="1" applyAlignment="1">
      <alignment vertical="bottom"/>
    </xf>
    <xf numFmtId="168" fontId="1" fillId="0" borderId="3" xfId="2" applyNumberFormat="1" applyFont="1" applyBorder="1" applyAlignment="1">
      <alignment vertical="bottom"/>
    </xf>
    <xf numFmtId="0" fontId="1" fillId="0" borderId="3" xfId="0" applyFont="1" applyFill="1" applyBorder="1" applyAlignment="1">
      <alignment vertical="bottom"/>
    </xf>
    <xf numFmtId="168" fontId="1" fillId="0" borderId="3" xfId="2" applyNumberFormat="1" applyFont="1" applyFill="1" applyBorder="1" applyAlignment="1">
      <alignment vertical="bottom"/>
    </xf>
    <xf numFmtId="0" fontId="1" fillId="0" borderId="0" xfId="0" applyBorder="1" applyAlignment="1">
      <alignment vertical="bottom"/>
    </xf>
    <xf numFmtId="168" fontId="1" fillId="0" borderId="0" xfId="2" applyNumberFormat="1" applyFont="1" applyBorder="1" applyAlignment="1">
      <alignment vertical="bottom"/>
    </xf>
    <xf numFmtId="0" fontId="1" fillId="0" borderId="0" xfId="0" applyFont="1" applyFill="1" applyBorder="1" applyAlignment="1">
      <alignment vertical="bottom"/>
    </xf>
    <xf numFmtId="168" fontId="1" fillId="0" borderId="0" xfId="2" applyNumberFormat="1" applyFont="1" applyFill="1" applyBorder="1" applyAlignment="1">
      <alignment vertical="bottom"/>
    </xf>
    <xf numFmtId="3" fontId="1" fillId="0" borderId="0" xfId="0" applyNumberFormat="1" applyFill="1" applyBorder="1" applyAlignment="1">
      <alignment vertical="bottom"/>
    </xf>
    <xf numFmtId="0" fontId="1" fillId="0" borderId="0" xfId="0" applyFill="1" applyBorder="1" applyAlignment="1">
      <alignment vertical="bottom"/>
    </xf>
  </cellXfs>
  <cellStyles count="4">
    <cellStyle name="常规" xfId="0" builtinId="0"/>
    <cellStyle name="Hyperlink" xfId="1"/>
    <cellStyle name="千位分隔" xfId="2" builtinId="3"/>
    <cellStyle name="百分比" xfId="3" builtinId="5"/>
  </cellStyles>
  <dxfs count="21">
    <dxf>
      <border>
        <left style="thin">
          <color indexed="64"/>
        </left>
        <right style="thin">
          <color indexed="64"/>
        </right>
        <top/>
        <bottom/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diagonal/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diagonal/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numFmt numFmtId="168" formatCode="_(* #,##0_);_(* \(#,##0\);_(* &quot;-&quot;??_);_(@_)"/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2.xml"/><Relationship Id="rId19" Type="http://www.wps.cn/officeDocument/2020/cellImage" Target="cellimages.xml"/><Relationship Id="rId20" Type="http://schemas.openxmlformats.org/officeDocument/2006/relationships/sharedStrings" Target="sharedStrings.xml"/><Relationship Id="rId21" Type="http://schemas.openxmlformats.org/officeDocument/2006/relationships/styles" Target="styles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By="USER" refreshedDate="46244.57221215278" createdVersion="5" refreshedVersion="5" minRefreshableVersion="3" recordCount="36">
  <cacheSource type="worksheet">
    <worksheetSource name="T_Cash"/>
  </cacheSource>
  <cacheFields count="8">
    <cacheField name="Date" numFmtId="164">
      <sharedItems containsSemiMixedTypes="0" containsNonDate="0" containsDate="1" containsString="0" minDate="2026-07-01T00:00:00" maxDate="2026-08-01T00:00:00"/>
    </cacheField>
    <cacheField name="Category" numFmtId="0">
      <sharedItems count="10">
        <s v="Warehouse Expenses"/>
        <s v="Transportation"/>
        <s v="Forklift"/>
        <s v="Advance Salary"/>
        <s v="Printing cost"/>
        <s v="Warehouse party"/>
        <s v="Driver tips"/>
        <s v="Building project"/>
        <s v="Ola VAN KRD882YK"/>
        <s v="Eniola Van BDG301XX"/>
      </sharedItems>
    </cacheField>
    <cacheField name="Narration" numFmtId="0">
      <sharedItems containsBlank="1"/>
    </cacheField>
    <cacheField name="Voucher No." numFmtId="0">
      <sharedItems/>
    </cacheField>
    <cacheField name="Payment Type" numFmtId="0">
      <sharedItems/>
    </cacheField>
    <cacheField name="Amount" numFmtId="165">
      <sharedItems containsSemiMixedTypes="0" containsString="0" containsNumber="1" containsInteger="1" minValue="600" maxValue="250000"/>
    </cacheField>
    <cacheField name="Running Total" numFmtId="165">
      <sharedItems containsSemiMixedTypes="0" containsString="0" containsNumber="1" containsInteger="1" minValue="8000" maxValue="790449"/>
    </cacheField>
    <cacheField name="Source" numFmtId="0">
      <sharedItems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:id="rId1" refreshedBy="USER" refreshedDate="46244.575051851854" createdVersion="5" refreshedVersion="5" minRefreshableVersion="3" recordCount="18">
  <cacheSource type="worksheet">
    <worksheetSource name="T_GTBKaneJones"/>
  </cacheSource>
  <cacheFields count="8">
    <cacheField name="Date" numFmtId="164">
      <sharedItems containsSemiMixedTypes="0" containsNonDate="0" containsDate="1" containsString="0" minDate="2026-07-03T00:00:00" maxDate="2026-08-01T00:00:00"/>
    </cacheField>
    <cacheField name="Category" numFmtId="0">
      <sharedItems count="5">
        <s v="Warehouse Expenses"/>
        <s v="Eniola Van BDG301XX"/>
        <s v="Forklift"/>
        <s v="Ola VAN KRD882YK"/>
        <s v="Generator Expenses"/>
      </sharedItems>
    </cacheField>
    <cacheField name="Narration" numFmtId="0">
      <sharedItems containsBlank="1"/>
    </cacheField>
    <cacheField name="Voucher No." numFmtId="0">
      <sharedItems/>
    </cacheField>
    <cacheField name="Payment Type" numFmtId="0">
      <sharedItems/>
    </cacheField>
    <cacheField name="Amount" numFmtId="165">
      <sharedItems containsSemiMixedTypes="0" containsString="0" containsNumber="1" containsInteger="1" minValue="10000" maxValue="190000"/>
    </cacheField>
    <cacheField name="Running Total" numFmtId="165">
      <sharedItems containsSemiMixedTypes="0" containsString="0" containsNumber="1" containsInteger="1" minValue="190000" maxValue="1224000"/>
    </cacheField>
    <cacheField name="Source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d v="2026-07-01T00:00:00"/>
    <x v="0"/>
    <m/>
    <s v="ann-PAY28"/>
    <s v="Payment"/>
    <n v="8000"/>
    <n v="8000"/>
    <s v="tmp6F17"/>
  </r>
  <r>
    <d v="2026-07-03T00:00:00"/>
    <x v="0"/>
    <m/>
    <s v="ann-PAY29"/>
    <s v="Payment"/>
    <n v="16500"/>
    <n v="24500"/>
    <s v="tmp6F17"/>
  </r>
  <r>
    <d v="2026-07-06T00:00:00"/>
    <x v="1"/>
    <s v="tobi"/>
    <s v="ann-PAY31"/>
    <s v="Payment"/>
    <n v="1000"/>
    <n v="25500"/>
    <s v="tmp6F17"/>
  </r>
  <r>
    <d v="2026-07-06T00:00:00"/>
    <x v="0"/>
    <s v="mr Godswill"/>
    <s v="ann-PAY32"/>
    <s v="Payment"/>
    <n v="5400"/>
    <n v="30900"/>
    <s v="tmp6F17"/>
  </r>
  <r>
    <d v="2026-07-08T00:00:00"/>
    <x v="0"/>
    <s v="mechanic"/>
    <s v="ann-PAY34"/>
    <s v="Payment"/>
    <n v="10000"/>
    <n v="40900"/>
    <s v="tmp6F17"/>
  </r>
  <r>
    <d v="2026-07-08T00:00:00"/>
    <x v="0"/>
    <s v="Wifi guy 5000, Sunny 3000, Water and glue, Corn 2000"/>
    <s v="ann-PAY35"/>
    <s v="Payment"/>
    <n v="10000"/>
    <n v="50900"/>
    <s v="tmp6F17"/>
  </r>
  <r>
    <d v="2026-07-11T00:00:00"/>
    <x v="0"/>
    <s v="fan 55,000 food 6000"/>
    <s v="ann-PAY37"/>
    <s v="Payment"/>
    <n v="61000"/>
    <n v="111900"/>
    <s v="tmp6F17"/>
  </r>
  <r>
    <d v="2026-07-14T00:00:00"/>
    <x v="1"/>
    <m/>
    <s v="ann-PAY40"/>
    <s v="Payment"/>
    <n v="1000"/>
    <n v="112900"/>
    <s v="tmp6F17"/>
  </r>
  <r>
    <d v="2026-07-17T00:00:00"/>
    <x v="0"/>
    <s v="bottle water 1000 corn 7000 food 16,700"/>
    <s v="ann-PAY43"/>
    <s v="Payment"/>
    <n v="24700"/>
    <n v="137600"/>
    <s v="tmp6F17"/>
  </r>
  <r>
    <d v="2026-07-17T00:00:00"/>
    <x v="0"/>
    <s v="fuel"/>
    <s v="ann-PAY44"/>
    <s v="Payment"/>
    <n v="5000"/>
    <n v="142600"/>
    <s v="tmp6F17"/>
  </r>
  <r>
    <d v="2026-07-18T00:00:00"/>
    <x v="2"/>
    <s v="spanner 700 piler 2500 host 2000"/>
    <s v="ann-PAY45"/>
    <s v="Payment"/>
    <n v="5200"/>
    <n v="147800"/>
    <s v="tmp6F17"/>
  </r>
  <r>
    <d v="2026-07-20T00:00:00"/>
    <x v="0"/>
    <s v="mr Godswill food 16000 Damilare loan 5000"/>
    <s v="ann-PAY46"/>
    <s v="Payment"/>
    <n v="21000"/>
    <n v="168800"/>
    <s v="tmp6F17"/>
  </r>
  <r>
    <d v="2026-07-22T00:00:00"/>
    <x v="0"/>
    <s v="detergent 2500 transport 1000 bottle water 200"/>
    <s v="ann-PAY49"/>
    <s v="Payment"/>
    <n v="3700"/>
    <n v="172500"/>
    <s v="tmp6F17"/>
  </r>
  <r>
    <d v="2026-07-22T00:00:00"/>
    <x v="3"/>
    <s v="jumi"/>
    <s v="ann-PAY50"/>
    <s v="Payment"/>
    <n v="5000"/>
    <n v="177500"/>
    <s v="tmp6F17"/>
  </r>
  <r>
    <d v="2026-07-25T00:00:00"/>
    <x v="0"/>
    <s v="corn 3500 water 500"/>
    <s v="ann-PAY53"/>
    <s v="Payment"/>
    <n v="4000"/>
    <n v="181500"/>
    <s v="tmp6F17"/>
  </r>
  <r>
    <d v="2026-07-27T00:00:00"/>
    <x v="1"/>
    <s v="tobi"/>
    <s v="ann-PAY56"/>
    <s v="Payment"/>
    <n v="1000"/>
    <n v="182500"/>
    <s v="tmp6F17"/>
  </r>
  <r>
    <d v="2026-07-27T00:00:00"/>
    <x v="0"/>
    <s v="Food for mr Godswill"/>
    <s v="ann-PAY57"/>
    <s v="Payment"/>
    <n v="7000"/>
    <n v="189500"/>
    <s v="tmp6F17"/>
  </r>
  <r>
    <d v="2026-07-28T00:00:00"/>
    <x v="4"/>
    <s v="printing"/>
    <s v="ann-PAY58"/>
    <s v="Payment"/>
    <n v="250000"/>
    <n v="439500"/>
    <s v="tmp6F17"/>
  </r>
  <r>
    <d v="2026-07-28T00:00:00"/>
    <x v="5"/>
    <s v="emiola birthday cost"/>
    <s v="ann-PAY59"/>
    <s v="Payment"/>
    <n v="40000"/>
    <n v="479500"/>
    <s v="tmp6F17"/>
  </r>
  <r>
    <d v="2026-07-28T00:00:00"/>
    <x v="0"/>
    <s v="Furniture"/>
    <s v="ann-PAY60"/>
    <s v="Payment"/>
    <n v="10000"/>
    <n v="489500"/>
    <s v="tmp6F17"/>
  </r>
  <r>
    <d v="2026-07-28T00:00:00"/>
    <x v="3"/>
    <s v="jumoke"/>
    <s v="ann-PAY62"/>
    <s v="Payment"/>
    <n v="5000"/>
    <n v="494500"/>
    <s v="tmp6F17"/>
  </r>
  <r>
    <d v="2026-07-28T00:00:00"/>
    <x v="0"/>
    <s v="Food for mr Godswill 4600 Food from iya calabar 1800"/>
    <s v="ann-PAY61"/>
    <s v="Payment"/>
    <n v="6400"/>
    <n v="500900"/>
    <s v="tmp6F17"/>
  </r>
  <r>
    <d v="2026-07-28T00:00:00"/>
    <x v="6"/>
    <m/>
    <s v="ann-PAY63"/>
    <s v="Payment"/>
    <n v="4000"/>
    <n v="504900"/>
    <s v="tmp6F17"/>
  </r>
  <r>
    <d v="2026-07-28T00:00:00"/>
    <x v="7"/>
    <s v="clearing"/>
    <s v="ann-PAY64"/>
    <s v="Payment"/>
    <n v="50000"/>
    <n v="554900"/>
    <s v="tmp6F17"/>
  </r>
  <r>
    <d v="2026-07-29T00:00:00"/>
    <x v="0"/>
    <s v="ola driver wife"/>
    <s v="ann-PAY65"/>
    <s v="Payment"/>
    <n v="20000"/>
    <n v="574900"/>
    <s v="tmp6F17"/>
  </r>
  <r>
    <d v="2026-07-29T00:00:00"/>
    <x v="0"/>
    <s v="Repair laptop"/>
    <s v="ann-PAY66"/>
    <s v="Payment"/>
    <n v="9000"/>
    <n v="583900"/>
    <s v="tmp6F17"/>
  </r>
  <r>
    <d v="2026-07-29T00:00:00"/>
    <x v="0"/>
    <s v="Bottle water for mr Godswill"/>
    <s v="ann-PAY68"/>
    <s v="Payment"/>
    <n v="600"/>
    <n v="584500"/>
    <s v="tmp6F17"/>
  </r>
  <r>
    <d v="2026-07-29T00:00:00"/>
    <x v="0"/>
    <s v="Burial cloth for mr Godswill"/>
    <s v="ann-PAY67"/>
    <s v="Payment"/>
    <n v="8000"/>
    <n v="592500"/>
    <s v="tmp6F17"/>
  </r>
  <r>
    <d v="2026-07-29T00:00:00"/>
    <x v="0"/>
    <s v="snacks"/>
    <s v="ann-PAY69"/>
    <s v="Payment"/>
    <n v="1000"/>
    <n v="593500"/>
    <s v="tmp6F17"/>
  </r>
  <r>
    <d v="2026-07-29T00:00:00"/>
    <x v="8"/>
    <s v="Repair"/>
    <s v="ann-PAY70"/>
    <s v="Payment"/>
    <n v="8000"/>
    <n v="601500"/>
    <s v="tmp6F17"/>
  </r>
  <r>
    <d v="2026-07-30T00:00:00"/>
    <x v="0"/>
    <s v="bottle water 1200 drink 500 for Mr Godswill"/>
    <s v="ann-PAY71"/>
    <s v="Payment"/>
    <n v="1700"/>
    <n v="603200"/>
    <s v="tmp6F17"/>
  </r>
  <r>
    <d v="2026-07-31T00:00:00"/>
    <x v="8"/>
    <s v="Tollgate"/>
    <s v="ann-PAY72"/>
    <s v="Payment"/>
    <n v="3000"/>
    <n v="606200"/>
    <s v="tmp6F17"/>
  </r>
  <r>
    <d v="2026-07-31T00:00:00"/>
    <x v="9"/>
    <s v="fuel"/>
    <s v="ann-PAY74"/>
    <s v="Payment"/>
    <n v="96749"/>
    <n v="702949"/>
    <s v="tmp6F17"/>
  </r>
  <r>
    <d v="2026-07-31T00:00:00"/>
    <x v="4"/>
    <m/>
    <s v="ann-PAY75"/>
    <s v="Payment"/>
    <n v="5000"/>
    <n v="707949"/>
    <s v="tmp6F17"/>
  </r>
  <r>
    <d v="2026-07-31T00:00:00"/>
    <x v="0"/>
    <s v="manager ( transport) 1500 Bottle water 1000 corn 5000 mr Godswill food (25000)"/>
    <s v="ann-PAY76"/>
    <s v="Payment"/>
    <n v="32500"/>
    <n v="740449"/>
    <s v="tmp6F17"/>
  </r>
  <r>
    <d v="2026-07-31T00:00:00"/>
    <x v="7"/>
    <s v="corn and payment for labour"/>
    <s v="ann-PAY78"/>
    <s v="Payment"/>
    <n v="50000"/>
    <n v="790449"/>
    <s v="tmp6F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">
  <r>
    <d v="2026-07-03T00:00:00"/>
    <x v="0"/>
    <s v="pumping machine"/>
    <s v="ann-PAY30"/>
    <s v="Payment"/>
    <n v="190000"/>
    <n v="190000"/>
    <s v="tmp6F17"/>
  </r>
  <r>
    <d v="2026-07-06T00:00:00"/>
    <x v="1"/>
    <m/>
    <s v="johnh1-PAY27"/>
    <s v="Payment"/>
    <n v="93665"/>
    <n v="283665"/>
    <s v="tmp6F17"/>
  </r>
  <r>
    <d v="2026-07-06T00:00:00"/>
    <x v="2"/>
    <s v="Diesel"/>
    <s v="johnh1-PAY28"/>
    <s v="Payment"/>
    <n v="45870"/>
    <n v="329535"/>
    <s v="tmp6F17"/>
  </r>
  <r>
    <d v="2026-07-08T00:00:00"/>
    <x v="0"/>
    <s v="VULCANIZER"/>
    <s v="ann-PAY33"/>
    <s v="Payment"/>
    <n v="100000"/>
    <n v="429535"/>
    <s v="tmp6F17"/>
  </r>
  <r>
    <d v="2026-07-09T00:00:00"/>
    <x v="0"/>
    <s v="Everstart battery"/>
    <s v="ann-PAY35"/>
    <s v="Payment"/>
    <n v="125000"/>
    <n v="554535"/>
    <s v="tmp6F17"/>
  </r>
  <r>
    <d v="2026-07-10T00:00:00"/>
    <x v="0"/>
    <s v="Handwash 3000,swiss spray1000,foot mat 5500,ziplock bag 14000, gusset pouch 8000,"/>
    <s v="ann-PAY36"/>
    <s v="Payment"/>
    <n v="31500"/>
    <n v="586035"/>
    <s v="tmp6F17"/>
  </r>
  <r>
    <d v="2026-07-13T00:00:00"/>
    <x v="3"/>
    <s v="Diesel"/>
    <s v="ann-PAY38"/>
    <s v="Payment"/>
    <n v="45270"/>
    <n v="631305"/>
    <s v="tmp6F17"/>
  </r>
  <r>
    <d v="2026-07-14T00:00:00"/>
    <x v="0"/>
    <s v="water"/>
    <s v="ann-PAY39"/>
    <s v="Payment"/>
    <n v="10000"/>
    <n v="641305"/>
    <s v="tmp6F17"/>
  </r>
  <r>
    <d v="2026-07-15T00:00:00"/>
    <x v="1"/>
    <s v="servicing"/>
    <s v="ann-PAY41"/>
    <s v="Payment"/>
    <n v="38000"/>
    <n v="679305"/>
    <s v="tmp6F17"/>
  </r>
  <r>
    <d v="2026-07-16T00:00:00"/>
    <x v="1"/>
    <m/>
    <s v="ann-PAY42"/>
    <s v="Payment"/>
    <n v="91745"/>
    <n v="771050"/>
    <s v="tmp6F17"/>
  </r>
  <r>
    <d v="2026-07-21T00:00:00"/>
    <x v="3"/>
    <s v="Diesel"/>
    <s v="ann-PAY47"/>
    <s v="Payment"/>
    <n v="32000"/>
    <n v="803050"/>
    <s v="tmp6F17"/>
  </r>
  <r>
    <d v="2026-07-22T00:00:00"/>
    <x v="4"/>
    <s v="fuel"/>
    <s v="ann-PAY48"/>
    <s v="Payment"/>
    <n v="19425"/>
    <n v="822475"/>
    <s v="tmp6F17"/>
  </r>
  <r>
    <d v="2026-07-24T00:00:00"/>
    <x v="1"/>
    <s v="Repair"/>
    <s v="ann-PAY51"/>
    <s v="Payment"/>
    <n v="36000"/>
    <n v="858475"/>
    <s v="tmp6F17"/>
  </r>
  <r>
    <d v="2026-07-24T00:00:00"/>
    <x v="1"/>
    <s v="fuel"/>
    <s v="ann-PAY52"/>
    <s v="Payment"/>
    <n v="92685"/>
    <n v="951160"/>
    <s v="tmp6F17"/>
  </r>
  <r>
    <d v="2026-07-27T00:00:00"/>
    <x v="2"/>
    <s v="Diesel"/>
    <s v="ann-PAY54"/>
    <s v="Payment"/>
    <n v="42200"/>
    <n v="993360"/>
    <s v="tmp6F17"/>
  </r>
  <r>
    <d v="2026-07-27T00:00:00"/>
    <x v="3"/>
    <s v="Diesel"/>
    <s v="ann-PAY55"/>
    <s v="Payment"/>
    <n v="50640"/>
    <n v="1044000"/>
    <s v="tmp6F17"/>
  </r>
  <r>
    <d v="2026-07-31T00:00:00"/>
    <x v="3"/>
    <s v="Diesel"/>
    <s v="ann-PAY73"/>
    <s v="Payment"/>
    <n v="30000"/>
    <n v="1074000"/>
    <s v="tmp6F17"/>
  </r>
  <r>
    <d v="2026-07-31T00:00:00"/>
    <x v="0"/>
    <s v="fumigation of the warehouse"/>
    <s v="ann-PAY77"/>
    <s v="Payment"/>
    <n v="150000"/>
    <n v="1224000"/>
    <s v="tmp6F17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showDrill="1" useAutoFormatting="1" itemPrintTitles="1" createdVersion="5" indent="0" outline="1" outlineData="1" multipleFieldFilters="0">
  <location ref="I7:J18" firstHeaderRow="1" firstDataRow="1" firstDataCol="1"/>
  <pivotFields count="8">
    <pivotField numFmtId="164" showAll="0"/>
    <pivotField axis="axisRow" showAll="0">
      <items count="11">
        <item x="3"/>
        <item x="7"/>
        <item x="6"/>
        <item x="9"/>
        <item x="2"/>
        <item x="8"/>
        <item x="4"/>
        <item x="1"/>
        <item x="0"/>
        <item x="5"/>
        <item t="default"/>
      </items>
    </pivotField>
    <pivotField showAll="0"/>
    <pivotField showAll="0"/>
    <pivotField showAll="0"/>
    <pivotField dataField="1" numFmtId="165" showAll="0"/>
    <pivotField numFmtId="165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5" baseField="0" baseItem="0" numFmtId="167"/>
  </dataFields>
  <formats count="1">
    <format dxfId="20">
      <pivotArea outline="0" collapsedLevelsAreSubtotals="1" fieldPosition="0"/>
    </format>
  </formats>
  <pivotTableStyleInfo name="PivotStyleLight16" showColHeaders="1" showColStripes="0" showLastColumn="1" showRowHeaders="1" showRowStripes="0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showDrill="1" useAutoFormatting="1" itemPrintTitles="1" createdVersion="5" indent="0" outline="1" outlineData="1" multipleFieldFilters="0">
  <location ref="I6:J12" firstHeaderRow="1" firstDataRow="1" firstDataCol="1"/>
  <pivotFields count="8">
    <pivotField numFmtId="164" showAll="0"/>
    <pivotField axis="axisRow" showAll="0">
      <items count="6">
        <item x="1"/>
        <item x="2"/>
        <item x="4"/>
        <item x="3"/>
        <item x="0"/>
        <item t="default"/>
      </items>
    </pivotField>
    <pivotField showAll="0"/>
    <pivotField showAll="0"/>
    <pivotField showAll="0"/>
    <pivotField dataField="1" numFmtId="165" showAll="0"/>
    <pivotField numFmtId="165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5" baseField="0" baseItem="0"/>
  </dataFields>
  <pivotTableStyleInfo name="PivotStyleLight16" showColHeaders="1" showColStripes="0" showLastColumn="1" showRowHeaders="1" showRowStripes="0"/>
</pivotTableDefinition>
</file>

<file path=xl/tables/table1.xml><?xml version="1.0" encoding="utf-8"?>
<table xmlns="http://schemas.openxmlformats.org/spreadsheetml/2006/main" xmlns:mc="http://schemas.openxmlformats.org/markup-compatibility/2006" displayName="T_Cash" id="1" headerRowDxfId="0" insertRow="0" insertRowShift="0" name="T_Cash" published="0" ref="A6:H42" totalsRowDxfId="1">
  <autoFilter ref="A6:H42">
    <filterColumn colId="0" showButton="1"/>
  </autoFilter>
  <tableColumns count="8">
    <tableColumn id="1" name="Date" dataDxfId="2"/>
    <tableColumn id="2" name="Category" dataDxfId="3"/>
    <tableColumn id="3" name="Narration" dataDxfId="4"/>
    <tableColumn id="4" name="Voucher No." dataDxfId="5"/>
    <tableColumn id="5" name="Payment Type" dataDxfId="6"/>
    <tableColumn id="6" name="Amount" dataDxfId="7"/>
    <tableColumn id="7" name="Running Total" dataDxfId="8"/>
    <tableColumn id="8" name="Source" dataDxfId="9"/>
  </tableColumns>
  <tableStyleInfo showFirstColumn="0" showLastColumn="0" showRowStripes="1" showColumnStripes="0" name="TableStyleMedium2"/>
</table>
</file>

<file path=xl/tables/table2.xml><?xml version="1.0" encoding="utf-8"?>
<table xmlns="http://schemas.openxmlformats.org/spreadsheetml/2006/main" xmlns:mc="http://schemas.openxmlformats.org/markup-compatibility/2006" displayName="T_GTBKaneJones" id="3" insertRow="0" insertRowShift="0" name="T_GTBKaneJones" published="0" ref="A6:H24">
  <autoFilter ref="A6:H24">
    <filterColumn colId="0" showButton="1"/>
  </autoFilter>
  <tableColumns count="8">
    <tableColumn id="1" name="Date"/>
    <tableColumn id="2" name="Category"/>
    <tableColumn id="3" name="Narration"/>
    <tableColumn id="4" name="Voucher No."/>
    <tableColumn id="5" name="Payment Type"/>
    <tableColumn id="6" name="Amount"/>
    <tableColumn id="7" name="Running Total"/>
    <tableColumn id="8" name="Source"/>
  </tableColumns>
  <tableStyleInfo showFirstColumn="0" showLastColumn="0" showRowStripes="1" showColumnStripes="0" name="TableStyleMedium2"/>
</table>
</file>

<file path=xl/tables/table3.xml><?xml version="1.0" encoding="utf-8"?>
<table xmlns="http://schemas.openxmlformats.org/spreadsheetml/2006/main" xmlns:mc="http://schemas.openxmlformats.org/markup-compatibility/2006" displayName="T_MrGodsWill" id="2" headerRowDxfId="10" insertRow="0" insertRowShift="0" name="T_MrGodsWill" published="0" ref="A6:H14" totalsRowDxfId="11">
  <autoFilter ref="A6:H14">
    <filterColumn colId="0" showButton="1"/>
  </autoFilter>
  <tableColumns count="8">
    <tableColumn id="1" name="Date" dataDxfId="12"/>
    <tableColumn id="2" name="Category" dataDxfId="13"/>
    <tableColumn id="3" name="Narration" dataDxfId="14"/>
    <tableColumn id="4" name="Voucher No." dataDxfId="15"/>
    <tableColumn id="5" name="Payment Source" dataDxfId="16"/>
    <tableColumn id="6" name="Transaction Total" dataDxfId="17"/>
    <tableColumn id="7" name="Mr God's Will Amount" dataDxfId="18"/>
    <tableColumn id="8" name="Other / Unattributed" dataDxfId="19"/>
  </tableColumns>
  <tableStyleInfo showFirstColumn="0" showLastColumn="0" showRowStripes="1" showColumnStripes="0" name="TableStyleMedium2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bk://v_id/?1209" TargetMode="External"/><Relationship Id="rId2" Type="http://schemas.openxmlformats.org/officeDocument/2006/relationships/hyperlink" Target="bk://v_id/?1210" TargetMode="External"/><Relationship Id="rId3" Type="http://schemas.openxmlformats.org/officeDocument/2006/relationships/hyperlink" Target="bk://v_id/?1265" TargetMode="External"/><Relationship Id="rId4" Type="http://schemas.openxmlformats.org/officeDocument/2006/relationships/hyperlink" Target="bk://v_id/?1273" TargetMode="External"/><Relationship Id="rId5" Type="http://schemas.openxmlformats.org/officeDocument/2006/relationships/hyperlink" Target="bk://v_id/?1297" TargetMode="External"/><Relationship Id="rId6" Type="http://schemas.openxmlformats.org/officeDocument/2006/relationships/hyperlink" Target="bk://v_id/?1329" TargetMode="External"/><Relationship Id="rId7" Type="http://schemas.openxmlformats.org/officeDocument/2006/relationships/hyperlink" Target="bk://v_id/?1348" TargetMode="External"/><Relationship Id="rId8" Type="http://schemas.openxmlformats.org/officeDocument/2006/relationships/hyperlink" Target="bk://v_id/?1349" TargetMode="External"/><Relationship Id="rId9" Type="http://schemas.openxmlformats.org/officeDocument/2006/relationships/hyperlink" Target="bk://v_id/?1438" TargetMode="External"/><Relationship Id="rId10" Type="http://schemas.openxmlformats.org/officeDocument/2006/relationships/hyperlink" Target="bk://v_id/?1443" TargetMode="External"/><Relationship Id="rId11" Type="http://schemas.openxmlformats.org/officeDocument/2006/relationships/hyperlink" Target="bk://v_id/?1446" TargetMode="External"/><Relationship Id="rId12" Type="http://schemas.openxmlformats.org/officeDocument/2006/relationships/hyperlink" Target="bk://v_id/?1463" TargetMode="External"/><Relationship Id="rId13" Type="http://schemas.openxmlformats.org/officeDocument/2006/relationships/hyperlink" Target="bk://v_id/?1484" TargetMode="External"/><Relationship Id="rId14" Type="http://schemas.openxmlformats.org/officeDocument/2006/relationships/hyperlink" Target="bk://v_id/?1537" TargetMode="External"/><Relationship Id="rId15" Type="http://schemas.openxmlformats.org/officeDocument/2006/relationships/hyperlink" Target="bk://v_id/?1566" TargetMode="External"/><Relationship Id="rId16" Type="http://schemas.openxmlformats.org/officeDocument/2006/relationships/hyperlink" Target="bk://v_id/?1598" TargetMode="External"/><Relationship Id="rId17" Type="http://schemas.openxmlformats.org/officeDocument/2006/relationships/hyperlink" Target="bk://v_id/?1599" TargetMode="External"/><Relationship Id="rId18" Type="http://schemas.openxmlformats.org/officeDocument/2006/relationships/hyperlink" Target="bk://v_id/?1625" TargetMode="External"/><Relationship Id="rId19" Type="http://schemas.openxmlformats.org/officeDocument/2006/relationships/hyperlink" Target="bk://v_id/?1643" TargetMode="External"/><Relationship Id="rId20" Type="http://schemas.openxmlformats.org/officeDocument/2006/relationships/hyperlink" Target="bk://v_id/?1678" TargetMode="External"/><Relationship Id="rId21" Type="http://schemas.openxmlformats.org/officeDocument/2006/relationships/hyperlink" Target="bk://v_id/?1679" TargetMode="External"/><Relationship Id="rId22" Type="http://schemas.openxmlformats.org/officeDocument/2006/relationships/hyperlink" Target="bk://v_id/?1710" TargetMode="External"/><Relationship Id="rId23" Type="http://schemas.openxmlformats.org/officeDocument/2006/relationships/hyperlink" Target="bk://v_id/?1746" TargetMode="External"/><Relationship Id="rId24" Type="http://schemas.openxmlformats.org/officeDocument/2006/relationships/hyperlink" Target="bk://v_id/?1750" TargetMode="External"/><Relationship Id="rId25" Type="http://schemas.openxmlformats.org/officeDocument/2006/relationships/hyperlink" Target="bk://v_id/?1802" TargetMode="External"/><Relationship Id="rId26" Type="http://schemas.openxmlformats.org/officeDocument/2006/relationships/hyperlink" Target="bk://v_id/?1803" TargetMode="External"/><Relationship Id="rId27" Type="http://schemas.openxmlformats.org/officeDocument/2006/relationships/hyperlink" Target="bk://v_id/?1804" TargetMode="External"/><Relationship Id="rId28" Type="http://schemas.openxmlformats.org/officeDocument/2006/relationships/hyperlink" Target="bk://v_id/?1843" TargetMode="External"/><Relationship Id="rId29" Type="http://schemas.openxmlformats.org/officeDocument/2006/relationships/hyperlink" Target="bk://v_id/?1844" TargetMode="External"/><Relationship Id="rId30" Type="http://schemas.openxmlformats.org/officeDocument/2006/relationships/hyperlink" Target="bk://v_id/?1899" TargetMode="External"/><Relationship Id="rId31" Type="http://schemas.openxmlformats.org/officeDocument/2006/relationships/hyperlink" Target="bk://v_id/?1945" TargetMode="External"/><Relationship Id="rId32" Type="http://schemas.openxmlformats.org/officeDocument/2006/relationships/hyperlink" Target="bk://v_id/?1947" TargetMode="External"/><Relationship Id="rId33" Type="http://schemas.openxmlformats.org/officeDocument/2006/relationships/hyperlink" Target="bk://v_id/?1948" TargetMode="External"/><Relationship Id="rId34" Type="http://schemas.openxmlformats.org/officeDocument/2006/relationships/hyperlink" Target="bk://v_id/?1949" TargetMode="External"/><Relationship Id="rId35" Type="http://schemas.openxmlformats.org/officeDocument/2006/relationships/hyperlink" Target="bk://v_id/?1976" TargetMode="External"/><Relationship Id="rId36" Type="http://schemas.openxmlformats.org/officeDocument/2006/relationships/hyperlink" Target="bk://v_id/?1977" TargetMode="External"/><Relationship Id="rId37" Type="http://schemas.openxmlformats.org/officeDocument/2006/relationships/hyperlink" Target="bk://v_id/?1978" TargetMode="External"/><Relationship Id="rId38" Type="http://schemas.openxmlformats.org/officeDocument/2006/relationships/hyperlink" Target="bk://v_id/?1979" TargetMode="External"/><Relationship Id="rId39" Type="http://schemas.openxmlformats.org/officeDocument/2006/relationships/hyperlink" Target="bk://v_id/?1980" TargetMode="External"/><Relationship Id="rId40" Type="http://schemas.openxmlformats.org/officeDocument/2006/relationships/hyperlink" Target="bk://v_id/?1991" TargetMode="External"/><Relationship Id="rId41" Type="http://schemas.openxmlformats.org/officeDocument/2006/relationships/hyperlink" Target="bk://v_id/?1994" TargetMode="External"/><Relationship Id="rId42" Type="http://schemas.openxmlformats.org/officeDocument/2006/relationships/hyperlink" Target="bk://v_id/?1999" TargetMode="External"/><Relationship Id="rId43" Type="http://schemas.openxmlformats.org/officeDocument/2006/relationships/hyperlink" Target="bk://v_id/?2012" TargetMode="External"/><Relationship Id="rId44" Type="http://schemas.openxmlformats.org/officeDocument/2006/relationships/hyperlink" Target="bk://v_id/?2013" TargetMode="External"/><Relationship Id="rId45" Type="http://schemas.openxmlformats.org/officeDocument/2006/relationships/hyperlink" Target="bk://v_id/?2014" TargetMode="External"/><Relationship Id="rId46" Type="http://schemas.openxmlformats.org/officeDocument/2006/relationships/hyperlink" Target="bk://v_id/?2015" TargetMode="External"/><Relationship Id="rId47" Type="http://schemas.openxmlformats.org/officeDocument/2006/relationships/hyperlink" Target="bk://v_id/?2016" TargetMode="External"/><Relationship Id="rId48" Type="http://schemas.openxmlformats.org/officeDocument/2006/relationships/hyperlink" Target="bk://v_id/?2039" TargetMode="External"/><Relationship Id="rId49" Type="http://schemas.openxmlformats.org/officeDocument/2006/relationships/hyperlink" Target="bk://v_id/?2052" TargetMode="External"/><Relationship Id="rId50" Type="http://schemas.openxmlformats.org/officeDocument/2006/relationships/hyperlink" Target="bk://v_id/?2053" TargetMode="External"/><Relationship Id="rId51" Type="http://schemas.openxmlformats.org/officeDocument/2006/relationships/hyperlink" Target="bk://v_id/?2054" TargetMode="External"/><Relationship Id="rId52" Type="http://schemas.openxmlformats.org/officeDocument/2006/relationships/hyperlink" Target="bk://v_id/?2083" TargetMode="External"/><Relationship Id="rId53" Type="http://schemas.openxmlformats.org/officeDocument/2006/relationships/hyperlink" Target="bk://v_id/?2084" TargetMode="External"/><Relationship Id="rId54" Type="http://schemas.openxmlformats.org/officeDocument/2006/relationships/hyperlink" Target="bk://v_id/?2085" TargetMode="External"/><Relationship Id="rId55" Type="http://schemas.openxmlformats.org/officeDocument/2006/relationships/hyperlink" Target="bk://v_id/?208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bk://v_id/?1329" TargetMode="External"/><Relationship Id="rId2" Type="http://schemas.openxmlformats.org/officeDocument/2006/relationships/hyperlink" Target="bk://v_id/?1710" TargetMode="External"/><Relationship Id="rId3" Type="http://schemas.openxmlformats.org/officeDocument/2006/relationships/hyperlink" Target="bk://v_id/?194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bk://v_id/?120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bk://v_id/?1348" TargetMode="External"/><Relationship Id="rId2" Type="http://schemas.openxmlformats.org/officeDocument/2006/relationships/hyperlink" Target="bk://v_id/?1948" TargetMode="External"/><Relationship Id="rId3" Type="http://schemas.openxmlformats.org/officeDocument/2006/relationships/hyperlink" Target="bk://v_id/?159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bk://v_id/?1994" TargetMode="External"/><Relationship Id="rId2" Type="http://schemas.openxmlformats.org/officeDocument/2006/relationships/hyperlink" Target="bk://v_id/?208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bk://v_id/?1566" TargetMode="External"/><Relationship Id="rId2" Type="http://schemas.openxmlformats.org/officeDocument/2006/relationships/hyperlink" Target="bk://v_id/?1750" TargetMode="External"/><Relationship Id="rId3" Type="http://schemas.openxmlformats.org/officeDocument/2006/relationships/hyperlink" Target="bk://v_id/?1947" TargetMode="External"/><Relationship Id="rId4" Type="http://schemas.openxmlformats.org/officeDocument/2006/relationships/hyperlink" Target="bk://v_id/?2016" TargetMode="External"/><Relationship Id="rId5" Type="http://schemas.openxmlformats.org/officeDocument/2006/relationships/hyperlink" Target="bk://v_id/?2052" TargetMode="External"/><Relationship Id="rId6" Type="http://schemas.openxmlformats.org/officeDocument/2006/relationships/hyperlink" Target="bk://v_id/?205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bk://v_id/?1625" TargetMode="External"/><Relationship Id="rId2" Type="http://schemas.openxmlformats.org/officeDocument/2006/relationships/hyperlink" Target="bk://v_id/?1643" TargetMode="External"/><Relationship Id="rId3" Type="http://schemas.openxmlformats.org/officeDocument/2006/relationships/hyperlink" Target="bk://v_id/?1843" TargetMode="External"/><Relationship Id="rId4" Type="http://schemas.openxmlformats.org/officeDocument/2006/relationships/hyperlink" Target="bk://v_id/?1844" TargetMode="External"/><Relationship Id="rId5" Type="http://schemas.openxmlformats.org/officeDocument/2006/relationships/hyperlink" Target="bk://v_id/?2054" TargetMode="External"/><Relationship Id="rId6" Type="http://schemas.openxmlformats.org/officeDocument/2006/relationships/hyperlink" Target="bk://v_id/?1297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bk://v_id/?1976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bk://v_id/?1804" TargetMode="External"/><Relationship Id="rId2" Type="http://schemas.openxmlformats.org/officeDocument/2006/relationships/hyperlink" Target="bk://v_id/?1979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bk://v_id/?199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bk://v_id/?1802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bk://v_id/?1210" TargetMode="External"/><Relationship Id="rId2" Type="http://schemas.openxmlformats.org/officeDocument/2006/relationships/hyperlink" Target="bk://v_id/?1265" TargetMode="External"/><Relationship Id="rId3" Type="http://schemas.openxmlformats.org/officeDocument/2006/relationships/hyperlink" Target="bk://v_id/?1273" TargetMode="External"/><Relationship Id="rId4" Type="http://schemas.openxmlformats.org/officeDocument/2006/relationships/hyperlink" Target="bk://v_id/?1349" TargetMode="External"/><Relationship Id="rId5" Type="http://schemas.openxmlformats.org/officeDocument/2006/relationships/hyperlink" Target="bk://v_id/?1438" TargetMode="External"/><Relationship Id="rId6" Type="http://schemas.openxmlformats.org/officeDocument/2006/relationships/hyperlink" Target="bk://v_id/?1443" TargetMode="External"/><Relationship Id="rId7" Type="http://schemas.openxmlformats.org/officeDocument/2006/relationships/hyperlink" Target="bk://v_id/?1446" TargetMode="External"/><Relationship Id="rId8" Type="http://schemas.openxmlformats.org/officeDocument/2006/relationships/hyperlink" Target="bk://v_id/?1463" TargetMode="External"/><Relationship Id="rId9" Type="http://schemas.openxmlformats.org/officeDocument/2006/relationships/hyperlink" Target="bk://v_id/?1484" TargetMode="External"/><Relationship Id="rId10" Type="http://schemas.openxmlformats.org/officeDocument/2006/relationships/hyperlink" Target="bk://v_id/?1537" TargetMode="External"/><Relationship Id="rId11" Type="http://schemas.openxmlformats.org/officeDocument/2006/relationships/hyperlink" Target="bk://v_id/?1598" TargetMode="External"/><Relationship Id="rId12" Type="http://schemas.openxmlformats.org/officeDocument/2006/relationships/hyperlink" Target="bk://v_id/?1678" TargetMode="External"/><Relationship Id="rId13" Type="http://schemas.openxmlformats.org/officeDocument/2006/relationships/hyperlink" Target="bk://v_id/?1679" TargetMode="External"/><Relationship Id="rId14" Type="http://schemas.openxmlformats.org/officeDocument/2006/relationships/hyperlink" Target="bk://v_id/?1746" TargetMode="External"/><Relationship Id="rId15" Type="http://schemas.openxmlformats.org/officeDocument/2006/relationships/hyperlink" Target="bk://v_id/?1803" TargetMode="External"/><Relationship Id="rId16" Type="http://schemas.openxmlformats.org/officeDocument/2006/relationships/hyperlink" Target="bk://v_id/?1899" TargetMode="External"/><Relationship Id="rId17" Type="http://schemas.openxmlformats.org/officeDocument/2006/relationships/hyperlink" Target="bk://v_id/?1949" TargetMode="External"/><Relationship Id="rId18" Type="http://schemas.openxmlformats.org/officeDocument/2006/relationships/hyperlink" Target="bk://v_id/?1977" TargetMode="External"/><Relationship Id="rId19" Type="http://schemas.openxmlformats.org/officeDocument/2006/relationships/hyperlink" Target="bk://v_id/?1978" TargetMode="External"/><Relationship Id="rId20" Type="http://schemas.openxmlformats.org/officeDocument/2006/relationships/hyperlink" Target="bk://v_id/?1980" TargetMode="External"/><Relationship Id="rId21" Type="http://schemas.openxmlformats.org/officeDocument/2006/relationships/hyperlink" Target="bk://v_id/?1999" TargetMode="External"/><Relationship Id="rId22" Type="http://schemas.openxmlformats.org/officeDocument/2006/relationships/hyperlink" Target="bk://v_id/?2012" TargetMode="External"/><Relationship Id="rId23" Type="http://schemas.openxmlformats.org/officeDocument/2006/relationships/hyperlink" Target="bk://v_id/?2013" TargetMode="External"/><Relationship Id="rId24" Type="http://schemas.openxmlformats.org/officeDocument/2006/relationships/hyperlink" Target="bk://v_id/?2014" TargetMode="External"/><Relationship Id="rId25" Type="http://schemas.openxmlformats.org/officeDocument/2006/relationships/hyperlink" Target="bk://v_id/?2015" TargetMode="External"/><Relationship Id="rId26" Type="http://schemas.openxmlformats.org/officeDocument/2006/relationships/hyperlink" Target="bk://v_id/?2039" TargetMode="External"/><Relationship Id="rId27" Type="http://schemas.openxmlformats.org/officeDocument/2006/relationships/hyperlink" Target="bk://v_id/?2084" TargetMode="External"/><Relationship Id="rId28" Type="http://schemas.openxmlformats.org/officeDocument/2006/relationships/hyperlink" Target="bk://v_id/?2087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pivotTable" Target="../pivotTables/pivotTable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pivotTable" Target="../pivotTables/pivotTable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8"/>
  <sheetViews>
    <sheetView workbookViewId="0" topLeftCell="A11" showGridLines="0" zoomScale="75">
      <selection activeCell="E33" sqref="E33"/>
    </sheetView>
  </sheetViews>
  <sheetFormatPr defaultRowHeight="14.5" defaultColWidth="9"/>
  <cols>
    <col min="1" max="1" customWidth="1" width="23.816406" style="1"/>
    <col min="2" max="2" customWidth="1" width="37.26953" style="1"/>
    <col min="3" max="3" customWidth="1" width="29.453125" style="1"/>
    <col min="4" max="4" customWidth="1" width="19.726562" style="1"/>
    <col min="5" max="5" customWidth="1" width="34.54297" style="1"/>
    <col min="6" max="6" customWidth="1" width="24.179688" style="1"/>
    <col min="7" max="7" customWidth="1" width="26.542969" style="1"/>
    <col min="8" max="8" customWidth="1" width="9.1796875" style="1"/>
    <col min="9" max="16384" customWidth="0" width="9.1796875" style="1"/>
  </cols>
  <sheetData>
    <row r="1" spans="8:8">
      <c r="A1" s="2" t="s">
        <v>48</v>
      </c>
    </row>
    <row r="2" spans="8:8">
      <c r="A2" s="2" t="s">
        <v>49</v>
      </c>
    </row>
    <row r="3" spans="8:8" ht="15.0" customHeight="1">
      <c r="A3" t="s">
        <v>50</v>
      </c>
    </row>
    <row r="4" spans="8:8" ht="15.0" customHeight="1">
      <c r="A4" s="3" t="s">
        <v>51</v>
      </c>
      <c r="B4" s="3" t="s">
        <v>52</v>
      </c>
      <c r="C4" s="3" t="s">
        <v>4</v>
      </c>
      <c r="D4" s="3" t="s">
        <v>53</v>
      </c>
      <c r="E4" s="3" t="s">
        <v>2</v>
      </c>
      <c r="F4" s="4" t="s">
        <v>3</v>
      </c>
      <c r="G4" s="4" t="s">
        <v>54</v>
      </c>
    </row>
    <row r="5" spans="8:8">
      <c r="A5" s="5">
        <v>46204.0</v>
      </c>
      <c r="B5" s="6" t="s">
        <v>55</v>
      </c>
      <c r="C5" s="6" t="s">
        <v>15</v>
      </c>
      <c r="D5" s="7" t="s">
        <v>56</v>
      </c>
      <c r="E5" s="8" t="s">
        <v>14</v>
      </c>
      <c r="F5" s="9">
        <v>45150.0</v>
      </c>
      <c r="G5" s="7"/>
    </row>
    <row r="6" spans="8:8">
      <c r="A6" s="10">
        <v>46204.0</v>
      </c>
      <c r="B6" s="6" t="s">
        <v>57</v>
      </c>
      <c r="C6" s="6" t="s">
        <v>10</v>
      </c>
      <c r="D6" s="7" t="s">
        <v>56</v>
      </c>
      <c r="E6" s="8" t="s">
        <v>58</v>
      </c>
      <c r="F6" s="9">
        <v>8000.0</v>
      </c>
      <c r="G6" s="7"/>
    </row>
    <row r="7" spans="8:8">
      <c r="A7" s="10">
        <v>46206.0</v>
      </c>
      <c r="B7" s="6" t="s">
        <v>57</v>
      </c>
      <c r="C7" s="6" t="s">
        <v>10</v>
      </c>
      <c r="D7" s="7" t="s">
        <v>56</v>
      </c>
      <c r="E7" s="8" t="s">
        <v>59</v>
      </c>
      <c r="F7" s="9">
        <v>16500.0</v>
      </c>
      <c r="G7" s="7"/>
    </row>
    <row r="8" spans="8:8">
      <c r="A8" s="10">
        <v>46206.0</v>
      </c>
      <c r="B8" s="6" t="s">
        <v>57</v>
      </c>
      <c r="C8" s="6" t="s">
        <v>7</v>
      </c>
      <c r="D8" s="7" t="s">
        <v>56</v>
      </c>
      <c r="E8" s="8" t="s">
        <v>60</v>
      </c>
      <c r="F8" s="9">
        <v>190000.0</v>
      </c>
      <c r="G8" s="7"/>
    </row>
    <row r="9" spans="8:8" ht="15.0" customHeight="1">
      <c r="A9" s="7"/>
      <c r="B9" s="7" t="s">
        <v>61</v>
      </c>
      <c r="C9" s="7"/>
      <c r="D9" s="7"/>
    </row>
    <row r="10" spans="8:8">
      <c r="A10" s="5">
        <v>46209.0</v>
      </c>
      <c r="B10" s="11" t="s">
        <v>62</v>
      </c>
      <c r="C10" s="6" t="s">
        <v>7</v>
      </c>
      <c r="D10" s="7" t="s">
        <v>56</v>
      </c>
      <c r="E10" s="8" t="s">
        <v>32</v>
      </c>
      <c r="F10" s="9">
        <v>93665.0</v>
      </c>
      <c r="G10" s="7"/>
    </row>
    <row r="11" spans="8:8">
      <c r="A11" s="5">
        <v>46209.0</v>
      </c>
      <c r="B11" s="6" t="s">
        <v>63</v>
      </c>
      <c r="C11" s="6" t="s">
        <v>7</v>
      </c>
      <c r="D11" s="7" t="s">
        <v>56</v>
      </c>
      <c r="E11" s="8" t="s">
        <v>6</v>
      </c>
      <c r="F11" s="9">
        <v>45870.0</v>
      </c>
      <c r="G11" s="7"/>
    </row>
    <row r="12" spans="8:8" ht="15.0" customHeight="1">
      <c r="A12" s="7"/>
      <c r="B12" s="7" t="s">
        <v>64</v>
      </c>
      <c r="C12" s="7"/>
      <c r="D12" s="7"/>
    </row>
    <row r="13" spans="8:8">
      <c r="A13" s="5">
        <v>46209.0</v>
      </c>
      <c r="B13" s="6" t="s">
        <v>65</v>
      </c>
      <c r="C13" s="6" t="s">
        <v>10</v>
      </c>
      <c r="D13" s="7" t="s">
        <v>56</v>
      </c>
      <c r="E13" s="8" t="s">
        <v>17</v>
      </c>
      <c r="F13" s="9">
        <v>1000.0</v>
      </c>
      <c r="G13" s="7"/>
    </row>
    <row r="14" spans="8:8" ht="15.0" customHeight="1">
      <c r="A14" s="7"/>
      <c r="B14" s="7" t="s">
        <v>66</v>
      </c>
      <c r="C14" s="7"/>
      <c r="D14" s="7"/>
    </row>
    <row r="15" spans="8:8">
      <c r="A15" s="10">
        <v>46209.0</v>
      </c>
      <c r="B15" s="6" t="s">
        <v>57</v>
      </c>
      <c r="C15" s="6" t="s">
        <v>10</v>
      </c>
      <c r="D15" s="7" t="s">
        <v>56</v>
      </c>
      <c r="E15" s="8" t="s">
        <v>67</v>
      </c>
      <c r="F15" s="9">
        <v>5400.0</v>
      </c>
      <c r="G15" s="7"/>
    </row>
    <row r="16" spans="8:8" ht="15.0" customHeight="1">
      <c r="A16" s="7"/>
      <c r="B16" s="7" t="s">
        <v>68</v>
      </c>
      <c r="C16" s="7"/>
      <c r="D16" s="7"/>
    </row>
    <row r="17" spans="8:8">
      <c r="A17" s="10">
        <v>46211.0</v>
      </c>
      <c r="B17" s="6" t="s">
        <v>57</v>
      </c>
      <c r="C17" s="6" t="s">
        <v>7</v>
      </c>
      <c r="D17" s="7" t="s">
        <v>56</v>
      </c>
      <c r="E17" s="8" t="s">
        <v>69</v>
      </c>
      <c r="F17" s="9">
        <v>100000.0</v>
      </c>
      <c r="G17" s="7"/>
    </row>
    <row r="18" spans="8:8" ht="15.0" customHeight="1">
      <c r="A18" s="7"/>
      <c r="B18" s="7" t="s">
        <v>70</v>
      </c>
      <c r="C18" s="7"/>
      <c r="D18" s="7"/>
    </row>
    <row r="19" spans="8:8">
      <c r="A19" s="10">
        <v>46211.0</v>
      </c>
      <c r="B19" s="6" t="s">
        <v>57</v>
      </c>
      <c r="C19" s="6" t="s">
        <v>10</v>
      </c>
      <c r="D19" s="7" t="s">
        <v>56</v>
      </c>
      <c r="E19" s="8" t="s">
        <v>71</v>
      </c>
      <c r="F19" s="9">
        <v>10000.0</v>
      </c>
      <c r="G19" s="7"/>
    </row>
    <row r="20" spans="8:8" ht="15.0" customHeight="1">
      <c r="A20" s="7"/>
      <c r="B20" s="7" t="s">
        <v>72</v>
      </c>
      <c r="C20" s="7"/>
      <c r="D20" s="7"/>
    </row>
    <row r="21" spans="8:8">
      <c r="A21" s="10">
        <v>46211.0</v>
      </c>
      <c r="B21" s="6" t="s">
        <v>57</v>
      </c>
      <c r="C21" s="6" t="s">
        <v>10</v>
      </c>
      <c r="D21" s="7" t="s">
        <v>56</v>
      </c>
      <c r="E21" s="8" t="s">
        <v>73</v>
      </c>
      <c r="F21" s="9">
        <v>10000.0</v>
      </c>
      <c r="G21" s="7"/>
    </row>
    <row r="22" spans="8:8" ht="15.0" customHeight="1">
      <c r="A22" s="7"/>
      <c r="B22" s="7" t="s">
        <v>74</v>
      </c>
      <c r="C22" s="7"/>
      <c r="D22" s="7"/>
    </row>
    <row r="23" spans="8:8">
      <c r="A23" s="10">
        <v>46212.0</v>
      </c>
      <c r="B23" s="6" t="s">
        <v>57</v>
      </c>
      <c r="C23" s="6" t="s">
        <v>7</v>
      </c>
      <c r="D23" s="7" t="s">
        <v>56</v>
      </c>
      <c r="E23" s="8" t="s">
        <v>73</v>
      </c>
      <c r="F23" s="9">
        <v>125000.0</v>
      </c>
      <c r="G23" s="7"/>
    </row>
    <row r="24" spans="8:8" ht="15.0" customHeight="1">
      <c r="A24" s="7"/>
      <c r="B24" s="7" t="s">
        <v>75</v>
      </c>
      <c r="C24" s="7"/>
      <c r="D24" s="7"/>
    </row>
    <row r="25" spans="8:8">
      <c r="A25" s="10">
        <v>46213.0</v>
      </c>
      <c r="B25" s="6" t="s">
        <v>57</v>
      </c>
      <c r="C25" s="6" t="s">
        <v>7</v>
      </c>
      <c r="D25" s="7" t="s">
        <v>56</v>
      </c>
      <c r="E25" s="8" t="s">
        <v>76</v>
      </c>
      <c r="F25" s="9">
        <v>31500.0</v>
      </c>
      <c r="G25" s="7"/>
    </row>
    <row r="26" spans="8:8" ht="15.0" customHeight="1">
      <c r="A26" s="7"/>
      <c r="B26" s="7" t="s">
        <v>77</v>
      </c>
      <c r="C26" s="7"/>
      <c r="D26" s="7"/>
    </row>
    <row r="27" spans="8:8">
      <c r="A27" s="10">
        <v>46214.0</v>
      </c>
      <c r="B27" s="6" t="s">
        <v>57</v>
      </c>
      <c r="C27" s="6" t="s">
        <v>10</v>
      </c>
      <c r="D27" s="7" t="s">
        <v>56</v>
      </c>
      <c r="E27" s="8" t="s">
        <v>78</v>
      </c>
      <c r="F27" s="9">
        <v>61000.0</v>
      </c>
      <c r="G27" s="7"/>
    </row>
    <row r="28" spans="8:8" ht="15.0" customHeight="1">
      <c r="A28" s="7"/>
      <c r="B28" s="7" t="s">
        <v>79</v>
      </c>
      <c r="C28" s="7"/>
      <c r="D28" s="7"/>
    </row>
    <row r="29" spans="8:8">
      <c r="A29" s="5">
        <v>46216.0</v>
      </c>
      <c r="B29" s="12" t="s">
        <v>80</v>
      </c>
      <c r="C29" s="6" t="s">
        <v>7</v>
      </c>
      <c r="D29" s="7" t="s">
        <v>56</v>
      </c>
      <c r="E29" s="8" t="s">
        <v>24</v>
      </c>
      <c r="F29" s="9">
        <v>45270.0</v>
      </c>
      <c r="G29" s="7"/>
    </row>
    <row r="30" spans="8:8" ht="15.0" customHeight="1">
      <c r="A30" s="7"/>
      <c r="B30" s="7" t="s">
        <v>64</v>
      </c>
      <c r="C30" s="7"/>
      <c r="D30" s="7"/>
    </row>
    <row r="31" spans="8:8">
      <c r="A31" s="10">
        <v>46217.0</v>
      </c>
      <c r="B31" s="6" t="s">
        <v>57</v>
      </c>
      <c r="C31" s="6" t="s">
        <v>7</v>
      </c>
      <c r="D31" s="7" t="s">
        <v>56</v>
      </c>
      <c r="E31" s="8" t="s">
        <v>81</v>
      </c>
      <c r="F31" s="9">
        <v>10000.0</v>
      </c>
      <c r="G31" s="7"/>
    </row>
    <row r="32" spans="8:8" ht="15.0" customHeight="1">
      <c r="A32" s="7"/>
      <c r="B32" s="7" t="s">
        <v>82</v>
      </c>
      <c r="C32" s="7"/>
      <c r="D32" s="7"/>
    </row>
    <row r="33" spans="8:8">
      <c r="A33" s="5">
        <v>46217.0</v>
      </c>
      <c r="B33" s="6" t="s">
        <v>65</v>
      </c>
      <c r="C33" s="6" t="s">
        <v>10</v>
      </c>
      <c r="D33" s="7" t="s">
        <v>56</v>
      </c>
      <c r="E33" s="8" t="s">
        <v>83</v>
      </c>
      <c r="F33" s="9">
        <v>1000.0</v>
      </c>
      <c r="G33" s="7"/>
    </row>
    <row r="34" spans="8:8" ht="15.0" customHeight="1">
      <c r="A34" s="7"/>
      <c r="B34" s="7" t="s">
        <v>84</v>
      </c>
      <c r="C34" s="7"/>
      <c r="D34" s="7"/>
    </row>
    <row r="35" spans="8:8">
      <c r="A35" s="5">
        <v>46218.0</v>
      </c>
      <c r="B35" s="11" t="s">
        <v>62</v>
      </c>
      <c r="C35" s="6" t="s">
        <v>7</v>
      </c>
      <c r="D35" s="7" t="s">
        <v>56</v>
      </c>
      <c r="E35" s="8" t="s">
        <v>34</v>
      </c>
      <c r="F35" s="9">
        <v>38000.0</v>
      </c>
      <c r="G35" s="7"/>
    </row>
    <row r="36" spans="8:8" ht="15.0" customHeight="1">
      <c r="A36" s="7"/>
      <c r="B36" s="7" t="s">
        <v>85</v>
      </c>
      <c r="C36" s="7"/>
      <c r="D36" s="7"/>
    </row>
    <row r="37" spans="8:8">
      <c r="A37" s="5">
        <v>46219.0</v>
      </c>
      <c r="B37" s="11" t="s">
        <v>62</v>
      </c>
      <c r="C37" s="6" t="s">
        <v>7</v>
      </c>
      <c r="D37" s="7" t="s">
        <v>56</v>
      </c>
      <c r="E37" s="8" t="s">
        <v>35</v>
      </c>
      <c r="F37" s="9">
        <v>91745.0</v>
      </c>
      <c r="G37" s="7"/>
    </row>
    <row r="38" spans="8:8">
      <c r="A38" s="10">
        <v>46220.0</v>
      </c>
      <c r="B38" s="6" t="s">
        <v>57</v>
      </c>
      <c r="C38" s="6" t="s">
        <v>10</v>
      </c>
      <c r="D38" s="7" t="s">
        <v>56</v>
      </c>
      <c r="E38" s="8" t="s">
        <v>86</v>
      </c>
      <c r="F38" s="9">
        <v>24700.0</v>
      </c>
      <c r="G38" s="7"/>
    </row>
    <row r="39" spans="8:8" ht="15.0" customHeight="1">
      <c r="A39" s="7"/>
      <c r="B39" s="7" t="s">
        <v>87</v>
      </c>
      <c r="C39" s="7"/>
      <c r="D39" s="7"/>
    </row>
    <row r="40" spans="8:8">
      <c r="A40" s="10">
        <v>46220.0</v>
      </c>
      <c r="B40" s="6" t="s">
        <v>57</v>
      </c>
      <c r="C40" s="6" t="s">
        <v>10</v>
      </c>
      <c r="D40" s="7" t="s">
        <v>56</v>
      </c>
      <c r="E40" s="8" t="s">
        <v>88</v>
      </c>
      <c r="F40" s="9">
        <v>5000.0</v>
      </c>
      <c r="G40" s="7"/>
    </row>
    <row r="41" spans="8:8" ht="15.0" customHeight="1">
      <c r="A41" s="7"/>
      <c r="B41" s="7" t="s">
        <v>89</v>
      </c>
      <c r="C41" s="7"/>
      <c r="D41" s="7"/>
    </row>
    <row r="42" spans="8:8">
      <c r="A42" s="5">
        <v>46221.0</v>
      </c>
      <c r="B42" s="6" t="s">
        <v>63</v>
      </c>
      <c r="C42" s="6" t="s">
        <v>10</v>
      </c>
      <c r="D42" s="7" t="s">
        <v>56</v>
      </c>
      <c r="E42" s="8" t="s">
        <v>9</v>
      </c>
      <c r="F42" s="9">
        <v>5200.0</v>
      </c>
      <c r="G42" s="7"/>
    </row>
    <row r="43" spans="8:8" ht="15.0" customHeight="1">
      <c r="A43" s="7"/>
      <c r="B43" s="7" t="s">
        <v>90</v>
      </c>
      <c r="C43" s="7"/>
      <c r="D43" s="7"/>
    </row>
    <row r="44" spans="8:8">
      <c r="A44" s="10">
        <v>46223.0</v>
      </c>
      <c r="B44" s="6" t="s">
        <v>57</v>
      </c>
      <c r="C44" s="6" t="s">
        <v>10</v>
      </c>
      <c r="D44" s="7" t="s">
        <v>56</v>
      </c>
      <c r="E44" s="8" t="s">
        <v>91</v>
      </c>
      <c r="F44" s="9">
        <v>21000.0</v>
      </c>
      <c r="G44" s="7"/>
    </row>
    <row r="45" spans="8:8" ht="15.0" customHeight="1">
      <c r="A45" s="7"/>
      <c r="B45" s="7" t="s">
        <v>92</v>
      </c>
      <c r="C45" s="7"/>
      <c r="D45" s="7"/>
    </row>
    <row r="46" spans="8:8">
      <c r="A46" s="5">
        <v>46224.0</v>
      </c>
      <c r="B46" s="12" t="s">
        <v>80</v>
      </c>
      <c r="C46" s="6" t="s">
        <v>7</v>
      </c>
      <c r="D46" s="7" t="s">
        <v>56</v>
      </c>
      <c r="E46" s="8" t="s">
        <v>25</v>
      </c>
      <c r="F46" s="9">
        <v>32000.0</v>
      </c>
      <c r="G46" s="7"/>
    </row>
    <row r="47" spans="8:8" ht="15.0" customHeight="1">
      <c r="A47" s="7"/>
      <c r="B47" s="7" t="s">
        <v>64</v>
      </c>
      <c r="C47" s="7"/>
      <c r="D47" s="7"/>
    </row>
    <row r="48" spans="8:8">
      <c r="A48" s="5">
        <v>46225.0</v>
      </c>
      <c r="B48" s="6" t="s">
        <v>93</v>
      </c>
      <c r="C48" s="6" t="s">
        <v>7</v>
      </c>
      <c r="D48" s="7" t="s">
        <v>56</v>
      </c>
      <c r="E48" s="8" t="s">
        <v>47</v>
      </c>
      <c r="F48" s="9">
        <v>19425.0</v>
      </c>
      <c r="G48" s="7"/>
    </row>
    <row r="49" spans="8:8" ht="15.0" customHeight="1">
      <c r="A49" s="7"/>
      <c r="B49" s="7" t="s">
        <v>89</v>
      </c>
      <c r="C49" s="7"/>
      <c r="D49" s="7"/>
    </row>
    <row r="50" spans="8:8">
      <c r="A50" s="10">
        <v>46225.0</v>
      </c>
      <c r="B50" s="6" t="s">
        <v>57</v>
      </c>
      <c r="C50" s="6" t="s">
        <v>10</v>
      </c>
      <c r="D50" s="7" t="s">
        <v>56</v>
      </c>
      <c r="E50" s="8" t="s">
        <v>94</v>
      </c>
      <c r="F50" s="9">
        <v>3700.0</v>
      </c>
      <c r="G50" s="7"/>
    </row>
    <row r="51" spans="8:8" ht="15.0" customHeight="1">
      <c r="A51" s="7"/>
      <c r="B51" s="7" t="s">
        <v>95</v>
      </c>
      <c r="C51" s="7"/>
      <c r="D51" s="7"/>
    </row>
    <row r="52" spans="8:8">
      <c r="A52" s="5">
        <v>46225.0</v>
      </c>
      <c r="B52" s="6" t="s">
        <v>96</v>
      </c>
      <c r="C52" s="6" t="s">
        <v>10</v>
      </c>
      <c r="D52" s="7" t="s">
        <v>56</v>
      </c>
      <c r="E52" s="8" t="s">
        <v>42</v>
      </c>
      <c r="F52" s="9">
        <v>5000.0</v>
      </c>
      <c r="G52" s="7"/>
    </row>
    <row r="53" spans="8:8" ht="15.0" customHeight="1">
      <c r="A53" s="7"/>
      <c r="B53" s="7" t="s">
        <v>97</v>
      </c>
      <c r="C53" s="7"/>
      <c r="D53" s="7"/>
    </row>
    <row r="54" spans="8:8">
      <c r="A54" s="5">
        <v>46227.0</v>
      </c>
      <c r="B54" s="11" t="s">
        <v>62</v>
      </c>
      <c r="C54" s="6" t="s">
        <v>7</v>
      </c>
      <c r="D54" s="7" t="s">
        <v>56</v>
      </c>
      <c r="E54" s="8" t="s">
        <v>36</v>
      </c>
      <c r="F54" s="9">
        <v>36000.0</v>
      </c>
      <c r="G54" s="7"/>
    </row>
    <row r="55" spans="8:8" ht="15.0" customHeight="1">
      <c r="A55" s="7"/>
      <c r="B55" s="7" t="s">
        <v>98</v>
      </c>
      <c r="C55" s="7"/>
      <c r="D55" s="7"/>
    </row>
    <row r="56" spans="8:8">
      <c r="A56" s="5">
        <v>46227.0</v>
      </c>
      <c r="B56" s="11" t="s">
        <v>62</v>
      </c>
      <c r="C56" s="6" t="s">
        <v>7</v>
      </c>
      <c r="D56" s="7" t="s">
        <v>56</v>
      </c>
      <c r="E56" s="8" t="s">
        <v>37</v>
      </c>
      <c r="F56" s="9">
        <v>92685.0</v>
      </c>
      <c r="G56" s="7"/>
    </row>
    <row r="57" spans="8:8" ht="15.0" customHeight="1">
      <c r="A57" s="7"/>
      <c r="B57" s="7" t="s">
        <v>89</v>
      </c>
      <c r="C57" s="7"/>
      <c r="D57" s="7"/>
    </row>
    <row r="58" spans="8:8">
      <c r="A58" s="10">
        <v>46228.0</v>
      </c>
      <c r="B58" s="6" t="s">
        <v>57</v>
      </c>
      <c r="C58" s="6" t="s">
        <v>10</v>
      </c>
      <c r="D58" s="7" t="s">
        <v>56</v>
      </c>
      <c r="E58" s="8" t="s">
        <v>99</v>
      </c>
      <c r="F58" s="9">
        <v>4000.0</v>
      </c>
      <c r="G58" s="7"/>
    </row>
    <row r="59" spans="8:8" ht="15.0" customHeight="1">
      <c r="A59" s="7"/>
      <c r="B59" s="7" t="s">
        <v>100</v>
      </c>
      <c r="C59" s="7"/>
      <c r="D59" s="7"/>
    </row>
    <row r="60" spans="8:8">
      <c r="A60" s="5">
        <v>46230.0</v>
      </c>
      <c r="B60" s="6" t="s">
        <v>63</v>
      </c>
      <c r="C60" s="6" t="s">
        <v>7</v>
      </c>
      <c r="D60" s="7" t="s">
        <v>56</v>
      </c>
      <c r="E60" s="8" t="s">
        <v>11</v>
      </c>
      <c r="F60" s="9">
        <v>42200.0</v>
      </c>
      <c r="G60" s="7"/>
    </row>
    <row r="61" spans="8:8" ht="15.0" customHeight="1">
      <c r="A61" s="7"/>
      <c r="B61" s="7" t="s">
        <v>64</v>
      </c>
      <c r="C61" s="7"/>
      <c r="D61" s="7"/>
    </row>
    <row r="62" spans="8:8">
      <c r="A62" s="5">
        <v>46230.0</v>
      </c>
      <c r="B62" s="12" t="s">
        <v>80</v>
      </c>
      <c r="C62" s="6" t="s">
        <v>7</v>
      </c>
      <c r="D62" s="7" t="s">
        <v>56</v>
      </c>
      <c r="E62" s="8" t="s">
        <v>26</v>
      </c>
      <c r="F62" s="9">
        <v>50640.0</v>
      </c>
      <c r="G62" s="7"/>
    </row>
    <row r="63" spans="8:8" ht="15.0" customHeight="1">
      <c r="A63" s="7"/>
      <c r="B63" s="7" t="s">
        <v>64</v>
      </c>
      <c r="C63" s="7"/>
      <c r="D63" s="7"/>
    </row>
    <row r="64" spans="8:8">
      <c r="A64" s="5">
        <v>46230.0</v>
      </c>
      <c r="B64" s="6" t="s">
        <v>65</v>
      </c>
      <c r="C64" s="6" t="s">
        <v>10</v>
      </c>
      <c r="D64" s="7" t="s">
        <v>56</v>
      </c>
      <c r="E64" s="8" t="s">
        <v>19</v>
      </c>
      <c r="F64" s="9">
        <v>1000.0</v>
      </c>
      <c r="G64" s="7"/>
    </row>
    <row r="65" spans="8:8" ht="15.0" customHeight="1">
      <c r="A65" s="7"/>
      <c r="B65" s="7" t="s">
        <v>66</v>
      </c>
      <c r="C65" s="7"/>
      <c r="D65" s="7"/>
    </row>
    <row r="66" spans="8:8">
      <c r="A66" s="10">
        <v>46230.0</v>
      </c>
      <c r="B66" s="6" t="s">
        <v>57</v>
      </c>
      <c r="C66" s="6" t="s">
        <v>10</v>
      </c>
      <c r="D66" s="7" t="s">
        <v>56</v>
      </c>
      <c r="E66" s="8" t="s">
        <v>101</v>
      </c>
      <c r="F66" s="9">
        <v>7000.0</v>
      </c>
      <c r="G66" s="7"/>
    </row>
    <row r="67" spans="8:8" ht="15.0" customHeight="1">
      <c r="A67" s="7"/>
      <c r="B67" s="7" t="s">
        <v>102</v>
      </c>
      <c r="C67" s="7"/>
      <c r="D67" s="7"/>
    </row>
    <row r="68" spans="8:8">
      <c r="A68" s="5">
        <v>46231.0</v>
      </c>
      <c r="B68" s="6" t="s">
        <v>103</v>
      </c>
      <c r="C68" s="6" t="s">
        <v>10</v>
      </c>
      <c r="D68" s="7" t="s">
        <v>56</v>
      </c>
      <c r="E68" s="8" t="s">
        <v>40</v>
      </c>
      <c r="F68" s="9">
        <v>250000.0</v>
      </c>
      <c r="G68" s="7"/>
    </row>
    <row r="69" spans="8:8" ht="15.0" customHeight="1">
      <c r="A69" s="7"/>
      <c r="B69" s="7" t="s">
        <v>104</v>
      </c>
      <c r="C69" s="7"/>
      <c r="D69" s="7"/>
    </row>
    <row r="70" spans="8:8">
      <c r="A70" s="10">
        <v>46231.0</v>
      </c>
      <c r="B70" s="6" t="s">
        <v>105</v>
      </c>
      <c r="C70" s="6" t="s">
        <v>10</v>
      </c>
      <c r="D70" s="7" t="s">
        <v>56</v>
      </c>
      <c r="E70" s="8" t="s">
        <v>106</v>
      </c>
      <c r="F70" s="9">
        <v>40000.0</v>
      </c>
      <c r="G70" s="7"/>
    </row>
    <row r="71" spans="8:8" ht="15.0" customHeight="1">
      <c r="A71" s="7"/>
      <c r="B71" s="7" t="s">
        <v>107</v>
      </c>
      <c r="C71" s="7"/>
      <c r="D71" s="7"/>
    </row>
    <row r="72" spans="8:8">
      <c r="A72" s="10">
        <v>46231.0</v>
      </c>
      <c r="B72" s="6" t="s">
        <v>57</v>
      </c>
      <c r="C72" s="6" t="s">
        <v>10</v>
      </c>
      <c r="D72" s="7" t="s">
        <v>56</v>
      </c>
      <c r="E72" s="8" t="s">
        <v>108</v>
      </c>
      <c r="F72" s="9">
        <v>10000.0</v>
      </c>
      <c r="G72" s="7"/>
    </row>
    <row r="73" spans="8:8" ht="15.0" customHeight="1">
      <c r="A73" s="7"/>
      <c r="B73" s="7" t="s">
        <v>109</v>
      </c>
      <c r="C73" s="7"/>
      <c r="D73" s="7"/>
    </row>
    <row r="74" spans="8:8">
      <c r="A74" s="5">
        <v>46231.0</v>
      </c>
      <c r="B74" s="6" t="s">
        <v>96</v>
      </c>
      <c r="C74" s="6" t="s">
        <v>10</v>
      </c>
      <c r="D74" s="7" t="s">
        <v>56</v>
      </c>
      <c r="E74" s="8" t="s">
        <v>44</v>
      </c>
      <c r="F74" s="9">
        <v>5000.0</v>
      </c>
      <c r="G74" s="7"/>
    </row>
    <row r="75" spans="8:8" ht="15.0" customHeight="1">
      <c r="A75" s="7"/>
      <c r="B75" s="7" t="s">
        <v>110</v>
      </c>
      <c r="C75" s="7"/>
      <c r="D75" s="7"/>
    </row>
    <row r="76" spans="8:8">
      <c r="A76" s="10">
        <v>46231.0</v>
      </c>
      <c r="B76" s="6" t="s">
        <v>57</v>
      </c>
      <c r="C76" s="6" t="s">
        <v>10</v>
      </c>
      <c r="D76" s="7" t="s">
        <v>56</v>
      </c>
      <c r="E76" s="8" t="s">
        <v>111</v>
      </c>
      <c r="F76" s="9">
        <v>6400.0</v>
      </c>
      <c r="G76" s="7"/>
    </row>
    <row r="77" spans="8:8" ht="15.0" customHeight="1">
      <c r="A77" s="7"/>
      <c r="B77" s="7" t="s">
        <v>112</v>
      </c>
      <c r="C77" s="7"/>
      <c r="D77" s="7"/>
    </row>
    <row r="78" spans="8:8">
      <c r="A78" s="5">
        <v>46231.0</v>
      </c>
      <c r="B78" s="6" t="s">
        <v>113</v>
      </c>
      <c r="C78" s="6" t="s">
        <v>10</v>
      </c>
      <c r="D78" s="7" t="s">
        <v>56</v>
      </c>
      <c r="E78" s="8" t="s">
        <v>45</v>
      </c>
      <c r="F78" s="9">
        <v>4000.0</v>
      </c>
      <c r="G78" s="7"/>
    </row>
    <row r="79" spans="8:8">
      <c r="A79" s="5">
        <v>46231.0</v>
      </c>
      <c r="B79" s="6" t="s">
        <v>114</v>
      </c>
      <c r="C79" s="6" t="s">
        <v>10</v>
      </c>
      <c r="D79" s="7" t="s">
        <v>56</v>
      </c>
      <c r="E79" s="8" t="s">
        <v>21</v>
      </c>
      <c r="F79" s="9">
        <v>50000.0</v>
      </c>
      <c r="G79" s="7"/>
    </row>
    <row r="80" spans="8:8" ht="15.0" customHeight="1">
      <c r="A80" s="7"/>
      <c r="B80" s="7" t="s">
        <v>115</v>
      </c>
      <c r="C80" s="7"/>
      <c r="D80" s="7"/>
    </row>
    <row r="81" spans="8:8">
      <c r="A81" s="10">
        <v>46232.0</v>
      </c>
      <c r="B81" s="6" t="s">
        <v>57</v>
      </c>
      <c r="C81" s="6" t="s">
        <v>10</v>
      </c>
      <c r="D81" s="7" t="s">
        <v>56</v>
      </c>
      <c r="E81" s="8" t="s">
        <v>116</v>
      </c>
      <c r="F81" s="9">
        <v>20000.0</v>
      </c>
      <c r="G81" s="7"/>
    </row>
    <row r="82" spans="8:8" ht="15.0" customHeight="1">
      <c r="A82" s="7"/>
      <c r="B82" s="7" t="s">
        <v>117</v>
      </c>
      <c r="C82" s="7"/>
      <c r="D82" s="7"/>
    </row>
    <row r="83" spans="8:8">
      <c r="A83" s="10">
        <v>46232.0</v>
      </c>
      <c r="B83" s="6" t="s">
        <v>57</v>
      </c>
      <c r="C83" s="6" t="s">
        <v>10</v>
      </c>
      <c r="D83" s="7" t="s">
        <v>56</v>
      </c>
      <c r="E83" s="8" t="s">
        <v>118</v>
      </c>
      <c r="F83" s="9">
        <v>9000.0</v>
      </c>
      <c r="G83" s="7"/>
    </row>
    <row r="84" spans="8:8" ht="15.0" customHeight="1">
      <c r="A84" s="7"/>
      <c r="B84" s="7" t="s">
        <v>119</v>
      </c>
      <c r="C84" s="7"/>
      <c r="D84" s="7"/>
    </row>
    <row r="85" spans="8:8">
      <c r="A85" s="10">
        <v>46232.0</v>
      </c>
      <c r="B85" s="6" t="s">
        <v>57</v>
      </c>
      <c r="C85" s="6" t="s">
        <v>10</v>
      </c>
      <c r="D85" s="7" t="s">
        <v>56</v>
      </c>
      <c r="E85" s="8" t="s">
        <v>120</v>
      </c>
      <c r="F85" s="13">
        <v>600.0</v>
      </c>
      <c r="G85" s="7"/>
    </row>
    <row r="86" spans="8:8" ht="15.0" customHeight="1">
      <c r="A86" s="7"/>
      <c r="B86" s="7" t="s">
        <v>121</v>
      </c>
      <c r="C86" s="7"/>
      <c r="D86" s="7"/>
    </row>
    <row r="87" spans="8:8">
      <c r="A87" s="10">
        <v>46232.0</v>
      </c>
      <c r="B87" s="6" t="s">
        <v>57</v>
      </c>
      <c r="C87" s="6" t="s">
        <v>10</v>
      </c>
      <c r="D87" s="7" t="s">
        <v>56</v>
      </c>
      <c r="E87" s="8" t="s">
        <v>122</v>
      </c>
      <c r="F87" s="9">
        <v>8000.0</v>
      </c>
      <c r="G87" s="7"/>
    </row>
    <row r="88" spans="8:8" ht="15.0" customHeight="1">
      <c r="A88" s="7"/>
      <c r="B88" s="7" t="s">
        <v>123</v>
      </c>
      <c r="C88" s="7"/>
      <c r="D88" s="7"/>
    </row>
    <row r="89" spans="8:8">
      <c r="A89" s="10">
        <v>46232.0</v>
      </c>
      <c r="B89" s="6" t="s">
        <v>57</v>
      </c>
      <c r="C89" s="6" t="s">
        <v>10</v>
      </c>
      <c r="D89" s="7" t="s">
        <v>56</v>
      </c>
      <c r="E89" s="8" t="s">
        <v>124</v>
      </c>
      <c r="F89" s="9">
        <v>1000.0</v>
      </c>
      <c r="G89" s="7"/>
    </row>
    <row r="90" spans="8:8" ht="15.0" customHeight="1">
      <c r="A90" s="7"/>
      <c r="B90" s="7" t="s">
        <v>125</v>
      </c>
      <c r="C90" s="7"/>
      <c r="D90" s="7"/>
    </row>
    <row r="91" spans="8:8">
      <c r="A91" s="5">
        <v>46232.0</v>
      </c>
      <c r="B91" s="12" t="s">
        <v>80</v>
      </c>
      <c r="C91" s="6" t="s">
        <v>10</v>
      </c>
      <c r="D91" s="7" t="s">
        <v>56</v>
      </c>
      <c r="E91" s="8" t="s">
        <v>28</v>
      </c>
      <c r="F91" s="9">
        <v>8000.0</v>
      </c>
      <c r="G91" s="7"/>
    </row>
    <row r="92" spans="8:8" ht="15.0" customHeight="1">
      <c r="A92" s="7"/>
      <c r="B92" s="7" t="s">
        <v>98</v>
      </c>
      <c r="C92" s="7"/>
      <c r="D92" s="7"/>
    </row>
    <row r="93" spans="8:8">
      <c r="A93" s="10">
        <v>46233.0</v>
      </c>
      <c r="B93" s="6" t="s">
        <v>57</v>
      </c>
      <c r="C93" s="6" t="s">
        <v>10</v>
      </c>
      <c r="D93" s="7" t="s">
        <v>56</v>
      </c>
      <c r="E93" s="8" t="s">
        <v>126</v>
      </c>
      <c r="F93" s="9">
        <v>1700.0</v>
      </c>
      <c r="G93" s="7"/>
    </row>
    <row r="94" spans="8:8" ht="15.0" customHeight="1">
      <c r="A94" s="7"/>
      <c r="B94" s="7" t="s">
        <v>127</v>
      </c>
      <c r="C94" s="7"/>
      <c r="D94" s="7"/>
    </row>
    <row r="95" spans="8:8">
      <c r="A95" s="5">
        <v>46234.0</v>
      </c>
      <c r="B95" s="12" t="s">
        <v>80</v>
      </c>
      <c r="C95" s="6" t="s">
        <v>10</v>
      </c>
      <c r="D95" s="7" t="s">
        <v>56</v>
      </c>
      <c r="E95" s="8" t="s">
        <v>30</v>
      </c>
      <c r="F95" s="9">
        <v>3000.0</v>
      </c>
      <c r="G95" s="7"/>
    </row>
    <row r="96" spans="8:8" ht="15.0" customHeight="1">
      <c r="A96" s="7"/>
      <c r="B96" s="7" t="s">
        <v>128</v>
      </c>
      <c r="C96" s="7"/>
      <c r="D96" s="7"/>
    </row>
    <row r="97" spans="8:8">
      <c r="A97" s="5">
        <v>46234.0</v>
      </c>
      <c r="B97" s="12" t="s">
        <v>80</v>
      </c>
      <c r="C97" s="6" t="s">
        <v>7</v>
      </c>
      <c r="D97" s="7" t="s">
        <v>56</v>
      </c>
      <c r="E97" s="8" t="s">
        <v>31</v>
      </c>
      <c r="F97" s="9">
        <v>30000.0</v>
      </c>
      <c r="G97" s="7"/>
    </row>
    <row r="98" spans="8:8" ht="15.0" customHeight="1">
      <c r="A98" s="7"/>
      <c r="B98" s="7" t="s">
        <v>64</v>
      </c>
      <c r="C98" s="7"/>
      <c r="D98" s="7"/>
    </row>
    <row r="99" spans="8:8">
      <c r="A99" s="5">
        <v>46234.0</v>
      </c>
      <c r="B99" s="11" t="s">
        <v>62</v>
      </c>
      <c r="C99" s="6" t="s">
        <v>10</v>
      </c>
      <c r="D99" s="7" t="s">
        <v>56</v>
      </c>
      <c r="E99" s="8" t="s">
        <v>38</v>
      </c>
      <c r="F99" s="9">
        <v>96749.0</v>
      </c>
      <c r="G99" s="7"/>
    </row>
    <row r="100" spans="8:8" ht="15.0" customHeight="1">
      <c r="A100" s="7"/>
      <c r="B100" s="7" t="s">
        <v>89</v>
      </c>
      <c r="C100" s="7"/>
      <c r="D100" s="7"/>
    </row>
    <row r="101" spans="8:8">
      <c r="A101" s="5">
        <v>46234.0</v>
      </c>
      <c r="B101" s="6" t="s">
        <v>103</v>
      </c>
      <c r="C101" s="6" t="s">
        <v>10</v>
      </c>
      <c r="D101" s="7" t="s">
        <v>56</v>
      </c>
      <c r="E101" s="8" t="s">
        <v>129</v>
      </c>
      <c r="F101" s="9">
        <v>5000.0</v>
      </c>
      <c r="G101" s="7"/>
    </row>
    <row r="102" spans="8:8">
      <c r="A102" s="10">
        <v>46234.0</v>
      </c>
      <c r="B102" s="6" t="s">
        <v>57</v>
      </c>
      <c r="C102" s="6" t="s">
        <v>10</v>
      </c>
      <c r="D102" s="7" t="s">
        <v>56</v>
      </c>
      <c r="E102" s="8" t="s">
        <v>130</v>
      </c>
      <c r="F102" s="9">
        <v>32500.0</v>
      </c>
      <c r="G102" s="7"/>
    </row>
    <row r="103" spans="8:8" ht="15.0" customHeight="1">
      <c r="A103" s="7"/>
      <c r="B103" s="7" t="s">
        <v>131</v>
      </c>
      <c r="C103" s="7"/>
      <c r="D103" s="7"/>
    </row>
    <row r="104" spans="8:8">
      <c r="A104" s="5">
        <v>46234.0</v>
      </c>
      <c r="B104" s="6" t="s">
        <v>114</v>
      </c>
      <c r="C104" s="6" t="s">
        <v>10</v>
      </c>
      <c r="D104" s="7" t="s">
        <v>56</v>
      </c>
      <c r="E104" s="8" t="s">
        <v>23</v>
      </c>
      <c r="F104" s="9">
        <v>50000.0</v>
      </c>
      <c r="G104" s="7"/>
    </row>
    <row r="105" spans="8:8" ht="15.0" customHeight="1">
      <c r="A105" s="7"/>
      <c r="B105" s="7" t="s">
        <v>132</v>
      </c>
      <c r="C105" s="7"/>
      <c r="D105" s="7"/>
    </row>
    <row r="106" spans="8:8">
      <c r="A106" s="5">
        <v>46234.0</v>
      </c>
      <c r="B106" s="6" t="s">
        <v>57</v>
      </c>
      <c r="C106" s="6" t="s">
        <v>7</v>
      </c>
      <c r="D106" s="7" t="s">
        <v>56</v>
      </c>
      <c r="E106" s="8" t="s">
        <v>133</v>
      </c>
      <c r="F106" s="9">
        <v>150000.0</v>
      </c>
      <c r="G106" s="7"/>
    </row>
    <row r="107" spans="8:8" ht="15.0" customHeight="1">
      <c r="A107" s="7"/>
      <c r="B107" s="14" t="s">
        <v>134</v>
      </c>
      <c r="C107" s="14"/>
      <c r="D107" s="14"/>
    </row>
    <row r="108" spans="8:8" ht="15.0" customHeight="1">
      <c r="A108" s="3"/>
      <c r="B108" s="3"/>
      <c r="C108" s="3"/>
      <c r="D108" s="3"/>
      <c r="E108" s="3" t="s">
        <v>135</v>
      </c>
      <c r="F108" s="15">
        <v>2059599.0</v>
      </c>
      <c r="G108" s="4">
        <v>0.0</v>
      </c>
    </row>
  </sheetData>
  <hyperlinks>
    <hyperlink ref="E5" r:id="rId1"/>
    <hyperlink ref="E6" r:id="rId2"/>
    <hyperlink ref="E7" r:id="rId3"/>
    <hyperlink ref="E8" r:id="rId4"/>
    <hyperlink ref="E10" r:id="rId5"/>
    <hyperlink ref="E11" r:id="rId6"/>
    <hyperlink ref="E13" r:id="rId7"/>
    <hyperlink ref="E15" r:id="rId8"/>
    <hyperlink ref="E17" r:id="rId9"/>
    <hyperlink ref="E19" r:id="rId10"/>
    <hyperlink ref="E21" r:id="rId11"/>
    <hyperlink ref="E23" r:id="rId12"/>
    <hyperlink ref="E25" r:id="rId13"/>
    <hyperlink ref="E27" r:id="rId14"/>
    <hyperlink ref="E29" r:id="rId15"/>
    <hyperlink ref="E31" r:id="rId16"/>
    <hyperlink ref="E33" r:id="rId17"/>
    <hyperlink ref="E35" r:id="rId18"/>
    <hyperlink ref="E37" r:id="rId19"/>
    <hyperlink ref="E38" r:id="rId20"/>
    <hyperlink ref="E40" r:id="rId21"/>
    <hyperlink ref="E42" r:id="rId22"/>
    <hyperlink ref="E44" r:id="rId23"/>
    <hyperlink ref="E46" r:id="rId24"/>
    <hyperlink ref="E48" r:id="rId25"/>
    <hyperlink ref="E50" r:id="rId26"/>
    <hyperlink ref="E52" r:id="rId27"/>
    <hyperlink ref="E54" r:id="rId28"/>
    <hyperlink ref="E56" r:id="rId29"/>
    <hyperlink ref="E58" r:id="rId30"/>
    <hyperlink ref="E60" r:id="rId31"/>
    <hyperlink ref="E62" r:id="rId32"/>
    <hyperlink ref="E64" r:id="rId33"/>
    <hyperlink ref="E66" r:id="rId34"/>
    <hyperlink ref="E68" r:id="rId35"/>
    <hyperlink ref="E70" r:id="rId36"/>
    <hyperlink ref="E72" r:id="rId37"/>
    <hyperlink ref="E74" r:id="rId38"/>
    <hyperlink ref="E76" r:id="rId39"/>
    <hyperlink ref="E78" r:id="rId40"/>
    <hyperlink ref="E79" r:id="rId41"/>
    <hyperlink ref="E81" r:id="rId42"/>
    <hyperlink ref="E83" r:id="rId43"/>
    <hyperlink ref="E85" r:id="rId44"/>
    <hyperlink ref="E87" r:id="rId45"/>
    <hyperlink ref="E89" r:id="rId46"/>
    <hyperlink ref="E91" r:id="rId47"/>
    <hyperlink ref="E93" r:id="rId48"/>
    <hyperlink ref="E95" r:id="rId49"/>
    <hyperlink ref="E97" r:id="rId50"/>
    <hyperlink ref="E99" r:id="rId51"/>
    <hyperlink ref="E101" r:id="rId52"/>
    <hyperlink ref="E102" r:id="rId53"/>
    <hyperlink ref="E104" r:id="rId54"/>
    <hyperlink ref="E106" r:id="rId55"/>
  </hyperlink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F5"/>
  <sheetViews>
    <sheetView workbookViewId="0" zoomScale="80">
      <selection activeCell="E15" sqref="E15"/>
    </sheetView>
  </sheetViews>
  <sheetFormatPr defaultRowHeight="14.5" defaultColWidth="10"/>
  <cols>
    <col min="1" max="1" customWidth="1" bestFit="1" width="9.7265625" style="1"/>
    <col min="2" max="2" customWidth="1" bestFit="1" width="8.90625" style="1"/>
    <col min="3" max="3" customWidth="1" bestFit="1" width="12.453125" style="1"/>
    <col min="4" max="4" customWidth="1" bestFit="1" width="15.542969" style="1"/>
    <col min="5" max="5" customWidth="1" bestFit="1" width="14.816406" style="1"/>
  </cols>
  <sheetData>
    <row r="1" spans="8:8">
      <c r="A1" s="16" t="s">
        <v>0</v>
      </c>
      <c r="B1" s="17" t="s">
        <v>1</v>
      </c>
      <c r="C1" s="18" t="s">
        <v>2</v>
      </c>
      <c r="D1" s="19" t="s">
        <v>205</v>
      </c>
      <c r="E1" s="20" t="s">
        <v>4</v>
      </c>
    </row>
    <row r="2" spans="8:8">
      <c r="A2" s="21">
        <v>46209.0</v>
      </c>
      <c r="B2" s="22" t="s">
        <v>5</v>
      </c>
      <c r="C2" s="23" t="s">
        <v>6</v>
      </c>
      <c r="D2" s="24">
        <v>45870.0</v>
      </c>
      <c r="E2" s="25" t="s">
        <v>7</v>
      </c>
    </row>
    <row r="3" spans="8:8">
      <c r="A3" s="21">
        <v>46221.0</v>
      </c>
      <c r="B3" s="22" t="s">
        <v>8</v>
      </c>
      <c r="C3" s="23" t="s">
        <v>9</v>
      </c>
      <c r="D3" s="24">
        <v>5200.0</v>
      </c>
      <c r="E3" s="25" t="s">
        <v>10</v>
      </c>
    </row>
    <row r="4" spans="8:8">
      <c r="A4" s="21">
        <v>46230.0</v>
      </c>
      <c r="B4" s="22" t="s">
        <v>5</v>
      </c>
      <c r="C4" s="23" t="s">
        <v>11</v>
      </c>
      <c r="D4" s="24">
        <v>42200.0</v>
      </c>
      <c r="E4" s="25" t="s">
        <v>7</v>
      </c>
    </row>
    <row r="5" spans="8:8">
      <c r="A5" s="26" t="s">
        <v>12</v>
      </c>
      <c r="B5" s="26"/>
      <c r="C5" s="26"/>
      <c r="D5" s="27">
        <f>SUM(D2:D4)</f>
        <v>93270.0</v>
      </c>
      <c r="E5" s="26"/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F3"/>
  <sheetViews>
    <sheetView workbookViewId="0" zoomScale="101">
      <selection activeCell="C10" sqref="C10"/>
    </sheetView>
  </sheetViews>
  <sheetFormatPr defaultRowHeight="14.5" defaultColWidth="10"/>
  <cols>
    <col min="1" max="1" customWidth="1" bestFit="1" width="8.453125" style="1"/>
    <col min="2" max="2" customWidth="1" bestFit="1" width="8.90625" style="1"/>
    <col min="3" max="3" customWidth="1" width="12.542969" style="1"/>
    <col min="4" max="4" customWidth="1" bestFit="1" width="15.453125" style="1"/>
  </cols>
  <sheetData>
    <row r="1" spans="8:8">
      <c r="A1" s="16" t="s">
        <v>0</v>
      </c>
      <c r="B1" s="17" t="s">
        <v>1</v>
      </c>
      <c r="C1" s="18" t="s">
        <v>2</v>
      </c>
      <c r="D1" s="19" t="s">
        <v>206</v>
      </c>
      <c r="E1" s="20" t="s">
        <v>4</v>
      </c>
    </row>
    <row r="2" spans="8:8">
      <c r="A2" s="21">
        <v>46204.0</v>
      </c>
      <c r="B2" s="22" t="s">
        <v>13</v>
      </c>
      <c r="C2" s="23" t="s">
        <v>14</v>
      </c>
      <c r="D2" s="24">
        <v>45150.0</v>
      </c>
      <c r="E2" s="25" t="s">
        <v>15</v>
      </c>
    </row>
    <row r="3" spans="8:8">
      <c r="A3" s="26" t="s">
        <v>12</v>
      </c>
      <c r="B3" s="26"/>
      <c r="C3" s="26"/>
      <c r="D3" s="27">
        <f>D2</f>
        <v>45150.0</v>
      </c>
      <c r="E3" s="26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selection activeCell="D11" sqref="D11"/>
    </sheetView>
  </sheetViews>
  <sheetFormatPr defaultRowHeight="14.5" defaultColWidth="10"/>
  <cols>
    <col min="1" max="1" customWidth="1" width="9.7265625" style="1"/>
    <col min="2" max="2" customWidth="1" bestFit="1" width="8.90625" style="1"/>
    <col min="3" max="3" customWidth="1" width="10.363281" style="1"/>
    <col min="4" max="4" customWidth="1" width="18.269531" style="1"/>
  </cols>
  <sheetData>
    <row r="1" spans="8:8">
      <c r="A1" s="16" t="s">
        <v>0</v>
      </c>
      <c r="B1" s="17" t="s">
        <v>1</v>
      </c>
      <c r="C1" s="18" t="s">
        <v>2</v>
      </c>
      <c r="D1" s="20" t="s">
        <v>3</v>
      </c>
      <c r="E1" s="20" t="s">
        <v>4</v>
      </c>
    </row>
    <row r="2" spans="8:8">
      <c r="A2" s="21">
        <v>46209.0</v>
      </c>
      <c r="B2" s="22" t="s">
        <v>16</v>
      </c>
      <c r="C2" s="23" t="s">
        <v>17</v>
      </c>
      <c r="D2" s="24">
        <v>1000.0</v>
      </c>
      <c r="E2" s="25" t="s">
        <v>10</v>
      </c>
    </row>
    <row r="3" spans="8:8">
      <c r="A3" s="21">
        <v>46230.0</v>
      </c>
      <c r="B3" s="22" t="s">
        <v>18</v>
      </c>
      <c r="C3" s="23" t="s">
        <v>19</v>
      </c>
      <c r="D3" s="24">
        <v>1000.0</v>
      </c>
      <c r="E3" s="25" t="s">
        <v>10</v>
      </c>
    </row>
    <row r="4" spans="8:8">
      <c r="A4" s="21">
        <v>46217.0</v>
      </c>
      <c r="B4" s="28" t="s">
        <v>8</v>
      </c>
      <c r="C4" s="23" t="s">
        <v>83</v>
      </c>
      <c r="D4" s="24">
        <v>1000.0</v>
      </c>
      <c r="E4" s="25" t="s">
        <v>10</v>
      </c>
    </row>
    <row r="5" spans="8:8">
      <c r="A5" s="26" t="s">
        <v>12</v>
      </c>
      <c r="B5" s="22"/>
      <c r="C5" s="22"/>
      <c r="D5" s="29">
        <f>SUM(D2:D4)</f>
        <v>3000.0</v>
      </c>
      <c r="E5" s="22"/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F4"/>
  <sheetViews>
    <sheetView workbookViewId="0" zoomScale="98">
      <selection activeCell="A4" sqref="A4"/>
    </sheetView>
  </sheetViews>
  <sheetFormatPr defaultRowHeight="14.5" defaultColWidth="10"/>
  <cols>
    <col min="1" max="1" customWidth="1" bestFit="1" width="9.453125" style="1"/>
    <col min="2" max="2" customWidth="1" bestFit="1" width="23.816406" style="1"/>
    <col min="3" max="3" customWidth="1" bestFit="1" width="9.816406" style="1"/>
    <col min="4" max="4" customWidth="1" bestFit="1" width="15.453125" style="1"/>
  </cols>
  <sheetData>
    <row r="1" spans="8:8">
      <c r="A1" s="16" t="s">
        <v>0</v>
      </c>
      <c r="B1" s="17" t="s">
        <v>1</v>
      </c>
      <c r="C1" s="18" t="s">
        <v>2</v>
      </c>
      <c r="D1" s="20" t="s">
        <v>3</v>
      </c>
      <c r="E1" s="20" t="s">
        <v>4</v>
      </c>
    </row>
    <row r="2" spans="8:8">
      <c r="A2" s="21">
        <v>46231.0</v>
      </c>
      <c r="B2" s="22" t="s">
        <v>20</v>
      </c>
      <c r="C2" s="23" t="s">
        <v>21</v>
      </c>
      <c r="D2" s="24">
        <v>50000.0</v>
      </c>
      <c r="E2" s="25" t="s">
        <v>10</v>
      </c>
    </row>
    <row r="3" spans="8:8">
      <c r="A3" s="21">
        <v>46234.0</v>
      </c>
      <c r="B3" s="22" t="s">
        <v>22</v>
      </c>
      <c r="C3" s="23" t="s">
        <v>23</v>
      </c>
      <c r="D3" s="24">
        <v>50000.0</v>
      </c>
      <c r="E3" s="25" t="s">
        <v>10</v>
      </c>
    </row>
    <row r="4" spans="8:8">
      <c r="A4" s="26" t="s">
        <v>12</v>
      </c>
      <c r="B4" s="26"/>
      <c r="C4" s="30"/>
      <c r="D4" s="31">
        <f>SUM(D2+D3)</f>
        <v>100000.0</v>
      </c>
      <c r="E4" s="26"/>
    </row>
  </sheetData>
  <hyperlinks>
    <hyperlink ref="C2" r:id="rId1"/>
    <hyperlink ref="C3" r:id="rId2"/>
  </hyperlink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F8"/>
  <sheetViews>
    <sheetView workbookViewId="0" zoomScale="84">
      <selection activeCell="F19" sqref="F19"/>
    </sheetView>
  </sheetViews>
  <sheetFormatPr defaultRowHeight="14.5" defaultColWidth="10"/>
  <cols>
    <col min="1" max="1" customWidth="1" bestFit="1" width="10.089844" style="1"/>
    <col min="2" max="2" customWidth="1" bestFit="1" width="9.269531" style="1"/>
    <col min="3" max="3" customWidth="1" bestFit="1" width="10.1796875" style="1"/>
    <col min="4" max="4" customWidth="1" bestFit="1" width="16.089844" style="1"/>
    <col min="5" max="5" customWidth="1" bestFit="1" width="15.269531" style="1"/>
  </cols>
  <sheetData>
    <row r="1" spans="8:8">
      <c r="A1" s="16" t="s">
        <v>0</v>
      </c>
      <c r="B1" s="17" t="s">
        <v>1</v>
      </c>
      <c r="C1" s="18" t="s">
        <v>2</v>
      </c>
      <c r="D1" s="20" t="s">
        <v>3</v>
      </c>
      <c r="E1" s="20" t="s">
        <v>4</v>
      </c>
    </row>
    <row r="2" spans="8:8">
      <c r="A2" s="21">
        <v>46216.0</v>
      </c>
      <c r="B2" s="22" t="s">
        <v>5</v>
      </c>
      <c r="C2" s="23" t="s">
        <v>24</v>
      </c>
      <c r="D2" s="24">
        <v>45270.0</v>
      </c>
      <c r="E2" s="25" t="s">
        <v>7</v>
      </c>
    </row>
    <row r="3" spans="8:8">
      <c r="A3" s="21">
        <v>46224.0</v>
      </c>
      <c r="B3" s="22" t="s">
        <v>5</v>
      </c>
      <c r="C3" s="23" t="s">
        <v>25</v>
      </c>
      <c r="D3" s="24">
        <v>32000.0</v>
      </c>
      <c r="E3" s="25" t="s">
        <v>7</v>
      </c>
    </row>
    <row r="4" spans="8:8">
      <c r="A4" s="21">
        <v>46230.0</v>
      </c>
      <c r="B4" s="22" t="s">
        <v>5</v>
      </c>
      <c r="C4" s="23" t="s">
        <v>26</v>
      </c>
      <c r="D4" s="24">
        <v>50640.0</v>
      </c>
      <c r="E4" s="25" t="s">
        <v>7</v>
      </c>
    </row>
    <row r="5" spans="8:8">
      <c r="A5" s="21">
        <v>46232.0</v>
      </c>
      <c r="B5" s="22" t="s">
        <v>27</v>
      </c>
      <c r="C5" s="23" t="s">
        <v>28</v>
      </c>
      <c r="D5" s="24">
        <v>8000.0</v>
      </c>
      <c r="E5" s="25" t="s">
        <v>10</v>
      </c>
    </row>
    <row r="6" spans="8:8">
      <c r="A6" s="21">
        <v>46234.0</v>
      </c>
      <c r="B6" s="22" t="s">
        <v>29</v>
      </c>
      <c r="C6" s="23" t="s">
        <v>30</v>
      </c>
      <c r="D6" s="24">
        <v>3000.0</v>
      </c>
      <c r="E6" s="25" t="s">
        <v>10</v>
      </c>
    </row>
    <row r="7" spans="8:8">
      <c r="A7" s="21">
        <v>46234.0</v>
      </c>
      <c r="B7" s="22" t="s">
        <v>5</v>
      </c>
      <c r="C7" s="23" t="s">
        <v>31</v>
      </c>
      <c r="D7" s="24">
        <v>30000.0</v>
      </c>
      <c r="E7" s="25" t="s">
        <v>7</v>
      </c>
    </row>
    <row r="8" spans="8:8">
      <c r="A8" s="26" t="s">
        <v>12</v>
      </c>
      <c r="B8" s="26"/>
      <c r="C8" s="26"/>
      <c r="D8" s="27">
        <f>SUM(D2:D7)</f>
        <v>168910.0</v>
      </c>
      <c r="E8" s="26"/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F8"/>
  <sheetViews>
    <sheetView workbookViewId="0" zoomScale="90">
      <selection activeCell="B13" sqref="B13"/>
    </sheetView>
  </sheetViews>
  <sheetFormatPr defaultRowHeight="14.5" defaultColWidth="10"/>
  <cols>
    <col min="1" max="1" customWidth="1" width="9.542969" style="1"/>
    <col min="2" max="2" customWidth="1" bestFit="1" width="8.90625" style="1"/>
    <col min="3" max="3" customWidth="1" width="14.7265625" style="1"/>
    <col min="4" max="4" customWidth="1" bestFit="1" width="15.453125" style="1"/>
    <col min="5" max="5" customWidth="1" width="16.542969" style="1"/>
  </cols>
  <sheetData>
    <row r="1" spans="8:8">
      <c r="A1" s="16" t="s">
        <v>0</v>
      </c>
      <c r="B1" s="17" t="s">
        <v>1</v>
      </c>
      <c r="C1" s="18" t="s">
        <v>2</v>
      </c>
      <c r="D1" s="20" t="s">
        <v>3</v>
      </c>
      <c r="E1" s="20" t="s">
        <v>4</v>
      </c>
    </row>
    <row r="2" spans="8:8">
      <c r="A2" s="5">
        <v>46209.0</v>
      </c>
      <c r="B2" s="22" t="s">
        <v>8</v>
      </c>
      <c r="C2" s="8" t="s">
        <v>32</v>
      </c>
      <c r="D2" s="9">
        <v>93665.0</v>
      </c>
      <c r="E2" s="25"/>
    </row>
    <row r="3" spans="8:8">
      <c r="A3" s="21">
        <v>46218.0</v>
      </c>
      <c r="B3" s="22" t="s">
        <v>33</v>
      </c>
      <c r="C3" s="23" t="s">
        <v>34</v>
      </c>
      <c r="D3" s="24">
        <v>38000.0</v>
      </c>
      <c r="E3" s="25" t="s">
        <v>7</v>
      </c>
    </row>
    <row r="4" spans="8:8">
      <c r="A4" s="21">
        <v>46219.0</v>
      </c>
      <c r="B4" s="22" t="s">
        <v>5</v>
      </c>
      <c r="C4" s="23" t="s">
        <v>35</v>
      </c>
      <c r="D4" s="24">
        <v>91745.0</v>
      </c>
      <c r="E4" s="25" t="s">
        <v>7</v>
      </c>
    </row>
    <row r="5" spans="8:8">
      <c r="A5" s="21">
        <v>46227.0</v>
      </c>
      <c r="B5" s="22" t="s">
        <v>27</v>
      </c>
      <c r="C5" s="23" t="s">
        <v>36</v>
      </c>
      <c r="D5" s="24">
        <v>36000.0</v>
      </c>
      <c r="E5" s="25" t="s">
        <v>7</v>
      </c>
    </row>
    <row r="6" spans="8:8">
      <c r="A6" s="21">
        <v>46227.0</v>
      </c>
      <c r="B6" s="22" t="s">
        <v>5</v>
      </c>
      <c r="C6" s="23" t="s">
        <v>37</v>
      </c>
      <c r="D6" s="24">
        <v>92685.0</v>
      </c>
      <c r="E6" s="25" t="s">
        <v>7</v>
      </c>
    </row>
    <row r="7" spans="8:8">
      <c r="A7" s="21">
        <v>46234.0</v>
      </c>
      <c r="B7" s="22" t="s">
        <v>5</v>
      </c>
      <c r="C7" s="23" t="s">
        <v>38</v>
      </c>
      <c r="D7" s="24">
        <v>96749.0</v>
      </c>
      <c r="E7" s="25" t="s">
        <v>10</v>
      </c>
    </row>
    <row r="8" spans="8:8">
      <c r="A8" s="26" t="s">
        <v>12</v>
      </c>
      <c r="B8" s="26"/>
      <c r="C8" s="26"/>
      <c r="D8" s="27">
        <f>SUM(D2:D7)</f>
        <v>448844.0</v>
      </c>
      <c r="E8" s="26"/>
    </row>
  </sheetData>
  <hyperlinks>
    <hyperlink ref="C3" r:id="rId1"/>
    <hyperlink ref="C4" r:id="rId2"/>
    <hyperlink ref="C5" r:id="rId3"/>
    <hyperlink ref="C6" r:id="rId4"/>
    <hyperlink ref="C7" r:id="rId5"/>
    <hyperlink ref="C2" r:id="rId6"/>
  </hyperlinks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selection activeCell="F18" sqref="F18"/>
    </sheetView>
  </sheetViews>
  <sheetFormatPr defaultRowHeight="14.5" defaultColWidth="10"/>
  <cols>
    <col min="1" max="1" customWidth="1" width="10.1796875" style="1"/>
    <col min="2" max="2" customWidth="1" bestFit="1" width="8.90625" style="1"/>
    <col min="3" max="3" customWidth="1" width="11.089844" style="1"/>
    <col min="4" max="4" customWidth="1" width="16.0" style="1"/>
  </cols>
  <sheetData>
    <row r="1" spans="8:8">
      <c r="A1" s="16" t="s">
        <v>0</v>
      </c>
      <c r="B1" s="17" t="s">
        <v>1</v>
      </c>
      <c r="C1" s="18" t="s">
        <v>2</v>
      </c>
      <c r="D1" s="20" t="s">
        <v>3</v>
      </c>
      <c r="E1" s="20" t="s">
        <v>4</v>
      </c>
    </row>
    <row r="2" spans="8:8">
      <c r="A2" s="21">
        <v>46231.0</v>
      </c>
      <c r="B2" s="22" t="s">
        <v>39</v>
      </c>
      <c r="C2" s="23" t="s">
        <v>40</v>
      </c>
      <c r="D2" s="24">
        <v>250000.0</v>
      </c>
      <c r="E2" s="25" t="s">
        <v>10</v>
      </c>
    </row>
    <row r="3" spans="8:8">
      <c r="A3" s="26" t="s">
        <v>12</v>
      </c>
      <c r="B3" s="26"/>
      <c r="C3" s="26"/>
      <c r="D3" s="27">
        <f>D2</f>
        <v>250000.0</v>
      </c>
      <c r="E3" s="26"/>
    </row>
  </sheetData>
  <hyperlinks>
    <hyperlink ref="C2" r:id="rId1"/>
  </hyperlink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selection activeCell="D12" sqref="D12"/>
    </sheetView>
  </sheetViews>
  <sheetFormatPr defaultRowHeight="14.5" defaultColWidth="10"/>
  <cols>
    <col min="1" max="1" customWidth="1" bestFit="1" width="9.453125" style="1"/>
    <col min="2" max="2" customWidth="1" bestFit="1" width="8.90625" style="1"/>
    <col min="3" max="3" customWidth="1" bestFit="1" width="9.816406" style="1"/>
    <col min="4" max="4" customWidth="1" bestFit="1" width="15.453125" style="1"/>
  </cols>
  <sheetData>
    <row r="1" spans="8:8" ht="15.0" customHeight="1">
      <c r="A1" s="16" t="s">
        <v>0</v>
      </c>
      <c r="B1" s="17" t="s">
        <v>1</v>
      </c>
      <c r="C1" s="18" t="s">
        <v>2</v>
      </c>
      <c r="D1" s="20" t="s">
        <v>3</v>
      </c>
      <c r="E1" s="20" t="s">
        <v>4</v>
      </c>
    </row>
    <row r="2" spans="8:8">
      <c r="A2" s="21">
        <v>46225.0</v>
      </c>
      <c r="B2" s="22" t="s">
        <v>41</v>
      </c>
      <c r="C2" s="23" t="s">
        <v>42</v>
      </c>
      <c r="D2" s="24">
        <v>5000.0</v>
      </c>
      <c r="E2" s="25" t="s">
        <v>10</v>
      </c>
    </row>
    <row r="3" spans="8:8">
      <c r="A3" s="21">
        <v>46231.0</v>
      </c>
      <c r="B3" s="22" t="s">
        <v>43</v>
      </c>
      <c r="C3" s="23" t="s">
        <v>44</v>
      </c>
      <c r="D3" s="24">
        <v>5000.0</v>
      </c>
      <c r="E3" s="25" t="s">
        <v>10</v>
      </c>
    </row>
    <row r="4" spans="8:8">
      <c r="A4" s="26" t="s">
        <v>12</v>
      </c>
      <c r="B4" s="26"/>
      <c r="C4" s="26"/>
      <c r="D4" s="27">
        <f>SUM(D2:D3)</f>
        <v>10000.0</v>
      </c>
      <c r="E4" s="26"/>
    </row>
  </sheetData>
  <hyperlinks>
    <hyperlink ref="C2" r:id="rId1"/>
    <hyperlink ref="C3" r:id="rId2"/>
  </hyperlink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selection activeCell="F9" sqref="F9"/>
    </sheetView>
  </sheetViews>
  <sheetFormatPr defaultRowHeight="14.5" defaultColWidth="10"/>
  <cols>
    <col min="1" max="1" customWidth="1" width="12.542969" style="1"/>
    <col min="2" max="2" customWidth="1" width="14.089844" style="1"/>
    <col min="3" max="3" customWidth="1" width="13.90625" style="1"/>
    <col min="4" max="4" customWidth="1" width="19.453125" style="1"/>
  </cols>
  <sheetData>
    <row r="1" spans="8:8">
      <c r="A1" s="16" t="s">
        <v>0</v>
      </c>
      <c r="B1" s="17" t="s">
        <v>1</v>
      </c>
      <c r="C1" s="18" t="s">
        <v>2</v>
      </c>
      <c r="D1" s="20" t="s">
        <v>3</v>
      </c>
      <c r="E1" s="20" t="s">
        <v>4</v>
      </c>
    </row>
    <row r="2" spans="8:8">
      <c r="A2" s="21">
        <v>46231.0</v>
      </c>
      <c r="B2" s="22" t="s">
        <v>8</v>
      </c>
      <c r="C2" s="23" t="s">
        <v>45</v>
      </c>
      <c r="D2" s="24">
        <v>4000.0</v>
      </c>
      <c r="E2" s="25" t="s">
        <v>10</v>
      </c>
    </row>
    <row r="3" spans="8:8">
      <c r="A3" s="26" t="s">
        <v>12</v>
      </c>
      <c r="B3" s="26"/>
      <c r="C3" s="26"/>
      <c r="D3" s="27">
        <f>D2</f>
        <v>4000.0</v>
      </c>
      <c r="E3" s="26"/>
    </row>
  </sheetData>
  <hyperlinks>
    <hyperlink ref="C2" r:id="rId1"/>
  </hyperlink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selection activeCell="F13" sqref="F13"/>
    </sheetView>
  </sheetViews>
  <sheetFormatPr defaultRowHeight="14.5" defaultColWidth="10"/>
  <cols>
    <col min="1" max="1" customWidth="1" bestFit="1" width="9.453125" style="1"/>
    <col min="2" max="2" customWidth="1" bestFit="1" width="8.90625" style="1"/>
    <col min="3" max="3" customWidth="1" bestFit="1" width="9.816406" style="1"/>
    <col min="4" max="4" customWidth="1" bestFit="1" width="15.453125" style="1"/>
    <col min="5" max="5" customWidth="1" width="16.089844" style="1"/>
  </cols>
  <sheetData>
    <row r="1" spans="8:8">
      <c r="A1" s="16" t="s">
        <v>0</v>
      </c>
      <c r="B1" s="17" t="s">
        <v>1</v>
      </c>
      <c r="C1" s="18" t="s">
        <v>2</v>
      </c>
      <c r="D1" s="20" t="s">
        <v>3</v>
      </c>
      <c r="E1" s="20" t="s">
        <v>4</v>
      </c>
    </row>
    <row r="2" spans="8:8">
      <c r="A2" s="21">
        <v>46225.0</v>
      </c>
      <c r="B2" s="22" t="s">
        <v>46</v>
      </c>
      <c r="C2" s="23" t="s">
        <v>47</v>
      </c>
      <c r="D2" s="24">
        <v>19425.0</v>
      </c>
      <c r="E2" s="25" t="s">
        <v>7</v>
      </c>
    </row>
    <row r="3" spans="8:8">
      <c r="A3" s="26" t="s">
        <v>12</v>
      </c>
      <c r="B3" s="26"/>
      <c r="C3" s="26"/>
      <c r="D3" s="27">
        <f>D2</f>
        <v>19425.0</v>
      </c>
      <c r="E3" s="26"/>
    </row>
  </sheetData>
  <hyperlinks>
    <hyperlink ref="C2" r:id="rId1"/>
  </hyperlink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F30"/>
  <sheetViews>
    <sheetView workbookViewId="0">
      <selection activeCell="B15" sqref="B15"/>
    </sheetView>
  </sheetViews>
  <sheetFormatPr defaultRowHeight="14.5" defaultColWidth="10"/>
  <cols>
    <col min="1" max="1" customWidth="1" bestFit="1" width="9.453125" style="1"/>
    <col min="2" max="2" customWidth="1" bestFit="1" width="69.54297" style="1"/>
    <col min="3" max="3" customWidth="1" bestFit="1" width="9.816406" style="1"/>
    <col min="4" max="4" customWidth="1" bestFit="1" width="15.453125" style="1"/>
    <col min="5" max="5" customWidth="1" bestFit="1" width="14.816406" style="1"/>
  </cols>
  <sheetData>
    <row r="1" spans="8:8">
      <c r="A1" s="16" t="s">
        <v>0</v>
      </c>
      <c r="B1" s="17" t="s">
        <v>1</v>
      </c>
      <c r="C1" s="18" t="s">
        <v>2</v>
      </c>
      <c r="D1" s="20" t="s">
        <v>3</v>
      </c>
      <c r="E1" s="20" t="s">
        <v>4</v>
      </c>
    </row>
    <row r="2" spans="8:8">
      <c r="A2" s="21">
        <v>46204.0</v>
      </c>
      <c r="B2" s="22" t="s">
        <v>8</v>
      </c>
      <c r="C2" s="23" t="s">
        <v>58</v>
      </c>
      <c r="D2" s="24">
        <v>8000.0</v>
      </c>
      <c r="E2" s="25" t="s">
        <v>10</v>
      </c>
    </row>
    <row r="3" spans="8:8">
      <c r="A3" s="21">
        <v>46206.0</v>
      </c>
      <c r="B3" s="22" t="s">
        <v>8</v>
      </c>
      <c r="C3" s="23" t="s">
        <v>59</v>
      </c>
      <c r="D3" s="24">
        <v>16500.0</v>
      </c>
      <c r="E3" s="25" t="s">
        <v>10</v>
      </c>
    </row>
    <row r="4" spans="8:8">
      <c r="A4" s="21">
        <v>46206.0</v>
      </c>
      <c r="B4" s="22" t="s">
        <v>136</v>
      </c>
      <c r="C4" s="23" t="s">
        <v>60</v>
      </c>
      <c r="D4" s="24">
        <v>190000.0</v>
      </c>
      <c r="E4" s="25" t="s">
        <v>7</v>
      </c>
    </row>
    <row r="5" spans="8:8">
      <c r="A5" s="21">
        <v>46209.0</v>
      </c>
      <c r="B5" s="22" t="s">
        <v>137</v>
      </c>
      <c r="C5" s="23" t="s">
        <v>67</v>
      </c>
      <c r="D5" s="24">
        <v>5400.0</v>
      </c>
      <c r="E5" s="25" t="s">
        <v>10</v>
      </c>
    </row>
    <row r="6" spans="8:8">
      <c r="A6" s="21">
        <v>46211.0</v>
      </c>
      <c r="B6" s="22" t="s">
        <v>138</v>
      </c>
      <c r="C6" s="23" t="s">
        <v>69</v>
      </c>
      <c r="D6" s="24">
        <v>100000.0</v>
      </c>
      <c r="E6" s="25" t="s">
        <v>7</v>
      </c>
    </row>
    <row r="7" spans="8:8">
      <c r="A7" s="21">
        <v>46211.0</v>
      </c>
      <c r="B7" s="22" t="s">
        <v>139</v>
      </c>
      <c r="C7" s="23" t="s">
        <v>71</v>
      </c>
      <c r="D7" s="24">
        <v>10000.0</v>
      </c>
      <c r="E7" s="25" t="s">
        <v>10</v>
      </c>
    </row>
    <row r="8" spans="8:8">
      <c r="A8" s="21">
        <v>46211.0</v>
      </c>
      <c r="B8" s="22" t="s">
        <v>140</v>
      </c>
      <c r="C8" s="23" t="s">
        <v>73</v>
      </c>
      <c r="D8" s="24">
        <v>10000.0</v>
      </c>
      <c r="E8" s="25" t="s">
        <v>10</v>
      </c>
    </row>
    <row r="9" spans="8:8">
      <c r="A9" s="21">
        <v>46212.0</v>
      </c>
      <c r="B9" s="22" t="s">
        <v>141</v>
      </c>
      <c r="C9" s="23" t="s">
        <v>73</v>
      </c>
      <c r="D9" s="24">
        <v>125000.0</v>
      </c>
      <c r="E9" s="25" t="s">
        <v>7</v>
      </c>
    </row>
    <row r="10" spans="8:8">
      <c r="A10" s="21">
        <v>46213.0</v>
      </c>
      <c r="B10" s="22" t="s">
        <v>142</v>
      </c>
      <c r="C10" s="23" t="s">
        <v>76</v>
      </c>
      <c r="D10" s="24">
        <v>31500.0</v>
      </c>
      <c r="E10" s="25" t="s">
        <v>7</v>
      </c>
    </row>
    <row r="11" spans="8:8">
      <c r="A11" s="21">
        <v>46214.0</v>
      </c>
      <c r="B11" s="22" t="s">
        <v>143</v>
      </c>
      <c r="C11" s="23" t="s">
        <v>78</v>
      </c>
      <c r="D11" s="24">
        <v>61000.0</v>
      </c>
      <c r="E11" s="25" t="s">
        <v>10</v>
      </c>
    </row>
    <row r="12" spans="8:8">
      <c r="A12" s="21">
        <v>46217.0</v>
      </c>
      <c r="B12" s="22" t="s">
        <v>144</v>
      </c>
      <c r="C12" s="23" t="s">
        <v>81</v>
      </c>
      <c r="D12" s="24">
        <v>10000.0</v>
      </c>
      <c r="E12" s="25" t="s">
        <v>7</v>
      </c>
    </row>
    <row r="13" spans="8:8">
      <c r="A13" s="21">
        <v>46220.0</v>
      </c>
      <c r="B13" s="22" t="s">
        <v>145</v>
      </c>
      <c r="C13" s="23" t="s">
        <v>86</v>
      </c>
      <c r="D13" s="24">
        <v>24700.0</v>
      </c>
      <c r="E13" s="25" t="s">
        <v>10</v>
      </c>
    </row>
    <row r="14" spans="8:8">
      <c r="A14" s="21">
        <v>46220.0</v>
      </c>
      <c r="B14" s="22" t="s">
        <v>146</v>
      </c>
      <c r="C14" s="23" t="s">
        <v>88</v>
      </c>
      <c r="D14" s="24">
        <v>5000.0</v>
      </c>
      <c r="E14" s="25" t="s">
        <v>10</v>
      </c>
    </row>
    <row r="15" spans="8:8">
      <c r="A15" s="21">
        <v>46223.0</v>
      </c>
      <c r="B15" s="22" t="s">
        <v>147</v>
      </c>
      <c r="C15" s="23" t="s">
        <v>91</v>
      </c>
      <c r="D15" s="24">
        <v>21000.0</v>
      </c>
      <c r="E15" s="25" t="s">
        <v>10</v>
      </c>
    </row>
    <row r="16" spans="8:8">
      <c r="A16" s="21">
        <v>46225.0</v>
      </c>
      <c r="B16" s="22" t="s">
        <v>148</v>
      </c>
      <c r="C16" s="23" t="s">
        <v>94</v>
      </c>
      <c r="D16" s="24">
        <v>3700.0</v>
      </c>
      <c r="E16" s="25" t="s">
        <v>10</v>
      </c>
    </row>
    <row r="17" spans="8:8">
      <c r="A17" s="21">
        <v>46228.0</v>
      </c>
      <c r="B17" s="22" t="s">
        <v>149</v>
      </c>
      <c r="C17" s="23" t="s">
        <v>99</v>
      </c>
      <c r="D17" s="24">
        <v>4000.0</v>
      </c>
      <c r="E17" s="25" t="s">
        <v>10</v>
      </c>
    </row>
    <row r="18" spans="8:8">
      <c r="A18" s="21">
        <v>46230.0</v>
      </c>
      <c r="B18" s="22" t="s">
        <v>150</v>
      </c>
      <c r="C18" s="23" t="s">
        <v>101</v>
      </c>
      <c r="D18" s="24">
        <v>7000.0</v>
      </c>
      <c r="E18" s="25" t="s">
        <v>10</v>
      </c>
    </row>
    <row r="19" spans="8:8">
      <c r="A19" s="21">
        <v>46231.0</v>
      </c>
      <c r="B19" s="22" t="s">
        <v>151</v>
      </c>
      <c r="C19" s="23" t="s">
        <v>106</v>
      </c>
      <c r="D19" s="24">
        <v>40000.0</v>
      </c>
      <c r="E19" s="32" t="s">
        <v>10</v>
      </c>
    </row>
    <row r="20" spans="8:8">
      <c r="A20" s="21">
        <v>46231.0</v>
      </c>
      <c r="B20" s="22" t="s">
        <v>152</v>
      </c>
      <c r="C20" s="23" t="s">
        <v>108</v>
      </c>
      <c r="D20" s="24">
        <v>10000.0</v>
      </c>
      <c r="E20" s="25" t="s">
        <v>10</v>
      </c>
    </row>
    <row r="21" spans="8:8">
      <c r="A21" s="21">
        <v>46231.0</v>
      </c>
      <c r="B21" s="22" t="s">
        <v>153</v>
      </c>
      <c r="C21" s="23" t="s">
        <v>111</v>
      </c>
      <c r="D21" s="24">
        <v>6400.0</v>
      </c>
      <c r="E21" s="32" t="s">
        <v>10</v>
      </c>
    </row>
    <row r="22" spans="8:8">
      <c r="A22" s="21">
        <v>46232.0</v>
      </c>
      <c r="B22" s="22" t="s">
        <v>154</v>
      </c>
      <c r="C22" s="23" t="s">
        <v>116</v>
      </c>
      <c r="D22" s="24">
        <v>20000.0</v>
      </c>
      <c r="E22" s="32" t="s">
        <v>10</v>
      </c>
    </row>
    <row r="23" spans="8:8">
      <c r="A23" s="21">
        <v>46232.0</v>
      </c>
      <c r="B23" s="22" t="s">
        <v>155</v>
      </c>
      <c r="C23" s="23" t="s">
        <v>118</v>
      </c>
      <c r="D23" s="24">
        <v>9000.0</v>
      </c>
      <c r="E23" s="32" t="s">
        <v>10</v>
      </c>
    </row>
    <row r="24" spans="8:8">
      <c r="A24" s="21">
        <v>46232.0</v>
      </c>
      <c r="B24" s="22" t="s">
        <v>156</v>
      </c>
      <c r="C24" s="23" t="s">
        <v>120</v>
      </c>
      <c r="D24" s="33">
        <v>600.0</v>
      </c>
      <c r="E24" s="32" t="s">
        <v>10</v>
      </c>
    </row>
    <row r="25" spans="8:8">
      <c r="A25" s="21">
        <v>46232.0</v>
      </c>
      <c r="B25" s="22" t="s">
        <v>157</v>
      </c>
      <c r="C25" s="23" t="s">
        <v>122</v>
      </c>
      <c r="D25" s="24">
        <v>8000.0</v>
      </c>
      <c r="E25" s="32" t="s">
        <v>10</v>
      </c>
    </row>
    <row r="26" spans="8:8">
      <c r="A26" s="21">
        <v>46232.0</v>
      </c>
      <c r="B26" s="22" t="s">
        <v>158</v>
      </c>
      <c r="C26" s="23" t="s">
        <v>124</v>
      </c>
      <c r="D26" s="24">
        <v>1000.0</v>
      </c>
      <c r="E26" s="32" t="s">
        <v>10</v>
      </c>
    </row>
    <row r="27" spans="8:8">
      <c r="A27" s="21">
        <v>46233.0</v>
      </c>
      <c r="B27" s="34" t="s">
        <v>159</v>
      </c>
      <c r="C27" s="23" t="s">
        <v>126</v>
      </c>
      <c r="D27" s="24">
        <v>1700.0</v>
      </c>
      <c r="E27" s="32" t="s">
        <v>10</v>
      </c>
    </row>
    <row r="28" spans="8:8">
      <c r="A28" s="21">
        <v>46234.0</v>
      </c>
      <c r="B28" s="22" t="s">
        <v>160</v>
      </c>
      <c r="C28" s="23" t="s">
        <v>130</v>
      </c>
      <c r="D28" s="24">
        <v>32500.0</v>
      </c>
      <c r="E28" s="32" t="s">
        <v>10</v>
      </c>
    </row>
    <row r="29" spans="8:8">
      <c r="A29" s="21">
        <v>46234.0</v>
      </c>
      <c r="B29" s="22" t="s">
        <v>161</v>
      </c>
      <c r="C29" s="23" t="s">
        <v>133</v>
      </c>
      <c r="D29" s="24">
        <v>150000.0</v>
      </c>
      <c r="E29" s="25" t="s">
        <v>7</v>
      </c>
    </row>
    <row r="30" spans="8:8">
      <c r="A30" s="35" t="s">
        <v>12</v>
      </c>
      <c r="B30" s="35"/>
      <c r="C30" s="26"/>
      <c r="D30" s="27">
        <f>SUM(D2:D29)</f>
        <v>912000.0</v>
      </c>
      <c r="E30" s="26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</hyperlink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K60"/>
  <sheetViews>
    <sheetView workbookViewId="0" showGridLines="0">
      <pane ySplit="5" topLeftCell="A6" state="frozen" activePane="bottomLeft"/>
      <selection pane="bottomLeft" activeCell="C12" sqref="C12"/>
    </sheetView>
  </sheetViews>
  <sheetFormatPr defaultRowHeight="14.5" defaultColWidth="10"/>
  <cols>
    <col min="1" max="1" customWidth="1" bestFit="1" width="25.0" style="1"/>
    <col min="2" max="2" customWidth="1" bestFit="1" width="18.816406" style="1"/>
    <col min="3" max="3" customWidth="1" bestFit="1" width="50.089844" style="1"/>
    <col min="4" max="4" customWidth="1" bestFit="1" width="15.7265625" style="1"/>
    <col min="5" max="5" customWidth="1" bestFit="1" width="17.269531" style="1"/>
    <col min="6" max="6" customWidth="1" bestFit="1" width="12.1796875" style="1"/>
    <col min="7" max="7" customWidth="1" bestFit="1" width="16.90625" style="1"/>
    <col min="8" max="8" customWidth="1" bestFit="1" width="11.0" style="1"/>
    <col min="9" max="9" customWidth="1" bestFit="1" width="18.816406" style="0"/>
    <col min="10" max="10" customWidth="1" bestFit="1" width="14.0" style="0"/>
  </cols>
  <sheetData>
    <row r="1" spans="8:8" ht="25.0">
      <c r="A1" s="36" t="s">
        <v>10</v>
      </c>
      <c r="B1" s="37"/>
      <c r="C1" s="37"/>
      <c r="D1" s="37"/>
      <c r="E1" s="37"/>
      <c r="F1" s="37"/>
      <c r="G1" s="37"/>
      <c r="H1" s="37"/>
    </row>
    <row r="2" spans="8:8">
      <c r="A2" s="38" t="s">
        <v>162</v>
      </c>
      <c r="B2" s="37"/>
      <c r="C2" s="37"/>
      <c r="D2" s="37"/>
      <c r="E2" s="37"/>
      <c r="F2" s="37"/>
      <c r="G2" s="37"/>
      <c r="H2" s="37"/>
    </row>
    <row r="3" spans="8:8">
      <c r="A3" s="39" t="s">
        <v>163</v>
      </c>
      <c r="B3" s="40"/>
      <c r="C3" s="39" t="s">
        <v>164</v>
      </c>
      <c r="D3" s="40"/>
      <c r="E3" s="39" t="s">
        <v>165</v>
      </c>
      <c r="F3" s="40"/>
    </row>
    <row r="4" spans="8:8">
      <c r="A4" s="40"/>
      <c r="B4" s="40"/>
      <c r="C4" s="40"/>
      <c r="D4" s="40"/>
      <c r="E4" s="40"/>
      <c r="F4" s="40"/>
    </row>
    <row r="6" spans="8:8">
      <c r="A6" s="41" t="s">
        <v>0</v>
      </c>
      <c r="B6" s="41" t="s">
        <v>166</v>
      </c>
      <c r="C6" s="41" t="s">
        <v>1</v>
      </c>
      <c r="D6" s="41" t="s">
        <v>167</v>
      </c>
      <c r="E6" s="41" t="s">
        <v>168</v>
      </c>
      <c r="F6" s="41" t="s">
        <v>169</v>
      </c>
      <c r="G6" s="41" t="s">
        <v>170</v>
      </c>
      <c r="H6" s="41" t="s">
        <v>171</v>
      </c>
    </row>
    <row r="7" spans="8:8">
      <c r="A7" s="42">
        <v>46204.0</v>
      </c>
      <c r="B7" s="43" t="s">
        <v>57</v>
      </c>
      <c r="C7" s="43"/>
      <c r="D7" s="44" t="s">
        <v>58</v>
      </c>
      <c r="E7" s="44" t="s">
        <v>56</v>
      </c>
      <c r="F7" s="45">
        <v>8000.0</v>
      </c>
      <c r="G7" s="45">
        <v>8000.0</v>
      </c>
      <c r="H7" s="44" t="s">
        <v>172</v>
      </c>
      <c r="I7" s="46" t="s">
        <v>207</v>
      </c>
      <c r="J7" t="s">
        <v>209</v>
      </c>
    </row>
    <row r="8" spans="8:8">
      <c r="A8" s="42">
        <v>46206.0</v>
      </c>
      <c r="B8" s="43" t="s">
        <v>57</v>
      </c>
      <c r="C8" s="43"/>
      <c r="D8" s="44" t="s">
        <v>59</v>
      </c>
      <c r="E8" s="44" t="s">
        <v>56</v>
      </c>
      <c r="F8" s="45">
        <v>16500.0</v>
      </c>
      <c r="G8" s="45">
        <v>24500.0</v>
      </c>
      <c r="H8" s="44" t="s">
        <v>172</v>
      </c>
      <c r="I8" s="47" t="s">
        <v>96</v>
      </c>
      <c r="J8" s="48">
        <v>10000.0</v>
      </c>
    </row>
    <row r="9" spans="8:8">
      <c r="A9" s="42">
        <v>46209.0</v>
      </c>
      <c r="B9" s="43" t="s">
        <v>65</v>
      </c>
      <c r="C9" s="43" t="s">
        <v>18</v>
      </c>
      <c r="D9" s="44" t="s">
        <v>17</v>
      </c>
      <c r="E9" s="44" t="s">
        <v>56</v>
      </c>
      <c r="F9" s="45">
        <v>1000.0</v>
      </c>
      <c r="G9" s="45">
        <v>25500.0</v>
      </c>
      <c r="H9" s="44" t="s">
        <v>172</v>
      </c>
      <c r="I9" s="47" t="s">
        <v>114</v>
      </c>
      <c r="J9" s="48">
        <v>100000.0</v>
      </c>
    </row>
    <row r="10" spans="8:8">
      <c r="A10" s="42">
        <v>46209.0</v>
      </c>
      <c r="B10" s="43" t="s">
        <v>57</v>
      </c>
      <c r="C10" s="43" t="s">
        <v>173</v>
      </c>
      <c r="D10" s="44" t="s">
        <v>67</v>
      </c>
      <c r="E10" s="44" t="s">
        <v>56</v>
      </c>
      <c r="F10" s="45">
        <v>5400.0</v>
      </c>
      <c r="G10" s="45">
        <v>30900.0</v>
      </c>
      <c r="H10" s="44" t="s">
        <v>172</v>
      </c>
      <c r="I10" s="47" t="s">
        <v>113</v>
      </c>
      <c r="J10" s="48">
        <v>4000.0</v>
      </c>
    </row>
    <row r="11" spans="8:8">
      <c r="A11" s="42">
        <v>46211.0</v>
      </c>
      <c r="B11" s="43" t="s">
        <v>57</v>
      </c>
      <c r="C11" s="43" t="s">
        <v>139</v>
      </c>
      <c r="D11" s="44" t="s">
        <v>71</v>
      </c>
      <c r="E11" s="44" t="s">
        <v>56</v>
      </c>
      <c r="F11" s="45">
        <v>10000.0</v>
      </c>
      <c r="G11" s="45">
        <v>40900.0</v>
      </c>
      <c r="H11" s="44" t="s">
        <v>172</v>
      </c>
      <c r="I11" s="47" t="s">
        <v>62</v>
      </c>
      <c r="J11" s="48">
        <v>96749.0</v>
      </c>
    </row>
    <row r="12" spans="8:8">
      <c r="A12" s="42">
        <v>46211.0</v>
      </c>
      <c r="B12" s="43" t="s">
        <v>57</v>
      </c>
      <c r="C12" s="43" t="s">
        <v>140</v>
      </c>
      <c r="D12" s="44" t="s">
        <v>73</v>
      </c>
      <c r="E12" s="44" t="s">
        <v>56</v>
      </c>
      <c r="F12" s="45">
        <v>10000.0</v>
      </c>
      <c r="G12" s="45">
        <v>50900.0</v>
      </c>
      <c r="H12" s="44" t="s">
        <v>172</v>
      </c>
      <c r="I12" s="47" t="s">
        <v>63</v>
      </c>
      <c r="J12" s="48">
        <v>5200.0</v>
      </c>
    </row>
    <row r="13" spans="8:8">
      <c r="A13" s="42">
        <v>46214.0</v>
      </c>
      <c r="B13" s="43" t="s">
        <v>57</v>
      </c>
      <c r="C13" s="43" t="s">
        <v>143</v>
      </c>
      <c r="D13" s="44" t="s">
        <v>78</v>
      </c>
      <c r="E13" s="44" t="s">
        <v>56</v>
      </c>
      <c r="F13" s="45">
        <v>61000.0</v>
      </c>
      <c r="G13" s="45">
        <v>111900.0</v>
      </c>
      <c r="H13" s="44" t="s">
        <v>172</v>
      </c>
      <c r="I13" s="47" t="s">
        <v>80</v>
      </c>
      <c r="J13" s="48">
        <v>11000.0</v>
      </c>
    </row>
    <row r="14" spans="8:8">
      <c r="A14" s="42">
        <v>46217.0</v>
      </c>
      <c r="B14" s="43" t="s">
        <v>65</v>
      </c>
      <c r="C14" s="43"/>
      <c r="D14" s="44" t="s">
        <v>83</v>
      </c>
      <c r="E14" s="44" t="s">
        <v>56</v>
      </c>
      <c r="F14" s="45">
        <v>1000.0</v>
      </c>
      <c r="G14" s="45">
        <v>112900.0</v>
      </c>
      <c r="H14" s="44" t="s">
        <v>172</v>
      </c>
      <c r="I14" s="47" t="s">
        <v>103</v>
      </c>
      <c r="J14" s="48">
        <v>255000.0</v>
      </c>
    </row>
    <row r="15" spans="8:8">
      <c r="A15" s="42">
        <v>46220.0</v>
      </c>
      <c r="B15" s="43" t="s">
        <v>57</v>
      </c>
      <c r="C15" s="43" t="s">
        <v>145</v>
      </c>
      <c r="D15" s="44" t="s">
        <v>86</v>
      </c>
      <c r="E15" s="44" t="s">
        <v>56</v>
      </c>
      <c r="F15" s="45">
        <v>24700.0</v>
      </c>
      <c r="G15" s="45">
        <v>137600.0</v>
      </c>
      <c r="H15" s="44" t="s">
        <v>172</v>
      </c>
      <c r="I15" s="47" t="s">
        <v>65</v>
      </c>
      <c r="J15" s="48">
        <v>3000.0</v>
      </c>
    </row>
    <row r="16" spans="8:8">
      <c r="A16" s="42">
        <v>46220.0</v>
      </c>
      <c r="B16" s="43" t="s">
        <v>57</v>
      </c>
      <c r="C16" s="43" t="s">
        <v>174</v>
      </c>
      <c r="D16" s="44" t="s">
        <v>88</v>
      </c>
      <c r="E16" s="44" t="s">
        <v>56</v>
      </c>
      <c r="F16" s="45">
        <v>5000.0</v>
      </c>
      <c r="G16" s="45">
        <v>142600.0</v>
      </c>
      <c r="H16" s="44" t="s">
        <v>172</v>
      </c>
      <c r="I16" s="47" t="s">
        <v>57</v>
      </c>
      <c r="J16" s="48">
        <v>265500.0</v>
      </c>
    </row>
    <row r="17" spans="8:8">
      <c r="A17" s="42">
        <v>46221.0</v>
      </c>
      <c r="B17" s="43" t="s">
        <v>63</v>
      </c>
      <c r="C17" s="43" t="s">
        <v>175</v>
      </c>
      <c r="D17" s="44" t="s">
        <v>9</v>
      </c>
      <c r="E17" s="44" t="s">
        <v>56</v>
      </c>
      <c r="F17" s="45">
        <v>5200.0</v>
      </c>
      <c r="G17" s="45">
        <v>147800.0</v>
      </c>
      <c r="H17" s="44" t="s">
        <v>172</v>
      </c>
      <c r="I17" s="47" t="s">
        <v>105</v>
      </c>
      <c r="J17" s="48">
        <v>40000.0</v>
      </c>
    </row>
    <row r="18" spans="8:8">
      <c r="A18" s="42">
        <v>46223.0</v>
      </c>
      <c r="B18" s="43" t="s">
        <v>57</v>
      </c>
      <c r="C18" s="43" t="s">
        <v>147</v>
      </c>
      <c r="D18" s="44" t="s">
        <v>91</v>
      </c>
      <c r="E18" s="44" t="s">
        <v>56</v>
      </c>
      <c r="F18" s="45">
        <v>21000.0</v>
      </c>
      <c r="G18" s="45">
        <v>168800.0</v>
      </c>
      <c r="H18" s="44" t="s">
        <v>172</v>
      </c>
      <c r="I18" s="47" t="s">
        <v>208</v>
      </c>
      <c r="J18" s="48">
        <v>790449.0</v>
      </c>
    </row>
    <row r="19" spans="8:8">
      <c r="A19" s="42">
        <v>46225.0</v>
      </c>
      <c r="B19" s="43" t="s">
        <v>57</v>
      </c>
      <c r="C19" s="43" t="s">
        <v>176</v>
      </c>
      <c r="D19" s="44" t="s">
        <v>94</v>
      </c>
      <c r="E19" s="44" t="s">
        <v>56</v>
      </c>
      <c r="F19" s="45">
        <v>3700.0</v>
      </c>
      <c r="G19" s="45">
        <v>172500.0</v>
      </c>
      <c r="H19" s="44" t="s">
        <v>172</v>
      </c>
    </row>
    <row r="20" spans="8:8">
      <c r="A20" s="42">
        <v>46225.0</v>
      </c>
      <c r="B20" s="43" t="s">
        <v>96</v>
      </c>
      <c r="C20" s="43" t="s">
        <v>41</v>
      </c>
      <c r="D20" s="44" t="s">
        <v>42</v>
      </c>
      <c r="E20" s="44" t="s">
        <v>56</v>
      </c>
      <c r="F20" s="45">
        <v>5000.0</v>
      </c>
      <c r="G20" s="45">
        <v>177500.0</v>
      </c>
      <c r="H20" s="44" t="s">
        <v>172</v>
      </c>
    </row>
    <row r="21" spans="8:8">
      <c r="A21" s="42">
        <v>46228.0</v>
      </c>
      <c r="B21" s="43" t="s">
        <v>57</v>
      </c>
      <c r="C21" s="43" t="s">
        <v>149</v>
      </c>
      <c r="D21" s="44" t="s">
        <v>99</v>
      </c>
      <c r="E21" s="44" t="s">
        <v>56</v>
      </c>
      <c r="F21" s="45">
        <v>4000.0</v>
      </c>
      <c r="G21" s="45">
        <v>181500.0</v>
      </c>
      <c r="H21" s="44" t="s">
        <v>172</v>
      </c>
    </row>
    <row r="22" spans="8:8">
      <c r="A22" s="42">
        <v>46230.0</v>
      </c>
      <c r="B22" s="43" t="s">
        <v>65</v>
      </c>
      <c r="C22" s="43" t="s">
        <v>18</v>
      </c>
      <c r="D22" s="44" t="s">
        <v>19</v>
      </c>
      <c r="E22" s="44" t="s">
        <v>56</v>
      </c>
      <c r="F22" s="45">
        <v>1000.0</v>
      </c>
      <c r="G22" s="45">
        <v>182500.0</v>
      </c>
      <c r="H22" s="44" t="s">
        <v>172</v>
      </c>
    </row>
    <row r="23" spans="8:8">
      <c r="A23" s="42">
        <v>46230.0</v>
      </c>
      <c r="B23" s="43" t="s">
        <v>57</v>
      </c>
      <c r="C23" s="43" t="s">
        <v>150</v>
      </c>
      <c r="D23" s="44" t="s">
        <v>101</v>
      </c>
      <c r="E23" s="44" t="s">
        <v>56</v>
      </c>
      <c r="F23" s="45">
        <v>7000.0</v>
      </c>
      <c r="G23" s="45">
        <v>189500.0</v>
      </c>
      <c r="H23" s="44" t="s">
        <v>172</v>
      </c>
    </row>
    <row r="24" spans="8:8">
      <c r="A24" s="42">
        <v>46231.0</v>
      </c>
      <c r="B24" s="43" t="s">
        <v>103</v>
      </c>
      <c r="C24" s="43" t="s">
        <v>177</v>
      </c>
      <c r="D24" s="44" t="s">
        <v>40</v>
      </c>
      <c r="E24" s="44" t="s">
        <v>56</v>
      </c>
      <c r="F24" s="45">
        <v>250000.0</v>
      </c>
      <c r="G24" s="45">
        <v>439500.0</v>
      </c>
      <c r="H24" s="44" t="s">
        <v>172</v>
      </c>
    </row>
    <row r="25" spans="8:8">
      <c r="A25" s="42">
        <v>46231.0</v>
      </c>
      <c r="B25" s="43" t="s">
        <v>105</v>
      </c>
      <c r="C25" s="43" t="s">
        <v>151</v>
      </c>
      <c r="D25" s="44" t="s">
        <v>106</v>
      </c>
      <c r="E25" s="44" t="s">
        <v>56</v>
      </c>
      <c r="F25" s="45">
        <v>40000.0</v>
      </c>
      <c r="G25" s="45">
        <v>479500.0</v>
      </c>
      <c r="H25" s="44" t="s">
        <v>172</v>
      </c>
    </row>
    <row r="26" spans="8:8">
      <c r="A26" s="42">
        <v>46231.0</v>
      </c>
      <c r="B26" s="43" t="s">
        <v>57</v>
      </c>
      <c r="C26" s="43" t="s">
        <v>152</v>
      </c>
      <c r="D26" s="44" t="s">
        <v>108</v>
      </c>
      <c r="E26" s="44" t="s">
        <v>56</v>
      </c>
      <c r="F26" s="45">
        <v>10000.0</v>
      </c>
      <c r="G26" s="45">
        <v>489500.0</v>
      </c>
      <c r="H26" s="44" t="s">
        <v>172</v>
      </c>
    </row>
    <row r="27" spans="8:8">
      <c r="A27" s="42">
        <v>46231.0</v>
      </c>
      <c r="B27" s="43" t="s">
        <v>96</v>
      </c>
      <c r="C27" s="43" t="s">
        <v>43</v>
      </c>
      <c r="D27" s="44" t="s">
        <v>44</v>
      </c>
      <c r="E27" s="44" t="s">
        <v>56</v>
      </c>
      <c r="F27" s="45">
        <v>5000.0</v>
      </c>
      <c r="G27" s="45">
        <v>494500.0</v>
      </c>
      <c r="H27" s="44" t="s">
        <v>172</v>
      </c>
    </row>
    <row r="28" spans="8:8">
      <c r="A28" s="42">
        <v>46231.0</v>
      </c>
      <c r="B28" s="43" t="s">
        <v>57</v>
      </c>
      <c r="C28" s="43" t="s">
        <v>153</v>
      </c>
      <c r="D28" s="44" t="s">
        <v>111</v>
      </c>
      <c r="E28" s="44" t="s">
        <v>56</v>
      </c>
      <c r="F28" s="45">
        <v>6400.0</v>
      </c>
      <c r="G28" s="45">
        <v>500900.0</v>
      </c>
      <c r="H28" s="44" t="s">
        <v>172</v>
      </c>
    </row>
    <row r="29" spans="8:8">
      <c r="A29" s="42">
        <v>46231.0</v>
      </c>
      <c r="B29" s="43" t="s">
        <v>113</v>
      </c>
      <c r="C29" s="43"/>
      <c r="D29" s="44" t="s">
        <v>45</v>
      </c>
      <c r="E29" s="44" t="s">
        <v>56</v>
      </c>
      <c r="F29" s="45">
        <v>4000.0</v>
      </c>
      <c r="G29" s="45">
        <v>504900.0</v>
      </c>
      <c r="H29" s="44" t="s">
        <v>172</v>
      </c>
    </row>
    <row r="30" spans="8:8">
      <c r="A30" s="42">
        <v>46231.0</v>
      </c>
      <c r="B30" s="43" t="s">
        <v>114</v>
      </c>
      <c r="C30" s="43" t="s">
        <v>178</v>
      </c>
      <c r="D30" s="44" t="s">
        <v>21</v>
      </c>
      <c r="E30" s="44" t="s">
        <v>56</v>
      </c>
      <c r="F30" s="45">
        <v>50000.0</v>
      </c>
      <c r="G30" s="45">
        <v>554900.0</v>
      </c>
      <c r="H30" s="44" t="s">
        <v>172</v>
      </c>
    </row>
    <row r="31" spans="8:8">
      <c r="A31" s="42">
        <v>46232.0</v>
      </c>
      <c r="B31" s="43" t="s">
        <v>57</v>
      </c>
      <c r="C31" s="43" t="s">
        <v>154</v>
      </c>
      <c r="D31" s="44" t="s">
        <v>116</v>
      </c>
      <c r="E31" s="44" t="s">
        <v>56</v>
      </c>
      <c r="F31" s="45">
        <v>20000.0</v>
      </c>
      <c r="G31" s="45">
        <v>574900.0</v>
      </c>
      <c r="H31" s="44" t="s">
        <v>172</v>
      </c>
    </row>
    <row r="32" spans="8:8">
      <c r="A32" s="42">
        <v>46232.0</v>
      </c>
      <c r="B32" s="43" t="s">
        <v>57</v>
      </c>
      <c r="C32" s="43" t="s">
        <v>155</v>
      </c>
      <c r="D32" s="44" t="s">
        <v>118</v>
      </c>
      <c r="E32" s="44" t="s">
        <v>56</v>
      </c>
      <c r="F32" s="45">
        <v>9000.0</v>
      </c>
      <c r="G32" s="45">
        <v>583900.0</v>
      </c>
      <c r="H32" s="44" t="s">
        <v>172</v>
      </c>
    </row>
    <row r="33" spans="8:8">
      <c r="A33" s="42">
        <v>46232.0</v>
      </c>
      <c r="B33" s="43" t="s">
        <v>57</v>
      </c>
      <c r="C33" s="43" t="s">
        <v>156</v>
      </c>
      <c r="D33" s="44" t="s">
        <v>120</v>
      </c>
      <c r="E33" s="44" t="s">
        <v>56</v>
      </c>
      <c r="F33" s="45">
        <v>600.0</v>
      </c>
      <c r="G33" s="45">
        <v>584500.0</v>
      </c>
      <c r="H33" s="44" t="s">
        <v>172</v>
      </c>
    </row>
    <row r="34" spans="8:8">
      <c r="A34" s="42">
        <v>46232.0</v>
      </c>
      <c r="B34" s="43" t="s">
        <v>57</v>
      </c>
      <c r="C34" s="43" t="s">
        <v>157</v>
      </c>
      <c r="D34" s="44" t="s">
        <v>122</v>
      </c>
      <c r="E34" s="44" t="s">
        <v>56</v>
      </c>
      <c r="F34" s="45">
        <v>8000.0</v>
      </c>
      <c r="G34" s="45">
        <v>592500.0</v>
      </c>
      <c r="H34" s="44" t="s">
        <v>172</v>
      </c>
    </row>
    <row r="35" spans="8:8">
      <c r="A35" s="42">
        <v>46232.0</v>
      </c>
      <c r="B35" s="43" t="s">
        <v>57</v>
      </c>
      <c r="C35" s="43" t="s">
        <v>179</v>
      </c>
      <c r="D35" s="44" t="s">
        <v>124</v>
      </c>
      <c r="E35" s="44" t="s">
        <v>56</v>
      </c>
      <c r="F35" s="45">
        <v>1000.0</v>
      </c>
      <c r="G35" s="45">
        <v>593500.0</v>
      </c>
      <c r="H35" s="44" t="s">
        <v>172</v>
      </c>
    </row>
    <row r="36" spans="8:8">
      <c r="A36" s="42">
        <v>46232.0</v>
      </c>
      <c r="B36" s="43" t="s">
        <v>80</v>
      </c>
      <c r="C36" s="43" t="s">
        <v>27</v>
      </c>
      <c r="D36" s="44" t="s">
        <v>28</v>
      </c>
      <c r="E36" s="44" t="s">
        <v>56</v>
      </c>
      <c r="F36" s="45">
        <v>8000.0</v>
      </c>
      <c r="G36" s="45">
        <v>601500.0</v>
      </c>
      <c r="H36" s="44" t="s">
        <v>172</v>
      </c>
    </row>
    <row r="37" spans="8:8">
      <c r="A37" s="42">
        <v>46233.0</v>
      </c>
      <c r="B37" s="43" t="s">
        <v>57</v>
      </c>
      <c r="C37" s="43" t="s">
        <v>180</v>
      </c>
      <c r="D37" s="44" t="s">
        <v>126</v>
      </c>
      <c r="E37" s="44" t="s">
        <v>56</v>
      </c>
      <c r="F37" s="45">
        <v>1700.0</v>
      </c>
      <c r="G37" s="45">
        <v>603200.0</v>
      </c>
      <c r="H37" s="44" t="s">
        <v>172</v>
      </c>
    </row>
    <row r="38" spans="8:8">
      <c r="A38" s="42">
        <v>46234.0</v>
      </c>
      <c r="B38" s="43" t="s">
        <v>80</v>
      </c>
      <c r="C38" s="43" t="s">
        <v>29</v>
      </c>
      <c r="D38" s="44" t="s">
        <v>30</v>
      </c>
      <c r="E38" s="44" t="s">
        <v>56</v>
      </c>
      <c r="F38" s="45">
        <v>3000.0</v>
      </c>
      <c r="G38" s="45">
        <v>606200.0</v>
      </c>
      <c r="H38" s="44" t="s">
        <v>172</v>
      </c>
    </row>
    <row r="39" spans="8:8">
      <c r="A39" s="42">
        <v>46234.0</v>
      </c>
      <c r="B39" s="43" t="s">
        <v>62</v>
      </c>
      <c r="C39" s="43" t="s">
        <v>174</v>
      </c>
      <c r="D39" s="44" t="s">
        <v>38</v>
      </c>
      <c r="E39" s="44" t="s">
        <v>56</v>
      </c>
      <c r="F39" s="45">
        <v>96749.0</v>
      </c>
      <c r="G39" s="45">
        <v>702949.0</v>
      </c>
      <c r="H39" s="44" t="s">
        <v>172</v>
      </c>
    </row>
    <row r="40" spans="8:8">
      <c r="A40" s="42">
        <v>46234.0</v>
      </c>
      <c r="B40" s="43" t="s">
        <v>103</v>
      </c>
      <c r="C40" s="43"/>
      <c r="D40" s="44" t="s">
        <v>129</v>
      </c>
      <c r="E40" s="44" t="s">
        <v>56</v>
      </c>
      <c r="F40" s="45">
        <v>5000.0</v>
      </c>
      <c r="G40" s="45">
        <v>707949.0</v>
      </c>
      <c r="H40" s="44" t="s">
        <v>172</v>
      </c>
    </row>
    <row r="41" spans="8:8" ht="29.0">
      <c r="A41" s="42">
        <v>46234.0</v>
      </c>
      <c r="B41" s="43" t="s">
        <v>57</v>
      </c>
      <c r="C41" s="43" t="s">
        <v>181</v>
      </c>
      <c r="D41" s="44" t="s">
        <v>130</v>
      </c>
      <c r="E41" s="44" t="s">
        <v>56</v>
      </c>
      <c r="F41" s="45">
        <v>32500.0</v>
      </c>
      <c r="G41" s="45">
        <v>740449.0</v>
      </c>
      <c r="H41" s="44" t="s">
        <v>172</v>
      </c>
    </row>
    <row r="42" spans="8:8">
      <c r="A42" s="42">
        <v>46234.0</v>
      </c>
      <c r="B42" s="43" t="s">
        <v>114</v>
      </c>
      <c r="C42" s="43" t="s">
        <v>182</v>
      </c>
      <c r="D42" s="44" t="s">
        <v>23</v>
      </c>
      <c r="E42" s="44" t="s">
        <v>56</v>
      </c>
      <c r="F42" s="45">
        <v>50000.0</v>
      </c>
      <c r="G42" s="45">
        <v>790449.0</v>
      </c>
      <c r="H42" s="44" t="s">
        <v>172</v>
      </c>
    </row>
    <row r="43" spans="8:8">
      <c r="A43" s="49" t="s">
        <v>183</v>
      </c>
      <c r="B43" s="49"/>
      <c r="C43" s="49"/>
      <c r="D43" s="49"/>
      <c r="E43" s="49"/>
      <c r="F43" s="50">
        <f>SUM(F7:F42)</f>
        <v>790449.0</v>
      </c>
      <c r="G43" s="49"/>
      <c r="H43" s="49"/>
    </row>
    <row r="46" spans="8:8" ht="18.5">
      <c r="A46" s="51" t="s">
        <v>184</v>
      </c>
    </row>
    <row r="47" spans="8:8">
      <c r="A47" s="52" t="s">
        <v>166</v>
      </c>
      <c r="B47" s="52" t="s">
        <v>169</v>
      </c>
      <c r="C47" s="52" t="s">
        <v>185</v>
      </c>
    </row>
    <row r="48" spans="8:8">
      <c r="A48" s="22" t="s">
        <v>57</v>
      </c>
      <c r="B48" s="53">
        <v>265500.0</v>
      </c>
      <c r="C48" s="54">
        <v>0.3358850476121799</v>
      </c>
    </row>
    <row r="49" spans="8:8">
      <c r="A49" s="22" t="s">
        <v>103</v>
      </c>
      <c r="B49" s="53">
        <v>255000.0</v>
      </c>
      <c r="C49" s="54">
        <v>0.3226014581585909</v>
      </c>
    </row>
    <row r="50" spans="8:8">
      <c r="A50" s="22" t="s">
        <v>114</v>
      </c>
      <c r="B50" s="53">
        <v>100000.0</v>
      </c>
      <c r="C50" s="54">
        <v>0.126510375748467</v>
      </c>
    </row>
    <row r="51" spans="8:8">
      <c r="A51" s="22" t="s">
        <v>62</v>
      </c>
      <c r="B51" s="53">
        <v>96749.0</v>
      </c>
      <c r="C51" s="54">
        <v>0.1223975234328843</v>
      </c>
    </row>
    <row r="52" spans="8:8">
      <c r="A52" s="22" t="s">
        <v>105</v>
      </c>
      <c r="B52" s="53">
        <v>40000.0</v>
      </c>
      <c r="C52" s="54">
        <v>0.05060415029938681</v>
      </c>
    </row>
    <row r="53" spans="8:8">
      <c r="A53" s="22" t="s">
        <v>80</v>
      </c>
      <c r="B53" s="53">
        <v>11000.0</v>
      </c>
      <c r="C53" s="54">
        <v>0.01391614133233137</v>
      </c>
    </row>
    <row r="54" spans="8:8">
      <c r="A54" s="22" t="s">
        <v>96</v>
      </c>
      <c r="B54" s="53">
        <v>10000.0</v>
      </c>
      <c r="C54" s="54">
        <v>0.0126510375748467</v>
      </c>
    </row>
    <row r="55" spans="8:8">
      <c r="A55" s="22" t="s">
        <v>63</v>
      </c>
      <c r="B55" s="53">
        <v>5200.0</v>
      </c>
      <c r="C55" s="54">
        <v>0.006578539538920285</v>
      </c>
    </row>
    <row r="56" spans="8:8">
      <c r="A56" s="22" t="s">
        <v>113</v>
      </c>
      <c r="B56" s="53">
        <v>4000.0</v>
      </c>
      <c r="C56" s="54">
        <v>0.00506041502993868</v>
      </c>
    </row>
    <row r="57" spans="8:8">
      <c r="A57" s="22" t="s">
        <v>65</v>
      </c>
      <c r="B57" s="53">
        <v>3000.0</v>
      </c>
      <c r="C57" s="54">
        <v>0.00379531127245401</v>
      </c>
    </row>
    <row r="60" spans="8:8">
      <c r="A60" s="55" t="s">
        <v>186</v>
      </c>
      <c r="B60" s="37"/>
      <c r="C60" s="37"/>
      <c r="D60" s="37"/>
      <c r="E60" s="37"/>
      <c r="F60" s="37"/>
      <c r="G60" s="37"/>
      <c r="H60" s="37"/>
    </row>
  </sheetData>
  <mergeCells count="6">
    <mergeCell ref="E3:F4"/>
    <mergeCell ref="A60:H60"/>
    <mergeCell ref="A2:H2"/>
    <mergeCell ref="A1:H1"/>
    <mergeCell ref="C3:D4"/>
    <mergeCell ref="A3:B4"/>
  </mergeCells>
  <pageMargins left="0.75" right="0.75" top="1.0" bottom="1.0" header="0.5" footer="0.5"/>
  <tableParts count="1"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dimension ref="A1:K37"/>
  <sheetViews>
    <sheetView tabSelected="1" workbookViewId="0" topLeftCell="B1" showGridLines="0">
      <pane ySplit="5" topLeftCell="A7" state="frozen" activePane="bottomLeft"/>
      <selection pane="bottomLeft" activeCell="C25" sqref="C25"/>
    </sheetView>
  </sheetViews>
  <sheetFormatPr defaultRowHeight="14.5" defaultColWidth="10"/>
  <cols>
    <col min="1" max="1" customWidth="1" bestFit="1" width="25.0" style="1"/>
    <col min="2" max="2" customWidth="1" bestFit="1" width="18.816406" style="1"/>
    <col min="3" max="3" customWidth="1" bestFit="1" width="50.453125" style="1"/>
    <col min="4" max="4" customWidth="1" bestFit="1" width="15.7265625" style="1"/>
    <col min="5" max="5" customWidth="1" bestFit="1" width="17.269531" style="1"/>
    <col min="6" max="6" customWidth="1" bestFit="1" width="12.1796875" style="1"/>
    <col min="7" max="7" customWidth="1" bestFit="1" width="16.90625" style="1"/>
    <col min="8" max="8" customWidth="1" bestFit="1" width="11.0" style="1"/>
    <col min="9" max="9" customWidth="1" bestFit="1" width="18.816406" style="0"/>
    <col min="10" max="10" customWidth="1" bestFit="1" width="14.0" style="0"/>
  </cols>
  <sheetData>
    <row r="1" spans="8:8" ht="32.0" customHeight="1">
      <c r="A1" s="36" t="s">
        <v>7</v>
      </c>
      <c r="B1" s="37"/>
      <c r="C1" s="37"/>
      <c r="D1" s="37"/>
      <c r="E1" s="37"/>
      <c r="F1" s="37"/>
      <c r="G1" s="37"/>
      <c r="H1" s="37"/>
    </row>
    <row r="2" spans="8:8">
      <c r="A2" s="38" t="s">
        <v>187</v>
      </c>
      <c r="B2" s="37"/>
      <c r="C2" s="37"/>
      <c r="D2" s="37"/>
      <c r="E2" s="37"/>
      <c r="F2" s="37"/>
      <c r="G2" s="37"/>
      <c r="H2" s="37"/>
    </row>
    <row r="3" spans="8:8">
      <c r="A3" s="39" t="s">
        <v>188</v>
      </c>
      <c r="B3" s="40"/>
      <c r="C3" s="39" t="s">
        <v>189</v>
      </c>
      <c r="D3" s="40"/>
      <c r="E3" s="39" t="s">
        <v>190</v>
      </c>
      <c r="F3" s="40"/>
    </row>
    <row r="4" spans="8:8">
      <c r="A4" s="40"/>
      <c r="B4" s="40"/>
      <c r="C4" s="40"/>
      <c r="D4" s="40"/>
      <c r="E4" s="40"/>
      <c r="F4" s="40"/>
    </row>
    <row r="6" spans="8:8">
      <c r="A6" s="56" t="s">
        <v>0</v>
      </c>
      <c r="B6" s="56" t="s">
        <v>166</v>
      </c>
      <c r="C6" s="56" t="s">
        <v>1</v>
      </c>
      <c r="D6" s="56" t="s">
        <v>167</v>
      </c>
      <c r="E6" s="56" t="s">
        <v>168</v>
      </c>
      <c r="F6" s="56" t="s">
        <v>169</v>
      </c>
      <c r="G6" s="56" t="s">
        <v>170</v>
      </c>
      <c r="H6" s="56" t="s">
        <v>171</v>
      </c>
      <c r="I6" s="46" t="s">
        <v>207</v>
      </c>
      <c r="J6" t="s">
        <v>209</v>
      </c>
    </row>
    <row r="7" spans="8:8">
      <c r="A7" s="57">
        <v>46206.0</v>
      </c>
      <c r="B7" s="58" t="s">
        <v>57</v>
      </c>
      <c r="C7" s="58" t="s">
        <v>191</v>
      </c>
      <c r="D7" s="59" t="s">
        <v>60</v>
      </c>
      <c r="E7" s="59" t="s">
        <v>56</v>
      </c>
      <c r="F7" s="60">
        <v>190000.0</v>
      </c>
      <c r="G7" s="60">
        <v>190000.0</v>
      </c>
      <c r="H7" s="59" t="s">
        <v>172</v>
      </c>
      <c r="I7" s="47" t="s">
        <v>62</v>
      </c>
      <c r="J7" s="61">
        <v>352095.0</v>
      </c>
    </row>
    <row r="8" spans="8:8">
      <c r="A8" s="57">
        <v>46209.0</v>
      </c>
      <c r="B8" s="58" t="s">
        <v>62</v>
      </c>
      <c r="C8" s="58"/>
      <c r="D8" s="59" t="s">
        <v>32</v>
      </c>
      <c r="E8" s="59" t="s">
        <v>56</v>
      </c>
      <c r="F8" s="60">
        <v>93665.0</v>
      </c>
      <c r="G8" s="60">
        <v>283665.0</v>
      </c>
      <c r="H8" s="59" t="s">
        <v>172</v>
      </c>
      <c r="I8" s="47" t="s">
        <v>63</v>
      </c>
      <c r="J8" s="61">
        <v>88070.0</v>
      </c>
    </row>
    <row r="9" spans="8:8">
      <c r="A9" s="57">
        <v>46209.0</v>
      </c>
      <c r="B9" s="58" t="s">
        <v>63</v>
      </c>
      <c r="C9" s="58" t="s">
        <v>5</v>
      </c>
      <c r="D9" s="59" t="s">
        <v>6</v>
      </c>
      <c r="E9" s="59" t="s">
        <v>56</v>
      </c>
      <c r="F9" s="60">
        <v>45870.0</v>
      </c>
      <c r="G9" s="60">
        <v>329535.0</v>
      </c>
      <c r="H9" s="59" t="s">
        <v>172</v>
      </c>
      <c r="I9" s="47" t="s">
        <v>93</v>
      </c>
      <c r="J9" s="61">
        <v>19425.0</v>
      </c>
    </row>
    <row r="10" spans="8:8">
      <c r="A10" s="57">
        <v>46211.0</v>
      </c>
      <c r="B10" s="58" t="s">
        <v>57</v>
      </c>
      <c r="C10" s="58" t="s">
        <v>138</v>
      </c>
      <c r="D10" s="59" t="s">
        <v>69</v>
      </c>
      <c r="E10" s="59" t="s">
        <v>56</v>
      </c>
      <c r="F10" s="60">
        <v>100000.0</v>
      </c>
      <c r="G10" s="60">
        <v>429535.0</v>
      </c>
      <c r="H10" s="59" t="s">
        <v>172</v>
      </c>
      <c r="I10" s="47" t="s">
        <v>80</v>
      </c>
      <c r="J10" s="61">
        <v>157910.0</v>
      </c>
    </row>
    <row r="11" spans="8:8">
      <c r="A11" s="57">
        <v>46212.0</v>
      </c>
      <c r="B11" s="58" t="s">
        <v>57</v>
      </c>
      <c r="C11" s="58" t="s">
        <v>141</v>
      </c>
      <c r="D11" s="59" t="s">
        <v>73</v>
      </c>
      <c r="E11" s="59" t="s">
        <v>56</v>
      </c>
      <c r="F11" s="60">
        <v>125000.0</v>
      </c>
      <c r="G11" s="60">
        <v>554535.0</v>
      </c>
      <c r="H11" s="59" t="s">
        <v>172</v>
      </c>
      <c r="I11" s="47" t="s">
        <v>57</v>
      </c>
      <c r="J11" s="61">
        <v>606500.0</v>
      </c>
    </row>
    <row r="12" spans="8:8" ht="29.0">
      <c r="A12" s="57">
        <v>46213.0</v>
      </c>
      <c r="B12" s="58" t="s">
        <v>57</v>
      </c>
      <c r="C12" s="58" t="s">
        <v>192</v>
      </c>
      <c r="D12" s="59" t="s">
        <v>76</v>
      </c>
      <c r="E12" s="59" t="s">
        <v>56</v>
      </c>
      <c r="F12" s="60">
        <v>31500.0</v>
      </c>
      <c r="G12" s="60">
        <v>586035.0</v>
      </c>
      <c r="H12" s="59" t="s">
        <v>172</v>
      </c>
      <c r="I12" s="47" t="s">
        <v>208</v>
      </c>
      <c r="J12" s="61">
        <v>1224000.0</v>
      </c>
    </row>
    <row r="13" spans="8:8">
      <c r="A13" s="57">
        <v>46216.0</v>
      </c>
      <c r="B13" s="58" t="s">
        <v>80</v>
      </c>
      <c r="C13" s="58" t="s">
        <v>5</v>
      </c>
      <c r="D13" s="59" t="s">
        <v>24</v>
      </c>
      <c r="E13" s="59" t="s">
        <v>56</v>
      </c>
      <c r="F13" s="60">
        <v>45270.0</v>
      </c>
      <c r="G13" s="60">
        <v>631305.0</v>
      </c>
      <c r="H13" s="59" t="s">
        <v>172</v>
      </c>
    </row>
    <row r="14" spans="8:8">
      <c r="A14" s="57">
        <v>46217.0</v>
      </c>
      <c r="B14" s="58" t="s">
        <v>57</v>
      </c>
      <c r="C14" s="58" t="s">
        <v>193</v>
      </c>
      <c r="D14" s="59" t="s">
        <v>81</v>
      </c>
      <c r="E14" s="59" t="s">
        <v>56</v>
      </c>
      <c r="F14" s="60">
        <v>10000.0</v>
      </c>
      <c r="G14" s="60">
        <v>641305.0</v>
      </c>
      <c r="H14" s="59" t="s">
        <v>172</v>
      </c>
    </row>
    <row r="15" spans="8:8">
      <c r="A15" s="57">
        <v>46218.0</v>
      </c>
      <c r="B15" s="58" t="s">
        <v>62</v>
      </c>
      <c r="C15" s="58" t="s">
        <v>194</v>
      </c>
      <c r="D15" s="59" t="s">
        <v>34</v>
      </c>
      <c r="E15" s="59" t="s">
        <v>56</v>
      </c>
      <c r="F15" s="60">
        <v>38000.0</v>
      </c>
      <c r="G15" s="60">
        <v>679305.0</v>
      </c>
      <c r="H15" s="59" t="s">
        <v>172</v>
      </c>
    </row>
    <row r="16" spans="8:8">
      <c r="A16" s="57">
        <v>46219.0</v>
      </c>
      <c r="B16" s="58" t="s">
        <v>62</v>
      </c>
      <c r="C16" s="58"/>
      <c r="D16" s="59" t="s">
        <v>35</v>
      </c>
      <c r="E16" s="59" t="s">
        <v>56</v>
      </c>
      <c r="F16" s="60">
        <v>91745.0</v>
      </c>
      <c r="G16" s="60">
        <v>771050.0</v>
      </c>
      <c r="H16" s="59" t="s">
        <v>172</v>
      </c>
    </row>
    <row r="17" spans="8:8">
      <c r="A17" s="57">
        <v>46224.0</v>
      </c>
      <c r="B17" s="58" t="s">
        <v>80</v>
      </c>
      <c r="C17" s="58" t="s">
        <v>5</v>
      </c>
      <c r="D17" s="59" t="s">
        <v>25</v>
      </c>
      <c r="E17" s="59" t="s">
        <v>56</v>
      </c>
      <c r="F17" s="60">
        <v>32000.0</v>
      </c>
      <c r="G17" s="60">
        <v>803050.0</v>
      </c>
      <c r="H17" s="59" t="s">
        <v>172</v>
      </c>
    </row>
    <row r="18" spans="8:8">
      <c r="A18" s="57">
        <v>46225.0</v>
      </c>
      <c r="B18" s="58" t="s">
        <v>93</v>
      </c>
      <c r="C18" s="58" t="s">
        <v>174</v>
      </c>
      <c r="D18" s="59" t="s">
        <v>47</v>
      </c>
      <c r="E18" s="59" t="s">
        <v>56</v>
      </c>
      <c r="F18" s="60">
        <v>19425.0</v>
      </c>
      <c r="G18" s="60">
        <v>822475.0</v>
      </c>
      <c r="H18" s="59" t="s">
        <v>172</v>
      </c>
    </row>
    <row r="19" spans="8:8">
      <c r="A19" s="57">
        <v>46227.0</v>
      </c>
      <c r="B19" s="58" t="s">
        <v>62</v>
      </c>
      <c r="C19" s="58" t="s">
        <v>27</v>
      </c>
      <c r="D19" s="59" t="s">
        <v>36</v>
      </c>
      <c r="E19" s="59" t="s">
        <v>56</v>
      </c>
      <c r="F19" s="60">
        <v>36000.0</v>
      </c>
      <c r="G19" s="60">
        <v>858475.0</v>
      </c>
      <c r="H19" s="59" t="s">
        <v>172</v>
      </c>
    </row>
    <row r="20" spans="8:8">
      <c r="A20" s="57">
        <v>46227.0</v>
      </c>
      <c r="B20" s="58" t="s">
        <v>62</v>
      </c>
      <c r="C20" s="58" t="s">
        <v>174</v>
      </c>
      <c r="D20" s="59" t="s">
        <v>37</v>
      </c>
      <c r="E20" s="59" t="s">
        <v>56</v>
      </c>
      <c r="F20" s="60">
        <v>92685.0</v>
      </c>
      <c r="G20" s="60">
        <v>951160.0</v>
      </c>
      <c r="H20" s="59" t="s">
        <v>172</v>
      </c>
    </row>
    <row r="21" spans="8:8">
      <c r="A21" s="57">
        <v>46230.0</v>
      </c>
      <c r="B21" s="58" t="s">
        <v>63</v>
      </c>
      <c r="C21" s="58" t="s">
        <v>5</v>
      </c>
      <c r="D21" s="59" t="s">
        <v>11</v>
      </c>
      <c r="E21" s="59" t="s">
        <v>56</v>
      </c>
      <c r="F21" s="60">
        <v>42200.0</v>
      </c>
      <c r="G21" s="60">
        <v>993360.0</v>
      </c>
      <c r="H21" s="59" t="s">
        <v>172</v>
      </c>
    </row>
    <row r="22" spans="8:8">
      <c r="A22" s="57">
        <v>46230.0</v>
      </c>
      <c r="B22" s="58" t="s">
        <v>80</v>
      </c>
      <c r="C22" s="58" t="s">
        <v>5</v>
      </c>
      <c r="D22" s="59" t="s">
        <v>26</v>
      </c>
      <c r="E22" s="59" t="s">
        <v>56</v>
      </c>
      <c r="F22" s="60">
        <v>50640.0</v>
      </c>
      <c r="G22" s="60">
        <v>1044000.0</v>
      </c>
      <c r="H22" s="59" t="s">
        <v>172</v>
      </c>
    </row>
    <row r="23" spans="8:8">
      <c r="A23" s="57">
        <v>46234.0</v>
      </c>
      <c r="B23" s="58" t="s">
        <v>80</v>
      </c>
      <c r="C23" s="58" t="s">
        <v>5</v>
      </c>
      <c r="D23" s="59" t="s">
        <v>31</v>
      </c>
      <c r="E23" s="59" t="s">
        <v>56</v>
      </c>
      <c r="F23" s="60">
        <v>30000.0</v>
      </c>
      <c r="G23" s="60">
        <v>1074000.0</v>
      </c>
      <c r="H23" s="59" t="s">
        <v>172</v>
      </c>
    </row>
    <row r="24" spans="8:8">
      <c r="A24" s="57">
        <v>46234.0</v>
      </c>
      <c r="B24" s="58" t="s">
        <v>57</v>
      </c>
      <c r="C24" s="58" t="s">
        <v>161</v>
      </c>
      <c r="D24" s="59" t="s">
        <v>133</v>
      </c>
      <c r="E24" s="59" t="s">
        <v>56</v>
      </c>
      <c r="F24" s="60">
        <v>150000.0</v>
      </c>
      <c r="G24" s="60">
        <v>1224000.0</v>
      </c>
      <c r="H24" s="59" t="s">
        <v>172</v>
      </c>
    </row>
    <row r="25" spans="8:8">
      <c r="A25" s="35" t="s">
        <v>183</v>
      </c>
      <c r="B25" s="35"/>
      <c r="C25" s="35"/>
      <c r="D25" s="35"/>
      <c r="E25" s="35"/>
      <c r="F25" s="62">
        <f>SUM(F7:F24)</f>
        <v>1224000.0</v>
      </c>
      <c r="G25" s="35"/>
      <c r="H25" s="35"/>
    </row>
    <row r="28" spans="8:8" ht="18.5">
      <c r="A28" s="51" t="s">
        <v>184</v>
      </c>
    </row>
    <row r="29" spans="8:8">
      <c r="A29" s="63" t="s">
        <v>166</v>
      </c>
      <c r="B29" s="63" t="s">
        <v>169</v>
      </c>
      <c r="C29" s="63" t="s">
        <v>185</v>
      </c>
    </row>
    <row r="30" spans="8:8">
      <c r="A30" s="64" t="s">
        <v>57</v>
      </c>
      <c r="B30" s="65">
        <v>606500.0</v>
      </c>
      <c r="C30" s="66">
        <v>0.4955065359477124</v>
      </c>
    </row>
    <row r="31" spans="8:8">
      <c r="A31" s="64" t="s">
        <v>62</v>
      </c>
      <c r="B31" s="65">
        <v>352095.0</v>
      </c>
      <c r="C31" s="66">
        <v>0.2876593137254902</v>
      </c>
    </row>
    <row r="32" spans="8:8">
      <c r="A32" s="64" t="s">
        <v>80</v>
      </c>
      <c r="B32" s="65">
        <v>157910.0</v>
      </c>
      <c r="C32" s="66">
        <v>0.1290114379084967</v>
      </c>
    </row>
    <row r="33" spans="8:8">
      <c r="A33" s="64" t="s">
        <v>63</v>
      </c>
      <c r="B33" s="65">
        <v>88070.0</v>
      </c>
      <c r="C33" s="66">
        <v>0.07195261437908497</v>
      </c>
    </row>
    <row r="34" spans="8:8">
      <c r="A34" s="64" t="s">
        <v>93</v>
      </c>
      <c r="B34" s="65">
        <v>19425.0</v>
      </c>
      <c r="C34" s="66">
        <v>0.01587009803921569</v>
      </c>
    </row>
    <row r="37" spans="8:8">
      <c r="A37" s="55" t="s">
        <v>195</v>
      </c>
      <c r="B37" s="37"/>
      <c r="C37" s="37"/>
      <c r="D37" s="37"/>
      <c r="E37" s="37"/>
      <c r="F37" s="37"/>
      <c r="G37" s="37"/>
      <c r="H37" s="37"/>
    </row>
  </sheetData>
  <mergeCells count="6">
    <mergeCell ref="E3:F4"/>
    <mergeCell ref="A37:H37"/>
    <mergeCell ref="A2:H2"/>
    <mergeCell ref="A1:H1"/>
    <mergeCell ref="C3:D4"/>
    <mergeCell ref="A3:B4"/>
  </mergeCells>
  <pageMargins left="0.75" right="0.75" top="1.0" bottom="1.0" header="0.5" footer="0.5"/>
  <tableParts count="1"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dimension ref="A1:I23"/>
  <sheetViews>
    <sheetView workbookViewId="0" showGridLines="0" zoomScale="62">
      <pane ySplit="5" topLeftCell="A6" state="frozen" activePane="bottomLeft"/>
      <selection pane="bottomLeft" activeCell="C32" sqref="C32:C34"/>
    </sheetView>
  </sheetViews>
  <sheetFormatPr defaultRowHeight="14.5" defaultColWidth="10"/>
  <cols>
    <col min="1" max="1" customWidth="1" bestFit="1" width="31.363281" style="1"/>
    <col min="2" max="2" customWidth="1" bestFit="1" width="19.089844" style="1"/>
    <col min="3" max="3" customWidth="1" bestFit="1" width="63.726562" style="1"/>
    <col min="4" max="4" customWidth="1" bestFit="1" width="16.453125" style="1"/>
    <col min="5" max="5" customWidth="1" bestFit="1" width="19.726562" style="1"/>
    <col min="6" max="6" customWidth="1" bestFit="1" width="20.816406" style="1"/>
    <col min="7" max="7" customWidth="1" bestFit="1" width="25.179688" style="1"/>
    <col min="8" max="8" customWidth="1" bestFit="1" width="24.089844" style="1"/>
  </cols>
  <sheetData>
    <row r="1" spans="8:8" ht="25.0">
      <c r="A1" s="36" t="s">
        <v>196</v>
      </c>
      <c r="B1" s="37"/>
      <c r="C1" s="37"/>
      <c r="D1" s="37"/>
      <c r="E1" s="37"/>
      <c r="F1" s="37"/>
      <c r="G1" s="37"/>
      <c r="H1" s="37"/>
    </row>
    <row r="2" spans="8:8">
      <c r="A2" s="38"/>
      <c r="B2" s="37"/>
      <c r="C2" s="37"/>
      <c r="D2" s="37"/>
      <c r="E2" s="37"/>
      <c r="F2" s="37"/>
      <c r="G2" s="37"/>
      <c r="H2" s="37"/>
    </row>
    <row r="3" spans="8:8">
      <c r="A3" s="39" t="s">
        <v>197</v>
      </c>
      <c r="B3" s="40"/>
      <c r="C3" s="39" t="s">
        <v>198</v>
      </c>
      <c r="D3" s="40"/>
      <c r="E3" s="39" t="s">
        <v>199</v>
      </c>
      <c r="F3" s="40"/>
      <c r="G3" s="39" t="s">
        <v>200</v>
      </c>
      <c r="H3" s="40"/>
    </row>
    <row r="4" spans="8:8">
      <c r="A4" s="40"/>
      <c r="B4" s="40"/>
      <c r="C4" s="40"/>
      <c r="D4" s="40"/>
      <c r="E4" s="40"/>
      <c r="F4" s="40"/>
      <c r="G4" s="40"/>
      <c r="H4" s="40"/>
    </row>
    <row r="6" spans="8:8">
      <c r="A6" s="67" t="s">
        <v>0</v>
      </c>
      <c r="B6" s="67" t="s">
        <v>166</v>
      </c>
      <c r="C6" s="67" t="s">
        <v>1</v>
      </c>
      <c r="D6" s="67" t="s">
        <v>167</v>
      </c>
      <c r="E6" s="67" t="s">
        <v>201</v>
      </c>
      <c r="F6" s="67" t="s">
        <v>202</v>
      </c>
      <c r="G6" s="67" t="s">
        <v>203</v>
      </c>
      <c r="H6" s="67" t="s">
        <v>204</v>
      </c>
    </row>
    <row r="7" spans="8:8">
      <c r="A7" s="42">
        <v>46209.0</v>
      </c>
      <c r="B7" s="43" t="s">
        <v>57</v>
      </c>
      <c r="C7" s="43" t="s">
        <v>173</v>
      </c>
      <c r="D7" s="44" t="s">
        <v>67</v>
      </c>
      <c r="E7" s="44" t="s">
        <v>10</v>
      </c>
      <c r="F7" s="45">
        <v>5400.0</v>
      </c>
      <c r="G7" s="45">
        <v>5400.0</v>
      </c>
      <c r="H7" s="45">
        <v>0.0</v>
      </c>
    </row>
    <row r="8" spans="8:8">
      <c r="A8" s="42">
        <v>46223.0</v>
      </c>
      <c r="B8" s="43" t="s">
        <v>57</v>
      </c>
      <c r="C8" s="43" t="s">
        <v>147</v>
      </c>
      <c r="D8" s="44" t="s">
        <v>91</v>
      </c>
      <c r="E8" s="44" t="s">
        <v>10</v>
      </c>
      <c r="F8" s="45">
        <v>21000.0</v>
      </c>
      <c r="G8" s="45">
        <v>16000.0</v>
      </c>
      <c r="H8" s="45">
        <v>5000.0</v>
      </c>
    </row>
    <row r="9" spans="8:8">
      <c r="A9" s="42">
        <v>46230.0</v>
      </c>
      <c r="B9" s="43" t="s">
        <v>57</v>
      </c>
      <c r="C9" s="43" t="s">
        <v>150</v>
      </c>
      <c r="D9" s="44" t="s">
        <v>101</v>
      </c>
      <c r="E9" s="44" t="s">
        <v>10</v>
      </c>
      <c r="F9" s="45">
        <v>7000.0</v>
      </c>
      <c r="G9" s="45">
        <v>7000.0</v>
      </c>
      <c r="H9" s="45">
        <v>0.0</v>
      </c>
    </row>
    <row r="10" spans="8:8">
      <c r="A10" s="42">
        <v>46231.0</v>
      </c>
      <c r="B10" s="43" t="s">
        <v>57</v>
      </c>
      <c r="C10" s="43" t="s">
        <v>153</v>
      </c>
      <c r="D10" s="44" t="s">
        <v>111</v>
      </c>
      <c r="E10" s="44" t="s">
        <v>10</v>
      </c>
      <c r="F10" s="45">
        <v>6400.0</v>
      </c>
      <c r="G10" s="45">
        <v>4600.0</v>
      </c>
      <c r="H10" s="45">
        <v>1800.0</v>
      </c>
    </row>
    <row r="11" spans="8:8">
      <c r="A11" s="42">
        <v>46232.0</v>
      </c>
      <c r="B11" s="43" t="s">
        <v>57</v>
      </c>
      <c r="C11" s="43" t="s">
        <v>156</v>
      </c>
      <c r="D11" s="44" t="s">
        <v>120</v>
      </c>
      <c r="E11" s="44" t="s">
        <v>10</v>
      </c>
      <c r="F11" s="45">
        <v>600.0</v>
      </c>
      <c r="G11" s="45">
        <v>600.0</v>
      </c>
      <c r="H11" s="45">
        <v>0.0</v>
      </c>
    </row>
    <row r="12" spans="8:8">
      <c r="A12" s="42">
        <v>46232.0</v>
      </c>
      <c r="B12" s="43" t="s">
        <v>57</v>
      </c>
      <c r="C12" s="43" t="s">
        <v>157</v>
      </c>
      <c r="D12" s="44" t="s">
        <v>122</v>
      </c>
      <c r="E12" s="44" t="s">
        <v>10</v>
      </c>
      <c r="F12" s="45">
        <v>8000.0</v>
      </c>
      <c r="G12" s="45">
        <v>8000.0</v>
      </c>
      <c r="H12" s="45">
        <v>0.0</v>
      </c>
    </row>
    <row r="13" spans="8:8">
      <c r="A13" s="42">
        <v>46233.0</v>
      </c>
      <c r="B13" s="43" t="s">
        <v>57</v>
      </c>
      <c r="C13" s="43" t="s">
        <v>180</v>
      </c>
      <c r="D13" s="44" t="s">
        <v>126</v>
      </c>
      <c r="E13" s="44" t="s">
        <v>10</v>
      </c>
      <c r="F13" s="45">
        <v>1700.0</v>
      </c>
      <c r="G13" s="45">
        <v>1700.0</v>
      </c>
      <c r="H13" s="45">
        <v>0.0</v>
      </c>
    </row>
    <row r="14" spans="8:8" ht="29.0">
      <c r="A14" s="42">
        <v>46234.0</v>
      </c>
      <c r="B14" s="43" t="s">
        <v>57</v>
      </c>
      <c r="C14" s="43" t="s">
        <v>181</v>
      </c>
      <c r="D14" s="44" t="s">
        <v>130</v>
      </c>
      <c r="E14" s="44" t="s">
        <v>10</v>
      </c>
      <c r="F14" s="45">
        <v>32500.0</v>
      </c>
      <c r="G14" s="45">
        <v>25000.0</v>
      </c>
      <c r="H14" s="45">
        <v>7500.0</v>
      </c>
    </row>
    <row r="15" spans="8:8">
      <c r="A15" s="49" t="s">
        <v>183</v>
      </c>
      <c r="B15" s="49"/>
      <c r="C15" s="49"/>
      <c r="D15" s="49"/>
      <c r="E15" s="49"/>
      <c r="F15" s="50">
        <f>SUM(F7:F14)</f>
        <v>82600.0</v>
      </c>
      <c r="G15" s="50">
        <f>SUM(G7:G14)</f>
        <v>68300.0</v>
      </c>
      <c r="H15" s="50">
        <f>SUM(H7:H14)</f>
        <v>14300.0</v>
      </c>
    </row>
    <row r="18" spans="8:8" ht="18.5">
      <c r="A18" s="51"/>
    </row>
    <row r="19" spans="8:8">
      <c r="A19" s="68"/>
      <c r="B19" s="69"/>
      <c r="C19" s="69"/>
      <c r="D19" s="69"/>
      <c r="E19" s="69"/>
      <c r="F19" s="69"/>
      <c r="G19" s="69"/>
      <c r="H19" s="69"/>
    </row>
    <row r="20" spans="8:8">
      <c r="A20" s="68"/>
      <c r="B20" s="69"/>
      <c r="C20" s="69"/>
      <c r="D20" s="69"/>
      <c r="E20" s="69"/>
      <c r="F20" s="69"/>
      <c r="G20" s="69"/>
      <c r="H20" s="69"/>
    </row>
    <row r="21" spans="8:8">
      <c r="A21" s="68"/>
      <c r="B21" s="69"/>
      <c r="C21" s="69"/>
      <c r="D21" s="69"/>
      <c r="E21" s="69"/>
      <c r="F21" s="69"/>
      <c r="G21" s="69"/>
      <c r="H21" s="69"/>
    </row>
    <row r="22" spans="8:8">
      <c r="A22" s="68"/>
      <c r="B22" s="69"/>
      <c r="C22" s="69"/>
      <c r="D22" s="69"/>
      <c r="E22" s="69"/>
      <c r="F22" s="69"/>
      <c r="G22" s="69"/>
      <c r="H22" s="69"/>
    </row>
    <row r="23" spans="8:8">
      <c r="A23" s="70"/>
      <c r="B23" s="70"/>
      <c r="C23" s="70"/>
      <c r="D23" s="70"/>
      <c r="E23" s="70"/>
      <c r="F23" s="70"/>
      <c r="G23" s="70"/>
      <c r="H23" s="70"/>
    </row>
  </sheetData>
  <mergeCells count="10">
    <mergeCell ref="A21:H21"/>
    <mergeCell ref="A20:H20"/>
    <mergeCell ref="A22:H22"/>
    <mergeCell ref="A19:H19"/>
    <mergeCell ref="A2:H2"/>
    <mergeCell ref="A1:H1"/>
    <mergeCell ref="C3:D4"/>
    <mergeCell ref="A3:B4"/>
    <mergeCell ref="G3:H4"/>
    <mergeCell ref="E3:F4"/>
  </mergeCells>
  <pageMargins left="0.75" right="0.75" top="1.0" bottom="1.0" header="0.5" footer="0.5"/>
  <tableParts count="1"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dimension ref="A1:F18"/>
  <sheetViews>
    <sheetView workbookViewId="0">
      <selection activeCell="D18" sqref="D18"/>
    </sheetView>
  </sheetViews>
  <sheetFormatPr defaultRowHeight="14.5" defaultColWidth="10"/>
  <cols>
    <col min="1" max="1" customWidth="1" bestFit="1" width="18.816406" style="71"/>
    <col min="2" max="2" customWidth="1" bestFit="1" width="10.089844" style="71"/>
    <col min="3" max="3" customWidth="1" bestFit="1" width="17.089844" style="71"/>
    <col min="4" max="4" customWidth="1" bestFit="1" width="18.816406" style="71"/>
    <col min="5" max="5" customWidth="1" bestFit="1" width="10.269531" style="71"/>
    <col min="6" max="6" customWidth="1" bestFit="1" width="17.089844" style="71"/>
    <col min="7" max="16384" customWidth="0" width="8.7265625" style="71"/>
  </cols>
  <sheetData>
    <row r="1" spans="8:8">
      <c r="A1" s="72" t="s">
        <v>166</v>
      </c>
      <c r="B1" s="72" t="s">
        <v>169</v>
      </c>
      <c r="C1" s="72" t="s">
        <v>211</v>
      </c>
    </row>
    <row r="2" spans="8:8">
      <c r="A2" s="73" t="s">
        <v>96</v>
      </c>
      <c r="B2" s="74">
        <v>10000.0</v>
      </c>
      <c r="C2" s="75">
        <f t="shared" si="0" ref="C2:C14">B2/B$15</f>
        <v>0.004772747990792414</v>
      </c>
    </row>
    <row r="3" spans="8:8">
      <c r="A3" s="76" t="s">
        <v>114</v>
      </c>
      <c r="B3" s="77">
        <v>100000.0</v>
      </c>
      <c r="C3" s="75">
        <f t="shared" si="0"/>
        <v>0.04772747990792415</v>
      </c>
    </row>
    <row r="4" spans="8:8">
      <c r="A4" s="73" t="s">
        <v>113</v>
      </c>
      <c r="B4" s="74">
        <v>4000.0</v>
      </c>
      <c r="C4" s="75">
        <f t="shared" si="0"/>
        <v>0.0019090991963169658</v>
      </c>
    </row>
    <row r="5" spans="8:8">
      <c r="A5" s="76" t="s">
        <v>62</v>
      </c>
      <c r="B5" s="77">
        <v>448844.0</v>
      </c>
      <c r="C5" s="75">
        <f t="shared" si="0"/>
        <v>0.21422192991792305</v>
      </c>
    </row>
    <row r="6" spans="8:8">
      <c r="A6" s="73" t="s">
        <v>63</v>
      </c>
      <c r="B6" s="74">
        <v>93270.0</v>
      </c>
      <c r="C6" s="75">
        <f t="shared" si="0"/>
        <v>0.04451542051012085</v>
      </c>
      <c r="E6" s="71" t="s">
        <v>212</v>
      </c>
    </row>
    <row r="7" spans="8:8">
      <c r="A7" s="76" t="s">
        <v>93</v>
      </c>
      <c r="B7" s="77">
        <v>19425.0</v>
      </c>
      <c r="C7" s="75">
        <f t="shared" si="0"/>
        <v>0.009271062972114266</v>
      </c>
    </row>
    <row r="8" spans="8:8">
      <c r="A8" s="73" t="s">
        <v>80</v>
      </c>
      <c r="B8" s="74">
        <v>168910.0</v>
      </c>
      <c r="C8" s="75">
        <f t="shared" si="0"/>
        <v>0.08061648631247467</v>
      </c>
    </row>
    <row r="9" spans="8:8">
      <c r="A9" s="76" t="s">
        <v>103</v>
      </c>
      <c r="B9" s="77">
        <v>255000.0</v>
      </c>
      <c r="C9" s="75">
        <f t="shared" si="0"/>
        <v>0.12170507376520658</v>
      </c>
    </row>
    <row r="10" spans="8:8">
      <c r="A10" s="73" t="s">
        <v>65</v>
      </c>
      <c r="B10" s="74">
        <v>3000.0</v>
      </c>
      <c r="C10" s="75">
        <f t="shared" si="0"/>
        <v>0.0014318243972377244</v>
      </c>
    </row>
    <row r="11" spans="8:8">
      <c r="A11" s="76" t="s">
        <v>57</v>
      </c>
      <c r="B11" s="77">
        <v>872000.0</v>
      </c>
      <c r="C11" s="75">
        <f t="shared" si="0"/>
        <v>0.41618362479709853</v>
      </c>
    </row>
    <row r="12" spans="8:8">
      <c r="A12" s="73" t="s">
        <v>105</v>
      </c>
      <c r="B12" s="74">
        <v>40000.0</v>
      </c>
      <c r="C12" s="75">
        <f t="shared" si="0"/>
        <v>0.019090991963169657</v>
      </c>
    </row>
    <row r="13" spans="8:8">
      <c r="A13" s="76" t="s">
        <v>210</v>
      </c>
      <c r="B13" s="77">
        <v>35630.0</v>
      </c>
      <c r="C13" s="75">
        <f t="shared" si="0"/>
        <v>0.017005301091193373</v>
      </c>
    </row>
    <row r="14" spans="8:8">
      <c r="A14" s="73" t="s">
        <v>55</v>
      </c>
      <c r="B14" s="29">
        <v>45150.0</v>
      </c>
      <c r="C14" s="75">
        <f t="shared" si="0"/>
        <v>0.021548957178427752</v>
      </c>
    </row>
    <row r="15" spans="8:8">
      <c r="A15" s="78" t="s">
        <v>208</v>
      </c>
      <c r="B15" s="79">
        <f>SUM(B2:B14)</f>
        <v>2095229.0</v>
      </c>
      <c r="C15" s="75">
        <f>SUM(C2:C14)</f>
        <v>1.0</v>
      </c>
    </row>
    <row r="16" spans="8:8">
      <c r="A16" s="80"/>
      <c r="B16" s="81"/>
      <c r="C16" s="80"/>
      <c r="D16" s="82"/>
      <c r="E16" s="83"/>
    </row>
    <row r="17" spans="8:8">
      <c r="A17" s="80"/>
      <c r="B17" s="81"/>
      <c r="C17" s="80"/>
      <c r="D17" s="84"/>
      <c r="E17" s="85"/>
    </row>
    <row r="18" spans="8:8">
      <c r="C18" s="80"/>
      <c r="D18" s="85"/>
      <c r="E18" s="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USER</cp:lastModifiedBy>
  <dcterms:created xsi:type="dcterms:W3CDTF">2026-08-10T09:06:38Z</dcterms:created>
  <dcterms:modified xsi:type="dcterms:W3CDTF">2026-08-13T16:23:47Z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612cfe4cb3314f0781366f027d1c2eca_23</vt:lpwstr>
  </property>
</Properties>
</file>