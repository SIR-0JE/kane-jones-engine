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3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4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5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6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7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8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9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20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21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22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23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24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25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26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27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1A7760-66D3-CD4C-8930-8CEACBED2EC7}" xr6:coauthVersionLast="47" xr6:coauthVersionMax="47" xr10:uidLastSave="{00000000-0000-0000-0000-000000000000}"/>
  <bookViews>
    <workbookView xWindow="0" yWindow="0" windowWidth="19200" windowHeight="6610" tabRatio="500" firstSheet="1" activeTab="38" xr2:uid="{00000000-000D-0000-FFFF-FFFF00000000}"/>
  </bookViews>
  <sheets>
    <sheet name="tmpA1A6" sheetId="1" r:id="rId1"/>
    <sheet name="tmp32C7" sheetId="2" r:id="rId2"/>
    <sheet name="tmp3F5D" sheetId="3" r:id="rId3"/>
    <sheet name="tmpCEF3" sheetId="4" r:id="rId4"/>
    <sheet name="July 1st Sales Report" sheetId="5" r:id="rId5"/>
    <sheet name="July 2nd Sales Report" sheetId="6" r:id="rId6"/>
    <sheet name="July 3rd Sales Report" sheetId="7" r:id="rId7"/>
    <sheet name="July 4th Sales Report " sheetId="8" r:id="rId8"/>
    <sheet name="July 5th Sales Report" sheetId="9" r:id="rId9"/>
    <sheet name="July 6th Sales Report" sheetId="10" r:id="rId10"/>
    <sheet name="July 7th Sales Report" sheetId="11" r:id="rId11"/>
    <sheet name="July 8th Sales Report" sheetId="12" r:id="rId12"/>
    <sheet name="July 9th Sales Report" sheetId="13" r:id="rId13"/>
    <sheet name="July 10th Sales Report" sheetId="14" r:id="rId14"/>
    <sheet name="July 11th Sales Report" sheetId="15" r:id="rId15"/>
    <sheet name="July 12th Sales Report" sheetId="16" r:id="rId16"/>
    <sheet name="July 13th Sales Report" sheetId="17" r:id="rId17"/>
    <sheet name="July 14th Sales Report" sheetId="18" r:id="rId18"/>
    <sheet name="July 15th Sales Report" sheetId="19" r:id="rId19"/>
    <sheet name="July 16th Sales Report" sheetId="20" r:id="rId20"/>
    <sheet name="July 17th Sales Report" sheetId="21" r:id="rId21"/>
    <sheet name="July 18th Sales Report" sheetId="22" r:id="rId22"/>
    <sheet name="July 19th Sales Report" sheetId="23" r:id="rId23"/>
    <sheet name="July 20th Sales Report" sheetId="24" r:id="rId24"/>
    <sheet name="July 21st Sales Report" sheetId="25" r:id="rId25"/>
    <sheet name="July 22nd Sales Report" sheetId="26" r:id="rId26"/>
    <sheet name="July 23rd Sales Report" sheetId="27" r:id="rId27"/>
    <sheet name="July 24th Sales Report" sheetId="28" r:id="rId28"/>
    <sheet name="July 25th Sales Report" sheetId="29" r:id="rId29"/>
    <sheet name="July 26th Sales Report" sheetId="30" r:id="rId30"/>
    <sheet name="July 27th Sales Report" sheetId="31" r:id="rId31"/>
    <sheet name="July 28th Sales Report" sheetId="32" r:id="rId32"/>
    <sheet name="29th Sales Report" sheetId="33" r:id="rId33"/>
    <sheet name="30th Sales Report" sheetId="34" r:id="rId34"/>
    <sheet name="31st Sales Report " sheetId="35" r:id="rId35"/>
    <sheet name="Product" sheetId="36" r:id="rId36"/>
    <sheet name="Marketers" sheetId="37" r:id="rId37"/>
    <sheet name="Volume Price Analysis (Cost)" sheetId="40" r:id="rId38"/>
    <sheet name="Sales Return Analysis" sheetId="41" r:id="rId39"/>
    <sheet name="Aggregate Summary" sheetId="42" r:id="rId40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1" l="1"/>
  <c r="B12" i="41"/>
  <c r="B797" i="40"/>
  <c r="B792" i="40"/>
  <c r="E785" i="40"/>
  <c r="L729" i="40"/>
  <c r="L785" i="40"/>
  <c r="I729" i="40"/>
  <c r="J729" i="40"/>
  <c r="N649" i="40"/>
  <c r="J649" i="40"/>
  <c r="M333" i="40"/>
  <c r="N333" i="40"/>
  <c r="J333" i="40"/>
  <c r="J44" i="36"/>
  <c r="E44" i="36"/>
  <c r="F44" i="36"/>
  <c r="H21" i="36"/>
  <c r="H45" i="36"/>
  <c r="E21" i="36"/>
  <c r="F21" i="36"/>
  <c r="H57" i="37"/>
  <c r="G37" i="42"/>
  <c r="G35" i="42"/>
  <c r="G34" i="42"/>
  <c r="G33" i="42"/>
  <c r="G32" i="42"/>
  <c r="G31" i="42"/>
  <c r="G29" i="42"/>
  <c r="G28" i="42"/>
  <c r="G27" i="42"/>
  <c r="G26" i="42"/>
  <c r="G25" i="42"/>
  <c r="G24" i="42"/>
  <c r="G22" i="42"/>
  <c r="G21" i="42"/>
  <c r="G20" i="42"/>
  <c r="G19" i="42"/>
  <c r="G18" i="42"/>
  <c r="G17" i="42"/>
  <c r="G15" i="42"/>
  <c r="G14" i="42"/>
  <c r="G13" i="42"/>
  <c r="G12" i="42"/>
  <c r="G11" i="42"/>
  <c r="G10" i="42"/>
  <c r="G8" i="42"/>
  <c r="G7" i="42"/>
  <c r="G6" i="42"/>
  <c r="G5" i="42"/>
  <c r="G63" i="41"/>
  <c r="D27" i="41"/>
  <c r="K785" i="40"/>
  <c r="L87" i="37"/>
  <c r="K87" i="37"/>
  <c r="C27" i="37"/>
  <c r="J87" i="37"/>
  <c r="E87" i="37"/>
  <c r="L15" i="37"/>
  <c r="K15" i="37"/>
  <c r="J15" i="37"/>
  <c r="E15" i="37"/>
  <c r="G45" i="36"/>
  <c r="J37" i="35"/>
  <c r="D22" i="35"/>
  <c r="C22" i="35"/>
  <c r="E21" i="35"/>
  <c r="J23" i="35"/>
  <c r="E20" i="35"/>
  <c r="K12" i="35"/>
  <c r="E19" i="35"/>
  <c r="K11" i="35"/>
  <c r="E18" i="35"/>
  <c r="E17" i="35"/>
  <c r="E16" i="35"/>
  <c r="E15" i="35"/>
  <c r="K9" i="35"/>
  <c r="E14" i="35"/>
  <c r="K8" i="35"/>
  <c r="E13" i="35"/>
  <c r="J12" i="35"/>
  <c r="E12" i="35"/>
  <c r="J11" i="35"/>
  <c r="E11" i="35"/>
  <c r="K10" i="35"/>
  <c r="J10" i="35"/>
  <c r="E10" i="35"/>
  <c r="K6" i="35"/>
  <c r="J9" i="35"/>
  <c r="E9" i="35"/>
  <c r="J8" i="35"/>
  <c r="E8" i="35"/>
  <c r="J7" i="35"/>
  <c r="E7" i="35"/>
  <c r="J20" i="35"/>
  <c r="J6" i="35"/>
  <c r="E6" i="35"/>
  <c r="J5" i="35"/>
  <c r="E5" i="35"/>
  <c r="J18" i="35"/>
  <c r="J4" i="35"/>
  <c r="E4" i="35"/>
  <c r="J3" i="35"/>
  <c r="E3" i="35"/>
  <c r="J2" i="35"/>
  <c r="E2" i="35"/>
  <c r="J36" i="34"/>
  <c r="D21" i="34"/>
  <c r="C21" i="34"/>
  <c r="E20" i="34"/>
  <c r="J23" i="34"/>
  <c r="E19" i="34"/>
  <c r="E18" i="34"/>
  <c r="E17" i="34"/>
  <c r="E16" i="34"/>
  <c r="J21" i="34"/>
  <c r="E15" i="34"/>
  <c r="J14" i="34"/>
  <c r="E14" i="34"/>
  <c r="J13" i="34"/>
  <c r="E13" i="34"/>
  <c r="K12" i="34"/>
  <c r="J12" i="34"/>
  <c r="E12" i="34"/>
  <c r="J11" i="34"/>
  <c r="E11" i="34"/>
  <c r="K11" i="34"/>
  <c r="J10" i="34"/>
  <c r="E10" i="34"/>
  <c r="J9" i="34"/>
  <c r="E9" i="34"/>
  <c r="K9" i="34"/>
  <c r="J8" i="34"/>
  <c r="E8" i="34"/>
  <c r="K8" i="34"/>
  <c r="J7" i="34"/>
  <c r="E7" i="34"/>
  <c r="K7" i="34"/>
  <c r="J6" i="34"/>
  <c r="E6" i="34"/>
  <c r="J5" i="34"/>
  <c r="E5" i="34"/>
  <c r="K5" i="34"/>
  <c r="J4" i="34"/>
  <c r="E4" i="34"/>
  <c r="J3" i="34"/>
  <c r="E3" i="34"/>
  <c r="J2" i="34"/>
  <c r="E2" i="34"/>
  <c r="J33" i="33"/>
  <c r="D22" i="33"/>
  <c r="C22" i="33"/>
  <c r="E21" i="33"/>
  <c r="J24" i="33"/>
  <c r="E20" i="33"/>
  <c r="K15" i="33"/>
  <c r="E19" i="33"/>
  <c r="E18" i="33"/>
  <c r="K14" i="33"/>
  <c r="E17" i="33"/>
  <c r="K13" i="33"/>
  <c r="J16" i="33"/>
  <c r="E16" i="33"/>
  <c r="J15" i="33"/>
  <c r="E15" i="33"/>
  <c r="J14" i="33"/>
  <c r="E14" i="33"/>
  <c r="J13" i="33"/>
  <c r="E13" i="33"/>
  <c r="K12" i="33"/>
  <c r="J12" i="33"/>
  <c r="E12" i="33"/>
  <c r="J11" i="33"/>
  <c r="E11" i="33"/>
  <c r="J10" i="33"/>
  <c r="E10" i="33"/>
  <c r="K10" i="33"/>
  <c r="J9" i="33"/>
  <c r="E9" i="33"/>
  <c r="J8" i="33"/>
  <c r="E8" i="33"/>
  <c r="K8" i="33"/>
  <c r="J7" i="33"/>
  <c r="E7" i="33"/>
  <c r="J6" i="33"/>
  <c r="E6" i="33"/>
  <c r="J5" i="33"/>
  <c r="E5" i="33"/>
  <c r="K5" i="33"/>
  <c r="J4" i="33"/>
  <c r="E4" i="33"/>
  <c r="K4" i="33"/>
  <c r="J3" i="33"/>
  <c r="E3" i="33"/>
  <c r="K3" i="33"/>
  <c r="J2" i="33"/>
  <c r="E2" i="33"/>
  <c r="J40" i="32"/>
  <c r="D31" i="32"/>
  <c r="C31" i="32"/>
  <c r="E30" i="32"/>
  <c r="E29" i="32"/>
  <c r="E28" i="32"/>
  <c r="E27" i="32"/>
  <c r="K15" i="32"/>
  <c r="E26" i="32"/>
  <c r="E25" i="32"/>
  <c r="E24" i="32"/>
  <c r="K14" i="32"/>
  <c r="E23" i="32"/>
  <c r="K13" i="32"/>
  <c r="E22" i="32"/>
  <c r="E21" i="32"/>
  <c r="E20" i="32"/>
  <c r="E19" i="32"/>
  <c r="E18" i="32"/>
  <c r="E17" i="32"/>
  <c r="J16" i="32"/>
  <c r="E16" i="32"/>
  <c r="K11" i="32"/>
  <c r="J15" i="32"/>
  <c r="E15" i="32"/>
  <c r="J14" i="32"/>
  <c r="E14" i="32"/>
  <c r="J13" i="32"/>
  <c r="E13" i="32"/>
  <c r="J12" i="32"/>
  <c r="E12" i="32"/>
  <c r="J11" i="32"/>
  <c r="E11" i="32"/>
  <c r="J10" i="32"/>
  <c r="E10" i="32"/>
  <c r="J9" i="32"/>
  <c r="E9" i="32"/>
  <c r="J24" i="32"/>
  <c r="J8" i="32"/>
  <c r="E8" i="32"/>
  <c r="K6" i="32"/>
  <c r="J7" i="32"/>
  <c r="E7" i="32"/>
  <c r="J6" i="32"/>
  <c r="E6" i="32"/>
  <c r="J22" i="32"/>
  <c r="J5" i="32"/>
  <c r="E5" i="32"/>
  <c r="K5" i="32"/>
  <c r="J4" i="32"/>
  <c r="E4" i="32"/>
  <c r="J3" i="32"/>
  <c r="E3" i="32"/>
  <c r="J2" i="32"/>
  <c r="E2" i="32"/>
  <c r="J51" i="31"/>
  <c r="D37" i="31"/>
  <c r="C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J28" i="31"/>
  <c r="E23" i="31"/>
  <c r="E22" i="31"/>
  <c r="E21" i="31"/>
  <c r="K12" i="31"/>
  <c r="E20" i="31"/>
  <c r="E19" i="31"/>
  <c r="E18" i="31"/>
  <c r="E17" i="31"/>
  <c r="J26" i="31"/>
  <c r="E16" i="31"/>
  <c r="E15" i="31"/>
  <c r="J25" i="31"/>
  <c r="E14" i="31"/>
  <c r="J13" i="31"/>
  <c r="E13" i="31"/>
  <c r="J12" i="31"/>
  <c r="E12" i="31"/>
  <c r="J11" i="31"/>
  <c r="E11" i="31"/>
  <c r="J10" i="31"/>
  <c r="E10" i="31"/>
  <c r="J9" i="31"/>
  <c r="E9" i="31"/>
  <c r="J8" i="31"/>
  <c r="E8" i="31"/>
  <c r="J7" i="31"/>
  <c r="E7" i="31"/>
  <c r="J6" i="31"/>
  <c r="E6" i="31"/>
  <c r="J5" i="31"/>
  <c r="E5" i="31"/>
  <c r="J4" i="31"/>
  <c r="E4" i="31"/>
  <c r="K4" i="31"/>
  <c r="J3" i="31"/>
  <c r="E3" i="31"/>
  <c r="J18" i="31"/>
  <c r="J2" i="31"/>
  <c r="E2" i="31"/>
  <c r="J52" i="29"/>
  <c r="D35" i="29"/>
  <c r="C35" i="29"/>
  <c r="E34" i="29"/>
  <c r="E33" i="29"/>
  <c r="E32" i="29"/>
  <c r="E31" i="29"/>
  <c r="K15" i="29"/>
  <c r="E30" i="29"/>
  <c r="E29" i="29"/>
  <c r="E28" i="29"/>
  <c r="E27" i="29"/>
  <c r="E26" i="29"/>
  <c r="E25" i="29"/>
  <c r="K14" i="29"/>
  <c r="E24" i="29"/>
  <c r="E23" i="29"/>
  <c r="K13" i="29"/>
  <c r="E22" i="29"/>
  <c r="K12" i="29"/>
  <c r="E21" i="29"/>
  <c r="E20" i="29"/>
  <c r="E19" i="29"/>
  <c r="E18" i="29"/>
  <c r="E17" i="29"/>
  <c r="E16" i="29"/>
  <c r="J15" i="29"/>
  <c r="E15" i="29"/>
  <c r="J14" i="29"/>
  <c r="E14" i="29"/>
  <c r="J13" i="29"/>
  <c r="E13" i="29"/>
  <c r="J12" i="29"/>
  <c r="E12" i="29"/>
  <c r="J11" i="29"/>
  <c r="E11" i="29"/>
  <c r="J10" i="29"/>
  <c r="E10" i="29"/>
  <c r="J23" i="29"/>
  <c r="J9" i="29"/>
  <c r="E9" i="29"/>
  <c r="K7" i="29"/>
  <c r="J8" i="29"/>
  <c r="E8" i="29"/>
  <c r="J7" i="29"/>
  <c r="E7" i="29"/>
  <c r="J6" i="29"/>
  <c r="E6" i="29"/>
  <c r="J5" i="29"/>
  <c r="E5" i="29"/>
  <c r="J21" i="29"/>
  <c r="J4" i="29"/>
  <c r="E4" i="29"/>
  <c r="J3" i="29"/>
  <c r="E3" i="29"/>
  <c r="K3" i="29"/>
  <c r="J2" i="29"/>
  <c r="E2" i="29"/>
  <c r="J42" i="28"/>
  <c r="D38" i="28"/>
  <c r="C38" i="28"/>
  <c r="E37" i="28"/>
  <c r="E36" i="28"/>
  <c r="E35" i="28"/>
  <c r="E34" i="28"/>
  <c r="E33" i="28"/>
  <c r="E32" i="28"/>
  <c r="E31" i="28"/>
  <c r="E30" i="28"/>
  <c r="E29" i="28"/>
  <c r="E28" i="28"/>
  <c r="K13" i="28"/>
  <c r="E27" i="28"/>
  <c r="E26" i="28"/>
  <c r="E25" i="28"/>
  <c r="E24" i="28"/>
  <c r="E23" i="28"/>
  <c r="E22" i="28"/>
  <c r="E21" i="28"/>
  <c r="K11" i="28"/>
  <c r="E20" i="28"/>
  <c r="E19" i="28"/>
  <c r="E18" i="28"/>
  <c r="E17" i="28"/>
  <c r="E16" i="28"/>
  <c r="J21" i="28"/>
  <c r="E15" i="28"/>
  <c r="K10" i="28"/>
  <c r="E14" i="28"/>
  <c r="J13" i="28"/>
  <c r="E13" i="28"/>
  <c r="J12" i="28"/>
  <c r="E12" i="28"/>
  <c r="J11" i="28"/>
  <c r="E11" i="28"/>
  <c r="K8" i="28"/>
  <c r="J10" i="28"/>
  <c r="E10" i="28"/>
  <c r="J9" i="28"/>
  <c r="E9" i="28"/>
  <c r="J8" i="28"/>
  <c r="E8" i="28"/>
  <c r="K6" i="28"/>
  <c r="J7" i="28"/>
  <c r="E7" i="28"/>
  <c r="J6" i="28"/>
  <c r="E6" i="28"/>
  <c r="J5" i="28"/>
  <c r="E5" i="28"/>
  <c r="J4" i="28"/>
  <c r="E4" i="28"/>
  <c r="J3" i="28"/>
  <c r="E3" i="28"/>
  <c r="J2" i="28"/>
  <c r="E2" i="28"/>
  <c r="J36" i="27"/>
  <c r="D24" i="27"/>
  <c r="C24" i="27"/>
  <c r="E23" i="27"/>
  <c r="E22" i="27"/>
  <c r="E21" i="27"/>
  <c r="E20" i="27"/>
  <c r="E19" i="27"/>
  <c r="E18" i="27"/>
  <c r="E17" i="27"/>
  <c r="K13" i="27"/>
  <c r="E16" i="27"/>
  <c r="K12" i="27"/>
  <c r="E15" i="27"/>
  <c r="K11" i="27"/>
  <c r="J14" i="27"/>
  <c r="E14" i="27"/>
  <c r="J13" i="27"/>
  <c r="E13" i="27"/>
  <c r="J12" i="27"/>
  <c r="E12" i="27"/>
  <c r="K10" i="27"/>
  <c r="J11" i="27"/>
  <c r="E11" i="27"/>
  <c r="K9" i="27"/>
  <c r="J10" i="27"/>
  <c r="E10" i="27"/>
  <c r="K8" i="27"/>
  <c r="J9" i="27"/>
  <c r="E9" i="27"/>
  <c r="K7" i="27"/>
  <c r="J8" i="27"/>
  <c r="E8" i="27"/>
  <c r="J7" i="27"/>
  <c r="E7" i="27"/>
  <c r="J6" i="27"/>
  <c r="E6" i="27"/>
  <c r="J5" i="27"/>
  <c r="E5" i="27"/>
  <c r="J20" i="27"/>
  <c r="J4" i="27"/>
  <c r="E4" i="27"/>
  <c r="J3" i="27"/>
  <c r="E3" i="27"/>
  <c r="K3" i="27"/>
  <c r="J2" i="27"/>
  <c r="E2" i="27"/>
  <c r="J38" i="26"/>
  <c r="D25" i="26"/>
  <c r="C25" i="26"/>
  <c r="E24" i="26"/>
  <c r="K14" i="26"/>
  <c r="E23" i="26"/>
  <c r="K13" i="26"/>
  <c r="E22" i="26"/>
  <c r="E21" i="26"/>
  <c r="E20" i="26"/>
  <c r="E19" i="26"/>
  <c r="E18" i="26"/>
  <c r="E17" i="26"/>
  <c r="E16" i="26"/>
  <c r="E15" i="26"/>
  <c r="J14" i="26"/>
  <c r="E14" i="26"/>
  <c r="J13" i="26"/>
  <c r="E13" i="26"/>
  <c r="J12" i="26"/>
  <c r="E12" i="26"/>
  <c r="J11" i="26"/>
  <c r="E11" i="26"/>
  <c r="K9" i="26"/>
  <c r="J10" i="26"/>
  <c r="E10" i="26"/>
  <c r="J9" i="26"/>
  <c r="E9" i="26"/>
  <c r="J8" i="26"/>
  <c r="E8" i="26"/>
  <c r="J7" i="26"/>
  <c r="E7" i="26"/>
  <c r="J20" i="26"/>
  <c r="J6" i="26"/>
  <c r="E6" i="26"/>
  <c r="J5" i="26"/>
  <c r="E5" i="26"/>
  <c r="K5" i="26"/>
  <c r="J4" i="26"/>
  <c r="E4" i="26"/>
  <c r="J3" i="26"/>
  <c r="E3" i="26"/>
  <c r="J2" i="26"/>
  <c r="E2" i="26"/>
  <c r="K2" i="26"/>
  <c r="J43" i="25"/>
  <c r="D33" i="25"/>
  <c r="C33" i="25"/>
  <c r="E32" i="25"/>
  <c r="E31" i="25"/>
  <c r="K18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J18" i="25"/>
  <c r="E18" i="25"/>
  <c r="J17" i="25"/>
  <c r="E17" i="25"/>
  <c r="J16" i="25"/>
  <c r="E16" i="25"/>
  <c r="J24" i="25"/>
  <c r="J15" i="25"/>
  <c r="E15" i="25"/>
  <c r="J14" i="25"/>
  <c r="E14" i="25"/>
  <c r="K14" i="25"/>
  <c r="J13" i="25"/>
  <c r="E13" i="25"/>
  <c r="K13" i="25"/>
  <c r="J12" i="25"/>
  <c r="E12" i="25"/>
  <c r="K12" i="25"/>
  <c r="J11" i="25"/>
  <c r="E11" i="25"/>
  <c r="K11" i="25"/>
  <c r="J10" i="25"/>
  <c r="E10" i="25"/>
  <c r="K10" i="25"/>
  <c r="J9" i="25"/>
  <c r="E9" i="25"/>
  <c r="J8" i="25"/>
  <c r="E8" i="25"/>
  <c r="J7" i="25"/>
  <c r="E7" i="25"/>
  <c r="K7" i="25"/>
  <c r="J6" i="25"/>
  <c r="E6" i="25"/>
  <c r="K6" i="25"/>
  <c r="J5" i="25"/>
  <c r="E5" i="25"/>
  <c r="K5" i="25"/>
  <c r="J4" i="25"/>
  <c r="E4" i="25"/>
  <c r="J3" i="25"/>
  <c r="E3" i="25"/>
  <c r="J2" i="25"/>
  <c r="E2" i="25"/>
  <c r="J46" i="24"/>
  <c r="D39" i="24"/>
  <c r="C39" i="24"/>
  <c r="E38" i="24"/>
  <c r="K20" i="24"/>
  <c r="E37" i="24"/>
  <c r="K19" i="24"/>
  <c r="E36" i="24"/>
  <c r="K18" i="24"/>
  <c r="E35" i="24"/>
  <c r="E34" i="24"/>
  <c r="E33" i="24"/>
  <c r="E32" i="24"/>
  <c r="E31" i="24"/>
  <c r="E30" i="24"/>
  <c r="E29" i="24"/>
  <c r="K17" i="24"/>
  <c r="E28" i="24"/>
  <c r="K16" i="24"/>
  <c r="E27" i="24"/>
  <c r="E26" i="24"/>
  <c r="E25" i="24"/>
  <c r="J31" i="24"/>
  <c r="E24" i="24"/>
  <c r="J30" i="24"/>
  <c r="E23" i="24"/>
  <c r="E22" i="24"/>
  <c r="K14" i="24"/>
  <c r="E21" i="24"/>
  <c r="J20" i="24"/>
  <c r="E20" i="24"/>
  <c r="J19" i="24"/>
  <c r="E19" i="24"/>
  <c r="J18" i="24"/>
  <c r="E18" i="24"/>
  <c r="J17" i="24"/>
  <c r="E17" i="24"/>
  <c r="J16" i="24"/>
  <c r="E16" i="24"/>
  <c r="K11" i="24"/>
  <c r="J15" i="24"/>
  <c r="E15" i="24"/>
  <c r="K10" i="24"/>
  <c r="J14" i="24"/>
  <c r="E14" i="24"/>
  <c r="J13" i="24"/>
  <c r="E13" i="24"/>
  <c r="J12" i="24"/>
  <c r="E12" i="24"/>
  <c r="J11" i="24"/>
  <c r="E11" i="24"/>
  <c r="J10" i="24"/>
  <c r="E10" i="24"/>
  <c r="J9" i="24"/>
  <c r="E9" i="24"/>
  <c r="J8" i="24"/>
  <c r="E8" i="24"/>
  <c r="J7" i="24"/>
  <c r="E7" i="24"/>
  <c r="J6" i="24"/>
  <c r="E6" i="24"/>
  <c r="J5" i="24"/>
  <c r="E5" i="24"/>
  <c r="J4" i="24"/>
  <c r="E4" i="24"/>
  <c r="J3" i="24"/>
  <c r="E3" i="24"/>
  <c r="J2" i="24"/>
  <c r="E2" i="24"/>
  <c r="J50" i="22"/>
  <c r="D40" i="22"/>
  <c r="C40" i="22"/>
  <c r="E39" i="22"/>
  <c r="J32" i="22"/>
  <c r="E38" i="22"/>
  <c r="E37" i="22"/>
  <c r="E36" i="22"/>
  <c r="E35" i="22"/>
  <c r="E34" i="22"/>
  <c r="E33" i="22"/>
  <c r="E32" i="22"/>
  <c r="E31" i="22"/>
  <c r="E30" i="22"/>
  <c r="K19" i="22"/>
  <c r="E29" i="22"/>
  <c r="E28" i="22"/>
  <c r="E27" i="22"/>
  <c r="E26" i="22"/>
  <c r="E25" i="22"/>
  <c r="E24" i="22"/>
  <c r="K17" i="22"/>
  <c r="E23" i="22"/>
  <c r="K16" i="22"/>
  <c r="E22" i="22"/>
  <c r="E21" i="22"/>
  <c r="K15" i="22"/>
  <c r="J20" i="22"/>
  <c r="E20" i="22"/>
  <c r="K14" i="22"/>
  <c r="J19" i="22"/>
  <c r="E19" i="22"/>
  <c r="J18" i="22"/>
  <c r="E18" i="22"/>
  <c r="J17" i="22"/>
  <c r="E17" i="22"/>
  <c r="J16" i="22"/>
  <c r="E16" i="22"/>
  <c r="J15" i="22"/>
  <c r="E15" i="22"/>
  <c r="J14" i="22"/>
  <c r="E14" i="22"/>
  <c r="J13" i="22"/>
  <c r="E13" i="22"/>
  <c r="J12" i="22"/>
  <c r="E12" i="22"/>
  <c r="K12" i="22"/>
  <c r="J11" i="22"/>
  <c r="E11" i="22"/>
  <c r="J10" i="22"/>
  <c r="E10" i="22"/>
  <c r="J9" i="22"/>
  <c r="E9" i="22"/>
  <c r="K9" i="22"/>
  <c r="J8" i="22"/>
  <c r="E8" i="22"/>
  <c r="K8" i="22"/>
  <c r="J7" i="22"/>
  <c r="E7" i="22"/>
  <c r="J6" i="22"/>
  <c r="E6" i="22"/>
  <c r="K6" i="22"/>
  <c r="J5" i="22"/>
  <c r="E5" i="22"/>
  <c r="J4" i="22"/>
  <c r="E4" i="22"/>
  <c r="J3" i="22"/>
  <c r="E3" i="22"/>
  <c r="J2" i="22"/>
  <c r="E2" i="22"/>
  <c r="J44" i="21"/>
  <c r="D33" i="21"/>
  <c r="C33" i="21"/>
  <c r="E32" i="21"/>
  <c r="K18" i="21"/>
  <c r="E31" i="21"/>
  <c r="K17" i="21"/>
  <c r="E30" i="21"/>
  <c r="K16" i="21"/>
  <c r="E29" i="21"/>
  <c r="E28" i="21"/>
  <c r="J29" i="21"/>
  <c r="E27" i="21"/>
  <c r="E26" i="21"/>
  <c r="J27" i="21"/>
  <c r="E25" i="21"/>
  <c r="E24" i="21"/>
  <c r="E23" i="21"/>
  <c r="K13" i="21"/>
  <c r="E22" i="21"/>
  <c r="E21" i="21"/>
  <c r="E20" i="21"/>
  <c r="K12" i="21"/>
  <c r="E19" i="21"/>
  <c r="K11" i="21"/>
  <c r="J18" i="21"/>
  <c r="E18" i="21"/>
  <c r="J17" i="21"/>
  <c r="E17" i="21"/>
  <c r="J16" i="21"/>
  <c r="E16" i="21"/>
  <c r="J15" i="21"/>
  <c r="E15" i="21"/>
  <c r="J14" i="21"/>
  <c r="E14" i="21"/>
  <c r="J13" i="21"/>
  <c r="E13" i="21"/>
  <c r="K10" i="21"/>
  <c r="J12" i="21"/>
  <c r="E12" i="21"/>
  <c r="J11" i="21"/>
  <c r="E11" i="21"/>
  <c r="J10" i="21"/>
  <c r="E10" i="21"/>
  <c r="J9" i="21"/>
  <c r="E9" i="21"/>
  <c r="J8" i="21"/>
  <c r="E8" i="21"/>
  <c r="J7" i="21"/>
  <c r="E7" i="21"/>
  <c r="J6" i="21"/>
  <c r="E6" i="21"/>
  <c r="J5" i="21"/>
  <c r="E5" i="21"/>
  <c r="J23" i="21"/>
  <c r="J4" i="21"/>
  <c r="E4" i="21"/>
  <c r="J3" i="21"/>
  <c r="E3" i="21"/>
  <c r="J2" i="21"/>
  <c r="E2" i="21"/>
  <c r="J37" i="20"/>
  <c r="D22" i="20"/>
  <c r="C22" i="20"/>
  <c r="E21" i="20"/>
  <c r="J23" i="20"/>
  <c r="E20" i="20"/>
  <c r="E19" i="20"/>
  <c r="K14" i="20"/>
  <c r="E18" i="20"/>
  <c r="K13" i="20"/>
  <c r="E17" i="20"/>
  <c r="E16" i="20"/>
  <c r="E15" i="20"/>
  <c r="J14" i="20"/>
  <c r="E14" i="20"/>
  <c r="J13" i="20"/>
  <c r="E13" i="20"/>
  <c r="J12" i="20"/>
  <c r="E12" i="20"/>
  <c r="J11" i="20"/>
  <c r="E11" i="20"/>
  <c r="K9" i="20"/>
  <c r="J10" i="20"/>
  <c r="E10" i="20"/>
  <c r="J9" i="20"/>
  <c r="E9" i="20"/>
  <c r="K8" i="20"/>
  <c r="J8" i="20"/>
  <c r="E8" i="20"/>
  <c r="K7" i="20"/>
  <c r="J7" i="20"/>
  <c r="E7" i="20"/>
  <c r="K6" i="20"/>
  <c r="J6" i="20"/>
  <c r="E6" i="20"/>
  <c r="K5" i="20"/>
  <c r="J5" i="20"/>
  <c r="E5" i="20"/>
  <c r="J4" i="20"/>
  <c r="E4" i="20"/>
  <c r="J3" i="20"/>
  <c r="E3" i="20"/>
  <c r="K3" i="20"/>
  <c r="J2" i="20"/>
  <c r="E2" i="20"/>
  <c r="J43" i="19"/>
  <c r="D33" i="19"/>
  <c r="C33" i="19"/>
  <c r="E32" i="19"/>
  <c r="K26" i="19"/>
  <c r="E31" i="19"/>
  <c r="E30" i="19"/>
  <c r="E29" i="19"/>
  <c r="E28" i="19"/>
  <c r="E27" i="19"/>
  <c r="J26" i="19"/>
  <c r="E26" i="19"/>
  <c r="J25" i="19"/>
  <c r="E25" i="19"/>
  <c r="K25" i="19"/>
  <c r="J24" i="19"/>
  <c r="E24" i="19"/>
  <c r="J23" i="19"/>
  <c r="E23" i="19"/>
  <c r="J22" i="19"/>
  <c r="E22" i="19"/>
  <c r="K22" i="19"/>
  <c r="J21" i="19"/>
  <c r="E21" i="19"/>
  <c r="J31" i="19"/>
  <c r="J20" i="19"/>
  <c r="E20" i="19"/>
  <c r="K20" i="19"/>
  <c r="J19" i="19"/>
  <c r="E19" i="19"/>
  <c r="K19" i="19"/>
  <c r="J18" i="19"/>
  <c r="E18" i="19"/>
  <c r="K18" i="19"/>
  <c r="J17" i="19"/>
  <c r="E17" i="19"/>
  <c r="K17" i="19"/>
  <c r="J16" i="19"/>
  <c r="E16" i="19"/>
  <c r="K16" i="19"/>
  <c r="J15" i="19"/>
  <c r="E15" i="19"/>
  <c r="J14" i="19"/>
  <c r="E14" i="19"/>
  <c r="K14" i="19"/>
  <c r="J13" i="19"/>
  <c r="E13" i="19"/>
  <c r="K13" i="19"/>
  <c r="J12" i="19"/>
  <c r="E12" i="19"/>
  <c r="K12" i="19"/>
  <c r="J11" i="19"/>
  <c r="E11" i="19"/>
  <c r="K11" i="19"/>
  <c r="J10" i="19"/>
  <c r="E10" i="19"/>
  <c r="K10" i="19"/>
  <c r="J9" i="19"/>
  <c r="E9" i="19"/>
  <c r="K9" i="19"/>
  <c r="J8" i="19"/>
  <c r="E8" i="19"/>
  <c r="K8" i="19"/>
  <c r="J7" i="19"/>
  <c r="E7" i="19"/>
  <c r="K7" i="19"/>
  <c r="J6" i="19"/>
  <c r="E6" i="19"/>
  <c r="J5" i="19"/>
  <c r="E5" i="19"/>
  <c r="K5" i="19"/>
  <c r="J4" i="19"/>
  <c r="E4" i="19"/>
  <c r="J3" i="19"/>
  <c r="E3" i="19"/>
  <c r="K3" i="19"/>
  <c r="J2" i="19"/>
  <c r="E2" i="19"/>
  <c r="J54" i="18"/>
  <c r="D47" i="18"/>
  <c r="C47" i="18"/>
  <c r="E46" i="18"/>
  <c r="K23" i="18"/>
  <c r="E45" i="18"/>
  <c r="E44" i="18"/>
  <c r="E43" i="18"/>
  <c r="E42" i="18"/>
  <c r="E41" i="18"/>
  <c r="K22" i="18"/>
  <c r="E40" i="18"/>
  <c r="E39" i="18"/>
  <c r="K21" i="18"/>
  <c r="E38" i="18"/>
  <c r="E37" i="18"/>
  <c r="E36" i="18"/>
  <c r="E35" i="18"/>
  <c r="K20" i="18"/>
  <c r="E34" i="18"/>
  <c r="K19" i="18"/>
  <c r="E33" i="18"/>
  <c r="E32" i="18"/>
  <c r="E31" i="18"/>
  <c r="E30" i="18"/>
  <c r="K18" i="18"/>
  <c r="E29" i="18"/>
  <c r="K17" i="18"/>
  <c r="E28" i="18"/>
  <c r="K16" i="18"/>
  <c r="E27" i="18"/>
  <c r="E26" i="18"/>
  <c r="E25" i="18"/>
  <c r="E24" i="18"/>
  <c r="J23" i="18"/>
  <c r="E23" i="18"/>
  <c r="J33" i="18"/>
  <c r="J22" i="18"/>
  <c r="E22" i="18"/>
  <c r="J21" i="18"/>
  <c r="E21" i="18"/>
  <c r="J20" i="18"/>
  <c r="E20" i="18"/>
  <c r="K14" i="18"/>
  <c r="J19" i="18"/>
  <c r="E19" i="18"/>
  <c r="K13" i="18"/>
  <c r="J18" i="18"/>
  <c r="E18" i="18"/>
  <c r="K12" i="18"/>
  <c r="J17" i="18"/>
  <c r="E17" i="18"/>
  <c r="J31" i="18"/>
  <c r="J16" i="18"/>
  <c r="E16" i="18"/>
  <c r="J30" i="18"/>
  <c r="J15" i="18"/>
  <c r="E15" i="18"/>
  <c r="J14" i="18"/>
  <c r="E14" i="18"/>
  <c r="J13" i="18"/>
  <c r="E13" i="18"/>
  <c r="J12" i="18"/>
  <c r="E12" i="18"/>
  <c r="J11" i="18"/>
  <c r="E11" i="18"/>
  <c r="J10" i="18"/>
  <c r="E10" i="18"/>
  <c r="J9" i="18"/>
  <c r="E9" i="18"/>
  <c r="J8" i="18"/>
  <c r="E8" i="18"/>
  <c r="J7" i="18"/>
  <c r="E7" i="18"/>
  <c r="K7" i="18"/>
  <c r="J6" i="18"/>
  <c r="E6" i="18"/>
  <c r="K6" i="18"/>
  <c r="J5" i="18"/>
  <c r="E5" i="18"/>
  <c r="K5" i="18"/>
  <c r="J4" i="18"/>
  <c r="E4" i="18"/>
  <c r="J3" i="18"/>
  <c r="E3" i="18"/>
  <c r="J28" i="18"/>
  <c r="J2" i="18"/>
  <c r="E2" i="18"/>
  <c r="J27" i="18"/>
  <c r="J37" i="17"/>
  <c r="D22" i="17"/>
  <c r="C22" i="17"/>
  <c r="E21" i="17"/>
  <c r="K17" i="17"/>
  <c r="E20" i="17"/>
  <c r="K16" i="17"/>
  <c r="E19" i="17"/>
  <c r="E18" i="17"/>
  <c r="K15" i="17"/>
  <c r="J17" i="17"/>
  <c r="E17" i="17"/>
  <c r="J16" i="17"/>
  <c r="E16" i="17"/>
  <c r="K14" i="17"/>
  <c r="J15" i="17"/>
  <c r="E15" i="17"/>
  <c r="J14" i="17"/>
  <c r="E14" i="17"/>
  <c r="K13" i="17"/>
  <c r="J13" i="17"/>
  <c r="E13" i="17"/>
  <c r="K12" i="17"/>
  <c r="J12" i="17"/>
  <c r="E12" i="17"/>
  <c r="K11" i="17"/>
  <c r="J11" i="17"/>
  <c r="E11" i="17"/>
  <c r="J10" i="17"/>
  <c r="E10" i="17"/>
  <c r="K9" i="17"/>
  <c r="J9" i="17"/>
  <c r="E9" i="17"/>
  <c r="K8" i="17"/>
  <c r="J8" i="17"/>
  <c r="E8" i="17"/>
  <c r="K7" i="17"/>
  <c r="J7" i="17"/>
  <c r="E7" i="17"/>
  <c r="K6" i="17"/>
  <c r="J6" i="17"/>
  <c r="E6" i="17"/>
  <c r="K5" i="17"/>
  <c r="J5" i="17"/>
  <c r="E5" i="17"/>
  <c r="J4" i="17"/>
  <c r="E4" i="17"/>
  <c r="J3" i="17"/>
  <c r="E3" i="17"/>
  <c r="J2" i="17"/>
  <c r="E2" i="17"/>
  <c r="J46" i="15"/>
  <c r="D40" i="15"/>
  <c r="C40" i="15"/>
  <c r="E39" i="15"/>
  <c r="E38" i="15"/>
  <c r="K17" i="15"/>
  <c r="E37" i="15"/>
  <c r="E36" i="15"/>
  <c r="K1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J28" i="15"/>
  <c r="E22" i="15"/>
  <c r="K14" i="15"/>
  <c r="E21" i="15"/>
  <c r="E20" i="15"/>
  <c r="K13" i="15"/>
  <c r="E19" i="15"/>
  <c r="E18" i="15"/>
  <c r="K11" i="15"/>
  <c r="J17" i="15"/>
  <c r="E17" i="15"/>
  <c r="J16" i="15"/>
  <c r="E16" i="15"/>
  <c r="J15" i="15"/>
  <c r="E15" i="15"/>
  <c r="J14" i="15"/>
  <c r="E14" i="15"/>
  <c r="J13" i="15"/>
  <c r="E13" i="15"/>
  <c r="J12" i="15"/>
  <c r="E12" i="15"/>
  <c r="J11" i="15"/>
  <c r="E11" i="15"/>
  <c r="J10" i="15"/>
  <c r="E10" i="15"/>
  <c r="J9" i="15"/>
  <c r="E9" i="15"/>
  <c r="J8" i="15"/>
  <c r="E8" i="15"/>
  <c r="J24" i="15"/>
  <c r="J7" i="15"/>
  <c r="E7" i="15"/>
  <c r="J6" i="15"/>
  <c r="E6" i="15"/>
  <c r="J5" i="15"/>
  <c r="E5" i="15"/>
  <c r="J4" i="15"/>
  <c r="E4" i="15"/>
  <c r="J3" i="15"/>
  <c r="E3" i="15"/>
  <c r="J2" i="15"/>
  <c r="E2" i="15"/>
  <c r="J31" i="14"/>
  <c r="D14" i="14"/>
  <c r="C14" i="14"/>
  <c r="E13" i="14"/>
  <c r="E12" i="14"/>
  <c r="J11" i="14"/>
  <c r="E11" i="14"/>
  <c r="K11" i="14"/>
  <c r="J10" i="14"/>
  <c r="E10" i="14"/>
  <c r="J9" i="14"/>
  <c r="E9" i="14"/>
  <c r="K9" i="14"/>
  <c r="J8" i="14"/>
  <c r="E8" i="14"/>
  <c r="K8" i="14"/>
  <c r="J7" i="14"/>
  <c r="E7" i="14"/>
  <c r="J6" i="14"/>
  <c r="E6" i="14"/>
  <c r="K6" i="14"/>
  <c r="J5" i="14"/>
  <c r="E5" i="14"/>
  <c r="K5" i="14"/>
  <c r="J4" i="14"/>
  <c r="E4" i="14"/>
  <c r="K4" i="14"/>
  <c r="J3" i="14"/>
  <c r="E3" i="14"/>
  <c r="K3" i="14"/>
  <c r="J2" i="14"/>
  <c r="E2" i="14"/>
  <c r="D52" i="13"/>
  <c r="C52" i="13"/>
  <c r="J51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K22" i="13"/>
  <c r="E39" i="13"/>
  <c r="K21" i="13"/>
  <c r="E38" i="13"/>
  <c r="E37" i="13"/>
  <c r="E36" i="13"/>
  <c r="E35" i="13"/>
  <c r="E34" i="13"/>
  <c r="E33" i="13"/>
  <c r="K20" i="13"/>
  <c r="E32" i="13"/>
  <c r="E31" i="13"/>
  <c r="E30" i="13"/>
  <c r="E29" i="13"/>
  <c r="E28" i="13"/>
  <c r="E27" i="13"/>
  <c r="E26" i="13"/>
  <c r="E25" i="13"/>
  <c r="E24" i="13"/>
  <c r="J23" i="13"/>
  <c r="E23" i="13"/>
  <c r="J22" i="13"/>
  <c r="E22" i="13"/>
  <c r="K19" i="13"/>
  <c r="J21" i="13"/>
  <c r="E21" i="13"/>
  <c r="K18" i="13"/>
  <c r="J20" i="13"/>
  <c r="E20" i="13"/>
  <c r="J19" i="13"/>
  <c r="E19" i="13"/>
  <c r="J18" i="13"/>
  <c r="E18" i="13"/>
  <c r="J17" i="13"/>
  <c r="E17" i="13"/>
  <c r="J16" i="13"/>
  <c r="E16" i="13"/>
  <c r="J15" i="13"/>
  <c r="E15" i="13"/>
  <c r="J14" i="13"/>
  <c r="E14" i="13"/>
  <c r="K14" i="13"/>
  <c r="J13" i="13"/>
  <c r="E13" i="13"/>
  <c r="J12" i="13"/>
  <c r="E12" i="13"/>
  <c r="K12" i="13"/>
  <c r="J11" i="13"/>
  <c r="E11" i="13"/>
  <c r="K11" i="13"/>
  <c r="J10" i="13"/>
  <c r="E10" i="13"/>
  <c r="J9" i="13"/>
  <c r="E9" i="13"/>
  <c r="J8" i="13"/>
  <c r="E8" i="13"/>
  <c r="J7" i="13"/>
  <c r="E7" i="13"/>
  <c r="K7" i="13"/>
  <c r="J6" i="13"/>
  <c r="E6" i="13"/>
  <c r="J5" i="13"/>
  <c r="E5" i="13"/>
  <c r="K5" i="13"/>
  <c r="J4" i="13"/>
  <c r="E4" i="13"/>
  <c r="J3" i="13"/>
  <c r="E3" i="13"/>
  <c r="J2" i="13"/>
  <c r="E2" i="13"/>
  <c r="J58" i="12"/>
  <c r="D44" i="12"/>
  <c r="C44" i="12"/>
  <c r="E43" i="12"/>
  <c r="E42" i="12"/>
  <c r="K21" i="12"/>
  <c r="E41" i="12"/>
  <c r="E40" i="12"/>
  <c r="E39" i="12"/>
  <c r="K20" i="12"/>
  <c r="E38" i="12"/>
  <c r="E37" i="12"/>
  <c r="J37" i="12"/>
  <c r="E36" i="12"/>
  <c r="E35" i="12"/>
  <c r="E34" i="12"/>
  <c r="E33" i="12"/>
  <c r="E32" i="12"/>
  <c r="K18" i="12"/>
  <c r="E31" i="12"/>
  <c r="E30" i="12"/>
  <c r="E29" i="12"/>
  <c r="E28" i="12"/>
  <c r="E27" i="12"/>
  <c r="E26" i="12"/>
  <c r="E25" i="12"/>
  <c r="E24" i="12"/>
  <c r="E23" i="12"/>
  <c r="E22" i="12"/>
  <c r="J21" i="12"/>
  <c r="E21" i="12"/>
  <c r="J20" i="12"/>
  <c r="E20" i="12"/>
  <c r="J19" i="12"/>
  <c r="E19" i="12"/>
  <c r="J18" i="12"/>
  <c r="E18" i="12"/>
  <c r="J29" i="12"/>
  <c r="J17" i="12"/>
  <c r="E17" i="12"/>
  <c r="J16" i="12"/>
  <c r="E16" i="12"/>
  <c r="J15" i="12"/>
  <c r="E15" i="12"/>
  <c r="J14" i="12"/>
  <c r="E14" i="12"/>
  <c r="J13" i="12"/>
  <c r="E13" i="12"/>
  <c r="J12" i="12"/>
  <c r="E12" i="12"/>
  <c r="J27" i="12"/>
  <c r="J11" i="12"/>
  <c r="E11" i="12"/>
  <c r="K11" i="12"/>
  <c r="J10" i="12"/>
  <c r="E10" i="12"/>
  <c r="J9" i="12"/>
  <c r="E9" i="12"/>
  <c r="K9" i="12"/>
  <c r="J8" i="12"/>
  <c r="E8" i="12"/>
  <c r="J7" i="12"/>
  <c r="E7" i="12"/>
  <c r="J6" i="12"/>
  <c r="E6" i="12"/>
  <c r="J5" i="12"/>
  <c r="E5" i="12"/>
  <c r="J4" i="12"/>
  <c r="E4" i="12"/>
  <c r="J3" i="12"/>
  <c r="E3" i="12"/>
  <c r="K3" i="12"/>
  <c r="J2" i="12"/>
  <c r="E2" i="12"/>
  <c r="J49" i="11"/>
  <c r="D39" i="11"/>
  <c r="C39" i="11"/>
  <c r="E38" i="11"/>
  <c r="J31" i="11"/>
  <c r="E37" i="11"/>
  <c r="J30" i="11"/>
  <c r="E36" i="11"/>
  <c r="E35" i="11"/>
  <c r="K15" i="11"/>
  <c r="E34" i="11"/>
  <c r="E33" i="11"/>
  <c r="K14" i="11"/>
  <c r="E32" i="11"/>
  <c r="E31" i="11"/>
  <c r="E30" i="11"/>
  <c r="K13" i="11"/>
  <c r="E29" i="11"/>
  <c r="K12" i="11"/>
  <c r="E28" i="11"/>
  <c r="E27" i="11"/>
  <c r="E26" i="11"/>
  <c r="E25" i="11"/>
  <c r="E24" i="11"/>
  <c r="E23" i="11"/>
  <c r="E22" i="11"/>
  <c r="E21" i="11"/>
  <c r="K11" i="11"/>
  <c r="E20" i="11"/>
  <c r="E19" i="11"/>
  <c r="E18" i="11"/>
  <c r="E17" i="11"/>
  <c r="E16" i="11"/>
  <c r="J15" i="11"/>
  <c r="E15" i="11"/>
  <c r="J14" i="11"/>
  <c r="E14" i="11"/>
  <c r="K8" i="11"/>
  <c r="J13" i="11"/>
  <c r="E13" i="11"/>
  <c r="J12" i="11"/>
  <c r="E12" i="11"/>
  <c r="J25" i="11"/>
  <c r="J11" i="11"/>
  <c r="E11" i="11"/>
  <c r="J10" i="11"/>
  <c r="E10" i="11"/>
  <c r="J9" i="11"/>
  <c r="E9" i="11"/>
  <c r="J8" i="11"/>
  <c r="E8" i="11"/>
  <c r="J7" i="11"/>
  <c r="E7" i="11"/>
  <c r="J6" i="11"/>
  <c r="E6" i="11"/>
  <c r="J22" i="11"/>
  <c r="J5" i="11"/>
  <c r="E5" i="11"/>
  <c r="J21" i="11"/>
  <c r="J4" i="11"/>
  <c r="E4" i="11"/>
  <c r="J20" i="11"/>
  <c r="J3" i="11"/>
  <c r="E3" i="11"/>
  <c r="J2" i="11"/>
  <c r="E2" i="11"/>
  <c r="J45" i="10"/>
  <c r="D32" i="10"/>
  <c r="C32" i="10"/>
  <c r="E31" i="10"/>
  <c r="J28" i="10"/>
  <c r="E30" i="10"/>
  <c r="E29" i="10"/>
  <c r="E28" i="10"/>
  <c r="E27" i="10"/>
  <c r="K14" i="10"/>
  <c r="E26" i="10"/>
  <c r="E25" i="10"/>
  <c r="E24" i="10"/>
  <c r="E23" i="10"/>
  <c r="E22" i="10"/>
  <c r="K13" i="10"/>
  <c r="E21" i="10"/>
  <c r="E20" i="10"/>
  <c r="E19" i="10"/>
  <c r="K12" i="10"/>
  <c r="E18" i="10"/>
  <c r="E17" i="10"/>
  <c r="E16" i="10"/>
  <c r="E15" i="10"/>
  <c r="J14" i="10"/>
  <c r="E14" i="10"/>
  <c r="J22" i="10"/>
  <c r="J13" i="10"/>
  <c r="E13" i="10"/>
  <c r="K11" i="10"/>
  <c r="J12" i="10"/>
  <c r="E12" i="10"/>
  <c r="K10" i="10"/>
  <c r="J11" i="10"/>
  <c r="E11" i="10"/>
  <c r="J10" i="10"/>
  <c r="E10" i="10"/>
  <c r="J9" i="10"/>
  <c r="E9" i="10"/>
  <c r="J8" i="10"/>
  <c r="E8" i="10"/>
  <c r="K8" i="10"/>
  <c r="J7" i="10"/>
  <c r="E7" i="10"/>
  <c r="J6" i="10"/>
  <c r="E6" i="10"/>
  <c r="J5" i="10"/>
  <c r="E5" i="10"/>
  <c r="K5" i="10"/>
  <c r="J4" i="10"/>
  <c r="E4" i="10"/>
  <c r="J3" i="10"/>
  <c r="E3" i="10"/>
  <c r="K3" i="10"/>
  <c r="J2" i="10"/>
  <c r="E2" i="10"/>
  <c r="J42" i="8"/>
  <c r="D18" i="8"/>
  <c r="C18" i="8"/>
  <c r="J13" i="8"/>
  <c r="O2" i="8"/>
  <c r="C8" i="42"/>
  <c r="E17" i="8"/>
  <c r="E16" i="8"/>
  <c r="E15" i="8"/>
  <c r="J27" i="8"/>
  <c r="E14" i="8"/>
  <c r="K10" i="8"/>
  <c r="E13" i="8"/>
  <c r="K9" i="8"/>
  <c r="J12" i="8"/>
  <c r="E12" i="8"/>
  <c r="K8" i="8"/>
  <c r="J11" i="8"/>
  <c r="E11" i="8"/>
  <c r="J25" i="8"/>
  <c r="J10" i="8"/>
  <c r="E10" i="8"/>
  <c r="J23" i="8"/>
  <c r="J9" i="8"/>
  <c r="E9" i="8"/>
  <c r="K6" i="8"/>
  <c r="J8" i="8"/>
  <c r="E8" i="8"/>
  <c r="K5" i="8"/>
  <c r="J7" i="8"/>
  <c r="E7" i="8"/>
  <c r="J6" i="8"/>
  <c r="E6" i="8"/>
  <c r="K4" i="8"/>
  <c r="J5" i="8"/>
  <c r="E5" i="8"/>
  <c r="J4" i="8"/>
  <c r="E4" i="8"/>
  <c r="J3" i="8"/>
  <c r="E3" i="8"/>
  <c r="J22" i="8"/>
  <c r="J2" i="8"/>
  <c r="E2" i="8"/>
  <c r="J59" i="7"/>
  <c r="J34" i="7"/>
  <c r="D32" i="7"/>
  <c r="C32" i="7"/>
  <c r="J18" i="7"/>
  <c r="O2" i="7"/>
  <c r="C7" i="42"/>
  <c r="E31" i="7"/>
  <c r="E30" i="7"/>
  <c r="E29" i="7"/>
  <c r="E28" i="7"/>
  <c r="J39" i="7"/>
  <c r="E26" i="7"/>
  <c r="E25" i="7"/>
  <c r="K12" i="7"/>
  <c r="E23" i="7"/>
  <c r="E22" i="7"/>
  <c r="E21" i="7"/>
  <c r="E20" i="7"/>
  <c r="K17" i="7"/>
  <c r="E19" i="7"/>
  <c r="E18" i="7"/>
  <c r="J37" i="7"/>
  <c r="J17" i="7"/>
  <c r="E17" i="7"/>
  <c r="K15" i="7"/>
  <c r="J16" i="7"/>
  <c r="E16" i="7"/>
  <c r="J35" i="7"/>
  <c r="J15" i="7"/>
  <c r="J14" i="7"/>
  <c r="K13" i="7"/>
  <c r="J13" i="7"/>
  <c r="E13" i="7"/>
  <c r="J12" i="7"/>
  <c r="E12" i="7"/>
  <c r="K10" i="7"/>
  <c r="J11" i="7"/>
  <c r="E11" i="7"/>
  <c r="K9" i="7"/>
  <c r="J10" i="7"/>
  <c r="E10" i="7"/>
  <c r="J9" i="7"/>
  <c r="E9" i="7"/>
  <c r="K7" i="7"/>
  <c r="J8" i="7"/>
  <c r="E8" i="7"/>
  <c r="J7" i="7"/>
  <c r="E7" i="7"/>
  <c r="E6" i="7"/>
  <c r="J5" i="7"/>
  <c r="E5" i="7"/>
  <c r="J4" i="7"/>
  <c r="E4" i="7"/>
  <c r="J3" i="7"/>
  <c r="E3" i="7"/>
  <c r="J2" i="7"/>
  <c r="E2" i="7"/>
  <c r="J60" i="6"/>
  <c r="D31" i="6"/>
  <c r="C31" i="6"/>
  <c r="J20" i="6"/>
  <c r="O2" i="6"/>
  <c r="C6" i="42"/>
  <c r="E30" i="6"/>
  <c r="K19" i="6"/>
  <c r="E29" i="6"/>
  <c r="E28" i="6"/>
  <c r="E27" i="6"/>
  <c r="E26" i="6"/>
  <c r="K5" i="6"/>
  <c r="E25" i="6"/>
  <c r="E24" i="6"/>
  <c r="E23" i="6"/>
  <c r="E22" i="6"/>
  <c r="E21" i="6"/>
  <c r="E20" i="6"/>
  <c r="E19" i="6"/>
  <c r="E18" i="6"/>
  <c r="J17" i="6"/>
  <c r="E17" i="6"/>
  <c r="J16" i="6"/>
  <c r="E16" i="6"/>
  <c r="K15" i="6"/>
  <c r="E15" i="6"/>
  <c r="K14" i="6"/>
  <c r="E14" i="6"/>
  <c r="K13" i="6"/>
  <c r="E13" i="6"/>
  <c r="K12" i="6"/>
  <c r="E12" i="6"/>
  <c r="J11" i="6"/>
  <c r="E11" i="6"/>
  <c r="E10" i="6"/>
  <c r="K10" i="6"/>
  <c r="E9" i="6"/>
  <c r="K9" i="6"/>
  <c r="E8" i="6"/>
  <c r="K8" i="6"/>
  <c r="J7" i="6"/>
  <c r="E7" i="6"/>
  <c r="J6" i="6"/>
  <c r="E6" i="6"/>
  <c r="E5" i="6"/>
  <c r="J4" i="6"/>
  <c r="E4" i="6"/>
  <c r="J3" i="6"/>
  <c r="E3" i="6"/>
  <c r="J2" i="6"/>
  <c r="E2" i="6"/>
  <c r="J32" i="5"/>
  <c r="D8" i="5"/>
  <c r="C8" i="5"/>
  <c r="J7" i="5"/>
  <c r="O2" i="5"/>
  <c r="C5" i="42"/>
  <c r="E7" i="5"/>
  <c r="K6" i="5"/>
  <c r="E6" i="5"/>
  <c r="K5" i="5"/>
  <c r="E5" i="5"/>
  <c r="E4" i="5"/>
  <c r="J22" i="5"/>
  <c r="E3" i="5"/>
  <c r="P2" i="5"/>
  <c r="E2" i="5"/>
  <c r="J216" i="1"/>
  <c r="I216" i="1"/>
  <c r="H216" i="1"/>
  <c r="J95" i="1"/>
  <c r="J18" i="1"/>
  <c r="K7" i="33"/>
  <c r="K11" i="29"/>
  <c r="K10" i="34"/>
  <c r="K6" i="12"/>
  <c r="K10" i="20"/>
  <c r="J24" i="11"/>
  <c r="J43" i="6"/>
  <c r="K7" i="8"/>
  <c r="K10" i="12"/>
  <c r="K10" i="11"/>
  <c r="K6" i="6"/>
  <c r="J20" i="14"/>
  <c r="K2" i="10"/>
  <c r="K17" i="25"/>
  <c r="K6" i="27"/>
  <c r="K6" i="19"/>
  <c r="K5" i="24"/>
  <c r="K13" i="31"/>
  <c r="J24" i="10"/>
  <c r="J27" i="10"/>
  <c r="J19" i="11"/>
  <c r="K15" i="19"/>
  <c r="K12" i="24"/>
  <c r="K6" i="33"/>
  <c r="K12" i="20"/>
  <c r="J20" i="29"/>
  <c r="J22" i="29"/>
  <c r="K10" i="32"/>
  <c r="K4" i="21"/>
  <c r="K5" i="31"/>
  <c r="K7" i="31"/>
  <c r="J19" i="14"/>
  <c r="K4" i="17"/>
  <c r="K18" i="22"/>
  <c r="J26" i="24"/>
  <c r="K3" i="25"/>
  <c r="K9" i="32"/>
  <c r="K5" i="7"/>
  <c r="K5" i="27"/>
  <c r="K3" i="17"/>
  <c r="M729" i="40"/>
  <c r="N729" i="40"/>
  <c r="J34" i="19"/>
  <c r="K6" i="34"/>
  <c r="K4" i="22"/>
  <c r="J27" i="32"/>
  <c r="E38" i="6"/>
  <c r="J32" i="13"/>
  <c r="K3" i="21"/>
  <c r="J36" i="12"/>
  <c r="K17" i="13"/>
  <c r="K2" i="18"/>
  <c r="K14" i="21"/>
  <c r="K7" i="28"/>
  <c r="J34" i="12"/>
  <c r="J35" i="13"/>
  <c r="K21" i="19"/>
  <c r="K10" i="22"/>
  <c r="K9" i="24"/>
  <c r="J23" i="25"/>
  <c r="M87" i="37"/>
  <c r="G27" i="37"/>
  <c r="J35" i="12"/>
  <c r="J28" i="8"/>
  <c r="J33" i="13"/>
  <c r="J25" i="15"/>
  <c r="K5" i="22"/>
  <c r="J22" i="27"/>
  <c r="J26" i="29"/>
  <c r="K14" i="12"/>
  <c r="K16" i="7"/>
  <c r="K11" i="18"/>
  <c r="K11" i="26"/>
  <c r="K5" i="28"/>
  <c r="K8" i="29"/>
  <c r="K12" i="32"/>
  <c r="J19" i="34"/>
  <c r="K7" i="11"/>
  <c r="K8" i="12"/>
  <c r="I21" i="36"/>
  <c r="I45" i="36"/>
  <c r="J45" i="36"/>
  <c r="J24" i="8"/>
  <c r="J27" i="11"/>
  <c r="K15" i="18"/>
  <c r="J19" i="21"/>
  <c r="O2" i="21"/>
  <c r="C21" i="42"/>
  <c r="K3" i="22"/>
  <c r="J25" i="22"/>
  <c r="K4" i="29"/>
  <c r="J29" i="29"/>
  <c r="K6" i="31"/>
  <c r="K3" i="6"/>
  <c r="J30" i="12"/>
  <c r="K13" i="13"/>
  <c r="K5" i="15"/>
  <c r="J32" i="19"/>
  <c r="K7" i="21"/>
  <c r="J27" i="22"/>
  <c r="J24" i="24"/>
  <c r="K16" i="25"/>
  <c r="K10" i="26"/>
  <c r="K14" i="27"/>
  <c r="K10" i="31"/>
  <c r="K2" i="27"/>
  <c r="K16" i="32"/>
  <c r="M15" i="37"/>
  <c r="E22" i="17"/>
  <c r="K3" i="7"/>
  <c r="J23" i="11"/>
  <c r="K11" i="8"/>
  <c r="K10" i="15"/>
  <c r="J26" i="17"/>
  <c r="K9" i="21"/>
  <c r="J26" i="22"/>
  <c r="E37" i="6"/>
  <c r="J32" i="7"/>
  <c r="E18" i="8"/>
  <c r="K25" i="8"/>
  <c r="K6" i="11"/>
  <c r="K5" i="12"/>
  <c r="J18" i="14"/>
  <c r="K15" i="15"/>
  <c r="K10" i="17"/>
  <c r="J36" i="18"/>
  <c r="K23" i="19"/>
  <c r="K15" i="21"/>
  <c r="K3" i="24"/>
  <c r="J26" i="25"/>
  <c r="J15" i="27"/>
  <c r="O2" i="27"/>
  <c r="C27" i="42"/>
  <c r="K9" i="29"/>
  <c r="J23" i="32"/>
  <c r="K7" i="32"/>
  <c r="K15" i="24"/>
  <c r="P2" i="28"/>
  <c r="J19" i="20"/>
  <c r="K16" i="33"/>
  <c r="K6" i="21"/>
  <c r="K9" i="10"/>
  <c r="J29" i="11"/>
  <c r="J24" i="17"/>
  <c r="J37" i="18"/>
  <c r="K24" i="19"/>
  <c r="J33" i="19"/>
  <c r="K4" i="25"/>
  <c r="J29" i="25"/>
  <c r="K9" i="28"/>
  <c r="J28" i="29"/>
  <c r="J13" i="35"/>
  <c r="O2" i="35"/>
  <c r="C35" i="42"/>
  <c r="P2" i="7"/>
  <c r="J16" i="11"/>
  <c r="O2" i="11"/>
  <c r="C11" i="42"/>
  <c r="P2" i="14"/>
  <c r="P2" i="17"/>
  <c r="J35" i="18"/>
  <c r="K5" i="21"/>
  <c r="J27" i="25"/>
  <c r="K4" i="26"/>
  <c r="J20" i="28"/>
  <c r="K6" i="29"/>
  <c r="J20" i="34"/>
  <c r="K2" i="35"/>
  <c r="K7" i="35"/>
  <c r="E27" i="37"/>
  <c r="J40" i="6"/>
  <c r="J25" i="10"/>
  <c r="P2" i="11"/>
  <c r="K5" i="11"/>
  <c r="K9" i="11"/>
  <c r="K4" i="13"/>
  <c r="J16" i="14"/>
  <c r="J18" i="15"/>
  <c r="O2" i="15"/>
  <c r="C15" i="42"/>
  <c r="P2" i="15"/>
  <c r="J23" i="17"/>
  <c r="J20" i="20"/>
  <c r="K7" i="22"/>
  <c r="J29" i="22"/>
  <c r="J28" i="24"/>
  <c r="K8" i="25"/>
  <c r="J25" i="25"/>
  <c r="J23" i="28"/>
  <c r="K4" i="34"/>
  <c r="K5" i="35"/>
  <c r="J41" i="6"/>
  <c r="K8" i="7"/>
  <c r="K2" i="7"/>
  <c r="E32" i="10"/>
  <c r="K16" i="12"/>
  <c r="J34" i="13"/>
  <c r="K10" i="14"/>
  <c r="K12" i="15"/>
  <c r="J25" i="17"/>
  <c r="K9" i="25"/>
  <c r="J21" i="27"/>
  <c r="K4" i="28"/>
  <c r="K2" i="31"/>
  <c r="J17" i="31"/>
  <c r="J23" i="33"/>
  <c r="P2" i="35"/>
  <c r="K16" i="6"/>
  <c r="J36" i="7"/>
  <c r="K3" i="8"/>
  <c r="K7" i="10"/>
  <c r="J23" i="10"/>
  <c r="K7" i="12"/>
  <c r="K15" i="13"/>
  <c r="K9" i="15"/>
  <c r="J32" i="18"/>
  <c r="K4" i="19"/>
  <c r="J22" i="20"/>
  <c r="K13" i="24"/>
  <c r="P2" i="26"/>
  <c r="J22" i="28"/>
  <c r="J15" i="34"/>
  <c r="O2" i="34"/>
  <c r="C34" i="42"/>
  <c r="K7" i="6"/>
  <c r="J38" i="7"/>
  <c r="K4" i="7"/>
  <c r="J19" i="10"/>
  <c r="K2" i="13"/>
  <c r="J22" i="15"/>
  <c r="K2" i="24"/>
  <c r="K8" i="24"/>
  <c r="J28" i="25"/>
  <c r="J15" i="26"/>
  <c r="O2" i="26"/>
  <c r="C26" i="42"/>
  <c r="J19" i="29"/>
  <c r="J23" i="5"/>
  <c r="K18" i="6"/>
  <c r="J40" i="7"/>
  <c r="J21" i="10"/>
  <c r="K4" i="20"/>
  <c r="K11" i="22"/>
  <c r="K20" i="22"/>
  <c r="J30" i="22"/>
  <c r="K15" i="25"/>
  <c r="J27" i="31"/>
  <c r="K8" i="32"/>
  <c r="K11" i="33"/>
  <c r="J17" i="35"/>
  <c r="J21" i="35"/>
  <c r="K17" i="6"/>
  <c r="K12" i="8"/>
  <c r="K4" i="10"/>
  <c r="J20" i="10"/>
  <c r="K4" i="11"/>
  <c r="J26" i="11"/>
  <c r="K3" i="11"/>
  <c r="K13" i="12"/>
  <c r="K19" i="12"/>
  <c r="K23" i="13"/>
  <c r="J21" i="15"/>
  <c r="J29" i="15"/>
  <c r="P2" i="22"/>
  <c r="K2" i="29"/>
  <c r="J25" i="29"/>
  <c r="J30" i="29"/>
  <c r="K3" i="31"/>
  <c r="J20" i="31"/>
  <c r="J21" i="33"/>
  <c r="J22" i="35"/>
  <c r="P2" i="12"/>
  <c r="J28" i="12"/>
  <c r="K12" i="12"/>
  <c r="J33" i="7"/>
  <c r="K6" i="7"/>
  <c r="E32" i="7"/>
  <c r="J21" i="17"/>
  <c r="K2" i="17"/>
  <c r="J28" i="11"/>
  <c r="J21" i="8"/>
  <c r="K2" i="8"/>
  <c r="J21" i="5"/>
  <c r="K4" i="6"/>
  <c r="P2" i="8"/>
  <c r="J15" i="10"/>
  <c r="O2" i="10"/>
  <c r="C10" i="42"/>
  <c r="K6" i="10"/>
  <c r="J24" i="28"/>
  <c r="K12" i="28"/>
  <c r="P2" i="6"/>
  <c r="J42" i="6"/>
  <c r="J30" i="19"/>
  <c r="E33" i="19"/>
  <c r="K2" i="19"/>
  <c r="E36" i="6"/>
  <c r="J26" i="10"/>
  <c r="J31" i="12"/>
  <c r="K15" i="12"/>
  <c r="J38" i="12"/>
  <c r="K4" i="12"/>
  <c r="P2" i="18"/>
  <c r="J24" i="18"/>
  <c r="O2" i="18"/>
  <c r="C18" i="42"/>
  <c r="J18" i="20"/>
  <c r="K2" i="20"/>
  <c r="E22" i="20"/>
  <c r="J22" i="25"/>
  <c r="E33" i="25"/>
  <c r="K2" i="25"/>
  <c r="K11" i="6"/>
  <c r="K14" i="7"/>
  <c r="P2" i="10"/>
  <c r="J18" i="10"/>
  <c r="J26" i="12"/>
  <c r="E52" i="13"/>
  <c r="K8" i="13"/>
  <c r="J27" i="13"/>
  <c r="K2" i="15"/>
  <c r="J30" i="15"/>
  <c r="J18" i="17"/>
  <c r="O2" i="17"/>
  <c r="C17" i="42"/>
  <c r="J27" i="19"/>
  <c r="O2" i="19"/>
  <c r="C19" i="42"/>
  <c r="P2" i="19"/>
  <c r="K7" i="24"/>
  <c r="J41" i="7"/>
  <c r="J30" i="13"/>
  <c r="K8" i="18"/>
  <c r="J28" i="21"/>
  <c r="E8" i="5"/>
  <c r="J26" i="8"/>
  <c r="E39" i="11"/>
  <c r="K9" i="13"/>
  <c r="J15" i="14"/>
  <c r="E14" i="14"/>
  <c r="K2" i="14"/>
  <c r="J34" i="18"/>
  <c r="K11" i="20"/>
  <c r="J21" i="24"/>
  <c r="O2" i="24"/>
  <c r="C24" i="42"/>
  <c r="P2" i="24"/>
  <c r="J29" i="24"/>
  <c r="J19" i="28"/>
  <c r="J25" i="32"/>
  <c r="J17" i="33"/>
  <c r="O2" i="33"/>
  <c r="C33" i="42"/>
  <c r="P2" i="33"/>
  <c r="P2" i="13"/>
  <c r="J23" i="15"/>
  <c r="K6" i="15"/>
  <c r="K2" i="11"/>
  <c r="J28" i="13"/>
  <c r="K3" i="13"/>
  <c r="K6" i="13"/>
  <c r="J29" i="13"/>
  <c r="J12" i="14"/>
  <c r="O2" i="14"/>
  <c r="C14" i="42"/>
  <c r="K8" i="15"/>
  <c r="K3" i="18"/>
  <c r="P2" i="21"/>
  <c r="J31" i="22"/>
  <c r="K13" i="22"/>
  <c r="K3" i="26"/>
  <c r="J18" i="26"/>
  <c r="K3" i="28"/>
  <c r="K5" i="29"/>
  <c r="J24" i="29"/>
  <c r="J26" i="15"/>
  <c r="K4" i="5"/>
  <c r="E31" i="6"/>
  <c r="E44" i="12"/>
  <c r="J25" i="12"/>
  <c r="K2" i="12"/>
  <c r="K17" i="12"/>
  <c r="J32" i="12"/>
  <c r="J31" i="13"/>
  <c r="K16" i="13"/>
  <c r="K4" i="15"/>
  <c r="K7" i="15"/>
  <c r="J27" i="15"/>
  <c r="K7" i="26"/>
  <c r="J21" i="26"/>
  <c r="J19" i="27"/>
  <c r="J14" i="28"/>
  <c r="O2" i="28"/>
  <c r="C28" i="42"/>
  <c r="J22" i="31"/>
  <c r="K11" i="31"/>
  <c r="K2" i="6"/>
  <c r="K11" i="7"/>
  <c r="J22" i="12"/>
  <c r="O2" i="12"/>
  <c r="C12" i="42"/>
  <c r="J33" i="12"/>
  <c r="K10" i="13"/>
  <c r="E40" i="15"/>
  <c r="E47" i="18"/>
  <c r="J29" i="18"/>
  <c r="K9" i="18"/>
  <c r="K10" i="18"/>
  <c r="K8" i="21"/>
  <c r="J24" i="21"/>
  <c r="K2" i="22"/>
  <c r="E40" i="22"/>
  <c r="J24" i="22"/>
  <c r="J21" i="31"/>
  <c r="K8" i="31"/>
  <c r="E37" i="31"/>
  <c r="J17" i="14"/>
  <c r="J22" i="17"/>
  <c r="K2" i="21"/>
  <c r="J22" i="21"/>
  <c r="J28" i="22"/>
  <c r="K4" i="27"/>
  <c r="J23" i="27"/>
  <c r="P2" i="29"/>
  <c r="J16" i="29"/>
  <c r="O2" i="29"/>
  <c r="C29" i="42"/>
  <c r="K7" i="14"/>
  <c r="K4" i="18"/>
  <c r="P2" i="20"/>
  <c r="J21" i="20"/>
  <c r="J15" i="20"/>
  <c r="O2" i="20"/>
  <c r="C20" i="42"/>
  <c r="J19" i="25"/>
  <c r="O2" i="25"/>
  <c r="C25" i="42"/>
  <c r="P2" i="25"/>
  <c r="J27" i="29"/>
  <c r="J21" i="32"/>
  <c r="K4" i="32"/>
  <c r="J24" i="13"/>
  <c r="O2" i="13"/>
  <c r="C13" i="42"/>
  <c r="J25" i="21"/>
  <c r="E24" i="27"/>
  <c r="J18" i="27"/>
  <c r="J18" i="28"/>
  <c r="K9" i="31"/>
  <c r="J23" i="31"/>
  <c r="E22" i="33"/>
  <c r="K3" i="15"/>
  <c r="E33" i="21"/>
  <c r="J21" i="22"/>
  <c r="O2" i="22"/>
  <c r="C22" i="42"/>
  <c r="K6" i="24"/>
  <c r="J32" i="24"/>
  <c r="K8" i="26"/>
  <c r="J22" i="26"/>
  <c r="J23" i="26"/>
  <c r="P2" i="27"/>
  <c r="K10" i="29"/>
  <c r="E39" i="24"/>
  <c r="J25" i="24"/>
  <c r="K4" i="24"/>
  <c r="E25" i="26"/>
  <c r="K3" i="32"/>
  <c r="J20" i="33"/>
  <c r="K2" i="34"/>
  <c r="J18" i="34"/>
  <c r="K14" i="34"/>
  <c r="J22" i="34"/>
  <c r="J17" i="28"/>
  <c r="K2" i="28"/>
  <c r="E35" i="29"/>
  <c r="J29" i="31"/>
  <c r="J20" i="32"/>
  <c r="P2" i="32"/>
  <c r="K2" i="33"/>
  <c r="J22" i="33"/>
  <c r="P2" i="34"/>
  <c r="K6" i="26"/>
  <c r="J17" i="32"/>
  <c r="O2" i="32"/>
  <c r="C32" i="42"/>
  <c r="E21" i="34"/>
  <c r="J19" i="26"/>
  <c r="E38" i="28"/>
  <c r="J24" i="31"/>
  <c r="J26" i="21"/>
  <c r="J27" i="24"/>
  <c r="P2" i="31"/>
  <c r="J14" i="31"/>
  <c r="O2" i="31"/>
  <c r="C31" i="42"/>
  <c r="J19" i="31"/>
  <c r="K2" i="32"/>
  <c r="J26" i="32"/>
  <c r="E31" i="32"/>
  <c r="K12" i="26"/>
  <c r="J25" i="28"/>
  <c r="K9" i="33"/>
  <c r="K4" i="35"/>
  <c r="J16" i="35"/>
  <c r="K3" i="34"/>
  <c r="K13" i="34"/>
  <c r="J19" i="35"/>
  <c r="K3" i="35"/>
  <c r="E22" i="35"/>
  <c r="J39" i="6"/>
  <c r="J44" i="6"/>
  <c r="K44" i="6"/>
  <c r="K15" i="10"/>
  <c r="L10" i="10"/>
  <c r="M785" i="40"/>
  <c r="N785" i="40"/>
  <c r="K15" i="26"/>
  <c r="L15" i="26"/>
  <c r="K27" i="8"/>
  <c r="K23" i="8"/>
  <c r="K28" i="8"/>
  <c r="K22" i="8"/>
  <c r="K38" i="7"/>
  <c r="K26" i="8"/>
  <c r="K14" i="31"/>
  <c r="L10" i="31"/>
  <c r="J21" i="36"/>
  <c r="J33" i="24"/>
  <c r="K29" i="24"/>
  <c r="K24" i="8"/>
  <c r="J38" i="18"/>
  <c r="K28" i="18"/>
  <c r="J32" i="11"/>
  <c r="K22" i="11"/>
  <c r="J31" i="29"/>
  <c r="K22" i="29"/>
  <c r="K18" i="7"/>
  <c r="L7" i="7"/>
  <c r="K23" i="5"/>
  <c r="K24" i="13"/>
  <c r="L15" i="13"/>
  <c r="K15" i="27"/>
  <c r="K16" i="29"/>
  <c r="K18" i="15"/>
  <c r="L8" i="15"/>
  <c r="K14" i="28"/>
  <c r="L12" i="28"/>
  <c r="K41" i="7"/>
  <c r="J42" i="7"/>
  <c r="K42" i="7"/>
  <c r="J31" i="15"/>
  <c r="K23" i="15"/>
  <c r="K21" i="8"/>
  <c r="J29" i="8"/>
  <c r="K13" i="35"/>
  <c r="L3" i="35"/>
  <c r="J24" i="34"/>
  <c r="K18" i="34"/>
  <c r="J24" i="27"/>
  <c r="K18" i="27"/>
  <c r="J30" i="21"/>
  <c r="K26" i="21"/>
  <c r="N2" i="7"/>
  <c r="B7" i="42"/>
  <c r="K39" i="7"/>
  <c r="K40" i="7"/>
  <c r="K35" i="7"/>
  <c r="K37" i="7"/>
  <c r="K32" i="7"/>
  <c r="K34" i="7"/>
  <c r="K36" i="7"/>
  <c r="J30" i="31"/>
  <c r="K19" i="31"/>
  <c r="K19" i="21"/>
  <c r="L2" i="21"/>
  <c r="J33" i="22"/>
  <c r="K24" i="22"/>
  <c r="K20" i="6"/>
  <c r="L4" i="6"/>
  <c r="K43" i="6"/>
  <c r="K40" i="6"/>
  <c r="K41" i="6"/>
  <c r="K21" i="24"/>
  <c r="L7" i="24"/>
  <c r="K27" i="19"/>
  <c r="L2" i="19"/>
  <c r="J26" i="28"/>
  <c r="K25" i="28"/>
  <c r="K21" i="22"/>
  <c r="L2" i="22"/>
  <c r="K12" i="14"/>
  <c r="L7" i="14"/>
  <c r="J36" i="13"/>
  <c r="K31" i="13"/>
  <c r="K19" i="25"/>
  <c r="J35" i="19"/>
  <c r="K7" i="5"/>
  <c r="L4" i="5"/>
  <c r="K15" i="34"/>
  <c r="L3" i="34"/>
  <c r="K17" i="32"/>
  <c r="L2" i="32"/>
  <c r="K16" i="11"/>
  <c r="L2" i="11"/>
  <c r="K33" i="7"/>
  <c r="J21" i="14"/>
  <c r="J30" i="25"/>
  <c r="K21" i="5"/>
  <c r="J24" i="5"/>
  <c r="K22" i="5"/>
  <c r="K42" i="6"/>
  <c r="K17" i="33"/>
  <c r="L9" i="33"/>
  <c r="K22" i="12"/>
  <c r="L12" i="12"/>
  <c r="J24" i="26"/>
  <c r="K19" i="26"/>
  <c r="K15" i="20"/>
  <c r="L11" i="20"/>
  <c r="K18" i="17"/>
  <c r="J25" i="33"/>
  <c r="K22" i="33"/>
  <c r="J24" i="35"/>
  <c r="K19" i="35"/>
  <c r="J28" i="32"/>
  <c r="K25" i="32"/>
  <c r="J39" i="12"/>
  <c r="K38" i="12"/>
  <c r="J29" i="10"/>
  <c r="K18" i="10"/>
  <c r="J24" i="20"/>
  <c r="K21" i="20"/>
  <c r="K24" i="18"/>
  <c r="L9" i="18"/>
  <c r="K13" i="8"/>
  <c r="L2" i="8"/>
  <c r="J27" i="17"/>
  <c r="K21" i="17"/>
  <c r="N2" i="26"/>
  <c r="B26" i="42"/>
  <c r="L8" i="10"/>
  <c r="L6" i="10"/>
  <c r="N2" i="10"/>
  <c r="B10" i="42"/>
  <c r="L15" i="10"/>
  <c r="L13" i="10"/>
  <c r="L4" i="10"/>
  <c r="L14" i="10"/>
  <c r="L7" i="10"/>
  <c r="L11" i="10"/>
  <c r="L12" i="26"/>
  <c r="L14" i="26"/>
  <c r="L2" i="10"/>
  <c r="L12" i="10"/>
  <c r="K39" i="6"/>
  <c r="L7" i="26"/>
  <c r="K32" i="18"/>
  <c r="L5" i="10"/>
  <c r="L3" i="10"/>
  <c r="L9" i="10"/>
  <c r="K21" i="11"/>
  <c r="K32" i="11"/>
  <c r="K24" i="21"/>
  <c r="K26" i="10"/>
  <c r="L13" i="26"/>
  <c r="L11" i="26"/>
  <c r="L5" i="26"/>
  <c r="K30" i="24"/>
  <c r="L9" i="26"/>
  <c r="L8" i="26"/>
  <c r="L2" i="26"/>
  <c r="K28" i="24"/>
  <c r="L3" i="26"/>
  <c r="L10" i="26"/>
  <c r="L6" i="26"/>
  <c r="K24" i="31"/>
  <c r="K17" i="28"/>
  <c r="L4" i="26"/>
  <c r="K28" i="21"/>
  <c r="K26" i="11"/>
  <c r="L6" i="31"/>
  <c r="K36" i="18"/>
  <c r="K27" i="15"/>
  <c r="K31" i="24"/>
  <c r="L13" i="31"/>
  <c r="L5" i="31"/>
  <c r="K24" i="28"/>
  <c r="L2" i="31"/>
  <c r="K26" i="24"/>
  <c r="L7" i="31"/>
  <c r="L11" i="31"/>
  <c r="L5" i="13"/>
  <c r="K18" i="28"/>
  <c r="K25" i="24"/>
  <c r="K27" i="24"/>
  <c r="K25" i="21"/>
  <c r="N2" i="31"/>
  <c r="B31" i="42"/>
  <c r="L3" i="13"/>
  <c r="L10" i="13"/>
  <c r="K32" i="24"/>
  <c r="L9" i="31"/>
  <c r="K24" i="24"/>
  <c r="L4" i="31"/>
  <c r="L3" i="31"/>
  <c r="K37" i="18"/>
  <c r="K38" i="18"/>
  <c r="K34" i="18"/>
  <c r="K29" i="18"/>
  <c r="L4" i="35"/>
  <c r="K19" i="28"/>
  <c r="K33" i="24"/>
  <c r="L12" i="31"/>
  <c r="L8" i="31"/>
  <c r="K31" i="18"/>
  <c r="L2" i="13"/>
  <c r="L14" i="31"/>
  <c r="K24" i="11"/>
  <c r="L4" i="7"/>
  <c r="L2" i="7"/>
  <c r="L5" i="7"/>
  <c r="K30" i="11"/>
  <c r="L6" i="7"/>
  <c r="L11" i="7"/>
  <c r="L17" i="7"/>
  <c r="K31" i="11"/>
  <c r="K35" i="18"/>
  <c r="L6" i="15"/>
  <c r="L15" i="7"/>
  <c r="K23" i="11"/>
  <c r="L18" i="7"/>
  <c r="K33" i="18"/>
  <c r="K31" i="22"/>
  <c r="K27" i="11"/>
  <c r="K19" i="11"/>
  <c r="K20" i="11"/>
  <c r="K26" i="29"/>
  <c r="K27" i="18"/>
  <c r="K31" i="12"/>
  <c r="K28" i="11"/>
  <c r="K25" i="11"/>
  <c r="K20" i="33"/>
  <c r="K29" i="11"/>
  <c r="L11" i="6"/>
  <c r="K30" i="18"/>
  <c r="K24" i="29"/>
  <c r="L13" i="34"/>
  <c r="L7" i="15"/>
  <c r="K27" i="13"/>
  <c r="K29" i="29"/>
  <c r="K31" i="29"/>
  <c r="L3" i="15"/>
  <c r="K28" i="29"/>
  <c r="L2" i="14"/>
  <c r="L4" i="13"/>
  <c r="K19" i="29"/>
  <c r="L13" i="7"/>
  <c r="K20" i="32"/>
  <c r="L6" i="13"/>
  <c r="L3" i="18"/>
  <c r="L19" i="13"/>
  <c r="K21" i="29"/>
  <c r="L14" i="7"/>
  <c r="L2" i="15"/>
  <c r="L9" i="7"/>
  <c r="K20" i="29"/>
  <c r="L13" i="22"/>
  <c r="L4" i="15"/>
  <c r="K25" i="29"/>
  <c r="K30" i="29"/>
  <c r="K27" i="29"/>
  <c r="K22" i="26"/>
  <c r="K23" i="29"/>
  <c r="L8" i="7"/>
  <c r="L14" i="13"/>
  <c r="L21" i="13"/>
  <c r="L2" i="20"/>
  <c r="K26" i="12"/>
  <c r="L18" i="13"/>
  <c r="L17" i="13"/>
  <c r="K22" i="17"/>
  <c r="L16" i="13"/>
  <c r="L11" i="13"/>
  <c r="L23" i="13"/>
  <c r="L12" i="7"/>
  <c r="K19" i="27"/>
  <c r="L4" i="32"/>
  <c r="L12" i="13"/>
  <c r="N2" i="13"/>
  <c r="B13" i="42"/>
  <c r="L15" i="12"/>
  <c r="L13" i="13"/>
  <c r="L20" i="13"/>
  <c r="L16" i="7"/>
  <c r="L3" i="7"/>
  <c r="L9" i="13"/>
  <c r="L8" i="13"/>
  <c r="K23" i="27"/>
  <c r="L22" i="13"/>
  <c r="L7" i="13"/>
  <c r="L24" i="13"/>
  <c r="L6" i="24"/>
  <c r="L10" i="7"/>
  <c r="L2" i="12"/>
  <c r="K21" i="14"/>
  <c r="K18" i="14"/>
  <c r="K16" i="14"/>
  <c r="K19" i="14"/>
  <c r="K20" i="14"/>
  <c r="K17" i="14"/>
  <c r="K36" i="13"/>
  <c r="K32" i="13"/>
  <c r="K34" i="13"/>
  <c r="K35" i="13"/>
  <c r="K33" i="13"/>
  <c r="L4" i="24"/>
  <c r="L16" i="29"/>
  <c r="N2" i="29"/>
  <c r="B29" i="42"/>
  <c r="L9" i="29"/>
  <c r="L14" i="29"/>
  <c r="L15" i="29"/>
  <c r="L13" i="29"/>
  <c r="L2" i="29"/>
  <c r="L3" i="29"/>
  <c r="L8" i="29"/>
  <c r="L4" i="29"/>
  <c r="L12" i="29"/>
  <c r="L7" i="29"/>
  <c r="L11" i="29"/>
  <c r="L6" i="29"/>
  <c r="N2" i="8"/>
  <c r="B8" i="42"/>
  <c r="L8" i="8"/>
  <c r="L4" i="8"/>
  <c r="L7" i="8"/>
  <c r="L10" i="8"/>
  <c r="L9" i="8"/>
  <c r="L11" i="8"/>
  <c r="L5" i="8"/>
  <c r="L6" i="8"/>
  <c r="L12" i="8"/>
  <c r="L3" i="8"/>
  <c r="L4" i="12"/>
  <c r="L4" i="18"/>
  <c r="N2" i="20"/>
  <c r="B20" i="42"/>
  <c r="L15" i="20"/>
  <c r="L5" i="20"/>
  <c r="L9" i="20"/>
  <c r="L4" i="20"/>
  <c r="L13" i="20"/>
  <c r="L3" i="20"/>
  <c r="L6" i="20"/>
  <c r="L12" i="20"/>
  <c r="L10" i="20"/>
  <c r="L14" i="20"/>
  <c r="L7" i="20"/>
  <c r="L8" i="20"/>
  <c r="K15" i="14"/>
  <c r="K21" i="32"/>
  <c r="N2" i="14"/>
  <c r="B14" i="42"/>
  <c r="L10" i="14"/>
  <c r="L12" i="14"/>
  <c r="L6" i="14"/>
  <c r="L8" i="14"/>
  <c r="L11" i="14"/>
  <c r="L3" i="14"/>
  <c r="L9" i="14"/>
  <c r="L5" i="14"/>
  <c r="L4" i="14"/>
  <c r="N2" i="19"/>
  <c r="B19" i="42"/>
  <c r="L27" i="19"/>
  <c r="L17" i="19"/>
  <c r="L12" i="19"/>
  <c r="L19" i="19"/>
  <c r="L20" i="19"/>
  <c r="L7" i="19"/>
  <c r="L5" i="19"/>
  <c r="L26" i="19"/>
  <c r="L14" i="19"/>
  <c r="L24" i="19"/>
  <c r="L23" i="19"/>
  <c r="L6" i="19"/>
  <c r="L21" i="19"/>
  <c r="L22" i="19"/>
  <c r="L25" i="19"/>
  <c r="L15" i="19"/>
  <c r="L8" i="19"/>
  <c r="L11" i="19"/>
  <c r="L9" i="19"/>
  <c r="L18" i="19"/>
  <c r="L16" i="19"/>
  <c r="L4" i="19"/>
  <c r="L13" i="19"/>
  <c r="L3" i="19"/>
  <c r="L10" i="19"/>
  <c r="K33" i="22"/>
  <c r="K26" i="22"/>
  <c r="K27" i="22"/>
  <c r="K29" i="22"/>
  <c r="K32" i="22"/>
  <c r="K25" i="22"/>
  <c r="K30" i="22"/>
  <c r="K22" i="21"/>
  <c r="L13" i="35"/>
  <c r="L11" i="35"/>
  <c r="L9" i="35"/>
  <c r="N2" i="35"/>
  <c r="B35" i="42"/>
  <c r="L2" i="35"/>
  <c r="L10" i="35"/>
  <c r="L5" i="35"/>
  <c r="L7" i="35"/>
  <c r="L12" i="35"/>
  <c r="L8" i="35"/>
  <c r="L6" i="35"/>
  <c r="L5" i="29"/>
  <c r="K24" i="35"/>
  <c r="K23" i="35"/>
  <c r="K17" i="35"/>
  <c r="K21" i="35"/>
  <c r="K22" i="35"/>
  <c r="K18" i="35"/>
  <c r="K20" i="35"/>
  <c r="K35" i="19"/>
  <c r="K31" i="19"/>
  <c r="K34" i="19"/>
  <c r="K33" i="19"/>
  <c r="K32" i="19"/>
  <c r="K31" i="15"/>
  <c r="K22" i="15"/>
  <c r="K29" i="15"/>
  <c r="K21" i="15"/>
  <c r="K28" i="15"/>
  <c r="K25" i="15"/>
  <c r="K24" i="15"/>
  <c r="L2" i="28"/>
  <c r="L24" i="18"/>
  <c r="L23" i="18"/>
  <c r="N2" i="18"/>
  <c r="B18" i="42"/>
  <c r="L17" i="18"/>
  <c r="L7" i="18"/>
  <c r="L2" i="18"/>
  <c r="L5" i="18"/>
  <c r="L18" i="18"/>
  <c r="L15" i="18"/>
  <c r="L21" i="18"/>
  <c r="L16" i="18"/>
  <c r="L13" i="18"/>
  <c r="L11" i="18"/>
  <c r="L6" i="18"/>
  <c r="L14" i="18"/>
  <c r="L19" i="18"/>
  <c r="L22" i="18"/>
  <c r="L12" i="18"/>
  <c r="L20" i="18"/>
  <c r="K29" i="10"/>
  <c r="K25" i="10"/>
  <c r="K28" i="10"/>
  <c r="K23" i="10"/>
  <c r="K19" i="10"/>
  <c r="K22" i="10"/>
  <c r="K27" i="10"/>
  <c r="K24" i="10"/>
  <c r="K20" i="10"/>
  <c r="K21" i="10"/>
  <c r="K25" i="12"/>
  <c r="L10" i="29"/>
  <c r="K16" i="35"/>
  <c r="N2" i="17"/>
  <c r="B17" i="42"/>
  <c r="L10" i="17"/>
  <c r="L18" i="17"/>
  <c r="L8" i="17"/>
  <c r="L6" i="17"/>
  <c r="L3" i="17"/>
  <c r="L13" i="17"/>
  <c r="L11" i="17"/>
  <c r="L7" i="17"/>
  <c r="L5" i="17"/>
  <c r="L12" i="17"/>
  <c r="L16" i="17"/>
  <c r="L15" i="17"/>
  <c r="L9" i="17"/>
  <c r="L17" i="17"/>
  <c r="L14" i="17"/>
  <c r="L4" i="17"/>
  <c r="L17" i="12"/>
  <c r="K29" i="13"/>
  <c r="N2" i="34"/>
  <c r="B34" i="42"/>
  <c r="L15" i="34"/>
  <c r="L11" i="34"/>
  <c r="L9" i="34"/>
  <c r="L7" i="34"/>
  <c r="L5" i="34"/>
  <c r="L6" i="34"/>
  <c r="L4" i="34"/>
  <c r="L12" i="34"/>
  <c r="L8" i="34"/>
  <c r="L10" i="34"/>
  <c r="K30" i="19"/>
  <c r="K25" i="31"/>
  <c r="K28" i="31"/>
  <c r="K30" i="31"/>
  <c r="K20" i="31"/>
  <c r="K27" i="31"/>
  <c r="K18" i="31"/>
  <c r="K26" i="31"/>
  <c r="K17" i="31"/>
  <c r="K23" i="31"/>
  <c r="K22" i="31"/>
  <c r="N2" i="27"/>
  <c r="B27" i="42"/>
  <c r="L9" i="27"/>
  <c r="L3" i="27"/>
  <c r="L5" i="27"/>
  <c r="L7" i="27"/>
  <c r="L15" i="27"/>
  <c r="L12" i="27"/>
  <c r="L8" i="27"/>
  <c r="L14" i="27"/>
  <c r="L6" i="27"/>
  <c r="L2" i="27"/>
  <c r="L13" i="27"/>
  <c r="L11" i="27"/>
  <c r="L10" i="27"/>
  <c r="K24" i="20"/>
  <c r="K19" i="20"/>
  <c r="K23" i="20"/>
  <c r="K22" i="20"/>
  <c r="K20" i="20"/>
  <c r="K30" i="13"/>
  <c r="K39" i="12"/>
  <c r="K34" i="12"/>
  <c r="K30" i="12"/>
  <c r="K37" i="12"/>
  <c r="K27" i="12"/>
  <c r="K29" i="12"/>
  <c r="K35" i="12"/>
  <c r="K36" i="12"/>
  <c r="L3" i="32"/>
  <c r="L2" i="17"/>
  <c r="K24" i="26"/>
  <c r="K20" i="26"/>
  <c r="N2" i="33"/>
  <c r="B33" i="42"/>
  <c r="L17" i="33"/>
  <c r="L16" i="33"/>
  <c r="L12" i="33"/>
  <c r="L7" i="33"/>
  <c r="L4" i="33"/>
  <c r="L3" i="33"/>
  <c r="L10" i="33"/>
  <c r="L5" i="33"/>
  <c r="L6" i="33"/>
  <c r="L15" i="33"/>
  <c r="L11" i="33"/>
  <c r="L8" i="33"/>
  <c r="L14" i="33"/>
  <c r="L13" i="33"/>
  <c r="K28" i="12"/>
  <c r="K30" i="25"/>
  <c r="K24" i="25"/>
  <c r="K23" i="25"/>
  <c r="K29" i="25"/>
  <c r="K25" i="25"/>
  <c r="K27" i="25"/>
  <c r="K28" i="25"/>
  <c r="K26" i="25"/>
  <c r="K33" i="12"/>
  <c r="K26" i="15"/>
  <c r="L2" i="34"/>
  <c r="N2" i="25"/>
  <c r="B25" i="42"/>
  <c r="L7" i="25"/>
  <c r="L19" i="25"/>
  <c r="L5" i="25"/>
  <c r="L15" i="25"/>
  <c r="L8" i="25"/>
  <c r="L16" i="25"/>
  <c r="L10" i="25"/>
  <c r="L4" i="25"/>
  <c r="L18" i="25"/>
  <c r="L12" i="25"/>
  <c r="L6" i="25"/>
  <c r="L11" i="25"/>
  <c r="L14" i="25"/>
  <c r="L17" i="25"/>
  <c r="L9" i="25"/>
  <c r="L13" i="25"/>
  <c r="L3" i="25"/>
  <c r="K26" i="28"/>
  <c r="K21" i="28"/>
  <c r="K20" i="28"/>
  <c r="K22" i="28"/>
  <c r="K23" i="28"/>
  <c r="K21" i="26"/>
  <c r="K23" i="26"/>
  <c r="K21" i="31"/>
  <c r="L4" i="27"/>
  <c r="N2" i="11"/>
  <c r="B11" i="42"/>
  <c r="L8" i="11"/>
  <c r="L16" i="11"/>
  <c r="L10" i="11"/>
  <c r="L4" i="11"/>
  <c r="L15" i="11"/>
  <c r="L14" i="11"/>
  <c r="L5" i="11"/>
  <c r="L6" i="11"/>
  <c r="L12" i="11"/>
  <c r="L11" i="11"/>
  <c r="L13" i="11"/>
  <c r="L7" i="11"/>
  <c r="L9" i="11"/>
  <c r="L3" i="11"/>
  <c r="N2" i="22"/>
  <c r="B22" i="42"/>
  <c r="L21" i="22"/>
  <c r="L12" i="22"/>
  <c r="L18" i="22"/>
  <c r="L10" i="22"/>
  <c r="L4" i="22"/>
  <c r="L11" i="22"/>
  <c r="L7" i="22"/>
  <c r="L17" i="22"/>
  <c r="L15" i="22"/>
  <c r="L14" i="22"/>
  <c r="L16" i="22"/>
  <c r="L6" i="22"/>
  <c r="L3" i="22"/>
  <c r="L8" i="22"/>
  <c r="L19" i="22"/>
  <c r="L20" i="22"/>
  <c r="L9" i="22"/>
  <c r="L5" i="22"/>
  <c r="L19" i="21"/>
  <c r="N2" i="21"/>
  <c r="B21" i="42"/>
  <c r="L13" i="21"/>
  <c r="L11" i="21"/>
  <c r="L18" i="21"/>
  <c r="L6" i="21"/>
  <c r="L9" i="21"/>
  <c r="L4" i="21"/>
  <c r="L16" i="21"/>
  <c r="L12" i="21"/>
  <c r="L7" i="21"/>
  <c r="L5" i="21"/>
  <c r="L14" i="21"/>
  <c r="L15" i="21"/>
  <c r="L3" i="21"/>
  <c r="L17" i="21"/>
  <c r="L10" i="21"/>
  <c r="K18" i="20"/>
  <c r="K28" i="13"/>
  <c r="K20" i="27"/>
  <c r="K22" i="27"/>
  <c r="K24" i="27"/>
  <c r="K21" i="27"/>
  <c r="K27" i="17"/>
  <c r="K26" i="17"/>
  <c r="K23" i="17"/>
  <c r="K25" i="17"/>
  <c r="K24" i="17"/>
  <c r="L8" i="18"/>
  <c r="K22" i="34"/>
  <c r="K24" i="33"/>
  <c r="K25" i="33"/>
  <c r="K23" i="33"/>
  <c r="K21" i="33"/>
  <c r="K18" i="26"/>
  <c r="L2" i="33"/>
  <c r="K22" i="25"/>
  <c r="L10" i="18"/>
  <c r="K32" i="12"/>
  <c r="L2" i="25"/>
  <c r="L3" i="28"/>
  <c r="K26" i="32"/>
  <c r="K29" i="31"/>
  <c r="K28" i="22"/>
  <c r="L14" i="34"/>
  <c r="L17" i="15"/>
  <c r="L13" i="15"/>
  <c r="L18" i="15"/>
  <c r="L12" i="15"/>
  <c r="N2" i="15"/>
  <c r="B15" i="42"/>
  <c r="L16" i="15"/>
  <c r="L10" i="15"/>
  <c r="L5" i="15"/>
  <c r="L11" i="15"/>
  <c r="L9" i="15"/>
  <c r="L15" i="15"/>
  <c r="L14" i="15"/>
  <c r="K30" i="15"/>
  <c r="L22" i="12"/>
  <c r="N2" i="12"/>
  <c r="B12" i="42"/>
  <c r="L20" i="12"/>
  <c r="L19" i="12"/>
  <c r="L7" i="12"/>
  <c r="L6" i="12"/>
  <c r="L10" i="12"/>
  <c r="L18" i="12"/>
  <c r="L11" i="12"/>
  <c r="L13" i="12"/>
  <c r="L3" i="12"/>
  <c r="L5" i="12"/>
  <c r="L16" i="12"/>
  <c r="L8" i="12"/>
  <c r="L9" i="12"/>
  <c r="L21" i="12"/>
  <c r="L14" i="12"/>
  <c r="L8" i="21"/>
  <c r="L17" i="32"/>
  <c r="L15" i="32"/>
  <c r="L13" i="32"/>
  <c r="N2" i="32"/>
  <c r="B32" i="42"/>
  <c r="L10" i="32"/>
  <c r="L6" i="32"/>
  <c r="L12" i="32"/>
  <c r="L8" i="32"/>
  <c r="L5" i="32"/>
  <c r="L14" i="32"/>
  <c r="L7" i="32"/>
  <c r="L9" i="32"/>
  <c r="L11" i="32"/>
  <c r="L16" i="32"/>
  <c r="L20" i="24"/>
  <c r="L16" i="24"/>
  <c r="L12" i="24"/>
  <c r="L10" i="24"/>
  <c r="N2" i="24"/>
  <c r="B24" i="42"/>
  <c r="L21" i="24"/>
  <c r="L11" i="24"/>
  <c r="L9" i="24"/>
  <c r="L14" i="24"/>
  <c r="L3" i="24"/>
  <c r="L8" i="24"/>
  <c r="L18" i="24"/>
  <c r="L19" i="24"/>
  <c r="L2" i="24"/>
  <c r="L17" i="24"/>
  <c r="L13" i="24"/>
  <c r="L15" i="24"/>
  <c r="L5" i="24"/>
  <c r="L20" i="6"/>
  <c r="L8" i="6"/>
  <c r="N2" i="6"/>
  <c r="B6" i="42"/>
  <c r="L6" i="6"/>
  <c r="L7" i="6"/>
  <c r="L19" i="6"/>
  <c r="L13" i="6"/>
  <c r="L10" i="6"/>
  <c r="L14" i="6"/>
  <c r="L16" i="6"/>
  <c r="L18" i="6"/>
  <c r="L12" i="6"/>
  <c r="L3" i="6"/>
  <c r="L15" i="6"/>
  <c r="L17" i="6"/>
  <c r="L5" i="6"/>
  <c r="L9" i="6"/>
  <c r="K24" i="34"/>
  <c r="K23" i="34"/>
  <c r="K20" i="34"/>
  <c r="K21" i="34"/>
  <c r="K19" i="34"/>
  <c r="N2" i="28"/>
  <c r="B28" i="42"/>
  <c r="L10" i="28"/>
  <c r="L14" i="28"/>
  <c r="L6" i="28"/>
  <c r="L9" i="28"/>
  <c r="L11" i="28"/>
  <c r="L7" i="28"/>
  <c r="L5" i="28"/>
  <c r="L13" i="28"/>
  <c r="L4" i="28"/>
  <c r="L8" i="28"/>
  <c r="K22" i="32"/>
  <c r="K24" i="32"/>
  <c r="K28" i="32"/>
  <c r="K27" i="32"/>
  <c r="K23" i="32"/>
  <c r="L2" i="5"/>
  <c r="L3" i="5"/>
  <c r="N2" i="5"/>
  <c r="B5" i="42"/>
  <c r="L6" i="5"/>
  <c r="L5" i="5"/>
  <c r="K30" i="21"/>
  <c r="K29" i="21"/>
  <c r="K27" i="21"/>
  <c r="K23" i="21"/>
  <c r="L2" i="6"/>
  <c r="L7" i="5"/>
  <c r="L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Editable input</t>
        </r>
      </text>
    </comment>
    <comment ref="B1" authorId="0" shapeId="0" xr:uid="{00000000-0006-0000-0400-000002000000}">
      <text>
        <r>
          <rPr>
            <sz val="10"/>
            <rFont val="Arial"/>
            <family val="2"/>
          </rPr>
          <t>Editable input</t>
        </r>
      </text>
    </comment>
    <comment ref="C1" authorId="0" shapeId="0" xr:uid="{00000000-0006-0000-0400-000003000000}">
      <text>
        <r>
          <rPr>
            <sz val="10"/>
            <rFont val="Arial"/>
            <family val="2"/>
          </rPr>
          <t>Editable input</t>
        </r>
      </text>
    </comment>
    <comment ref="D1" authorId="0" shapeId="0" xr:uid="{00000000-0006-0000-0400-000004000000}">
      <text>
        <r>
          <rPr>
            <sz val="10"/>
            <rFont val="Arial"/>
            <family val="2"/>
          </rPr>
          <t>Editable input</t>
        </r>
      </text>
    </comment>
    <comment ref="F1" authorId="0" shapeId="0" xr:uid="{00000000-0006-0000-0400-000005000000}">
      <text>
        <r>
          <rPr>
            <sz val="10"/>
            <rFont val="Arial"/>
            <family val="2"/>
          </rPr>
          <t>Editable input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Editable input</t>
        </r>
      </text>
    </comment>
    <comment ref="B1" authorId="0" shapeId="0" xr:uid="{00000000-0006-0000-0500-000002000000}">
      <text>
        <r>
          <rPr>
            <sz val="10"/>
            <rFont val="Arial"/>
            <family val="2"/>
          </rPr>
          <t>Editable input</t>
        </r>
      </text>
    </comment>
    <comment ref="C1" authorId="0" shapeId="0" xr:uid="{00000000-0006-0000-0500-000003000000}">
      <text>
        <r>
          <rPr>
            <sz val="10"/>
            <rFont val="Arial"/>
            <family val="2"/>
          </rPr>
          <t>Editable input</t>
        </r>
      </text>
    </comment>
    <comment ref="D1" authorId="0" shapeId="0" xr:uid="{00000000-0006-0000-0500-000004000000}">
      <text>
        <r>
          <rPr>
            <sz val="10"/>
            <rFont val="Arial"/>
            <family val="2"/>
          </rPr>
          <t>Editable input</t>
        </r>
      </text>
    </comment>
    <comment ref="F1" authorId="0" shapeId="0" xr:uid="{00000000-0006-0000-0500-000005000000}">
      <text>
        <r>
          <rPr>
            <sz val="10"/>
            <rFont val="Arial"/>
            <family val="2"/>
          </rPr>
          <t>Editable input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0"/>
            <rFont val="Arial"/>
            <family val="2"/>
          </rPr>
          <t>Editable input</t>
        </r>
      </text>
    </comment>
    <comment ref="B1" authorId="0" shapeId="0" xr:uid="{00000000-0006-0000-0600-000002000000}">
      <text>
        <r>
          <rPr>
            <sz val="10"/>
            <rFont val="Arial"/>
            <family val="2"/>
          </rPr>
          <t>Editable input</t>
        </r>
      </text>
    </comment>
    <comment ref="C1" authorId="0" shapeId="0" xr:uid="{00000000-0006-0000-0600-000003000000}">
      <text>
        <r>
          <rPr>
            <sz val="10"/>
            <rFont val="Arial"/>
            <family val="2"/>
          </rPr>
          <t>Editable input</t>
        </r>
      </text>
    </comment>
    <comment ref="D1" authorId="0" shapeId="0" xr:uid="{00000000-0006-0000-0600-000004000000}">
      <text>
        <r>
          <rPr>
            <sz val="10"/>
            <rFont val="Arial"/>
            <family val="2"/>
          </rPr>
          <t>Editable input</t>
        </r>
      </text>
    </comment>
    <comment ref="F1" authorId="0" shapeId="0" xr:uid="{00000000-0006-0000-0600-000005000000}">
      <text>
        <r>
          <rPr>
            <sz val="10"/>
            <rFont val="Arial"/>
            <family val="2"/>
          </rPr>
          <t>Editable input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Editable input</t>
        </r>
      </text>
    </comment>
    <comment ref="B1" authorId="0" shapeId="0" xr:uid="{00000000-0006-0000-0700-000002000000}">
      <text>
        <r>
          <rPr>
            <sz val="10"/>
            <rFont val="Arial"/>
            <family val="2"/>
          </rPr>
          <t>Editable input</t>
        </r>
      </text>
    </comment>
    <comment ref="C1" authorId="0" shapeId="0" xr:uid="{00000000-0006-0000-0700-000003000000}">
      <text>
        <r>
          <rPr>
            <sz val="10"/>
            <rFont val="Arial"/>
            <family val="2"/>
          </rPr>
          <t>Editable input</t>
        </r>
      </text>
    </comment>
    <comment ref="D1" authorId="0" shapeId="0" xr:uid="{00000000-0006-0000-0700-000004000000}">
      <text>
        <r>
          <rPr>
            <sz val="10"/>
            <rFont val="Arial"/>
            <family val="2"/>
          </rPr>
          <t>Editable input</t>
        </r>
      </text>
    </comment>
    <comment ref="F1" authorId="0" shapeId="0" xr:uid="{00000000-0006-0000-0700-000005000000}">
      <text>
        <r>
          <rPr>
            <sz val="10"/>
            <rFont val="Arial"/>
            <family val="2"/>
          </rPr>
          <t>Editable input</t>
        </r>
      </text>
    </comment>
  </commentList>
</comments>
</file>

<file path=xl/sharedStrings.xml><?xml version="1.0" encoding="utf-8"?>
<sst xmlns="http://schemas.openxmlformats.org/spreadsheetml/2006/main" count="15045" uniqueCount="935">
  <si>
    <t>KANE-JONES</t>
  </si>
  <si>
    <t>SALES REGISTER</t>
  </si>
  <si>
    <t>7/1/2026 TO 7/15/2026</t>
  </si>
  <si>
    <t>VOUCHER DATE</t>
  </si>
  <si>
    <t>PARTICULARS</t>
  </si>
  <si>
    <t>VCHNO</t>
  </si>
  <si>
    <t>Purchase Order No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</si>
  <si>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</si>
  <si>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</si>
  <si>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</si>
  <si>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</si>
  <si>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</si>
  <si>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</si>
  <si>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</si>
  <si>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</si>
  <si>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Walk in Customer</t>
  </si>
  <si>
    <t>ann-INV142</t>
  </si>
  <si>
    <t>ITEM/SERVICE</t>
  </si>
  <si>
    <t>QUANTITY</t>
  </si>
  <si>
    <t>RATE</t>
  </si>
  <si>
    <t>DESCRIPTION</t>
  </si>
  <si>
    <t>Trophy</t>
  </si>
  <si>
    <t>Goldberg 60cl</t>
  </si>
  <si>
    <t>ann-INV143</t>
  </si>
  <si>
    <t>Maltina Pet 33cl</t>
  </si>
  <si>
    <t>Eniola Marketer</t>
  </si>
  <si>
    <t>ann-INV144</t>
  </si>
  <si>
    <t>Maltina Pet 50cl</t>
  </si>
  <si>
    <t>Maltina Can</t>
  </si>
  <si>
    <t>Ameh Mathew</t>
  </si>
  <si>
    <t>ann-INV145</t>
  </si>
  <si>
    <t>Heineken Sleek Can</t>
  </si>
  <si>
    <t>Goldberg Can 50cl</t>
  </si>
  <si>
    <t>33 Export Can</t>
  </si>
  <si>
    <t>Desperados Can</t>
  </si>
  <si>
    <t>Legend Can 44cl</t>
  </si>
  <si>
    <t>Tiger Bottle</t>
  </si>
  <si>
    <t>Turbo King Bottle 60cl</t>
  </si>
  <si>
    <t>NB Empties</t>
  </si>
  <si>
    <t>ann-INV146</t>
  </si>
  <si>
    <t>TD Odiolowo</t>
  </si>
  <si>
    <t>ann-INV147</t>
  </si>
  <si>
    <t>ann-INV148</t>
  </si>
  <si>
    <t>Medium Stout</t>
  </si>
  <si>
    <t>33 Export 60cl</t>
  </si>
  <si>
    <t>Heineken Bottle 60cl</t>
  </si>
  <si>
    <t>ann-INV149</t>
  </si>
  <si>
    <t>ann-INV150</t>
  </si>
  <si>
    <t>IB Empties</t>
  </si>
  <si>
    <t>GNS EMPTIES</t>
  </si>
  <si>
    <t>Rita SR</t>
  </si>
  <si>
    <t>ann-INV152</t>
  </si>
  <si>
    <t>ann-INV153</t>
  </si>
  <si>
    <t>ann-INV154</t>
  </si>
  <si>
    <t>ann-INV155</t>
  </si>
  <si>
    <t>ann-INV156</t>
  </si>
  <si>
    <t>4th Street wine</t>
  </si>
  <si>
    <t>ann-INV157</t>
  </si>
  <si>
    <t>ann-INV158</t>
  </si>
  <si>
    <t>Mr Lekan Ojifini</t>
  </si>
  <si>
    <t>ann-INV159</t>
  </si>
  <si>
    <t>CLIMAX CAN</t>
  </si>
  <si>
    <t>ACE BITTERS</t>
  </si>
  <si>
    <t>WURAOLA</t>
  </si>
  <si>
    <t>ann-INV160</t>
  </si>
  <si>
    <t>Gulder Bottle</t>
  </si>
  <si>
    <t>Abbey Illisan</t>
  </si>
  <si>
    <t>ann-INV161</t>
  </si>
  <si>
    <t>ann-INV162</t>
  </si>
  <si>
    <t>Amstel Bottle</t>
  </si>
  <si>
    <t>Fayrouz Can</t>
  </si>
  <si>
    <t>Legend 45cl</t>
  </si>
  <si>
    <t>ann-INV163</t>
  </si>
  <si>
    <t>ann-INV164</t>
  </si>
  <si>
    <t>ann-INV167</t>
  </si>
  <si>
    <t>ATW</t>
  </si>
  <si>
    <t>ann-INV165</t>
  </si>
  <si>
    <t>Heineken Bottle 45cl</t>
  </si>
  <si>
    <t>Tmoney NB</t>
  </si>
  <si>
    <t>ann-INV166</t>
  </si>
  <si>
    <t>Williams Bottle 60cl</t>
  </si>
  <si>
    <t>tomaco</t>
  </si>
  <si>
    <t>ann-INV169</t>
  </si>
  <si>
    <t>ann-INV171</t>
  </si>
  <si>
    <t>ann-INV170</t>
  </si>
  <si>
    <t>XXIII LOUNGE</t>
  </si>
  <si>
    <t>ann-INV168</t>
  </si>
  <si>
    <t>Desperados Bottle</t>
  </si>
  <si>
    <t>ann-INV172</t>
  </si>
  <si>
    <t>ann-INV173</t>
  </si>
  <si>
    <t>ann-INV174</t>
  </si>
  <si>
    <t>ann-INV175</t>
  </si>
  <si>
    <t>ann-INV176</t>
  </si>
  <si>
    <t>Star Bottle 60cl</t>
  </si>
  <si>
    <t>ann-INV178</t>
  </si>
  <si>
    <t>Jeff SR</t>
  </si>
  <si>
    <t>ann-INV179</t>
  </si>
  <si>
    <t>Looking Good</t>
  </si>
  <si>
    <t>ann-INV177</t>
  </si>
  <si>
    <t>Sellers Estimate Reference: ann-EST3,</t>
  </si>
  <si>
    <t>Legend Bottle 60cl</t>
  </si>
  <si>
    <t>Maltina Bottle</t>
  </si>
  <si>
    <t>Remilekun</t>
  </si>
  <si>
    <t>ann-INV180</t>
  </si>
  <si>
    <t>Mr Godswill</t>
  </si>
  <si>
    <t>ann-INV181</t>
  </si>
  <si>
    <t>AZ Marketer</t>
  </si>
  <si>
    <t>ann-INV183</t>
  </si>
  <si>
    <t>ann-INV184</t>
  </si>
  <si>
    <t>Mrs Oladejo</t>
  </si>
  <si>
    <t>ann-INV185</t>
  </si>
  <si>
    <t>ann-INV186</t>
  </si>
  <si>
    <t>ann-INV187</t>
  </si>
  <si>
    <t>Star Radler 45cl</t>
  </si>
  <si>
    <t>ann-INV188</t>
  </si>
  <si>
    <t>ann-INV189</t>
  </si>
  <si>
    <t>ann-INV191</t>
  </si>
  <si>
    <t>ann-INV192</t>
  </si>
  <si>
    <t>ann-INV193</t>
  </si>
  <si>
    <t>STK 33cl</t>
  </si>
  <si>
    <t>ann-INV190</t>
  </si>
  <si>
    <t>ann-INV194</t>
  </si>
  <si>
    <t>MRS IK.</t>
  </si>
  <si>
    <t>ann-INV195</t>
  </si>
  <si>
    <t>ann-INV197</t>
  </si>
  <si>
    <t>DESOLA STORE</t>
  </si>
  <si>
    <t>ann-INV196</t>
  </si>
  <si>
    <t>Demola SR</t>
  </si>
  <si>
    <t>ann-INV198</t>
  </si>
  <si>
    <t>Sellers Estimate Reference: PC1-EST5,</t>
  </si>
  <si>
    <t>ann-INV199</t>
  </si>
  <si>
    <t>ann-INV200</t>
  </si>
  <si>
    <t>Rukky bee</t>
  </si>
  <si>
    <t>ann-INV201</t>
  </si>
  <si>
    <t>Sellers Estimate Reference: PC1-EST4,</t>
  </si>
  <si>
    <t>ann-INV202</t>
  </si>
  <si>
    <t>ann-INV203</t>
  </si>
  <si>
    <t>ann-INV204</t>
  </si>
  <si>
    <t>ann-INV205</t>
  </si>
  <si>
    <t>Emmycee</t>
  </si>
  <si>
    <t>ann-INV206</t>
  </si>
  <si>
    <t>Goldberg Black 45cl</t>
  </si>
  <si>
    <t>ann-INV207</t>
  </si>
  <si>
    <t>ann-INV208</t>
  </si>
  <si>
    <t>ann-INV209</t>
  </si>
  <si>
    <t>Amandla</t>
  </si>
  <si>
    <t>ann-INV210</t>
  </si>
  <si>
    <t>Sellers Estimate Reference: ann-EST4,</t>
  </si>
  <si>
    <t>Empties Premium</t>
  </si>
  <si>
    <t>ann-INV212</t>
  </si>
  <si>
    <t>Fayrouz Bottle</t>
  </si>
  <si>
    <t>ann-INV211</t>
  </si>
  <si>
    <t>Delayers</t>
  </si>
  <si>
    <t>ann-INV213</t>
  </si>
  <si>
    <t>Solomon</t>
  </si>
  <si>
    <t>ann-INV214</t>
  </si>
  <si>
    <t>ann-INV215</t>
  </si>
  <si>
    <t>Ahmed SR</t>
  </si>
  <si>
    <t>ann-INV216</t>
  </si>
  <si>
    <t>ann-INV218</t>
  </si>
  <si>
    <t>ann-INV219</t>
  </si>
  <si>
    <t>ann-INV220</t>
  </si>
  <si>
    <t>ann-INV222</t>
  </si>
  <si>
    <t>Ola SR</t>
  </si>
  <si>
    <t>ann-INV221</t>
  </si>
  <si>
    <t>Mama Oyin Mowe</t>
  </si>
  <si>
    <t>ann-INV223</t>
  </si>
  <si>
    <t>Sellers Estimate Reference: tayo-EST1,</t>
  </si>
  <si>
    <t>Mr Musefiu</t>
  </si>
  <si>
    <t>ann-INV224</t>
  </si>
  <si>
    <t>ann-INV225</t>
  </si>
  <si>
    <t>ann-INV227</t>
  </si>
  <si>
    <t>ann-INV228</t>
  </si>
  <si>
    <t>PC1-INV5</t>
  </si>
  <si>
    <t>NB Loose Crate</t>
  </si>
  <si>
    <t>ann-INV229</t>
  </si>
  <si>
    <t>ann-INV230</t>
  </si>
  <si>
    <t>ann-INV231</t>
  </si>
  <si>
    <t>Heineken Can 50cl</t>
  </si>
  <si>
    <t>ann-INV232</t>
  </si>
  <si>
    <t>ann-INV233</t>
  </si>
  <si>
    <t>Smirnoff Ice.</t>
  </si>
  <si>
    <t>ann-INV234</t>
  </si>
  <si>
    <t>ann-INV235</t>
  </si>
  <si>
    <t>ann-INV236</t>
  </si>
  <si>
    <t>ann-INV237</t>
  </si>
  <si>
    <t>ann-INV238</t>
  </si>
  <si>
    <t>ann-INV239</t>
  </si>
  <si>
    <t>ann-INV240</t>
  </si>
  <si>
    <t>ann-INV241</t>
  </si>
  <si>
    <t>Chamdor 75cl</t>
  </si>
  <si>
    <t>ann-INV242</t>
  </si>
  <si>
    <t>ann-INV243</t>
  </si>
  <si>
    <t>ann-INV244</t>
  </si>
  <si>
    <t>ann-INV245</t>
  </si>
  <si>
    <t>ann-INV247</t>
  </si>
  <si>
    <t>samson</t>
  </si>
  <si>
    <t>ann-INV246</t>
  </si>
  <si>
    <t>ann-INV248</t>
  </si>
  <si>
    <t>ann-INV251</t>
  </si>
  <si>
    <t>ann-INV249</t>
  </si>
  <si>
    <t>ann-INV250</t>
  </si>
  <si>
    <t>ann-INV255</t>
  </si>
  <si>
    <t>ann-INV252</t>
  </si>
  <si>
    <t>ann-INV253</t>
  </si>
  <si>
    <t>ann-INV254</t>
  </si>
  <si>
    <t>ann-INV256</t>
  </si>
  <si>
    <t>ann-INV257</t>
  </si>
  <si>
    <t>ann-INV258</t>
  </si>
  <si>
    <t>ann-INV259</t>
  </si>
  <si>
    <t>FINO STORES</t>
  </si>
  <si>
    <t>ann-INV260</t>
  </si>
  <si>
    <t>Mr Olayinka</t>
  </si>
  <si>
    <t>ann-INV261</t>
  </si>
  <si>
    <t>ann-INV262</t>
  </si>
  <si>
    <t>ann-INV263</t>
  </si>
  <si>
    <t>ann-INV264</t>
  </si>
  <si>
    <t>ann-INV265</t>
  </si>
  <si>
    <t>ann-INV266</t>
  </si>
  <si>
    <t>Staff Debit</t>
  </si>
  <si>
    <t>ann-INV267</t>
  </si>
  <si>
    <t>forklift operator</t>
  </si>
  <si>
    <t>ann-INV268</t>
  </si>
  <si>
    <t>ann-INV269</t>
  </si>
  <si>
    <t>Amstel Can</t>
  </si>
  <si>
    <t>ann-INV270</t>
  </si>
  <si>
    <t>ann-INV271</t>
  </si>
  <si>
    <t>ann-INV272</t>
  </si>
  <si>
    <t>ann-INV273</t>
  </si>
  <si>
    <t>TROPHY CAN</t>
  </si>
  <si>
    <t>ann-INV274</t>
  </si>
  <si>
    <t>Etigwam Nig Ltd</t>
  </si>
  <si>
    <t>Tayo-INV138</t>
  </si>
  <si>
    <t>ARIKKY BAR</t>
  </si>
  <si>
    <t>ann-INV275</t>
  </si>
  <si>
    <t>Castle Lite</t>
  </si>
  <si>
    <t>ann-INV277</t>
  </si>
  <si>
    <t>Y k BAR</t>
  </si>
  <si>
    <t>ann-INV278</t>
  </si>
  <si>
    <t>ann-INV276</t>
  </si>
  <si>
    <t>Tayo-INV139</t>
  </si>
  <si>
    <t>Sellers Estimate Reference: tayo-EST4, ASM</t>
  </si>
  <si>
    <t>ann-INV279</t>
  </si>
  <si>
    <t>ann-INV280</t>
  </si>
  <si>
    <t>ann-INV281</t>
  </si>
  <si>
    <t>ann-INV282</t>
  </si>
  <si>
    <t>TOTAL ( 140 Transactions)</t>
  </si>
  <si>
    <t>NGN94,508,490</t>
  </si>
  <si>
    <t>NGN76,307,920</t>
  </si>
  <si>
    <t>NGN18,200,570</t>
  </si>
  <si>
    <t>NGN92,706,204</t>
  </si>
  <si>
    <t>NGN1,802,286</t>
  </si>
  <si>
    <t>7/16/2026 TO 7/31/2026</t>
  </si>
  <si>
    <t>Taiwo SR</t>
  </si>
  <si>
    <t>ann-INV283</t>
  </si>
  <si>
    <t>5 cans</t>
  </si>
  <si>
    <t>ann-INV284</t>
  </si>
  <si>
    <t>1 pets</t>
  </si>
  <si>
    <t>ann-INV285</t>
  </si>
  <si>
    <t>100 pets</t>
  </si>
  <si>
    <t>30 cans</t>
  </si>
  <si>
    <t>15 cans</t>
  </si>
  <si>
    <t>25 cans</t>
  </si>
  <si>
    <t>20 cans</t>
  </si>
  <si>
    <t>ann-INV286</t>
  </si>
  <si>
    <t>2 pets</t>
  </si>
  <si>
    <t>1 cans</t>
  </si>
  <si>
    <t>ann-INV287</t>
  </si>
  <si>
    <t>ann-INV288</t>
  </si>
  <si>
    <t>25 crt</t>
  </si>
  <si>
    <t>5 crt</t>
  </si>
  <si>
    <t>30 Empty</t>
  </si>
  <si>
    <t>25 Empty</t>
  </si>
  <si>
    <t>ann-INV289</t>
  </si>
  <si>
    <t>2 crt</t>
  </si>
  <si>
    <t>1 crt</t>
  </si>
  <si>
    <t>ann-INV290</t>
  </si>
  <si>
    <t>ann-INV291</t>
  </si>
  <si>
    <t>ann-INV292</t>
  </si>
  <si>
    <t>ann-INV293</t>
  </si>
  <si>
    <t>ann-INV296</t>
  </si>
  <si>
    <t>ann-INV297</t>
  </si>
  <si>
    <t>ann-INV294</t>
  </si>
  <si>
    <t>22 crt</t>
  </si>
  <si>
    <t>6 crt</t>
  </si>
  <si>
    <t>9 crt</t>
  </si>
  <si>
    <t>14 crt</t>
  </si>
  <si>
    <t>50 pets</t>
  </si>
  <si>
    <t>47 Empty</t>
  </si>
  <si>
    <t>6 Empty</t>
  </si>
  <si>
    <t>ann-INV295</t>
  </si>
  <si>
    <t>Budweiser</t>
  </si>
  <si>
    <t>ann-INV298</t>
  </si>
  <si>
    <t>1 Empty</t>
  </si>
  <si>
    <t>OGUNDE SR</t>
  </si>
  <si>
    <t>ann-INV299</t>
  </si>
  <si>
    <t>384 pets</t>
  </si>
  <si>
    <t>ann-INV300</t>
  </si>
  <si>
    <t>ann-INV301</t>
  </si>
  <si>
    <t>200 pets</t>
  </si>
  <si>
    <t>ann-INV302</t>
  </si>
  <si>
    <t>4 crt</t>
  </si>
  <si>
    <t>ann-INV303</t>
  </si>
  <si>
    <t>2 Empty</t>
  </si>
  <si>
    <t>ann-INV304</t>
  </si>
  <si>
    <t>Sellers Estimate Reference: tayo-EST6,</t>
  </si>
  <si>
    <t>140 crt</t>
  </si>
  <si>
    <t>60 crt</t>
  </si>
  <si>
    <t>140 Empty</t>
  </si>
  <si>
    <t>260 Empty</t>
  </si>
  <si>
    <t>ann-INV305</t>
  </si>
  <si>
    <t>45 cans</t>
  </si>
  <si>
    <t>10 cans</t>
  </si>
  <si>
    <t>ann-INV306</t>
  </si>
  <si>
    <t>10 crt</t>
  </si>
  <si>
    <t>10 Empty</t>
  </si>
  <si>
    <t>Tayo-INV140</t>
  </si>
  <si>
    <t>ann-INV311</t>
  </si>
  <si>
    <t>20 crt</t>
  </si>
  <si>
    <t>20 Empty</t>
  </si>
  <si>
    <t>ann-INV310</t>
  </si>
  <si>
    <t>ann-INV309</t>
  </si>
  <si>
    <t>ann-INV312</t>
  </si>
  <si>
    <t>3 crt</t>
  </si>
  <si>
    <t>20 pets</t>
  </si>
  <si>
    <t>3 Empty</t>
  </si>
  <si>
    <t>Alhaja GRA Road</t>
  </si>
  <si>
    <t>ann-INV316</t>
  </si>
  <si>
    <t>Sellers Estimate Reference: ann-EST5,</t>
  </si>
  <si>
    <t>70 crt</t>
  </si>
  <si>
    <t>30 crt</t>
  </si>
  <si>
    <t>270 Empty</t>
  </si>
  <si>
    <t>ann-INV313</t>
  </si>
  <si>
    <t>10 pets</t>
  </si>
  <si>
    <t>LAKE AND RIVER FOODS</t>
  </si>
  <si>
    <t>ann-INV314</t>
  </si>
  <si>
    <t>MAADE HOTEL</t>
  </si>
  <si>
    <t>ann-INV308</t>
  </si>
  <si>
    <t>ann-INV315</t>
  </si>
  <si>
    <t>ann-INV307</t>
  </si>
  <si>
    <t>70 Empty</t>
  </si>
  <si>
    <t>June Target Achievement Incentive Scheme</t>
  </si>
  <si>
    <t>ann-INV317</t>
  </si>
  <si>
    <t>8 crt</t>
  </si>
  <si>
    <t>ann-INV318</t>
  </si>
  <si>
    <t>ann-INV321</t>
  </si>
  <si>
    <t>248 pets</t>
  </si>
  <si>
    <t>ann-INV319</t>
  </si>
  <si>
    <t>350 crt</t>
  </si>
  <si>
    <t>ann-INV325</t>
  </si>
  <si>
    <t>15 crt</t>
  </si>
  <si>
    <t>15 Empty</t>
  </si>
  <si>
    <t>ann-INV323</t>
  </si>
  <si>
    <t>Sellers Estimate Reference: ann-EST6,</t>
  </si>
  <si>
    <t>4 Empty</t>
  </si>
  <si>
    <t>ann-INV320</t>
  </si>
  <si>
    <t>3 cans</t>
  </si>
  <si>
    <t>ann-INV324</t>
  </si>
  <si>
    <t>11 crt</t>
  </si>
  <si>
    <t>80 pets</t>
  </si>
  <si>
    <t>16 Empty</t>
  </si>
  <si>
    <t>ann-INV322</t>
  </si>
  <si>
    <t>420 Empty</t>
  </si>
  <si>
    <t>ann-INV326</t>
  </si>
  <si>
    <t>ann-INV327</t>
  </si>
  <si>
    <t>ann-INV328</t>
  </si>
  <si>
    <t>51 crt</t>
  </si>
  <si>
    <t>165 crt</t>
  </si>
  <si>
    <t>5 pets</t>
  </si>
  <si>
    <t>15 pets</t>
  </si>
  <si>
    <t>62 Empty</t>
  </si>
  <si>
    <t>257 Empty</t>
  </si>
  <si>
    <t>8 Empty</t>
  </si>
  <si>
    <t>ann-INV329</t>
  </si>
  <si>
    <t>120 pets</t>
  </si>
  <si>
    <t>ann-INV330</t>
  </si>
  <si>
    <t>18 Empty</t>
  </si>
  <si>
    <t>5 Empty</t>
  </si>
  <si>
    <t>ann-INV332</t>
  </si>
  <si>
    <t>18 crt</t>
  </si>
  <si>
    <t>2 cans</t>
  </si>
  <si>
    <t>3 pets</t>
  </si>
  <si>
    <t>ann-INV333</t>
  </si>
  <si>
    <t>240 pets</t>
  </si>
  <si>
    <t>ann-INV337</t>
  </si>
  <si>
    <t>ann-INV335</t>
  </si>
  <si>
    <t>ann-INV334</t>
  </si>
  <si>
    <t>ann-INV336</t>
  </si>
  <si>
    <t>ann-INV338</t>
  </si>
  <si>
    <t>ann-INV331</t>
  </si>
  <si>
    <t>ann-INV340</t>
  </si>
  <si>
    <t>40 cans</t>
  </si>
  <si>
    <t>ann-INV342</t>
  </si>
  <si>
    <t>40 pets</t>
  </si>
  <si>
    <t>Stella SR</t>
  </si>
  <si>
    <t>ann-INV341</t>
  </si>
  <si>
    <t>ann-INV343</t>
  </si>
  <si>
    <t>ann-INV339</t>
  </si>
  <si>
    <t>ann-INV345</t>
  </si>
  <si>
    <t>1 W&amp;S</t>
  </si>
  <si>
    <t>ann-INV344</t>
  </si>
  <si>
    <t>210 pets</t>
  </si>
  <si>
    <t>ann-INV346</t>
  </si>
  <si>
    <t>ann-INV347</t>
  </si>
  <si>
    <t>Tmoney</t>
  </si>
  <si>
    <t>ann-INV348</t>
  </si>
  <si>
    <t>ann-INV349</t>
  </si>
  <si>
    <t>ann-INV350</t>
  </si>
  <si>
    <t>496 pets</t>
  </si>
  <si>
    <t>ann-INV351</t>
  </si>
  <si>
    <t>0 Empty</t>
  </si>
  <si>
    <t>ann-INV352</t>
  </si>
  <si>
    <t>Tayo-INV141</t>
  </si>
  <si>
    <t>mr matthew</t>
  </si>
  <si>
    <t>ann-INV353</t>
  </si>
  <si>
    <t>24 Empty</t>
  </si>
  <si>
    <t>ann-INV354</t>
  </si>
  <si>
    <t>35 Empty</t>
  </si>
  <si>
    <t>ann-INV355</t>
  </si>
  <si>
    <t>60 pets</t>
  </si>
  <si>
    <t>ann-INV356</t>
  </si>
  <si>
    <t>ann-INV357</t>
  </si>
  <si>
    <t>ann-INV358</t>
  </si>
  <si>
    <t>Sellers Estimate Reference: ann-EST8,</t>
  </si>
  <si>
    <t>280 crt</t>
  </si>
  <si>
    <t>ann-INV359</t>
  </si>
  <si>
    <t>ann-INV360</t>
  </si>
  <si>
    <t>ann-INV363</t>
  </si>
  <si>
    <t>31 Empty</t>
  </si>
  <si>
    <t>ann-INV361</t>
  </si>
  <si>
    <t>ann-INV362</t>
  </si>
  <si>
    <t>270 pets</t>
  </si>
  <si>
    <t>ann-INV364</t>
  </si>
  <si>
    <t>ann-INV365</t>
  </si>
  <si>
    <t>ann-INV366</t>
  </si>
  <si>
    <t>ann-INV367</t>
  </si>
  <si>
    <t>Sellers Estimate Reference: ann-EST9, YINKA 08020706024</t>
  </si>
  <si>
    <t>ann-INV368</t>
  </si>
  <si>
    <t>ann-INV369</t>
  </si>
  <si>
    <t>STELLA RMI</t>
  </si>
  <si>
    <t>ann-INV370</t>
  </si>
  <si>
    <t>WORLD CUP ACTIVATION TMONEY 120 CRATES COMPLETED #1120200</t>
  </si>
  <si>
    <t>ann-INV371</t>
  </si>
  <si>
    <t>FROM TMONEY"s ACCT</t>
  </si>
  <si>
    <t>ann-INV372</t>
  </si>
  <si>
    <t>ann-INV373</t>
  </si>
  <si>
    <t>ann-INV374</t>
  </si>
  <si>
    <t>260 pets</t>
  </si>
  <si>
    <t>ann-INV375</t>
  </si>
  <si>
    <t>ann-INV376</t>
  </si>
  <si>
    <t>ann-INV377</t>
  </si>
  <si>
    <t>ann-INV378</t>
  </si>
  <si>
    <t>ann-INV379</t>
  </si>
  <si>
    <t>50 Empty</t>
  </si>
  <si>
    <t>ann-INV380</t>
  </si>
  <si>
    <t>solomon</t>
  </si>
  <si>
    <t>ann-INV381</t>
  </si>
  <si>
    <t>Mr Matthew</t>
  </si>
  <si>
    <t>Breakages</t>
  </si>
  <si>
    <t>Tayo-INV142</t>
  </si>
  <si>
    <t>Maltina Pet 25cl</t>
  </si>
  <si>
    <t>ann-INV382</t>
  </si>
  <si>
    <t>ann-INV383</t>
  </si>
  <si>
    <t>ann-INV384</t>
  </si>
  <si>
    <t>ann-INV385</t>
  </si>
  <si>
    <t>ann-INV387</t>
  </si>
  <si>
    <t>ann-INV388</t>
  </si>
  <si>
    <t>ann-INV386</t>
  </si>
  <si>
    <t>ann-INV389</t>
  </si>
  <si>
    <t>ann-INV390</t>
  </si>
  <si>
    <t>ann-INV391</t>
  </si>
  <si>
    <t>ann-INV392</t>
  </si>
  <si>
    <t>ann-INV394</t>
  </si>
  <si>
    <t>50 crt</t>
  </si>
  <si>
    <t>ann-INV395</t>
  </si>
  <si>
    <t>ann-INV397</t>
  </si>
  <si>
    <t>200 crt</t>
  </si>
  <si>
    <t>100 crt</t>
  </si>
  <si>
    <t>300 Empty</t>
  </si>
  <si>
    <t>ann-INV396</t>
  </si>
  <si>
    <t>40 crt</t>
  </si>
  <si>
    <t>40 Empty</t>
  </si>
  <si>
    <t>ann-INV398</t>
  </si>
  <si>
    <t>ann-INV399</t>
  </si>
  <si>
    <t>8 pets</t>
  </si>
  <si>
    <t>ann-INV400</t>
  </si>
  <si>
    <t>ann-INV401</t>
  </si>
  <si>
    <t>ann-INV402</t>
  </si>
  <si>
    <t>ann-INV403</t>
  </si>
  <si>
    <t>ann-INV404</t>
  </si>
  <si>
    <t>MR LEKAN OJIFINI</t>
  </si>
  <si>
    <t>ann-INV405</t>
  </si>
  <si>
    <t>ann-INV406</t>
  </si>
  <si>
    <t>ann-INV407</t>
  </si>
  <si>
    <t>ann-INV408</t>
  </si>
  <si>
    <t>ann-INV410</t>
  </si>
  <si>
    <t>ann-INV409</t>
  </si>
  <si>
    <t>ann-INV411</t>
  </si>
  <si>
    <t>3 W&amp;S</t>
  </si>
  <si>
    <t>ann-INV412</t>
  </si>
  <si>
    <t>ann-INV413</t>
  </si>
  <si>
    <t>19 crt</t>
  </si>
  <si>
    <t>12 crt</t>
  </si>
  <si>
    <t>7 pets</t>
  </si>
  <si>
    <t>43 Empty</t>
  </si>
  <si>
    <t>ann-INV414</t>
  </si>
  <si>
    <t>82 crt</t>
  </si>
  <si>
    <t>28 pets</t>
  </si>
  <si>
    <t>82 Empty</t>
  </si>
  <si>
    <t>ann-INV415</t>
  </si>
  <si>
    <t>32 Empty</t>
  </si>
  <si>
    <t>ann-INV416</t>
  </si>
  <si>
    <t>ann-INV417</t>
  </si>
  <si>
    <t>Sellers Estimate Reference: tayo-EST11,</t>
  </si>
  <si>
    <t>97 cans</t>
  </si>
  <si>
    <t>96 cans</t>
  </si>
  <si>
    <t>150 cans</t>
  </si>
  <si>
    <t>170 Empty</t>
  </si>
  <si>
    <t>ann-INV418</t>
  </si>
  <si>
    <t>mr jerry june incentive</t>
  </si>
  <si>
    <t>ann-INV419</t>
  </si>
  <si>
    <t>ann-INV420</t>
  </si>
  <si>
    <t>ann-INV421</t>
  </si>
  <si>
    <t>150 pets</t>
  </si>
  <si>
    <t>ann-INV422</t>
  </si>
  <si>
    <t>1,240 pets</t>
  </si>
  <si>
    <t>ann-INV423</t>
  </si>
  <si>
    <t>7 crt</t>
  </si>
  <si>
    <t>19 Empty</t>
  </si>
  <si>
    <t>9 Empty</t>
  </si>
  <si>
    <t>ann-INV424</t>
  </si>
  <si>
    <t>ann-INV425</t>
  </si>
  <si>
    <t>14 pets</t>
  </si>
  <si>
    <t>ann-INV426</t>
  </si>
  <si>
    <t>Baba Forklift</t>
  </si>
  <si>
    <t>ann-INV427</t>
  </si>
  <si>
    <t>ann-INV428</t>
  </si>
  <si>
    <t>ann-INV429</t>
  </si>
  <si>
    <t>ann-INV430</t>
  </si>
  <si>
    <t>ann-INV431</t>
  </si>
  <si>
    <t>ann-INV432</t>
  </si>
  <si>
    <t>ann-INV433</t>
  </si>
  <si>
    <t>ann-INV434</t>
  </si>
  <si>
    <t>12 pets</t>
  </si>
  <si>
    <t>ann-INV435</t>
  </si>
  <si>
    <t>30 pets</t>
  </si>
  <si>
    <t>ann-INV436</t>
  </si>
  <si>
    <t>ann-INV437</t>
  </si>
  <si>
    <t>ann-INV438</t>
  </si>
  <si>
    <t>17 crt</t>
  </si>
  <si>
    <t>13 crt</t>
  </si>
  <si>
    <t>38 Empty</t>
  </si>
  <si>
    <t>ann-INV439</t>
  </si>
  <si>
    <t>ann-INV440</t>
  </si>
  <si>
    <t>TOTAL ( 160 Transactions)</t>
  </si>
  <si>
    <t>NGN93,166,300</t>
  </si>
  <si>
    <t>NGN59,787,065</t>
  </si>
  <si>
    <t>NGN33,379,235</t>
  </si>
  <si>
    <t>NGN91,250,963</t>
  </si>
  <si>
    <t>NGN1,915,337</t>
  </si>
  <si>
    <t>Inventory Summary</t>
  </si>
  <si>
    <t>7/1/2026 To 7/31/2026</t>
  </si>
  <si>
    <t>ITEM</t>
  </si>
  <si>
    <t>NO. OF UNITS</t>
  </si>
  <si>
    <t>UOM</t>
  </si>
  <si>
    <t>RATE PER UNIT</t>
  </si>
  <si>
    <t>VALUE</t>
  </si>
  <si>
    <t>DEFAULT PURCHASE PRICE</t>
  </si>
  <si>
    <t>Guiness</t>
  </si>
  <si>
    <t>Can</t>
  </si>
  <si>
    <t>Malta Gns Can.</t>
  </si>
  <si>
    <t>cans</t>
  </si>
  <si>
    <t>RGB</t>
  </si>
  <si>
    <t>Big Stout</t>
  </si>
  <si>
    <t>crt</t>
  </si>
  <si>
    <t>ORIJIN BT</t>
  </si>
  <si>
    <t>Small Guinness Stout</t>
  </si>
  <si>
    <t>IntlB</t>
  </si>
  <si>
    <t>NB PLC</t>
  </si>
  <si>
    <t>Pet</t>
  </si>
  <si>
    <t>pets</t>
  </si>
  <si>
    <t>Fayrouz Pet</t>
  </si>
  <si>
    <t>Goldberg Black Promo</t>
  </si>
  <si>
    <t>RGB Premium</t>
  </si>
  <si>
    <t>Wines</t>
  </si>
  <si>
    <t>W&amp;S</t>
  </si>
  <si>
    <t>default</t>
  </si>
  <si>
    <t>Empty</t>
  </si>
  <si>
    <t>TOTAL VALUE</t>
  </si>
  <si>
    <t>NGN319,967,133</t>
  </si>
  <si>
    <t>DAY BOOK</t>
  </si>
  <si>
    <t>7/1/2026 TO 7/31/2026</t>
  </si>
  <si>
    <t>DEBIT</t>
  </si>
  <si>
    <t>CREDIT</t>
  </si>
  <si>
    <t>VCH TYPE</t>
  </si>
  <si>
    <t>DEBIT AMOUNT</t>
  </si>
  <si>
    <t>CREDIT AMOUNT</t>
  </si>
  <si>
    <t>Sales Return</t>
  </si>
  <si>
    <t>Credit Note</t>
  </si>
  <si>
    <t>ann-SLR17</t>
  </si>
  <si>
    <t>ann-SLR20</t>
  </si>
  <si>
    <t>ann-SLR18</t>
  </si>
  <si>
    <t>ann-SLR19</t>
  </si>
  <si>
    <t>ann-SLR21</t>
  </si>
  <si>
    <t>148 pets</t>
  </si>
  <si>
    <t>ann-SLR23</t>
  </si>
  <si>
    <t>ann-SLR22</t>
  </si>
  <si>
    <t>ann-SLR24</t>
  </si>
  <si>
    <t>ann-SLR25</t>
  </si>
  <si>
    <t>29 Empty</t>
  </si>
  <si>
    <t>ann-SLR26</t>
  </si>
  <si>
    <t>294 Empty</t>
  </si>
  <si>
    <t>ann-SLR27</t>
  </si>
  <si>
    <t>45 Empty</t>
  </si>
  <si>
    <t>ann-SLR28</t>
  </si>
  <si>
    <t>216 Empty</t>
  </si>
  <si>
    <t>ann-SLR31</t>
  </si>
  <si>
    <t>ann-SLR30</t>
  </si>
  <si>
    <t>ann-SLR32</t>
  </si>
  <si>
    <t>ann-SLR33</t>
  </si>
  <si>
    <t>ann-SLR34</t>
  </si>
  <si>
    <t>102 Empty</t>
  </si>
  <si>
    <t>ann-SLR35</t>
  </si>
  <si>
    <t>ann-SLR36</t>
  </si>
  <si>
    <t>ann-SLR37</t>
  </si>
  <si>
    <t>174 Empty</t>
  </si>
  <si>
    <t>ann-SLR38</t>
  </si>
  <si>
    <t>42 Empty</t>
  </si>
  <si>
    <t>ann-SLR39</t>
  </si>
  <si>
    <t>11 Empty</t>
  </si>
  <si>
    <t>ann-SLR40</t>
  </si>
  <si>
    <t>280 Empty</t>
  </si>
  <si>
    <t>ann-SLR41</t>
  </si>
  <si>
    <t>60 Empty</t>
  </si>
  <si>
    <t>ann-SLR42</t>
  </si>
  <si>
    <t>ann-SLR43</t>
  </si>
  <si>
    <t>ann-SLR44</t>
  </si>
  <si>
    <t>235 Empty</t>
  </si>
  <si>
    <t>79 Empty</t>
  </si>
  <si>
    <t>ann-SLR45</t>
  </si>
  <si>
    <t>59 Empty</t>
  </si>
  <si>
    <t>ann-SLR46</t>
  </si>
  <si>
    <t>ann-SLR47</t>
  </si>
  <si>
    <t>ann-SLR48</t>
  </si>
  <si>
    <t>AdeniT-SLR5</t>
  </si>
  <si>
    <t>57 Empty</t>
  </si>
  <si>
    <t>ann-SLR49</t>
  </si>
  <si>
    <t>13 Empty</t>
  </si>
  <si>
    <t>ann-SLR50</t>
  </si>
  <si>
    <t>315 Empty</t>
  </si>
  <si>
    <t>ann-SLR51</t>
  </si>
  <si>
    <t>12 Empty</t>
  </si>
  <si>
    <t>ann-SLR52</t>
  </si>
  <si>
    <t>ann-SLR53</t>
  </si>
  <si>
    <t>ann-SLR54</t>
  </si>
  <si>
    <t>ann-SLR55</t>
  </si>
  <si>
    <t>ann-SLR56</t>
  </si>
  <si>
    <t>ann-SLR57</t>
  </si>
  <si>
    <t>ann-SLR58</t>
  </si>
  <si>
    <t>7 Empty</t>
  </si>
  <si>
    <t>ann-SLR60</t>
  </si>
  <si>
    <t>ann-SLR59</t>
  </si>
  <si>
    <t>22 Empty</t>
  </si>
  <si>
    <t>ann-SLR61</t>
  </si>
  <si>
    <t>Suspense Account</t>
  </si>
  <si>
    <t>AdeniT-SLR6</t>
  </si>
  <si>
    <t>AdeniT-SLR7</t>
  </si>
  <si>
    <t>ann-SLR62</t>
  </si>
  <si>
    <t>ann-SLR63</t>
  </si>
  <si>
    <t>27 Empty</t>
  </si>
  <si>
    <t>ann-SLR64</t>
  </si>
  <si>
    <t>ann-SLR65</t>
  </si>
  <si>
    <t>ann-SLR66</t>
  </si>
  <si>
    <t>23 Empty</t>
  </si>
  <si>
    <t>ann-SLR67</t>
  </si>
  <si>
    <t>ann-SLR68</t>
  </si>
  <si>
    <t>36 Empty</t>
  </si>
  <si>
    <t>ann-SLR69</t>
  </si>
  <si>
    <t>ann-SLR70</t>
  </si>
  <si>
    <t>ann-SLR71</t>
  </si>
  <si>
    <t>4 W&amp;S</t>
  </si>
  <si>
    <t>ann-SLR72</t>
  </si>
  <si>
    <t>AdeniT-SLR8</t>
  </si>
  <si>
    <t>AdeniT-SLR9</t>
  </si>
  <si>
    <t>ann-SLR73</t>
  </si>
  <si>
    <t>AdeniT-SLR10</t>
  </si>
  <si>
    <t>ann-SLR74</t>
  </si>
  <si>
    <t>46 Empty</t>
  </si>
  <si>
    <t>ann-SLR75</t>
  </si>
  <si>
    <t>ann-SLR76</t>
  </si>
  <si>
    <t>ann-SLR77</t>
  </si>
  <si>
    <t>330 Empty</t>
  </si>
  <si>
    <t>ann-SLR79</t>
  </si>
  <si>
    <t>ann-SLR78</t>
  </si>
  <si>
    <t>ann-SLR80</t>
  </si>
  <si>
    <t>ann-SLR81</t>
  </si>
  <si>
    <t>ann-SLR84</t>
  </si>
  <si>
    <t>ann-SLR85</t>
  </si>
  <si>
    <t>ann-SLR83</t>
  </si>
  <si>
    <t>344 Empty</t>
  </si>
  <si>
    <t>ann-SLR82</t>
  </si>
  <si>
    <t>ann-SLR86</t>
  </si>
  <si>
    <t>ann-SLR89</t>
  </si>
  <si>
    <t>56 Empty</t>
  </si>
  <si>
    <t>ann-SLR88</t>
  </si>
  <si>
    <t>ann-SLR87</t>
  </si>
  <si>
    <t>ann-SLR90</t>
  </si>
  <si>
    <t>ann-SLR91</t>
  </si>
  <si>
    <t>ann-SLR92</t>
  </si>
  <si>
    <t>ann-SLR93</t>
  </si>
  <si>
    <t>ann-SLR94</t>
  </si>
  <si>
    <t>28 Empty</t>
  </si>
  <si>
    <t>ann-SLR95</t>
  </si>
  <si>
    <t>ann-SLR96</t>
  </si>
  <si>
    <t>ann-SLR97</t>
  </si>
  <si>
    <t>ann-SLR98</t>
  </si>
  <si>
    <t>ann-SLR99</t>
  </si>
  <si>
    <t>ann-SLR100</t>
  </si>
  <si>
    <t>ann-SLR101</t>
  </si>
  <si>
    <t>ann-SLR102</t>
  </si>
  <si>
    <t>ann-SLR103</t>
  </si>
  <si>
    <t>AdeniT-SLR11</t>
  </si>
  <si>
    <t>ann-SLR104</t>
  </si>
  <si>
    <t>ann-SLR105</t>
  </si>
  <si>
    <t>ann-SLR106</t>
  </si>
  <si>
    <t>Narration: empties return</t>
  </si>
  <si>
    <t>ann-SLR107</t>
  </si>
  <si>
    <t>ann-SLR108</t>
  </si>
  <si>
    <t>ann-SLR109</t>
  </si>
  <si>
    <t>ann-SLR110</t>
  </si>
  <si>
    <t>ann-SLR111</t>
  </si>
  <si>
    <t>ann-SLR112</t>
  </si>
  <si>
    <t>ann-SLR113</t>
  </si>
  <si>
    <t>ann-SLR114</t>
  </si>
  <si>
    <t>ann-SLR115</t>
  </si>
  <si>
    <t>ann-SLR116</t>
  </si>
  <si>
    <t>Narration: mr matthew</t>
  </si>
  <si>
    <t>ann-SLR117</t>
  </si>
  <si>
    <t>21 Empty</t>
  </si>
  <si>
    <t>17 Empty</t>
  </si>
  <si>
    <t>ann-SLR118</t>
  </si>
  <si>
    <t>ann-SLR119</t>
  </si>
  <si>
    <t>ann-SLR120</t>
  </si>
  <si>
    <t>Narration: one missing from a pack</t>
  </si>
  <si>
    <t>ann-SLR121</t>
  </si>
  <si>
    <t>Narration: mr jerry</t>
  </si>
  <si>
    <t>ann-SLR122</t>
  </si>
  <si>
    <t>ann-SLR123</t>
  </si>
  <si>
    <t>ann-SLR124</t>
  </si>
  <si>
    <t>ann-SLR125</t>
  </si>
  <si>
    <t>ann-SLR126</t>
  </si>
  <si>
    <t>14 Empty</t>
  </si>
  <si>
    <t>TOTAL (116 transactions)</t>
  </si>
  <si>
    <t>Date</t>
  </si>
  <si>
    <t>Product</t>
  </si>
  <si>
    <t>Cases_Sold</t>
  </si>
  <si>
    <t>Unit_Price_NGN</t>
  </si>
  <si>
    <t>Amount_NGN</t>
  </si>
  <si>
    <t>Customer</t>
  </si>
  <si>
    <t>Invoice No</t>
  </si>
  <si>
    <t>Quantity</t>
  </si>
  <si>
    <t>Revenue</t>
  </si>
  <si>
    <t>% of Total Revenue</t>
  </si>
  <si>
    <t>Total Revnue</t>
  </si>
  <si>
    <t>Total Cases Sold</t>
  </si>
  <si>
    <t>Total transaction</t>
  </si>
  <si>
    <t>Walk in Customer 1</t>
  </si>
  <si>
    <t>Walk in Customer 2</t>
  </si>
  <si>
    <t>Grand Total</t>
  </si>
  <si>
    <t>Gross Profit</t>
  </si>
  <si>
    <t>Total</t>
  </si>
  <si>
    <t>%</t>
  </si>
  <si>
    <t>Invoice_no</t>
  </si>
  <si>
    <t>July 5th, 2026</t>
  </si>
  <si>
    <t>No sales recorded - store closed (Sunday).</t>
  </si>
  <si>
    <t>July 12th, 2026</t>
  </si>
  <si>
    <t>July 19th, 2026</t>
  </si>
  <si>
    <t>Total Revenue</t>
  </si>
  <si>
    <t>July 26th, 2026</t>
  </si>
  <si>
    <t>Product Analysis — July 1-31, 2026</t>
  </si>
  <si>
    <t>Cases Sold</t>
  </si>
  <si>
    <t>Avg Selling Price/Case</t>
  </si>
  <si>
    <t>Cost/Case (tmp3F5D)</t>
  </si>
  <si>
    <t>Price Diff/Case</t>
  </si>
  <si>
    <t>Price Diff %</t>
  </si>
  <si>
    <t>Revenue (NGN)</t>
  </si>
  <si>
    <t>Total Cost (NGN)</t>
  </si>
  <si>
    <t>Gross Profit (NGN)</t>
  </si>
  <si>
    <t>Gross Profit %</t>
  </si>
  <si>
    <t>TOTAL</t>
  </si>
  <si>
    <t>Marketers — Sales &amp; Gross Profit Analysis</t>
  </si>
  <si>
    <t>AZ Marketer — July 2026 Sales &amp; Gross Profit Analysis (cost basis: tmp3F5D)</t>
  </si>
  <si>
    <t>Total Cost</t>
  </si>
  <si>
    <t>Total Gross Profit</t>
  </si>
  <si>
    <t>Total Gross Profit %</t>
  </si>
  <si>
    <t>Invoices</t>
  </si>
  <si>
    <t>Selling Price / Case (NGN)</t>
  </si>
  <si>
    <t>Cost / Case (tmp3F5D)</t>
  </si>
  <si>
    <t>Price Difference / Case (NGN)</t>
  </si>
  <si>
    <t>Price Difference %</t>
  </si>
  <si>
    <t>Gross Profit / Case (NGN)</t>
  </si>
  <si>
    <t>2026-07-06</t>
  </si>
  <si>
    <t>2026-07-11</t>
  </si>
  <si>
    <t>Product Summary</t>
  </si>
  <si>
    <t>Selling Price / Case</t>
  </si>
  <si>
    <t>Cost / Case</t>
  </si>
  <si>
    <t>Price Difference / Case</t>
  </si>
  <si>
    <t>Eniola Marketer — July 2026 Sales &amp; Gross Profit Analysis (cost basis: tmp3F5D)</t>
  </si>
  <si>
    <t>2026-07-01</t>
  </si>
  <si>
    <t>2026-07-02</t>
  </si>
  <si>
    <t>2026-07-03</t>
  </si>
  <si>
    <t>2026-07-04</t>
  </si>
  <si>
    <t>2026-07-07</t>
  </si>
  <si>
    <t>2026-07-08</t>
  </si>
  <si>
    <t>2026-07-10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</si>
  <si>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</si>
  <si>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</si>
  <si>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</si>
  <si>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</si>
  <si>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</si>
  <si>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</si>
  <si>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</si>
  <si>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</si>
  <si>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</si>
  <si>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</si>
  <si>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</si>
  <si>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</si>
  <si>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</si>
  <si>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</si>
  <si>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2026-07-31</t>
  </si>
  <si>
    <t>Flag</t>
  </si>
  <si>
    <t>Summary</t>
  </si>
  <si>
    <t>Cases Sold (cu)</t>
  </si>
  <si>
    <t>Volume Tier</t>
  </si>
  <si>
    <t>Retail (&lt;50cu)</t>
  </si>
  <si>
    <t>Wholesale (50-299cu)</t>
  </si>
  <si>
    <t>Sub-D (&gt;=300cu)</t>
  </si>
  <si>
    <t>2026-07-09</t>
  </si>
  <si>
    <t>2026-07-25</t>
  </si>
  <si>
    <t>2026-07-30</t>
  </si>
  <si>
    <t>Volume Price Analysis — Selling Price vs. True Cost (tmp3F5D)</t>
  </si>
  <si>
    <t>Selling Price/Case</t>
  </si>
  <si>
    <t>Cost Data</t>
  </si>
  <si>
    <t>OK</t>
  </si>
  <si>
    <t>Profitable</t>
  </si>
  <si>
    <t>Loss-making</t>
  </si>
  <si>
    <t>Break-even</t>
  </si>
  <si>
    <t>Volume tier line counts:</t>
  </si>
  <si>
    <t>Profitability flag line counts:</t>
  </si>
  <si>
    <t>Sales Return Analysis — July 1-31, 2026 (from tmpCEF3, Day Book Credit Notes)</t>
  </si>
  <si>
    <t>0. Net Revenue After Returns</t>
  </si>
  <si>
    <t>Total Sales Revenue (all invoices, incl. empties)</t>
  </si>
  <si>
    <t>Less: Total Sales Returns (all credit notes, incl. empties)</t>
  </si>
  <si>
    <t>Of which: Product returns</t>
  </si>
  <si>
    <t>Of which: Empties/crate returns</t>
  </si>
  <si>
    <t>Return rate (returns / gross sales revenue)</t>
  </si>
  <si>
    <t>1. What Was Returned Most (by item)</t>
  </si>
  <si>
    <t>Item</t>
  </si>
  <si>
    <t>Type</t>
  </si>
  <si>
    <t>Qty Returned</t>
  </si>
  <si>
    <t>Value Returned (NGN)</t>
  </si>
  <si>
    <t>% of Total Returns</t>
  </si>
  <si>
    <t>Empties</t>
  </si>
  <si>
    <t>2. Which Customers Returned the Most</t>
  </si>
  <si>
    <t>Return Transactions</t>
  </si>
  <si>
    <t>Product Qty</t>
  </si>
  <si>
    <t>Product Value (NGN)</t>
  </si>
  <si>
    <t>Empties Qty</t>
  </si>
  <si>
    <t>Empties Value (NGN)</t>
  </si>
  <si>
    <t>Total Value (NGN)</t>
  </si>
  <si>
    <t>3. Return Rate by Customer (returns as % of their own sales — flags problem accounts)</t>
  </si>
  <si>
    <t>Sales Revenue (NGN)</t>
  </si>
  <si>
    <t>Returns Value (NGN)</t>
  </si>
  <si>
    <t>Return Rate %</t>
  </si>
  <si>
    <t>High (&gt;15%)</t>
  </si>
  <si>
    <t>Elevated (&gt;8%)</t>
  </si>
  <si>
    <t>Normal</t>
  </si>
  <si>
    <t>N/A - no sales on record</t>
  </si>
  <si>
    <t>Returns with no matching sales invoice</t>
  </si>
  <si>
    <t>4. Weekly Return Trend</t>
  </si>
  <si>
    <t>Week</t>
  </si>
  <si>
    <t>Date Range</t>
  </si>
  <si>
    <t>W1</t>
  </si>
  <si>
    <t>Jul 1-7</t>
  </si>
  <si>
    <t>W2</t>
  </si>
  <si>
    <t>Jul 8-14</t>
  </si>
  <si>
    <t>W3</t>
  </si>
  <si>
    <t>Jul 15-21</t>
  </si>
  <si>
    <t>W4</t>
  </si>
  <si>
    <t>Jul 22-28</t>
  </si>
  <si>
    <t>Tail</t>
  </si>
  <si>
    <t>Jul 29-31</t>
  </si>
  <si>
    <t>Aggregate Summary - July 1-31, 2026</t>
  </si>
  <si>
    <t>Revenue - excl. empties (Table 2)</t>
  </si>
  <si>
    <t>Cases Sold (excl. empties)</t>
  </si>
  <si>
    <t>Revenue - incl. empties (Table 4)</t>
  </si>
  <si>
    <t>Gross Profit (approx.)</t>
  </si>
  <si>
    <t>Margin %</t>
  </si>
  <si>
    <t>July 1st</t>
  </si>
  <si>
    <t>July 2nd</t>
  </si>
  <si>
    <t>July 3rd</t>
  </si>
  <si>
    <t>July 4th</t>
  </si>
  <si>
    <t>July 5th (closed / no data)</t>
  </si>
  <si>
    <t>July 6th</t>
  </si>
  <si>
    <t>July 7th</t>
  </si>
  <si>
    <t>July 8th</t>
  </si>
  <si>
    <t>July 9th</t>
  </si>
  <si>
    <t>July 10th</t>
  </si>
  <si>
    <t>July 11th</t>
  </si>
  <si>
    <t>July 12th (closed / no data)</t>
  </si>
  <si>
    <t>July 13th</t>
  </si>
  <si>
    <t>July 14th</t>
  </si>
  <si>
    <t>July 15th</t>
  </si>
  <si>
    <t>July 16th</t>
  </si>
  <si>
    <t>July 17th</t>
  </si>
  <si>
    <t>July 18th</t>
  </si>
  <si>
    <t>July 19th (closed / no data)</t>
  </si>
  <si>
    <t>July 20th</t>
  </si>
  <si>
    <t>July 21st</t>
  </si>
  <si>
    <t>July 22nd</t>
  </si>
  <si>
    <t>July 23rd</t>
  </si>
  <si>
    <t>July 24th</t>
  </si>
  <si>
    <t>July 25th</t>
  </si>
  <si>
    <t>July 26th (closed / no data)</t>
  </si>
  <si>
    <t>July 27th</t>
  </si>
  <si>
    <t>July 28th</t>
  </si>
  <si>
    <t>29th</t>
  </si>
  <si>
    <t>30th</t>
  </si>
  <si>
    <t>31st</t>
  </si>
  <si>
    <t xml:space="preserve">TOTAL (Jul 1-31) </t>
  </si>
  <si>
    <t>AZ MARKETER</t>
  </si>
  <si>
    <t>ENIOLA MARKETER</t>
  </si>
  <si>
    <t>NET SALES REVENUE (Revenue - Returns)</t>
  </si>
  <si>
    <t>less: Total cost</t>
  </si>
  <si>
    <t>Net Gross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</si>
</sst>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\-??_-;_-@_-"/>
    <numFmt numFmtId="165" formatCode="_(* #,##0_);_(* \(#,##0\);_(* \-??_);_(@_)"/>
  </numFmts>
  <fonts count="44" x14ac:knownFonts="1">
    <font>
      <sz val="11"/>
      <color theme="1"/>
      <name val="Calibri"/>
      <family val="2"/>
      <charset val="1"/>
    </font>
    <font>
      <sz val="10"/>
      <name val="Arial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3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808090"/>
      <name val="Calibri"/>
      <family val="2"/>
      <charset val="1"/>
    </font>
    <font>
      <i/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3"/>
      <color rgb="FF000000"/>
      <name val="Calibri"/>
      <family val="2"/>
      <charset val="1"/>
    </font>
    <font>
      <sz val="10"/>
      <name val="Arial"/>
      <family val="2"/>
    </font>
    <font>
      <sz val="11"/>
      <color theme="0"/>
      <name val="Calibri"/>
      <family val="2"/>
      <charset val="1"/>
    </font>
    <font>
      <b/>
      <sz val="14"/>
      <name val="Arial"/>
      <family val="2"/>
      <charset val="1"/>
    </font>
    <font>
      <i/>
      <sz val="11"/>
      <name val="Calibri"/>
      <family val="2"/>
      <charset val="1"/>
    </font>
    <font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3"/>
      <color rgb="FF1F4E78"/>
      <name val="Arial"/>
      <charset val="1"/>
    </font>
    <font>
      <i/>
      <sz val="9"/>
      <color rgb="FF555555"/>
      <name val="Calibri"/>
      <charset val="1"/>
    </font>
    <font>
      <b/>
      <sz val="10"/>
      <color rgb="FFFFFFFF"/>
      <name val="Arial"/>
      <charset val="1"/>
    </font>
    <font>
      <sz val="11"/>
      <color rgb="FFC0392B"/>
      <name val="Cambria"/>
      <charset val="1"/>
    </font>
    <font>
      <sz val="11"/>
      <color rgb="FF1E7E34"/>
      <name val="Cambria"/>
      <charset val="1"/>
    </font>
    <font>
      <b/>
      <sz val="11"/>
      <name val="Cambria"/>
      <charset val="1"/>
    </font>
    <font>
      <b/>
      <sz val="14"/>
      <color rgb="FF1F4E78"/>
      <name val="Arial"/>
      <charset val="1"/>
    </font>
    <font>
      <b/>
      <sz val="12"/>
      <color rgb="FF1F4E78"/>
      <name val="Arial"/>
      <charset val="1"/>
    </font>
    <font>
      <i/>
      <sz val="9"/>
      <color rgb="FF555555"/>
      <name val="Calibri"/>
      <family val="2"/>
      <charset val="1"/>
    </font>
    <font>
      <b/>
      <sz val="12"/>
      <color rgb="FF1F4E78"/>
      <name val="Arial"/>
      <family val="2"/>
      <charset val="1"/>
    </font>
    <font>
      <b/>
      <sz val="11"/>
      <name val="Cambria"/>
      <family val="1"/>
      <charset val="1"/>
    </font>
    <font>
      <b/>
      <sz val="10"/>
      <color rgb="FF1F4E78"/>
      <name val="Arial"/>
      <charset val="1"/>
    </font>
    <font>
      <b/>
      <sz val="11"/>
      <color rgb="FF1F4E78"/>
      <name val="Arial"/>
      <charset val="1"/>
    </font>
    <font>
      <b/>
      <sz val="11"/>
      <color rgb="FFC0392B"/>
      <name val="Cambria"/>
      <charset val="1"/>
    </font>
    <font>
      <i/>
      <sz val="10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rgb="FFFF0000"/>
      <name val="Calibri"/>
      <family val="2"/>
      <charset val="1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b/>
      <sz val="11"/>
      <name val="Cambria"/>
      <family val="1"/>
    </font>
  </fonts>
  <fills count="27">
    <fill>
      <patternFill patternType="none"/>
    </fill>
    <fill>
      <patternFill patternType="gray125"/>
    </fill>
    <fill>
      <patternFill patternType="solid">
        <fgColor rgb="FFF0F0F0"/>
        <bgColor rgb="FFFFF2CC"/>
      </patternFill>
    </fill>
    <fill>
      <patternFill patternType="solid">
        <fgColor rgb="FFFFFF00"/>
        <bgColor rgb="FFFFC000"/>
      </patternFill>
    </fill>
    <fill>
      <patternFill patternType="solid">
        <fgColor rgb="FFFF0000"/>
        <bgColor rgb="FFC00000"/>
      </patternFill>
    </fill>
    <fill>
      <patternFill patternType="solid">
        <fgColor theme="9" tint="-0.249977111117893"/>
        <bgColor rgb="FF1E7E34"/>
      </patternFill>
    </fill>
    <fill>
      <patternFill patternType="solid">
        <fgColor rgb="FFFFC000"/>
        <bgColor rgb="FFFF9900"/>
      </patternFill>
    </fill>
    <fill>
      <patternFill patternType="solid">
        <fgColor theme="5" tint="-0.249977111117893"/>
        <bgColor rgb="FFC0392B"/>
      </patternFill>
    </fill>
    <fill>
      <patternFill patternType="solid">
        <fgColor theme="5" tint="0.39967040009765925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rgb="FF1F4E78"/>
        <bgColor rgb="FF003366"/>
      </patternFill>
    </fill>
    <fill>
      <patternFill patternType="solid">
        <fgColor rgb="FF92D050"/>
        <bgColor rgb="FFB3B3B3"/>
      </patternFill>
    </fill>
    <fill>
      <patternFill patternType="solid">
        <fgColor theme="7" tint="-0.499984740745262"/>
        <bgColor rgb="FF595959"/>
      </patternFill>
    </fill>
    <fill>
      <patternFill patternType="solid">
        <fgColor theme="4" tint="0.79979857783745845"/>
        <bgColor rgb="FFD9E2F0"/>
      </patternFill>
    </fill>
    <fill>
      <patternFill patternType="solid">
        <fgColor theme="7" tint="0.79979857783745845"/>
        <bgColor rgb="FFF0F0F0"/>
      </patternFill>
    </fill>
    <fill>
      <patternFill patternType="solid">
        <fgColor theme="2" tint="-0.249977111117893"/>
        <bgColor rgb="FFB3B3B3"/>
      </patternFill>
    </fill>
    <fill>
      <patternFill patternType="solid">
        <fgColor rgb="FF7030A0"/>
        <bgColor rgb="FF800080"/>
      </patternFill>
    </fill>
    <fill>
      <patternFill patternType="solid">
        <fgColor theme="5" tint="0.59959715567491678"/>
        <bgColor rgb="FFFFE699"/>
      </patternFill>
    </fill>
    <fill>
      <patternFill patternType="solid">
        <fgColor rgb="FF0070C0"/>
        <bgColor rgb="FF0563C1"/>
      </patternFill>
    </fill>
    <fill>
      <patternFill patternType="solid">
        <fgColor theme="0"/>
        <bgColor rgb="FFF0F0F0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1E7E34"/>
      </patternFill>
    </fill>
    <fill>
      <patternFill patternType="solid">
        <fgColor theme="6" tint="-0.249977111117893"/>
        <bgColor rgb="FF808090"/>
      </patternFill>
    </fill>
    <fill>
      <patternFill patternType="solid">
        <fgColor theme="9" tint="0.59968871120334488"/>
        <bgColor rgb="FFD9D9D9"/>
      </patternFill>
    </fill>
    <fill>
      <patternFill patternType="solid">
        <fgColor theme="3" tint="0.59968871120334488"/>
        <bgColor rgb="FFB3B3B3"/>
      </patternFill>
    </fill>
    <fill>
      <patternFill patternType="solid">
        <fgColor theme="7" tint="0.59968871120334488"/>
        <bgColor rgb="FFFFF2CC"/>
      </patternFill>
    </fill>
    <fill>
      <patternFill patternType="solid">
        <fgColor rgb="FFD9E2F0"/>
        <bgColor rgb="FFDAE3F3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  <xf numFmtId="164" fontId="2" fillId="0" borderId="0"/>
    <xf numFmtId="0" fontId="3" fillId="0" borderId="0"/>
    <xf numFmtId="0" fontId="3" fillId="0" borderId="0"/>
    <xf numFmtId="0" fontId="36" fillId="0" borderId="0"/>
    <xf numFmtId="0" fontId="2" fillId="0" borderId="0"/>
    <xf numFmtId="0" fontId="36" fillId="0" borderId="0"/>
    <xf numFmtId="0" fontId="36" fillId="0" borderId="0"/>
  </cellStyleXfs>
  <cellXfs count="192">
    <xf numFmtId="0" fontId="0" fillId="0" borderId="0" xfId="0"/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right" vertical="center" wrapText="1" indent="1"/>
    </xf>
    <xf numFmtId="14" fontId="7" fillId="3" borderId="0" xfId="0" applyNumberFormat="1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3" fontId="7" fillId="0" borderId="0" xfId="0" applyNumberFormat="1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horizontal="left" indent="1"/>
    </xf>
    <xf numFmtId="3" fontId="7" fillId="4" borderId="0" xfId="0" applyNumberFormat="1" applyFont="1" applyFill="1" applyAlignment="1">
      <alignment horizontal="right" indent="1"/>
    </xf>
    <xf numFmtId="0" fontId="7" fillId="0" borderId="3" xfId="0" applyFont="1" applyBorder="1" applyAlignment="1">
      <alignment horizontal="left" indent="1"/>
    </xf>
    <xf numFmtId="0" fontId="7" fillId="0" borderId="4" xfId="0" applyFont="1" applyBorder="1" applyAlignment="1">
      <alignment horizontal="left" indent="1"/>
    </xf>
    <xf numFmtId="0" fontId="7" fillId="0" borderId="4" xfId="0" applyFont="1" applyBorder="1" applyAlignment="1">
      <alignment horizontal="right" indent="1"/>
    </xf>
    <xf numFmtId="14" fontId="7" fillId="0" borderId="0" xfId="0" applyNumberFormat="1" applyFont="1" applyAlignment="1">
      <alignment horizontal="left" indent="1"/>
    </xf>
    <xf numFmtId="3" fontId="4" fillId="0" borderId="0" xfId="0" applyNumberFormat="1" applyFont="1" applyAlignment="1"/>
    <xf numFmtId="0" fontId="7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left" indent="1"/>
    </xf>
    <xf numFmtId="3" fontId="7" fillId="3" borderId="0" xfId="0" applyNumberFormat="1" applyFont="1" applyFill="1" applyAlignment="1">
      <alignment horizontal="right" indent="1"/>
    </xf>
    <xf numFmtId="0" fontId="7" fillId="3" borderId="0" xfId="0" applyFont="1" applyFill="1" applyAlignment="1">
      <alignment horizontal="right" indent="1"/>
    </xf>
    <xf numFmtId="0" fontId="4" fillId="3" borderId="0" xfId="0" applyFont="1" applyFill="1" applyAlignment="1"/>
    <xf numFmtId="14" fontId="7" fillId="4" borderId="0" xfId="0" applyNumberFormat="1" applyFont="1" applyFill="1" applyAlignment="1">
      <alignment horizontal="left" indent="1"/>
    </xf>
    <xf numFmtId="3" fontId="7" fillId="5" borderId="0" xfId="0" applyNumberFormat="1" applyFont="1" applyFill="1" applyAlignment="1">
      <alignment horizontal="right" indent="1"/>
    </xf>
    <xf numFmtId="14" fontId="7" fillId="5" borderId="0" xfId="0" applyNumberFormat="1" applyFont="1" applyFill="1" applyAlignment="1">
      <alignment horizontal="left" indent="1"/>
    </xf>
    <xf numFmtId="14" fontId="7" fillId="6" borderId="0" xfId="0" applyNumberFormat="1" applyFont="1" applyFill="1" applyAlignment="1">
      <alignment horizontal="left" indent="1"/>
    </xf>
    <xf numFmtId="14" fontId="7" fillId="7" borderId="0" xfId="0" applyNumberFormat="1" applyFont="1" applyFill="1" applyAlignment="1">
      <alignment horizontal="left" indent="1"/>
    </xf>
    <xf numFmtId="14" fontId="7" fillId="8" borderId="0" xfId="0" applyNumberFormat="1" applyFont="1" applyFill="1" applyAlignment="1">
      <alignment horizontal="left" indent="1"/>
    </xf>
    <xf numFmtId="0" fontId="7" fillId="0" borderId="5" xfId="0" applyFont="1" applyBorder="1" applyAlignment="1">
      <alignment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14" fontId="7" fillId="9" borderId="0" xfId="0" applyNumberFormat="1" applyFont="1" applyFill="1" applyAlignment="1">
      <alignment horizontal="left" indent="1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3" fontId="6" fillId="2" borderId="1" xfId="0" applyNumberFormat="1" applyFont="1" applyFill="1" applyBorder="1" applyAlignment="1">
      <alignment horizontal="right" vertical="center" wrapText="1" indent="1"/>
    </xf>
    <xf numFmtId="0" fontId="0" fillId="0" borderId="0" xfId="0" applyAlignment="1"/>
    <xf numFmtId="0" fontId="8" fillId="0" borderId="0" xfId="0" applyFont="1" applyAlignment="1"/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right" vertical="center" wrapText="1" indent="1"/>
    </xf>
    <xf numFmtId="0" fontId="9" fillId="0" borderId="0" xfId="0" applyFont="1" applyAlignment="1">
      <alignment wrapText="1"/>
    </xf>
    <xf numFmtId="3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left" wrapText="1" indent="2"/>
    </xf>
    <xf numFmtId="3" fontId="11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 indent="4"/>
    </xf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11" fillId="0" borderId="0" xfId="0" applyFont="1" applyAlignment="1">
      <alignment horizontal="right" wrapText="1"/>
    </xf>
    <xf numFmtId="0" fontId="12" fillId="2" borderId="1" xfId="0" applyFont="1" applyFill="1" applyBorder="1" applyAlignment="1">
      <alignment horizontal="left" vertical="center" wrapText="1" indent="1"/>
    </xf>
    <xf numFmtId="3" fontId="12" fillId="2" borderId="1" xfId="0" applyNumberFormat="1" applyFont="1" applyFill="1" applyBorder="1" applyAlignment="1">
      <alignment horizontal="right" vertical="center" wrapText="1" indent="1"/>
    </xf>
    <xf numFmtId="0" fontId="12" fillId="2" borderId="1" xfId="0" applyFont="1" applyFill="1" applyBorder="1" applyAlignment="1">
      <alignment horizontal="right" vertical="center" wrapText="1" indent="1"/>
    </xf>
    <xf numFmtId="14" fontId="0" fillId="3" borderId="0" xfId="0" applyNumberFormat="1" applyFill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2" xfId="0" applyFont="1" applyBorder="1" applyAlignment="1">
      <alignment horizontal="left" indent="1"/>
    </xf>
    <xf numFmtId="0" fontId="0" fillId="0" borderId="0" xfId="0" applyFont="1" applyAlignment="1">
      <alignment horizontal="right" indent="1"/>
    </xf>
    <xf numFmtId="3" fontId="0" fillId="0" borderId="0" xfId="0" applyNumberFormat="1" applyAlignment="1">
      <alignment horizontal="right" indent="1"/>
    </xf>
    <xf numFmtId="0" fontId="0" fillId="0" borderId="3" xfId="0" applyBorder="1" applyAlignment="1">
      <alignment horizontal="left" indent="1"/>
    </xf>
    <xf numFmtId="14" fontId="0" fillId="0" borderId="0" xfId="0" applyNumberFormat="1" applyAlignment="1">
      <alignment wrapText="1"/>
    </xf>
    <xf numFmtId="3" fontId="8" fillId="2" borderId="1" xfId="0" applyNumberFormat="1" applyFont="1" applyFill="1" applyBorder="1" applyAlignment="1">
      <alignment horizontal="right" vertical="center" wrapText="1" indent="1"/>
    </xf>
    <xf numFmtId="0" fontId="13" fillId="10" borderId="9" xfId="0" applyFont="1" applyFill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left" indent="1"/>
    </xf>
    <xf numFmtId="0" fontId="7" fillId="0" borderId="9" xfId="0" applyFont="1" applyBorder="1" applyAlignment="1">
      <alignment horizontal="left" indent="1"/>
    </xf>
    <xf numFmtId="0" fontId="7" fillId="0" borderId="9" xfId="0" applyFont="1" applyBorder="1" applyAlignment="1">
      <alignment horizontal="right" indent="1"/>
    </xf>
    <xf numFmtId="3" fontId="7" fillId="4" borderId="9" xfId="0" applyNumberFormat="1" applyFont="1" applyFill="1" applyBorder="1" applyAlignment="1">
      <alignment horizontal="right" indent="1"/>
    </xf>
    <xf numFmtId="165" fontId="0" fillId="0" borderId="9" xfId="0" applyNumberFormat="1" applyBorder="1" applyAlignment="1"/>
    <xf numFmtId="0" fontId="3" fillId="0" borderId="9" xfId="0" applyFont="1" applyBorder="1" applyAlignment="1">
      <alignment horizontal="left" indent="1"/>
    </xf>
    <xf numFmtId="0" fontId="0" fillId="0" borderId="9" xfId="0" applyBorder="1" applyAlignment="1"/>
    <xf numFmtId="9" fontId="0" fillId="0" borderId="9" xfId="0" applyNumberFormat="1" applyBorder="1" applyAlignment="1"/>
    <xf numFmtId="3" fontId="0" fillId="0" borderId="9" xfId="0" applyNumberFormat="1" applyBorder="1" applyAlignment="1"/>
    <xf numFmtId="0" fontId="7" fillId="11" borderId="9" xfId="0" applyFont="1" applyFill="1" applyBorder="1" applyAlignment="1">
      <alignment horizontal="left" indent="1"/>
    </xf>
    <xf numFmtId="14" fontId="7" fillId="0" borderId="10" xfId="0" applyNumberFormat="1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0" fillId="0" borderId="10" xfId="0" applyBorder="1" applyAlignment="1"/>
    <xf numFmtId="165" fontId="0" fillId="0" borderId="0" xfId="0" applyNumberFormat="1" applyAlignment="1"/>
    <xf numFmtId="9" fontId="0" fillId="0" borderId="0" xfId="0" applyNumberFormat="1" applyAlignment="1"/>
    <xf numFmtId="0" fontId="14" fillId="0" borderId="9" xfId="0" applyFont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7" fillId="6" borderId="9" xfId="0" applyFont="1" applyFill="1" applyBorder="1" applyAlignment="1">
      <alignment horizontal="left" indent="1"/>
    </xf>
    <xf numFmtId="0" fontId="7" fillId="12" borderId="9" xfId="0" applyFont="1" applyFill="1" applyBorder="1" applyAlignment="1">
      <alignment horizontal="left" indent="1"/>
    </xf>
    <xf numFmtId="0" fontId="7" fillId="13" borderId="9" xfId="0" applyFont="1" applyFill="1" applyBorder="1" applyAlignment="1">
      <alignment horizontal="left" indent="1"/>
    </xf>
    <xf numFmtId="0" fontId="7" fillId="14" borderId="9" xfId="0" applyFont="1" applyFill="1" applyBorder="1" applyAlignment="1">
      <alignment horizontal="left" indent="1"/>
    </xf>
    <xf numFmtId="0" fontId="7" fillId="15" borderId="9" xfId="0" applyFont="1" applyFill="1" applyBorder="1" applyAlignment="1">
      <alignment horizontal="left" indent="1"/>
    </xf>
    <xf numFmtId="0" fontId="7" fillId="16" borderId="9" xfId="0" applyFont="1" applyFill="1" applyBorder="1" applyAlignment="1">
      <alignment horizontal="left" indent="1"/>
    </xf>
    <xf numFmtId="0" fontId="7" fillId="17" borderId="9" xfId="0" applyFont="1" applyFill="1" applyBorder="1" applyAlignment="1">
      <alignment horizontal="left" indent="1"/>
    </xf>
    <xf numFmtId="0" fontId="7" fillId="18" borderId="9" xfId="0" applyFont="1" applyFill="1" applyBorder="1" applyAlignment="1">
      <alignment horizontal="left" indent="1"/>
    </xf>
    <xf numFmtId="0" fontId="7" fillId="9" borderId="9" xfId="0" applyFont="1" applyFill="1" applyBorder="1" applyAlignment="1">
      <alignment horizontal="left" indent="1"/>
    </xf>
    <xf numFmtId="165" fontId="16" fillId="19" borderId="0" xfId="0" applyNumberFormat="1" applyFont="1" applyFill="1" applyAlignment="1"/>
    <xf numFmtId="3" fontId="7" fillId="0" borderId="9" xfId="0" applyNumberFormat="1" applyFont="1" applyBorder="1" applyAlignment="1">
      <alignment horizontal="right" indent="1"/>
    </xf>
    <xf numFmtId="0" fontId="7" fillId="3" borderId="9" xfId="0" applyFont="1" applyFill="1" applyBorder="1" applyAlignment="1">
      <alignment horizontal="left" indent="1"/>
    </xf>
    <xf numFmtId="0" fontId="7" fillId="20" borderId="9" xfId="0" applyFont="1" applyFill="1" applyBorder="1" applyAlignment="1">
      <alignment horizontal="left" indent="1"/>
    </xf>
    <xf numFmtId="0" fontId="7" fillId="21" borderId="9" xfId="0" applyFont="1" applyFill="1" applyBorder="1" applyAlignment="1">
      <alignment horizontal="left" indent="1"/>
    </xf>
    <xf numFmtId="14" fontId="14" fillId="0" borderId="9" xfId="0" applyNumberFormat="1" applyFont="1" applyBorder="1" applyAlignment="1">
      <alignment horizontal="left" indent="1"/>
    </xf>
    <xf numFmtId="0" fontId="14" fillId="0" borderId="9" xfId="0" applyFont="1" applyBorder="1" applyAlignment="1">
      <alignment horizontal="right" indent="1"/>
    </xf>
    <xf numFmtId="3" fontId="14" fillId="4" borderId="9" xfId="0" applyNumberFormat="1" applyFont="1" applyFill="1" applyBorder="1" applyAlignment="1">
      <alignment horizontal="right" indent="1"/>
    </xf>
    <xf numFmtId="165" fontId="2" fillId="0" borderId="9" xfId="0" applyNumberFormat="1" applyFont="1" applyBorder="1" applyAlignment="1"/>
    <xf numFmtId="0" fontId="14" fillId="20" borderId="9" xfId="0" applyFont="1" applyFill="1" applyBorder="1" applyAlignment="1">
      <alignment horizontal="left" indent="1"/>
    </xf>
    <xf numFmtId="3" fontId="7" fillId="5" borderId="9" xfId="0" applyNumberFormat="1" applyFont="1" applyFill="1" applyBorder="1" applyAlignment="1">
      <alignment horizontal="right" indent="1"/>
    </xf>
    <xf numFmtId="0" fontId="14" fillId="18" borderId="9" xfId="0" applyFont="1" applyFill="1" applyBorder="1" applyAlignment="1">
      <alignment horizontal="left" indent="1"/>
    </xf>
    <xf numFmtId="0" fontId="7" fillId="5" borderId="9" xfId="0" applyFont="1" applyFill="1" applyBorder="1" applyAlignment="1">
      <alignment horizontal="left" indent="1"/>
    </xf>
    <xf numFmtId="0" fontId="17" fillId="0" borderId="0" xfId="0" applyFont="1" applyAlignment="1"/>
    <xf numFmtId="0" fontId="18" fillId="0" borderId="0" xfId="0" applyFont="1" applyAlignment="1"/>
    <xf numFmtId="0" fontId="13" fillId="10" borderId="9" xfId="0" applyFont="1" applyFill="1" applyBorder="1" applyAlignment="1">
      <alignment horizontal="center" vertical="center"/>
    </xf>
    <xf numFmtId="14" fontId="19" fillId="0" borderId="9" xfId="0" applyNumberFormat="1" applyFont="1" applyBorder="1" applyAlignment="1"/>
    <xf numFmtId="0" fontId="19" fillId="3" borderId="9" xfId="0" applyFont="1" applyFill="1" applyBorder="1" applyAlignment="1"/>
    <xf numFmtId="0" fontId="19" fillId="0" borderId="9" xfId="0" applyFont="1" applyBorder="1" applyAlignment="1"/>
    <xf numFmtId="0" fontId="19" fillId="4" borderId="9" xfId="0" applyFont="1" applyFill="1" applyBorder="1" applyAlignment="1"/>
    <xf numFmtId="165" fontId="19" fillId="0" borderId="9" xfId="0" applyNumberFormat="1" applyFont="1" applyBorder="1" applyAlignment="1"/>
    <xf numFmtId="9" fontId="19" fillId="0" borderId="9" xfId="0" applyNumberFormat="1" applyFont="1" applyBorder="1" applyAlignment="1"/>
    <xf numFmtId="0" fontId="19" fillId="9" borderId="9" xfId="0" applyFont="1" applyFill="1" applyBorder="1" applyAlignment="1"/>
    <xf numFmtId="0" fontId="19" fillId="21" borderId="9" xfId="0" applyFont="1" applyFill="1" applyBorder="1" applyAlignment="1"/>
    <xf numFmtId="0" fontId="19" fillId="18" borderId="9" xfId="0" applyFont="1" applyFill="1" applyBorder="1" applyAlignment="1"/>
    <xf numFmtId="0" fontId="19" fillId="16" borderId="9" xfId="0" applyFont="1" applyFill="1" applyBorder="1" applyAlignment="1"/>
    <xf numFmtId="0" fontId="3" fillId="0" borderId="9" xfId="0" applyFont="1" applyBorder="1" applyAlignment="1"/>
    <xf numFmtId="0" fontId="19" fillId="20" borderId="9" xfId="0" applyFont="1" applyFill="1" applyBorder="1" applyAlignment="1"/>
    <xf numFmtId="0" fontId="19" fillId="6" borderId="9" xfId="0" applyFont="1" applyFill="1" applyBorder="1" applyAlignment="1"/>
    <xf numFmtId="0" fontId="19" fillId="11" borderId="9" xfId="0" applyFont="1" applyFill="1" applyBorder="1" applyAlignment="1"/>
    <xf numFmtId="0" fontId="19" fillId="15" borderId="9" xfId="0" applyFont="1" applyFill="1" applyBorder="1" applyAlignment="1"/>
    <xf numFmtId="14" fontId="19" fillId="0" borderId="0" xfId="0" applyNumberFormat="1" applyFont="1" applyAlignment="1"/>
    <xf numFmtId="0" fontId="19" fillId="0" borderId="0" xfId="0" applyFont="1" applyAlignment="1"/>
    <xf numFmtId="165" fontId="19" fillId="0" borderId="0" xfId="0" applyNumberFormat="1" applyFont="1" applyAlignment="1"/>
    <xf numFmtId="9" fontId="19" fillId="0" borderId="0" xfId="0" applyNumberFormat="1" applyFont="1" applyAlignment="1"/>
    <xf numFmtId="0" fontId="19" fillId="8" borderId="9" xfId="0" applyFont="1" applyFill="1" applyBorder="1" applyAlignment="1"/>
    <xf numFmtId="0" fontId="19" fillId="7" borderId="9" xfId="0" applyFont="1" applyFill="1" applyBorder="1" applyAlignment="1"/>
    <xf numFmtId="0" fontId="19" fillId="22" borderId="9" xfId="0" applyFont="1" applyFill="1" applyBorder="1" applyAlignment="1"/>
    <xf numFmtId="0" fontId="19" fillId="23" borderId="9" xfId="0" applyFont="1" applyFill="1" applyBorder="1" applyAlignment="1"/>
    <xf numFmtId="0" fontId="19" fillId="24" borderId="9" xfId="0" applyFont="1" applyFill="1" applyBorder="1" applyAlignment="1"/>
    <xf numFmtId="0" fontId="19" fillId="25" borderId="9" xfId="0" applyFont="1" applyFill="1" applyBorder="1" applyAlignment="1"/>
    <xf numFmtId="0" fontId="20" fillId="0" borderId="9" xfId="0" applyFont="1" applyBorder="1" applyAlignment="1">
      <alignment horizontal="left" indent="1"/>
    </xf>
    <xf numFmtId="0" fontId="21" fillId="0" borderId="0" xfId="0" applyFont="1" applyAlignment="1"/>
    <xf numFmtId="0" fontId="22" fillId="0" borderId="0" xfId="0" applyFont="1" applyAlignment="1"/>
    <xf numFmtId="0" fontId="23" fillId="10" borderId="9" xfId="0" applyFont="1" applyFill="1" applyBorder="1" applyAlignment="1">
      <alignment horizontal="center" vertical="center"/>
    </xf>
    <xf numFmtId="10" fontId="0" fillId="0" borderId="0" xfId="0" applyNumberFormat="1" applyAlignment="1"/>
    <xf numFmtId="0" fontId="24" fillId="0" borderId="0" xfId="0" applyFont="1" applyAlignment="1"/>
    <xf numFmtId="0" fontId="26" fillId="0" borderId="0" xfId="0" applyFont="1" applyAlignment="1"/>
    <xf numFmtId="165" fontId="26" fillId="0" borderId="0" xfId="0" applyNumberFormat="1" applyFont="1" applyAlignment="1"/>
    <xf numFmtId="0" fontId="27" fillId="0" borderId="0" xfId="0" applyFont="1" applyAlignment="1"/>
    <xf numFmtId="0" fontId="28" fillId="26" borderId="0" xfId="0" applyFont="1" applyFill="1" applyAlignment="1"/>
    <xf numFmtId="0" fontId="0" fillId="26" borderId="0" xfId="0" applyFill="1" applyAlignment="1"/>
    <xf numFmtId="0" fontId="33" fillId="26" borderId="0" xfId="0" applyFont="1" applyFill="1" applyAlignment="1"/>
    <xf numFmtId="0" fontId="3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9" fillId="0" borderId="0" xfId="0" applyFont="1" applyAlignment="1">
      <alignment vertical="top" wrapText="1"/>
    </xf>
    <xf numFmtId="0" fontId="13" fillId="10" borderId="9" xfId="0" applyFont="1" applyFill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3" fontId="0" fillId="0" borderId="9" xfId="0" applyNumberFormat="1" applyBorder="1" applyAlignment="1">
      <alignment vertical="top" wrapText="1"/>
    </xf>
    <xf numFmtId="10" fontId="0" fillId="0" borderId="9" xfId="0" applyNumberFormat="1" applyBorder="1" applyAlignment="1">
      <alignment vertical="top" wrapText="1"/>
    </xf>
    <xf numFmtId="0" fontId="31" fillId="0" borderId="9" xfId="0" applyFont="1" applyBorder="1" applyAlignment="1">
      <alignment vertical="top" wrapText="1"/>
    </xf>
    <xf numFmtId="10" fontId="0" fillId="0" borderId="9" xfId="0" applyNumberFormat="1" applyBorder="1" applyAlignment="1"/>
    <xf numFmtId="0" fontId="23" fillId="10" borderId="11" xfId="0" applyFont="1" applyFill="1" applyBorder="1" applyAlignment="1">
      <alignment horizontal="center" vertical="center"/>
    </xf>
    <xf numFmtId="3" fontId="39" fillId="0" borderId="9" xfId="0" applyNumberFormat="1" applyFont="1" applyBorder="1"/>
    <xf numFmtId="165" fontId="2" fillId="0" borderId="9" xfId="0" applyNumberFormat="1" applyFont="1" applyBorder="1"/>
    <xf numFmtId="3" fontId="38" fillId="0" borderId="9" xfId="0" applyNumberFormat="1" applyFont="1" applyBorder="1" applyAlignment="1"/>
    <xf numFmtId="0" fontId="26" fillId="0" borderId="9" xfId="0" applyFont="1" applyBorder="1" applyAlignment="1"/>
    <xf numFmtId="165" fontId="26" fillId="0" borderId="9" xfId="0" applyNumberFormat="1" applyFont="1" applyBorder="1" applyAlignment="1"/>
    <xf numFmtId="10" fontId="26" fillId="0" borderId="9" xfId="0" applyNumberFormat="1" applyFont="1" applyBorder="1" applyAlignment="1"/>
    <xf numFmtId="165" fontId="24" fillId="0" borderId="9" xfId="0" applyNumberFormat="1" applyFont="1" applyBorder="1" applyAlignment="1"/>
    <xf numFmtId="165" fontId="25" fillId="0" borderId="9" xfId="0" applyNumberFormat="1" applyFont="1" applyBorder="1" applyAlignment="1"/>
    <xf numFmtId="165" fontId="40" fillId="0" borderId="9" xfId="0" applyNumberFormat="1" applyFont="1" applyBorder="1"/>
    <xf numFmtId="9" fontId="1" fillId="0" borderId="9" xfId="2" applyBorder="1" applyAlignment="1"/>
    <xf numFmtId="43" fontId="1" fillId="0" borderId="9" xfId="1" applyBorder="1" applyAlignment="1"/>
    <xf numFmtId="43" fontId="0" fillId="0" borderId="9" xfId="0" applyNumberFormat="1" applyBorder="1" applyAlignment="1"/>
    <xf numFmtId="0" fontId="37" fillId="0" borderId="9" xfId="0" applyFont="1" applyBorder="1" applyAlignment="1"/>
    <xf numFmtId="0" fontId="42" fillId="26" borderId="0" xfId="0" applyFont="1" applyFill="1" applyAlignment="1"/>
    <xf numFmtId="0" fontId="41" fillId="26" borderId="0" xfId="0" applyFont="1" applyFill="1" applyAlignment="1"/>
    <xf numFmtId="0" fontId="43" fillId="0" borderId="0" xfId="0" applyFont="1" applyAlignment="1"/>
    <xf numFmtId="0" fontId="0" fillId="0" borderId="0" xfId="0" applyFill="1"/>
    <xf numFmtId="0" fontId="0" fillId="0" borderId="9" xfId="0" applyFill="1" applyBorder="1" applyAlignment="1"/>
    <xf numFmtId="165" fontId="0" fillId="0" borderId="9" xfId="0" applyNumberFormat="1" applyFill="1" applyBorder="1" applyAlignment="1"/>
    <xf numFmtId="3" fontId="0" fillId="0" borderId="9" xfId="0" applyNumberFormat="1" applyFill="1" applyBorder="1" applyAlignment="1"/>
    <xf numFmtId="9" fontId="1" fillId="0" borderId="9" xfId="2" applyFill="1" applyBorder="1" applyAlignment="1"/>
    <xf numFmtId="0" fontId="33" fillId="26" borderId="9" xfId="0" applyFont="1" applyFill="1" applyBorder="1" applyAlignment="1"/>
    <xf numFmtId="0" fontId="0" fillId="26" borderId="9" xfId="0" applyFill="1" applyBorder="1" applyAlignment="1"/>
    <xf numFmtId="0" fontId="34" fillId="0" borderId="9" xfId="0" applyFont="1" applyBorder="1" applyAlignment="1"/>
    <xf numFmtId="0" fontId="0" fillId="0" borderId="0" xfId="0" applyFill="1" applyBorder="1" applyAlignment="1"/>
    <xf numFmtId="3" fontId="0" fillId="0" borderId="0" xfId="0" applyNumberFormat="1" applyAlignment="1"/>
    <xf numFmtId="0" fontId="25" fillId="0" borderId="9" xfId="0" applyFont="1" applyBorder="1" applyAlignment="1"/>
    <xf numFmtId="0" fontId="24" fillId="0" borderId="9" xfId="0" applyFont="1" applyBorder="1" applyAlignment="1"/>
    <xf numFmtId="0" fontId="25" fillId="0" borderId="9" xfId="0" applyFont="1" applyFill="1" applyBorder="1" applyAlignment="1"/>
    <xf numFmtId="0" fontId="24" fillId="0" borderId="9" xfId="0" applyFont="1" applyFill="1" applyBorder="1" applyAlignment="1"/>
    <xf numFmtId="0" fontId="32" fillId="0" borderId="9" xfId="0" applyFont="1" applyBorder="1" applyAlignment="1"/>
    <xf numFmtId="0" fontId="0" fillId="0" borderId="0" xfId="0" applyBorder="1" applyAlignment="1">
      <alignment wrapText="1"/>
    </xf>
    <xf numFmtId="0" fontId="0" fillId="0" borderId="4" xfId="0" applyBorder="1" applyAlignment="1">
      <alignment horizontal="left" indent="1"/>
    </xf>
    <xf numFmtId="0" fontId="0" fillId="0" borderId="0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22" fillId="0" borderId="0" xfId="0" applyFont="1" applyBorder="1" applyAlignment="1">
      <alignment vertical="top" wrapText="1"/>
    </xf>
    <xf numFmtId="0" fontId="35" fillId="0" borderId="9" xfId="0" applyFont="1" applyBorder="1" applyAlignment="1">
      <alignment vertical="top" wrapText="1"/>
    </xf>
  </cellXfs>
  <cellStyles count="10">
    <cellStyle name="Comma" xfId="1" builtinId="3"/>
    <cellStyle name="Comma 2" xfId="3" xr:uid="{00000000-0005-0000-0000-000001000000}"/>
    <cellStyle name="Hyperlink 2" xfId="4" xr:uid="{00000000-0005-0000-0000-000002000000}"/>
    <cellStyle name="Hyperlink 3" xfId="5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Normal 4" xfId="8" xr:uid="{00000000-0005-0000-0000-000007000000}"/>
    <cellStyle name="Normal 5" xfId="9" xr:uid="{00000000-0005-0000-0000-000008000000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E7E34"/>
      <rgbColor rgb="FF000080"/>
      <rgbColor rgb="FF806000"/>
      <rgbColor rgb="FF800080"/>
      <rgbColor rgb="FF0070C0"/>
      <rgbColor rgb="FFADB9CA"/>
      <rgbColor rgb="FF7C7C7C"/>
      <rgbColor rgb="FFAFABAB"/>
      <rgbColor rgb="FF7030A0"/>
      <rgbColor rgb="FFFFF2CC"/>
      <rgbColor rgb="FFDAE3F3"/>
      <rgbColor rgb="FF660066"/>
      <rgbColor rgb="FF808090"/>
      <rgbColor rgb="FF0563C1"/>
      <rgbColor rgb="FFD9D9D9"/>
      <rgbColor rgb="FF000080"/>
      <rgbColor rgb="FFFF00FF"/>
      <rgbColor rgb="FFD9E2F0"/>
      <rgbColor rgb="FF00FFFF"/>
      <rgbColor rgb="FF800080"/>
      <rgbColor rgb="FF800000"/>
      <rgbColor rgb="FF00B050"/>
      <rgbColor rgb="FF0000FF"/>
      <rgbColor rgb="FF00B0F0"/>
      <rgbColor rgb="FFF0F0F0"/>
      <rgbColor rgb="FFC5E0B4"/>
      <rgbColor rgb="FFFFE699"/>
      <rgbColor rgb="FFB3B3B3"/>
      <rgbColor rgb="FFF4B183"/>
      <rgbColor rgb="FFDDDDDD"/>
      <rgbColor rgb="FFF8CBAD"/>
      <rgbColor rgb="FF4472C4"/>
      <rgbColor rgb="FF33CCCC"/>
      <rgbColor rgb="FF92D050"/>
      <rgbColor rgb="FFFFC000"/>
      <rgbColor rgb="FFFF9900"/>
      <rgbColor rgb="FFED7D31"/>
      <rgbColor rgb="FF595959"/>
      <rgbColor rgb="FFA5A5A5"/>
      <rgbColor rgb="FF003366"/>
      <rgbColor rgb="FF548235"/>
      <rgbColor rgb="FF003300"/>
      <rgbColor rgb="FF333300"/>
      <rgbColor rgb="FFC0392B"/>
      <rgbColor rgb="FFC55A11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Report'!$J$2:$J$16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201</c:v>
                </c:pt>
                <c:pt idx="3">
                  <c:v>35</c:v>
                </c:pt>
                <c:pt idx="4">
                  <c:v>20</c:v>
                </c:pt>
                <c:pt idx="5" formatCode="#,##0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2-0347-8915-3EE5C39854A1}"/>
            </c:ext>
          </c:extLst>
        </c:ser>
        <c:ser>
          <c:idx val="1"/>
          <c:order val="1"/>
          <c:tx>
            <c:strRef>
              <c:f>'July 1st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Report'!$K$2:$K$16</c:f>
              <c:numCache>
                <c:formatCode>General</c:formatCode>
                <c:ptCount val="15"/>
                <c:pt idx="0">
                  <c:v>9000</c:v>
                </c:pt>
                <c:pt idx="1">
                  <c:v>9500</c:v>
                </c:pt>
                <c:pt idx="2" formatCode="_(* #,##0_);_(* \(#,##0\);_(* \-??_);_(@_)">
                  <c:v>995400</c:v>
                </c:pt>
                <c:pt idx="3" formatCode="_(* #,##0_);_(* \(#,##0\);_(* \-??_);_(@_)">
                  <c:v>280700</c:v>
                </c:pt>
                <c:pt idx="4" formatCode="_(* #,##0_);_(* \(#,##0\);_(* \-??_);_(@_)">
                  <c:v>263000</c:v>
                </c:pt>
                <c:pt idx="5" formatCode="_(* #,##0_);_(* \(#,##0\);_(* \-??_);_(@_)">
                  <c:v>1557600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2-0347-8915-3EE5C3985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948808"/>
        <c:axId val="367126512"/>
      </c:barChart>
      <c:lineChart>
        <c:grouping val="standard"/>
        <c:varyColors val="0"/>
        <c:ser>
          <c:idx val="2"/>
          <c:order val="2"/>
          <c:tx>
            <c:strRef>
              <c:f>'July 1st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Report'!$L$2:$L$16</c:f>
              <c:numCache>
                <c:formatCode>0%</c:formatCode>
                <c:ptCount val="15"/>
                <c:pt idx="0">
                  <c:v>5.7781201848998457E-3</c:v>
                </c:pt>
                <c:pt idx="1">
                  <c:v>6.0991268618387261E-3</c:v>
                </c:pt>
                <c:pt idx="2">
                  <c:v>0.63906009244992301</c:v>
                </c:pt>
                <c:pt idx="3">
                  <c:v>0.18021314843348743</c:v>
                </c:pt>
                <c:pt idx="4">
                  <c:v>0.16884951206985105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52-0347-8915-3EE5C3985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7126904"/>
        <c:axId val="439015736"/>
      </c:lineChart>
      <c:catAx>
        <c:axId val="359948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7126512"/>
        <c:crosses val="autoZero"/>
        <c:auto val="1"/>
        <c:lblAlgn val="ctr"/>
        <c:lblOffset val="100"/>
        <c:noMultiLvlLbl val="0"/>
      </c:catAx>
      <c:valAx>
        <c:axId val="3671265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59948808"/>
        <c:crosses val="autoZero"/>
        <c:crossBetween val="between"/>
      </c:valAx>
      <c:catAx>
        <c:axId val="367126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015736"/>
        <c:crosses val="autoZero"/>
        <c:auto val="1"/>
        <c:lblAlgn val="ctr"/>
        <c:lblOffset val="100"/>
        <c:noMultiLvlLbl val="0"/>
      </c:catAx>
      <c:valAx>
        <c:axId val="4390157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71269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Report'!$I$21:$I$25</c:f>
              <c:strCache>
                <c:ptCount val="4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Total</c:v>
                </c:pt>
              </c:strCache>
            </c:strRef>
          </c:cat>
          <c:val>
            <c:numRef>
              <c:f>'July 1st Sales Report'!$J$21:$J$25</c:f>
              <c:numCache>
                <c:formatCode>_(* #,##0_);_(* \(#,##0\);_(* \-??_);_(@_)</c:formatCode>
                <c:ptCount val="5"/>
                <c:pt idx="0">
                  <c:v>18500</c:v>
                </c:pt>
                <c:pt idx="1">
                  <c:v>5400</c:v>
                </c:pt>
                <c:pt idx="2">
                  <c:v>1533700</c:v>
                </c:pt>
                <c:pt idx="3">
                  <c:v>1557600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734D-B2BF-52B8F411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09464"/>
        <c:axId val="439015344"/>
      </c:barChart>
      <c:lineChart>
        <c:grouping val="standard"/>
        <c:varyColors val="0"/>
        <c:ser>
          <c:idx val="1"/>
          <c:order val="1"/>
          <c:tx>
            <c:strRef>
              <c:f>'July 1st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Report'!$I$21:$I$25</c:f>
              <c:strCache>
                <c:ptCount val="4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Total</c:v>
                </c:pt>
              </c:strCache>
            </c:strRef>
          </c:cat>
          <c:val>
            <c:numRef>
              <c:f>'July 1st Sales Report'!$K$21:$K$25</c:f>
              <c:numCache>
                <c:formatCode>0%</c:formatCode>
                <c:ptCount val="5"/>
                <c:pt idx="0">
                  <c:v>1.1877247046738572E-2</c:v>
                </c:pt>
                <c:pt idx="1">
                  <c:v>3.4668721109399076E-3</c:v>
                </c:pt>
                <c:pt idx="2">
                  <c:v>0.98465588084232147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E-734D-B2BF-52B8F411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9009856"/>
        <c:axId val="439016128"/>
      </c:lineChart>
      <c:catAx>
        <c:axId val="439009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5344"/>
        <c:crosses val="autoZero"/>
        <c:auto val="1"/>
        <c:lblAlgn val="ctr"/>
        <c:lblOffset val="100"/>
        <c:noMultiLvlLbl val="0"/>
      </c:catAx>
      <c:valAx>
        <c:axId val="4390153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09464"/>
        <c:crosses val="autoZero"/>
        <c:crossBetween val="between"/>
      </c:valAx>
      <c:catAx>
        <c:axId val="439009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016128"/>
        <c:crosses val="autoZero"/>
        <c:auto val="1"/>
        <c:lblAlgn val="ctr"/>
        <c:lblOffset val="100"/>
        <c:noMultiLvlLbl val="0"/>
      </c:catAx>
      <c:valAx>
        <c:axId val="4390161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098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Report'!$J$28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Report'!$I$29:$I$32</c:f>
              <c:strCache>
                <c:ptCount val="4"/>
                <c:pt idx="0">
                  <c:v>ann-INV142</c:v>
                </c:pt>
                <c:pt idx="1">
                  <c:v>ann-INV143</c:v>
                </c:pt>
                <c:pt idx="2">
                  <c:v>ann-INV144</c:v>
                </c:pt>
                <c:pt idx="3">
                  <c:v>Total</c:v>
                </c:pt>
              </c:strCache>
            </c:strRef>
          </c:cat>
          <c:val>
            <c:numRef>
              <c:f>'July 1st Sales Report'!$J$29:$J$32</c:f>
              <c:numCache>
                <c:formatCode>#,##0</c:formatCode>
                <c:ptCount val="4"/>
                <c:pt idx="0" formatCode="_(* #,##0_);_(* \(#,##0\);_(* \-??_);_(@_)">
                  <c:v>18500</c:v>
                </c:pt>
                <c:pt idx="1">
                  <c:v>5400</c:v>
                </c:pt>
                <c:pt idx="2">
                  <c:v>1533700</c:v>
                </c:pt>
                <c:pt idx="3" formatCode="_(* #,##0_);_(* \(#,##0\);_(* \-??_);_(@_)">
                  <c:v>1557600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C-9C41-B1F9-D326C467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12600"/>
        <c:axId val="439011424"/>
      </c:barChart>
      <c:lineChart>
        <c:grouping val="standard"/>
        <c:varyColors val="0"/>
        <c:ser>
          <c:idx val="1"/>
          <c:order val="1"/>
          <c:tx>
            <c:strRef>
              <c:f>'July 1st Sales Report'!$K$28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Report'!$I$29:$I$32</c:f>
              <c:strCache>
                <c:ptCount val="4"/>
                <c:pt idx="0">
                  <c:v>ann-INV142</c:v>
                </c:pt>
                <c:pt idx="1">
                  <c:v>ann-INV143</c:v>
                </c:pt>
                <c:pt idx="2">
                  <c:v>ann-INV144</c:v>
                </c:pt>
                <c:pt idx="3">
                  <c:v>Total</c:v>
                </c:pt>
              </c:strCache>
            </c:strRef>
          </c:cat>
          <c:val>
            <c:numRef>
              <c:f>'July 1st Sales Report'!$K$29:$K$32</c:f>
              <c:numCache>
                <c:formatCode>0%</c:formatCode>
                <c:ptCount val="4"/>
                <c:pt idx="0">
                  <c:v>0.09</c:v>
                </c:pt>
                <c:pt idx="1">
                  <c:v>0.04</c:v>
                </c:pt>
                <c:pt idx="2">
                  <c:v>-0.03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C-9C41-B1F9-D326C467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9013384"/>
        <c:axId val="439013776"/>
      </c:lineChart>
      <c:catAx>
        <c:axId val="439012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1424"/>
        <c:crosses val="autoZero"/>
        <c:auto val="1"/>
        <c:lblAlgn val="ctr"/>
        <c:lblOffset val="100"/>
        <c:noMultiLvlLbl val="0"/>
      </c:catAx>
      <c:valAx>
        <c:axId val="4390114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2600"/>
        <c:crosses val="autoZero"/>
        <c:crossBetween val="between"/>
      </c:valAx>
      <c:catAx>
        <c:axId val="439013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013776"/>
        <c:crosses val="autoZero"/>
        <c:auto val="1"/>
        <c:lblAlgn val="ctr"/>
        <c:lblOffset val="100"/>
        <c:noMultiLvlLbl val="0"/>
      </c:catAx>
      <c:valAx>
        <c:axId val="4390137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33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Report'!$J$2:$J$16</c:f>
              <c:numCache>
                <c:formatCode>General</c:formatCode>
                <c:ptCount val="15"/>
                <c:pt idx="0">
                  <c:v>300</c:v>
                </c:pt>
                <c:pt idx="1">
                  <c:v>32</c:v>
                </c:pt>
                <c:pt idx="2">
                  <c:v>33</c:v>
                </c:pt>
                <c:pt idx="3">
                  <c:v>1</c:v>
                </c:pt>
                <c:pt idx="4">
                  <c:v>40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12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3-C040-8C8B-692A74E5B28D}"/>
            </c:ext>
          </c:extLst>
        </c:ser>
        <c:ser>
          <c:idx val="1"/>
          <c:order val="1"/>
          <c:tx>
            <c:strRef>
              <c:f>'July 2nd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Report'!$K$2:$K$16</c:f>
              <c:numCache>
                <c:formatCode>_(* #,##0_);_(* \(#,##0\);_(* \-??_);_(@_)</c:formatCode>
                <c:ptCount val="15"/>
                <c:pt idx="0">
                  <c:v>1496000</c:v>
                </c:pt>
                <c:pt idx="1">
                  <c:v>558375</c:v>
                </c:pt>
                <c:pt idx="2">
                  <c:v>518085</c:v>
                </c:pt>
                <c:pt idx="3">
                  <c:v>24235</c:v>
                </c:pt>
                <c:pt idx="4">
                  <c:v>517500</c:v>
                </c:pt>
                <c:pt idx="5">
                  <c:v>176695</c:v>
                </c:pt>
                <c:pt idx="6">
                  <c:v>42340</c:v>
                </c:pt>
                <c:pt idx="7">
                  <c:v>93150</c:v>
                </c:pt>
                <c:pt idx="8">
                  <c:v>17760</c:v>
                </c:pt>
                <c:pt idx="9">
                  <c:v>103200</c:v>
                </c:pt>
                <c:pt idx="10">
                  <c:v>17700</c:v>
                </c:pt>
                <c:pt idx="11">
                  <c:v>8500</c:v>
                </c:pt>
                <c:pt idx="12">
                  <c:v>9200</c:v>
                </c:pt>
                <c:pt idx="13">
                  <c:v>26670</c:v>
                </c:pt>
                <c:pt idx="14">
                  <c:v>423665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3-C040-8C8B-692A74E5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16520"/>
        <c:axId val="439011032"/>
      </c:barChart>
      <c:lineChart>
        <c:grouping val="standard"/>
        <c:varyColors val="0"/>
        <c:ser>
          <c:idx val="2"/>
          <c:order val="2"/>
          <c:tx>
            <c:strRef>
              <c:f>'July 2nd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Report'!$L$2:$L$16</c:f>
              <c:numCache>
                <c:formatCode>0%</c:formatCode>
                <c:ptCount val="15"/>
                <c:pt idx="0">
                  <c:v>0.3537199110498459</c:v>
                </c:pt>
                <c:pt idx="1">
                  <c:v>0.13202430169281931</c:v>
                </c:pt>
                <c:pt idx="2">
                  <c:v>0.12249798136113597</c:v>
                </c:pt>
                <c:pt idx="3">
                  <c:v>5.7302152702493414E-3</c:v>
                </c:pt>
                <c:pt idx="4">
                  <c:v>0.12235966174351287</c:v>
                </c:pt>
                <c:pt idx="5">
                  <c:v>4.1778435616946871E-2</c:v>
                </c:pt>
                <c:pt idx="6">
                  <c:v>1.0011030102841227E-2</c:v>
                </c:pt>
                <c:pt idx="7">
                  <c:v>2.2024739113832317E-2</c:v>
                </c:pt>
                <c:pt idx="8">
                  <c:v>4.1992417247628767E-3</c:v>
                </c:pt>
                <c:pt idx="9">
                  <c:v>2.4400999211459957E-2</c:v>
                </c:pt>
                <c:pt idx="10">
                  <c:v>4.1850550973143528E-3</c:v>
                </c:pt>
                <c:pt idx="11">
                  <c:v>2.0097722218741245E-3</c:v>
                </c:pt>
                <c:pt idx="12">
                  <c:v>2.1752828754402287E-3</c:v>
                </c:pt>
                <c:pt idx="13">
                  <c:v>6.3059559008685762E-3</c:v>
                </c:pt>
                <c:pt idx="14">
                  <c:v>0.10017295863297658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3-C040-8C8B-692A74E5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9011816"/>
        <c:axId val="439012208"/>
      </c:lineChart>
      <c:catAx>
        <c:axId val="439016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1032"/>
        <c:crosses val="autoZero"/>
        <c:auto val="1"/>
        <c:lblAlgn val="ctr"/>
        <c:lblOffset val="100"/>
        <c:noMultiLvlLbl val="0"/>
      </c:catAx>
      <c:valAx>
        <c:axId val="4390110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6520"/>
        <c:crosses val="autoZero"/>
        <c:crossBetween val="between"/>
      </c:valAx>
      <c:catAx>
        <c:axId val="439011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012208"/>
        <c:crosses val="autoZero"/>
        <c:auto val="1"/>
        <c:lblAlgn val="ctr"/>
        <c:lblOffset val="100"/>
        <c:noMultiLvlLbl val="0"/>
      </c:catAx>
      <c:valAx>
        <c:axId val="4390122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18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Report'!$J$38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Report'!$I$20:$I$25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'July 2nd Sales Report'!$J$20:$J$25</c:f>
              <c:numCache>
                <c:formatCode>General</c:formatCode>
                <c:ptCount val="6"/>
                <c:pt idx="0" formatCode="#,##0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8-094D-B902-8C3110D5E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14168"/>
        <c:axId val="439014560"/>
      </c:barChart>
      <c:lineChart>
        <c:grouping val="standard"/>
        <c:varyColors val="0"/>
        <c:ser>
          <c:idx val="1"/>
          <c:order val="1"/>
          <c:tx>
            <c:strRef>
              <c:f>'July 2nd Sales Report'!$K$38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Report'!$I$20:$I$25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'July 2nd Sales Report'!$K$20:$K$25</c:f>
              <c:numCache>
                <c:formatCode>General</c:formatCode>
                <c:ptCount val="6"/>
                <c:pt idx="0" formatCode="_(* #,##0_);_(* \(#,##0\);_(* \-??_);_(@_)">
                  <c:v>4229335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8-094D-B902-8C3110D5E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9014952"/>
        <c:axId val="446779016"/>
      </c:lineChart>
      <c:catAx>
        <c:axId val="439014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4560"/>
        <c:crosses val="autoZero"/>
        <c:auto val="1"/>
        <c:lblAlgn val="ctr"/>
        <c:lblOffset val="100"/>
        <c:noMultiLvlLbl val="0"/>
      </c:catAx>
      <c:valAx>
        <c:axId val="4390145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4168"/>
        <c:crosses val="autoZero"/>
        <c:crossBetween val="between"/>
      </c:valAx>
      <c:catAx>
        <c:axId val="439014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779016"/>
        <c:crosses val="autoZero"/>
        <c:auto val="1"/>
        <c:lblAlgn val="ctr"/>
        <c:lblOffset val="100"/>
        <c:noMultiLvlLbl val="0"/>
      </c:catAx>
      <c:valAx>
        <c:axId val="446779016"/>
        <c:scaling>
          <c:orientation val="minMax"/>
        </c:scaling>
        <c:delete val="0"/>
        <c:axPos val="r"/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901495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Report'!$J$47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Report'!$J$48:$J$60</c:f>
              <c:numCache>
                <c:formatCode>#,##0</c:formatCode>
                <c:ptCount val="13"/>
                <c:pt idx="0">
                  <c:v>821130</c:v>
                </c:pt>
                <c:pt idx="1">
                  <c:v>256500</c:v>
                </c:pt>
                <c:pt idx="2">
                  <c:v>86000</c:v>
                </c:pt>
                <c:pt idx="3">
                  <c:v>62070</c:v>
                </c:pt>
                <c:pt idx="4">
                  <c:v>1421000</c:v>
                </c:pt>
                <c:pt idx="5">
                  <c:v>56940</c:v>
                </c:pt>
                <c:pt idx="6">
                  <c:v>17200</c:v>
                </c:pt>
                <c:pt idx="7">
                  <c:v>8880</c:v>
                </c:pt>
                <c:pt idx="8">
                  <c:v>1324235</c:v>
                </c:pt>
                <c:pt idx="9">
                  <c:v>40100</c:v>
                </c:pt>
                <c:pt idx="10">
                  <c:v>80200</c:v>
                </c:pt>
                <c:pt idx="11">
                  <c:v>67080</c:v>
                </c:pt>
                <c:pt idx="12" formatCode="_(* #,##0_);_(* \(#,##0\);_(* \-??_);_(@_)">
                  <c:v>4241335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6-DF42-8B8E-991441D7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79800"/>
        <c:axId val="446776664"/>
      </c:barChart>
      <c:lineChart>
        <c:grouping val="standard"/>
        <c:varyColors val="0"/>
        <c:ser>
          <c:idx val="1"/>
          <c:order val="1"/>
          <c:tx>
            <c:strRef>
              <c:f>'July 2nd Sales Report'!$K$47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Report'!$K$48:$K$60</c:f>
              <c:numCache>
                <c:formatCode>0%</c:formatCode>
                <c:ptCount val="13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0.04</c:v>
                </c:pt>
                <c:pt idx="8">
                  <c:v>-0.04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86-DF42-8B8E-991441D7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780584"/>
        <c:axId val="446780976"/>
      </c:lineChart>
      <c:catAx>
        <c:axId val="446779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6664"/>
        <c:crosses val="autoZero"/>
        <c:auto val="1"/>
        <c:lblAlgn val="ctr"/>
        <c:lblOffset val="100"/>
        <c:noMultiLvlLbl val="0"/>
      </c:catAx>
      <c:valAx>
        <c:axId val="4467766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9800"/>
        <c:crosses val="autoZero"/>
        <c:crossBetween val="between"/>
      </c:valAx>
      <c:catAx>
        <c:axId val="446780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780976"/>
        <c:crosses val="autoZero"/>
        <c:auto val="1"/>
        <c:lblAlgn val="ctr"/>
        <c:lblOffset val="100"/>
        <c:noMultiLvlLbl val="0"/>
      </c:catAx>
      <c:valAx>
        <c:axId val="4467809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805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Report'!$J$47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Report'!$J$48:$J$60</c:f>
              <c:numCache>
                <c:formatCode>#,##0</c:formatCode>
                <c:ptCount val="13"/>
                <c:pt idx="0">
                  <c:v>821130</c:v>
                </c:pt>
                <c:pt idx="1">
                  <c:v>256500</c:v>
                </c:pt>
                <c:pt idx="2">
                  <c:v>86000</c:v>
                </c:pt>
                <c:pt idx="3">
                  <c:v>62070</c:v>
                </c:pt>
                <c:pt idx="4">
                  <c:v>1421000</c:v>
                </c:pt>
                <c:pt idx="5">
                  <c:v>56940</c:v>
                </c:pt>
                <c:pt idx="6">
                  <c:v>17200</c:v>
                </c:pt>
                <c:pt idx="7">
                  <c:v>8880</c:v>
                </c:pt>
                <c:pt idx="8">
                  <c:v>1324235</c:v>
                </c:pt>
                <c:pt idx="9">
                  <c:v>40100</c:v>
                </c:pt>
                <c:pt idx="10">
                  <c:v>80200</c:v>
                </c:pt>
                <c:pt idx="11">
                  <c:v>67080</c:v>
                </c:pt>
                <c:pt idx="12" formatCode="_(* #,##0_);_(* \(#,##0\);_(* \-??_);_(@_)">
                  <c:v>4241335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C-A84E-B0AE-FF739119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77840"/>
        <c:axId val="446781368"/>
      </c:barChart>
      <c:lineChart>
        <c:grouping val="standard"/>
        <c:varyColors val="0"/>
        <c:ser>
          <c:idx val="1"/>
          <c:order val="1"/>
          <c:tx>
            <c:strRef>
              <c:f>'July 2nd Sales Report'!$K$47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Report'!$K$48:$K$60</c:f>
              <c:numCache>
                <c:formatCode>0%</c:formatCode>
                <c:ptCount val="13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0.04</c:v>
                </c:pt>
                <c:pt idx="8">
                  <c:v>-0.04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C-A84E-B0AE-FF739119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777448"/>
        <c:axId val="446780192"/>
      </c:lineChart>
      <c:catAx>
        <c:axId val="44677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81368"/>
        <c:crosses val="autoZero"/>
        <c:auto val="1"/>
        <c:lblAlgn val="ctr"/>
        <c:lblOffset val="100"/>
        <c:noMultiLvlLbl val="0"/>
      </c:catAx>
      <c:valAx>
        <c:axId val="4467813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7840"/>
        <c:crosses val="autoZero"/>
        <c:crossBetween val="between"/>
      </c:valAx>
      <c:catAx>
        <c:axId val="446777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780192"/>
        <c:crosses val="autoZero"/>
        <c:auto val="1"/>
        <c:lblAlgn val="ctr"/>
        <c:lblOffset val="100"/>
        <c:noMultiLvlLbl val="0"/>
      </c:catAx>
      <c:valAx>
        <c:axId val="4467801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74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Report'!$J$2:$J$16</c:f>
              <c:numCache>
                <c:formatCode>General</c:formatCode>
                <c:ptCount val="15"/>
                <c:pt idx="0">
                  <c:v>432</c:v>
                </c:pt>
                <c:pt idx="1">
                  <c:v>252</c:v>
                </c:pt>
                <c:pt idx="2">
                  <c:v>296</c:v>
                </c:pt>
                <c:pt idx="3">
                  <c:v>173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31</c:v>
                </c:pt>
                <c:pt idx="10">
                  <c:v>2</c:v>
                </c:pt>
                <c:pt idx="11">
                  <c:v>30</c:v>
                </c:pt>
                <c:pt idx="12">
                  <c:v>202</c:v>
                </c:pt>
                <c:pt idx="13">
                  <c:v>24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E-1646-A185-003DAD132C36}"/>
            </c:ext>
          </c:extLst>
        </c:ser>
        <c:ser>
          <c:idx val="1"/>
          <c:order val="1"/>
          <c:tx>
            <c:strRef>
              <c:f>'July 3rd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Report'!$K$2:$K$16</c:f>
              <c:numCache>
                <c:formatCode>_(* #,##0_);_(* \(#,##0\);_(* \-??_);_(@_)</c:formatCode>
                <c:ptCount val="15"/>
                <c:pt idx="0">
                  <c:v>5577850</c:v>
                </c:pt>
                <c:pt idx="1">
                  <c:v>2627755</c:v>
                </c:pt>
                <c:pt idx="2">
                  <c:v>2664400</c:v>
                </c:pt>
                <c:pt idx="3">
                  <c:v>1968870</c:v>
                </c:pt>
                <c:pt idx="4">
                  <c:v>14450</c:v>
                </c:pt>
                <c:pt idx="5">
                  <c:v>13460</c:v>
                </c:pt>
                <c:pt idx="6">
                  <c:v>53600</c:v>
                </c:pt>
                <c:pt idx="7">
                  <c:v>15525</c:v>
                </c:pt>
                <c:pt idx="8">
                  <c:v>15945</c:v>
                </c:pt>
                <c:pt idx="9">
                  <c:v>525300</c:v>
                </c:pt>
                <c:pt idx="10">
                  <c:v>45130</c:v>
                </c:pt>
                <c:pt idx="11">
                  <c:v>258000</c:v>
                </c:pt>
                <c:pt idx="12">
                  <c:v>1010800</c:v>
                </c:pt>
                <c:pt idx="13">
                  <c:v>428160</c:v>
                </c:pt>
                <c:pt idx="14">
                  <c:v>186900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E-1646-A185-003DAD13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81760"/>
        <c:axId val="446775096"/>
      </c:barChart>
      <c:lineChart>
        <c:grouping val="standard"/>
        <c:varyColors val="0"/>
        <c:ser>
          <c:idx val="2"/>
          <c:order val="2"/>
          <c:tx>
            <c:strRef>
              <c:f>'July 3rd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Report'!$L$2:$L$16</c:f>
              <c:numCache>
                <c:formatCode>0%</c:formatCode>
                <c:ptCount val="15"/>
                <c:pt idx="0">
                  <c:v>0.36119549989331562</c:v>
                </c:pt>
                <c:pt idx="1">
                  <c:v>0.17016113391757748</c:v>
                </c:pt>
                <c:pt idx="2">
                  <c:v>0.17253409287014712</c:v>
                </c:pt>
                <c:pt idx="3">
                  <c:v>0.12749482038329327</c:v>
                </c:pt>
                <c:pt idx="4">
                  <c:v>9.3571447304219551E-4</c:v>
                </c:pt>
                <c:pt idx="5">
                  <c:v>8.7160669945660562E-4</c:v>
                </c:pt>
                <c:pt idx="6">
                  <c:v>3.470885519381431E-3</c:v>
                </c:pt>
                <c:pt idx="7">
                  <c:v>1.0053264494103865E-3</c:v>
                </c:pt>
                <c:pt idx="8">
                  <c:v>1.0325236866891216E-3</c:v>
                </c:pt>
                <c:pt idx="9">
                  <c:v>3.4015973196475112E-2</c:v>
                </c:pt>
                <c:pt idx="10">
                  <c:v>2.92240790092694E-3</c:v>
                </c:pt>
                <c:pt idx="11">
                  <c:v>1.6706874328365845E-2</c:v>
                </c:pt>
                <c:pt idx="12">
                  <c:v>6.545468438415579E-2</c:v>
                </c:pt>
                <c:pt idx="13">
                  <c:v>2.7725640745864807E-2</c:v>
                </c:pt>
                <c:pt idx="14">
                  <c:v>1.2102770589037118E-2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AE-1646-A185-003DAD13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775488"/>
        <c:axId val="446778232"/>
      </c:lineChart>
      <c:catAx>
        <c:axId val="446781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5096"/>
        <c:crosses val="autoZero"/>
        <c:auto val="1"/>
        <c:lblAlgn val="ctr"/>
        <c:lblOffset val="100"/>
        <c:noMultiLvlLbl val="0"/>
      </c:catAx>
      <c:valAx>
        <c:axId val="4467750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81760"/>
        <c:crosses val="autoZero"/>
        <c:crossBetween val="between"/>
      </c:valAx>
      <c:catAx>
        <c:axId val="446775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778232"/>
        <c:crosses val="autoZero"/>
        <c:auto val="1"/>
        <c:lblAlgn val="ctr"/>
        <c:lblOffset val="100"/>
        <c:noMultiLvlLbl val="0"/>
      </c:catAx>
      <c:valAx>
        <c:axId val="4467782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54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Report'!$J$31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Report'!$J$32:$J$42</c:f>
              <c:numCache>
                <c:formatCode>_(* #,##0_);_(* \(#,##0\);_(* \-??_);_(@_)</c:formatCode>
                <c:ptCount val="11"/>
                <c:pt idx="0">
                  <c:v>7725760</c:v>
                </c:pt>
                <c:pt idx="1">
                  <c:v>455335</c:v>
                </c:pt>
                <c:pt idx="2">
                  <c:v>258000</c:v>
                </c:pt>
                <c:pt idx="3">
                  <c:v>1000000</c:v>
                </c:pt>
                <c:pt idx="4">
                  <c:v>428160</c:v>
                </c:pt>
                <c:pt idx="5">
                  <c:v>186900</c:v>
                </c:pt>
                <c:pt idx="6">
                  <c:v>75000</c:v>
                </c:pt>
                <c:pt idx="7">
                  <c:v>1226000</c:v>
                </c:pt>
                <c:pt idx="8">
                  <c:v>82330</c:v>
                </c:pt>
                <c:pt idx="9">
                  <c:v>4005260</c:v>
                </c:pt>
                <c:pt idx="10">
                  <c:v>15442745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7-D946-A028-33934CCE62DC}"/>
            </c:ext>
          </c:extLst>
        </c:ser>
        <c:ser>
          <c:idx val="1"/>
          <c:order val="1"/>
          <c:tx>
            <c:strRef>
              <c:f>'July 3rd Sales Report'!$K$31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Report'!$K$32:$K$42</c:f>
              <c:numCache>
                <c:formatCode>0%</c:formatCode>
                <c:ptCount val="11"/>
                <c:pt idx="0">
                  <c:v>0.50028411399657247</c:v>
                </c:pt>
                <c:pt idx="1">
                  <c:v>2.9485366753125821E-2</c:v>
                </c:pt>
                <c:pt idx="2">
                  <c:v>1.6706874328365845E-2</c:v>
                </c:pt>
                <c:pt idx="3">
                  <c:v>6.4755326854131184E-2</c:v>
                </c:pt>
                <c:pt idx="4">
                  <c:v>2.7725640745864807E-2</c:v>
                </c:pt>
                <c:pt idx="5">
                  <c:v>1.2102770589037118E-2</c:v>
                </c:pt>
                <c:pt idx="6">
                  <c:v>4.8566495140598383E-3</c:v>
                </c:pt>
                <c:pt idx="7">
                  <c:v>7.939003072316482E-2</c:v>
                </c:pt>
                <c:pt idx="8">
                  <c:v>5.3313060599006201E-3</c:v>
                </c:pt>
                <c:pt idx="9">
                  <c:v>0.25936192043577744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7-D946-A028-33934CCE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75880"/>
        <c:axId val="446776272"/>
      </c:barChart>
      <c:lineChart>
        <c:grouping val="standard"/>
        <c:varyColors val="0"/>
        <c:ser>
          <c:idx val="2"/>
          <c:order val="2"/>
          <c:tx>
            <c:strRef>
              <c:f>'July 3rd Sales Report'!$L$31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Report'!$L$32:$L$42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7-D946-A028-33934CCE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779408"/>
        <c:axId val="446465352"/>
      </c:lineChart>
      <c:catAx>
        <c:axId val="446775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6272"/>
        <c:crosses val="autoZero"/>
        <c:auto val="1"/>
        <c:lblAlgn val="ctr"/>
        <c:lblOffset val="100"/>
        <c:noMultiLvlLbl val="0"/>
      </c:catAx>
      <c:valAx>
        <c:axId val="4467762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5880"/>
        <c:crosses val="autoZero"/>
        <c:crossBetween val="between"/>
      </c:valAx>
      <c:catAx>
        <c:axId val="446779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465352"/>
        <c:crosses val="autoZero"/>
        <c:auto val="1"/>
        <c:lblAlgn val="ctr"/>
        <c:lblOffset val="100"/>
        <c:noMultiLvlLbl val="0"/>
      </c:catAx>
      <c:valAx>
        <c:axId val="4464653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7794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Report'!$J$45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Report'!$I$46:$I$59</c:f>
              <c:strCache>
                <c:ptCount val="14"/>
                <c:pt idx="0">
                  <c:v>ann-INV160</c:v>
                </c:pt>
                <c:pt idx="1">
                  <c:v>ann-INV161</c:v>
                </c:pt>
                <c:pt idx="2">
                  <c:v>ann-INV162</c:v>
                </c:pt>
                <c:pt idx="3">
                  <c:v>ann-INV163</c:v>
                </c:pt>
                <c:pt idx="4">
                  <c:v>ann-INV164</c:v>
                </c:pt>
                <c:pt idx="5">
                  <c:v>ann-INV165</c:v>
                </c:pt>
                <c:pt idx="6">
                  <c:v>ann-INV166</c:v>
                </c:pt>
                <c:pt idx="7">
                  <c:v>ann-INV167</c:v>
                </c:pt>
                <c:pt idx="8">
                  <c:v>ann-INV168</c:v>
                </c:pt>
                <c:pt idx="9">
                  <c:v>ann-INV169</c:v>
                </c:pt>
                <c:pt idx="11">
                  <c:v>ann-INV171</c:v>
                </c:pt>
                <c:pt idx="12">
                  <c:v>ann-INV172</c:v>
                </c:pt>
                <c:pt idx="13">
                  <c:v>Total</c:v>
                </c:pt>
              </c:strCache>
            </c:strRef>
          </c:cat>
          <c:val>
            <c:numRef>
              <c:f>'July 3rd Sales Report'!$J$46:$J$59</c:f>
              <c:numCache>
                <c:formatCode>#,##0</c:formatCode>
                <c:ptCount val="14"/>
                <c:pt idx="0">
                  <c:v>4026260</c:v>
                </c:pt>
                <c:pt idx="1">
                  <c:v>8796760</c:v>
                </c:pt>
                <c:pt idx="2">
                  <c:v>491680</c:v>
                </c:pt>
                <c:pt idx="3">
                  <c:v>303000</c:v>
                </c:pt>
                <c:pt idx="4">
                  <c:v>20655</c:v>
                </c:pt>
                <c:pt idx="5">
                  <c:v>428160</c:v>
                </c:pt>
                <c:pt idx="6">
                  <c:v>216900</c:v>
                </c:pt>
                <c:pt idx="7">
                  <c:v>1000000</c:v>
                </c:pt>
                <c:pt idx="8">
                  <c:v>89830</c:v>
                </c:pt>
                <c:pt idx="9">
                  <c:v>75000</c:v>
                </c:pt>
                <c:pt idx="11">
                  <c:v>710000</c:v>
                </c:pt>
                <c:pt idx="12">
                  <c:v>516000</c:v>
                </c:pt>
                <c:pt idx="13" formatCode="_(* #,##0_);_(* \(#,##0\);_(* \-??_);_(@_)">
                  <c:v>16674245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A-A14B-BFCE-3DB80BC8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68880"/>
        <c:axId val="446464568"/>
      </c:barChart>
      <c:lineChart>
        <c:grouping val="standard"/>
        <c:varyColors val="0"/>
        <c:ser>
          <c:idx val="1"/>
          <c:order val="1"/>
          <c:tx>
            <c:strRef>
              <c:f>'July 3rd Sales Report'!$K$45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Report'!$I$46:$I$59</c:f>
              <c:strCache>
                <c:ptCount val="14"/>
                <c:pt idx="0">
                  <c:v>ann-INV160</c:v>
                </c:pt>
                <c:pt idx="1">
                  <c:v>ann-INV161</c:v>
                </c:pt>
                <c:pt idx="2">
                  <c:v>ann-INV162</c:v>
                </c:pt>
                <c:pt idx="3">
                  <c:v>ann-INV163</c:v>
                </c:pt>
                <c:pt idx="4">
                  <c:v>ann-INV164</c:v>
                </c:pt>
                <c:pt idx="5">
                  <c:v>ann-INV165</c:v>
                </c:pt>
                <c:pt idx="6">
                  <c:v>ann-INV166</c:v>
                </c:pt>
                <c:pt idx="7">
                  <c:v>ann-INV167</c:v>
                </c:pt>
                <c:pt idx="8">
                  <c:v>ann-INV168</c:v>
                </c:pt>
                <c:pt idx="9">
                  <c:v>ann-INV169</c:v>
                </c:pt>
                <c:pt idx="11">
                  <c:v>ann-INV171</c:v>
                </c:pt>
                <c:pt idx="12">
                  <c:v>ann-INV172</c:v>
                </c:pt>
                <c:pt idx="13">
                  <c:v>Total</c:v>
                </c:pt>
              </c:strCache>
            </c:strRef>
          </c:cat>
          <c:val>
            <c:numRef>
              <c:f>'July 3rd Sales Report'!$K$46:$K$59</c:f>
              <c:numCache>
                <c:formatCode>0%</c:formatCode>
                <c:ptCount val="1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0.03</c:v>
                </c:pt>
                <c:pt idx="7">
                  <c:v>-0.04</c:v>
                </c:pt>
                <c:pt idx="8">
                  <c:v>0.08</c:v>
                </c:pt>
                <c:pt idx="9">
                  <c:v>0.06</c:v>
                </c:pt>
                <c:pt idx="11">
                  <c:v>0.04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A-A14B-BFCE-3DB80BC8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468488"/>
        <c:axId val="446465744"/>
      </c:lineChart>
      <c:catAx>
        <c:axId val="446468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4568"/>
        <c:crosses val="autoZero"/>
        <c:auto val="1"/>
        <c:lblAlgn val="ctr"/>
        <c:lblOffset val="100"/>
        <c:noMultiLvlLbl val="0"/>
      </c:catAx>
      <c:valAx>
        <c:axId val="4464645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8880"/>
        <c:crosses val="autoZero"/>
        <c:crossBetween val="between"/>
      </c:valAx>
      <c:catAx>
        <c:axId val="446468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465744"/>
        <c:crosses val="autoZero"/>
        <c:auto val="1"/>
        <c:lblAlgn val="ctr"/>
        <c:lblOffset val="100"/>
        <c:noMultiLvlLbl val="0"/>
      </c:catAx>
      <c:valAx>
        <c:axId val="4464657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84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'!$J$2:$J$16</c:f>
              <c:numCache>
                <c:formatCode>General</c:formatCode>
                <c:ptCount val="15"/>
                <c:pt idx="0">
                  <c:v>53</c:v>
                </c:pt>
                <c:pt idx="1">
                  <c:v>283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3</c:v>
                </c:pt>
                <c:pt idx="6">
                  <c:v>300</c:v>
                </c:pt>
                <c:pt idx="7">
                  <c:v>40</c:v>
                </c:pt>
                <c:pt idx="8">
                  <c:v>10</c:v>
                </c:pt>
                <c:pt idx="9">
                  <c:v>1</c:v>
                </c:pt>
                <c:pt idx="10">
                  <c:v>11</c:v>
                </c:pt>
                <c:pt idx="11" formatCode="#,##0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2-364F-BD59-D3B05627E2A9}"/>
            </c:ext>
          </c:extLst>
        </c:ser>
        <c:ser>
          <c:idx val="1"/>
          <c:order val="1"/>
          <c:tx>
            <c:strRef>
              <c:f>'July 4th Sales Report 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'!$K$2:$K$16</c:f>
              <c:numCache>
                <c:formatCode>_(* #,##0_);_(* \(#,##0\);_(* \-??_);_(@_)</c:formatCode>
                <c:ptCount val="15"/>
                <c:pt idx="0">
                  <c:v>442000</c:v>
                </c:pt>
                <c:pt idx="1">
                  <c:v>1416500</c:v>
                </c:pt>
                <c:pt idx="2">
                  <c:v>56150</c:v>
                </c:pt>
                <c:pt idx="3">
                  <c:v>313100</c:v>
                </c:pt>
                <c:pt idx="4">
                  <c:v>387000</c:v>
                </c:pt>
                <c:pt idx="5">
                  <c:v>40380</c:v>
                </c:pt>
                <c:pt idx="6">
                  <c:v>3849000</c:v>
                </c:pt>
                <c:pt idx="7">
                  <c:v>436600</c:v>
                </c:pt>
                <c:pt idx="8">
                  <c:v>129200</c:v>
                </c:pt>
                <c:pt idx="9">
                  <c:v>9500</c:v>
                </c:pt>
                <c:pt idx="10">
                  <c:v>189840</c:v>
                </c:pt>
                <c:pt idx="11">
                  <c:v>7269270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2-364F-BD59-D3B05627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70448"/>
        <c:axId val="446464960"/>
      </c:barChart>
      <c:lineChart>
        <c:grouping val="standard"/>
        <c:varyColors val="0"/>
        <c:ser>
          <c:idx val="2"/>
          <c:order val="2"/>
          <c:tx>
            <c:strRef>
              <c:f>'July 4th Sales Report 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'!$L$2:$L$16</c:f>
              <c:numCache>
                <c:formatCode>0%</c:formatCode>
                <c:ptCount val="15"/>
                <c:pt idx="0">
                  <c:v>6.0803904656175932E-2</c:v>
                </c:pt>
                <c:pt idx="1">
                  <c:v>0.19486138222957738</c:v>
                </c:pt>
                <c:pt idx="2">
                  <c:v>7.724296937656739E-3</c:v>
                </c:pt>
                <c:pt idx="3">
                  <c:v>4.3071725221377109E-2</c:v>
                </c:pt>
                <c:pt idx="4">
                  <c:v>5.3237807922941367E-2</c:v>
                </c:pt>
                <c:pt idx="5">
                  <c:v>5.5548906561456654E-3</c:v>
                </c:pt>
                <c:pt idx="6">
                  <c:v>0.52948920593126958</c:v>
                </c:pt>
                <c:pt idx="7">
                  <c:v>6.0061051522367445E-2</c:v>
                </c:pt>
                <c:pt idx="8">
                  <c:v>1.7773449053343732E-2</c:v>
                </c:pt>
                <c:pt idx="9">
                  <c:v>1.3068712539223333E-3</c:v>
                </c:pt>
                <c:pt idx="10">
                  <c:v>2.6115414615222713E-2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2-364F-BD59-D3B05627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469664"/>
        <c:axId val="446466136"/>
      </c:lineChart>
      <c:catAx>
        <c:axId val="446470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4960"/>
        <c:crosses val="autoZero"/>
        <c:auto val="1"/>
        <c:lblAlgn val="ctr"/>
        <c:lblOffset val="100"/>
        <c:noMultiLvlLbl val="0"/>
      </c:catAx>
      <c:valAx>
        <c:axId val="4464649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70448"/>
        <c:crosses val="autoZero"/>
        <c:crossBetween val="between"/>
      </c:valAx>
      <c:catAx>
        <c:axId val="446469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466136"/>
        <c:crosses val="autoZero"/>
        <c:auto val="1"/>
        <c:lblAlgn val="ctr"/>
        <c:lblOffset val="100"/>
        <c:noMultiLvlLbl val="0"/>
      </c:catAx>
      <c:valAx>
        <c:axId val="4464661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96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'!$I$21:$I$25</c:f>
              <c:strCache>
                <c:ptCount val="5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Rita SR</c:v>
                </c:pt>
                <c:pt idx="4">
                  <c:v>Jeff SR</c:v>
                </c:pt>
              </c:strCache>
            </c:strRef>
          </c:cat>
          <c:val>
            <c:numRef>
              <c:f>'July 4th Sales Report '!$J$21:$J$25</c:f>
              <c:numCache>
                <c:formatCode>_(* #,##0_);_(* \(#,##0\);_(* \-??_);_(@_)</c:formatCode>
                <c:ptCount val="5"/>
                <c:pt idx="0">
                  <c:v>27000</c:v>
                </c:pt>
                <c:pt idx="1">
                  <c:v>150000</c:v>
                </c:pt>
                <c:pt idx="2">
                  <c:v>415000</c:v>
                </c:pt>
                <c:pt idx="3">
                  <c:v>2168250</c:v>
                </c:pt>
                <c:pt idx="4">
                  <c:v>40380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F-5C43-A23F-6B6BCBC03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70056"/>
        <c:axId val="446466920"/>
      </c:barChart>
      <c:lineChart>
        <c:grouping val="standard"/>
        <c:varyColors val="0"/>
        <c:ser>
          <c:idx val="1"/>
          <c:order val="1"/>
          <c:tx>
            <c:strRef>
              <c:f>'July 4th Sales Report 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'!$I$21:$I$25</c:f>
              <c:strCache>
                <c:ptCount val="5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Rita SR</c:v>
                </c:pt>
                <c:pt idx="4">
                  <c:v>Jeff SR</c:v>
                </c:pt>
              </c:strCache>
            </c:strRef>
          </c:cat>
          <c:val>
            <c:numRef>
              <c:f>'July 4th Sales Report '!$K$21:$K$25</c:f>
              <c:numCache>
                <c:formatCode>0%</c:formatCode>
                <c:ptCount val="5"/>
                <c:pt idx="0">
                  <c:v>3.7142656690424209E-3</c:v>
                </c:pt>
                <c:pt idx="1">
                  <c:v>2.0634809272457894E-2</c:v>
                </c:pt>
                <c:pt idx="2">
                  <c:v>5.7089638987133512E-2</c:v>
                </c:pt>
                <c:pt idx="3">
                  <c:v>0.29827616803337886</c:v>
                </c:pt>
                <c:pt idx="4">
                  <c:v>5.5548906561456654E-3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F-5C43-A23F-6B6BCBC03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467704"/>
        <c:axId val="446470840"/>
      </c:lineChart>
      <c:catAx>
        <c:axId val="446470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6920"/>
        <c:crosses val="autoZero"/>
        <c:auto val="1"/>
        <c:lblAlgn val="ctr"/>
        <c:lblOffset val="100"/>
        <c:noMultiLvlLbl val="0"/>
      </c:catAx>
      <c:valAx>
        <c:axId val="4464669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70056"/>
        <c:crosses val="autoZero"/>
        <c:crossBetween val="between"/>
      </c:valAx>
      <c:catAx>
        <c:axId val="446467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470840"/>
        <c:crosses val="autoZero"/>
        <c:auto val="1"/>
        <c:lblAlgn val="ctr"/>
        <c:lblOffset val="100"/>
        <c:noMultiLvlLbl val="0"/>
      </c:catAx>
      <c:valAx>
        <c:axId val="4464708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77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'!$I$33:$I$42</c:f>
              <c:strCache>
                <c:ptCount val="10"/>
                <c:pt idx="0">
                  <c:v>ann-INV173</c:v>
                </c:pt>
                <c:pt idx="1">
                  <c:v>ann-INV174</c:v>
                </c:pt>
                <c:pt idx="2">
                  <c:v>ann-INV175</c:v>
                </c:pt>
                <c:pt idx="3">
                  <c:v>ann-INV176</c:v>
                </c:pt>
                <c:pt idx="4">
                  <c:v>ann-INV177</c:v>
                </c:pt>
                <c:pt idx="5">
                  <c:v>ann-INV178</c:v>
                </c:pt>
                <c:pt idx="6">
                  <c:v>ann-INV179</c:v>
                </c:pt>
                <c:pt idx="7">
                  <c:v>ann-INV180</c:v>
                </c:pt>
                <c:pt idx="8">
                  <c:v>ann-INV181</c:v>
                </c:pt>
                <c:pt idx="9">
                  <c:v>Total</c:v>
                </c:pt>
              </c:strCache>
            </c:strRef>
          </c:cat>
          <c:val>
            <c:numRef>
              <c:f>'July 4th Sales Report '!$J$33:$J$42</c:f>
              <c:numCache>
                <c:formatCode>#,##0</c:formatCode>
                <c:ptCount val="10"/>
                <c:pt idx="0">
                  <c:v>27000</c:v>
                </c:pt>
                <c:pt idx="1">
                  <c:v>150000</c:v>
                </c:pt>
                <c:pt idx="2">
                  <c:v>1326000</c:v>
                </c:pt>
                <c:pt idx="3">
                  <c:v>842250</c:v>
                </c:pt>
                <c:pt idx="4">
                  <c:v>4939800</c:v>
                </c:pt>
                <c:pt idx="5">
                  <c:v>495000</c:v>
                </c:pt>
                <c:pt idx="6">
                  <c:v>40380</c:v>
                </c:pt>
                <c:pt idx="7">
                  <c:v>9500</c:v>
                </c:pt>
                <c:pt idx="8">
                  <c:v>44340</c:v>
                </c:pt>
                <c:pt idx="9" formatCode="_(* #,##0_);_(* \(#,##0\);_(* \-??_);_(@_)">
                  <c:v>7874270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4-B641-A2AB-6540E65E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68096"/>
        <c:axId val="446463784"/>
      </c:barChart>
      <c:lineChart>
        <c:grouping val="standard"/>
        <c:varyColors val="0"/>
        <c:ser>
          <c:idx val="1"/>
          <c:order val="1"/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'!$I$33:$I$42</c:f>
              <c:strCache>
                <c:ptCount val="10"/>
                <c:pt idx="0">
                  <c:v>ann-INV173</c:v>
                </c:pt>
                <c:pt idx="1">
                  <c:v>ann-INV174</c:v>
                </c:pt>
                <c:pt idx="2">
                  <c:v>ann-INV175</c:v>
                </c:pt>
                <c:pt idx="3">
                  <c:v>ann-INV176</c:v>
                </c:pt>
                <c:pt idx="4">
                  <c:v>ann-INV177</c:v>
                </c:pt>
                <c:pt idx="5">
                  <c:v>ann-INV178</c:v>
                </c:pt>
                <c:pt idx="6">
                  <c:v>ann-INV179</c:v>
                </c:pt>
                <c:pt idx="7">
                  <c:v>ann-INV180</c:v>
                </c:pt>
                <c:pt idx="8">
                  <c:v>ann-INV181</c:v>
                </c:pt>
                <c:pt idx="9">
                  <c:v>Total</c:v>
                </c:pt>
              </c:strCache>
            </c:strRef>
          </c:cat>
          <c:val>
            <c:numRef>
              <c:f>'July 4th Sales Report '!$K$42:$K$42</c:f>
              <c:numCache>
                <c:formatCode>0%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4-B641-A2AB-6540E65E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464176"/>
        <c:axId val="443105064"/>
      </c:lineChart>
      <c:catAx>
        <c:axId val="446468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3784"/>
        <c:crosses val="autoZero"/>
        <c:auto val="1"/>
        <c:lblAlgn val="ctr"/>
        <c:lblOffset val="100"/>
        <c:noMultiLvlLbl val="0"/>
      </c:catAx>
      <c:valAx>
        <c:axId val="4464637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8096"/>
        <c:crosses val="autoZero"/>
        <c:crossBetween val="between"/>
      </c:valAx>
      <c:catAx>
        <c:axId val="446464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105064"/>
        <c:crosses val="autoZero"/>
        <c:auto val="1"/>
        <c:lblAlgn val="ctr"/>
        <c:lblOffset val="100"/>
        <c:noMultiLvlLbl val="0"/>
      </c:catAx>
      <c:valAx>
        <c:axId val="4431050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4641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Report'!$J$18:$J$29</c:f>
              <c:numCache>
                <c:formatCode>_(* #,##0_);_(* \(#,##0\);_(* \-??_);_(@_)</c:formatCode>
                <c:ptCount val="12"/>
                <c:pt idx="0">
                  <c:v>3142500</c:v>
                </c:pt>
                <c:pt idx="1">
                  <c:v>1628500</c:v>
                </c:pt>
                <c:pt idx="2">
                  <c:v>18300</c:v>
                </c:pt>
                <c:pt idx="3">
                  <c:v>313030</c:v>
                </c:pt>
                <c:pt idx="4">
                  <c:v>34400</c:v>
                </c:pt>
                <c:pt idx="5">
                  <c:v>104620</c:v>
                </c:pt>
                <c:pt idx="6">
                  <c:v>863040</c:v>
                </c:pt>
                <c:pt idx="7">
                  <c:v>31550</c:v>
                </c:pt>
                <c:pt idx="8">
                  <c:v>672505</c:v>
                </c:pt>
                <c:pt idx="9">
                  <c:v>28500</c:v>
                </c:pt>
                <c:pt idx="10">
                  <c:v>19000</c:v>
                </c:pt>
                <c:pt idx="11">
                  <c:v>6855945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C-4F47-85F0-DE4D2DA24B9B}"/>
            </c:ext>
          </c:extLst>
        </c:ser>
        <c:ser>
          <c:idx val="1"/>
          <c:order val="1"/>
          <c:tx>
            <c:strRef>
              <c:f>'July 6th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Report'!$K$18:$K$29</c:f>
              <c:numCache>
                <c:formatCode>0%</c:formatCode>
                <c:ptCount val="12"/>
                <c:pt idx="0">
                  <c:v>0.45836131999308627</c:v>
                </c:pt>
                <c:pt idx="1">
                  <c:v>0.23753107704335436</c:v>
                </c:pt>
                <c:pt idx="2">
                  <c:v>2.6692162787186886E-3</c:v>
                </c:pt>
                <c:pt idx="3">
                  <c:v>4.5658184247394047E-2</c:v>
                </c:pt>
                <c:pt idx="4">
                  <c:v>5.0175431687389561E-3</c:v>
                </c:pt>
                <c:pt idx="5">
                  <c:v>1.5259749020740393E-2</c:v>
                </c:pt>
                <c:pt idx="6">
                  <c:v>0.1258819900101299</c:v>
                </c:pt>
                <c:pt idx="7">
                  <c:v>4.6018455515614547E-3</c:v>
                </c:pt>
                <c:pt idx="8">
                  <c:v>9.8090781066650909E-2</c:v>
                </c:pt>
                <c:pt idx="9">
                  <c:v>4.1569761717750071E-3</c:v>
                </c:pt>
                <c:pt idx="10">
                  <c:v>2.7713174478500046E-3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C-4F47-85F0-DE4D2DA2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01536"/>
        <c:axId val="443101928"/>
      </c:barChart>
      <c:lineChart>
        <c:grouping val="standard"/>
        <c:varyColors val="0"/>
        <c:ser>
          <c:idx val="2"/>
          <c:order val="2"/>
          <c:tx>
            <c:strRef>
              <c:f>'July 6th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Report'!$L$18:$L$29</c:f>
              <c:numCache>
                <c:formatCode>0%</c:formatCode>
                <c:ptCount val="12"/>
                <c:pt idx="0">
                  <c:v>-2.9499999999999998E-2</c:v>
                </c:pt>
                <c:pt idx="1">
                  <c:v>3.7699999999999997E-2</c:v>
                </c:pt>
                <c:pt idx="2">
                  <c:v>6.2799999999999995E-2</c:v>
                </c:pt>
                <c:pt idx="3">
                  <c:v>2.5700000000000001E-2</c:v>
                </c:pt>
                <c:pt idx="4">
                  <c:v>-4.4000000000000003E-3</c:v>
                </c:pt>
                <c:pt idx="5">
                  <c:v>3.9199999999999999E-2</c:v>
                </c:pt>
                <c:pt idx="6">
                  <c:v>2.86E-2</c:v>
                </c:pt>
                <c:pt idx="7">
                  <c:v>4.9799999999999997E-2</c:v>
                </c:pt>
                <c:pt idx="8">
                  <c:v>5.11E-2</c:v>
                </c:pt>
                <c:pt idx="9">
                  <c:v>8.2400000000000001E-2</c:v>
                </c:pt>
                <c:pt idx="10">
                  <c:v>9.0800000000000006E-2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DC-4F47-85F0-DE4D2DA2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092912"/>
        <c:axId val="443103496"/>
      </c:lineChart>
      <c:catAx>
        <c:axId val="443101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1928"/>
        <c:crosses val="autoZero"/>
        <c:auto val="1"/>
        <c:lblAlgn val="ctr"/>
        <c:lblOffset val="100"/>
        <c:noMultiLvlLbl val="0"/>
      </c:catAx>
      <c:valAx>
        <c:axId val="443101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1536"/>
        <c:crosses val="autoZero"/>
        <c:crossBetween val="between"/>
      </c:valAx>
      <c:catAx>
        <c:axId val="44309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103496"/>
        <c:crosses val="autoZero"/>
        <c:auto val="1"/>
        <c:lblAlgn val="ctr"/>
        <c:lblOffset val="100"/>
        <c:noMultiLvlLbl val="0"/>
      </c:catAx>
      <c:valAx>
        <c:axId val="4431034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29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 No_Gross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Report'!$J$31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Report'!$I$32:$I$45</c:f>
              <c:strCache>
                <c:ptCount val="14"/>
                <c:pt idx="0">
                  <c:v>ann-INV183</c:v>
                </c:pt>
                <c:pt idx="1">
                  <c:v>ann-INV184</c:v>
                </c:pt>
                <c:pt idx="2">
                  <c:v>ann-INV185</c:v>
                </c:pt>
                <c:pt idx="3">
                  <c:v>ann-INV186</c:v>
                </c:pt>
                <c:pt idx="4">
                  <c:v>ann-INV187</c:v>
                </c:pt>
                <c:pt idx="5">
                  <c:v>ann-INV188</c:v>
                </c:pt>
                <c:pt idx="6">
                  <c:v>ann-INV189</c:v>
                </c:pt>
                <c:pt idx="7">
                  <c:v>ann-INV191</c:v>
                </c:pt>
                <c:pt idx="8">
                  <c:v>ann-INV192</c:v>
                </c:pt>
                <c:pt idx="9">
                  <c:v>ann-INV193</c:v>
                </c:pt>
                <c:pt idx="10">
                  <c:v>ann-INV190</c:v>
                </c:pt>
                <c:pt idx="11">
                  <c:v>ann-INV194</c:v>
                </c:pt>
                <c:pt idx="12">
                  <c:v>ann-INV195</c:v>
                </c:pt>
                <c:pt idx="13">
                  <c:v>Total</c:v>
                </c:pt>
              </c:strCache>
            </c:strRef>
          </c:cat>
          <c:val>
            <c:numRef>
              <c:f>'July 6th Sales Report'!$J$32:$J$45</c:f>
              <c:numCache>
                <c:formatCode>_(* #,##0_);_(* \(#,##0\);_(* \-??_);_(@_)</c:formatCode>
                <c:ptCount val="14"/>
                <c:pt idx="0">
                  <c:v>2647500</c:v>
                </c:pt>
                <c:pt idx="1">
                  <c:v>890100</c:v>
                </c:pt>
                <c:pt idx="2">
                  <c:v>18300</c:v>
                </c:pt>
                <c:pt idx="3">
                  <c:v>968400</c:v>
                </c:pt>
                <c:pt idx="4">
                  <c:v>358030</c:v>
                </c:pt>
                <c:pt idx="5">
                  <c:v>34400</c:v>
                </c:pt>
                <c:pt idx="6">
                  <c:v>495000</c:v>
                </c:pt>
                <c:pt idx="7">
                  <c:v>119620</c:v>
                </c:pt>
                <c:pt idx="8">
                  <c:v>863040</c:v>
                </c:pt>
                <c:pt idx="9">
                  <c:v>31550</c:v>
                </c:pt>
                <c:pt idx="10">
                  <c:v>777505</c:v>
                </c:pt>
                <c:pt idx="11">
                  <c:v>28500</c:v>
                </c:pt>
                <c:pt idx="12">
                  <c:v>19000</c:v>
                </c:pt>
                <c:pt idx="13">
                  <c:v>7250945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3-2245-9BED-D69951E4A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93304"/>
        <c:axId val="443097224"/>
      </c:barChart>
      <c:lineChart>
        <c:grouping val="standard"/>
        <c:varyColors val="0"/>
        <c:ser>
          <c:idx val="1"/>
          <c:order val="1"/>
          <c:tx>
            <c:strRef>
              <c:f>'July 6th Sales Report'!$K$31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Report'!$I$32:$I$45</c:f>
              <c:strCache>
                <c:ptCount val="14"/>
                <c:pt idx="0">
                  <c:v>ann-INV183</c:v>
                </c:pt>
                <c:pt idx="1">
                  <c:v>ann-INV184</c:v>
                </c:pt>
                <c:pt idx="2">
                  <c:v>ann-INV185</c:v>
                </c:pt>
                <c:pt idx="3">
                  <c:v>ann-INV186</c:v>
                </c:pt>
                <c:pt idx="4">
                  <c:v>ann-INV187</c:v>
                </c:pt>
                <c:pt idx="5">
                  <c:v>ann-INV188</c:v>
                </c:pt>
                <c:pt idx="6">
                  <c:v>ann-INV189</c:v>
                </c:pt>
                <c:pt idx="7">
                  <c:v>ann-INV191</c:v>
                </c:pt>
                <c:pt idx="8">
                  <c:v>ann-INV192</c:v>
                </c:pt>
                <c:pt idx="9">
                  <c:v>ann-INV193</c:v>
                </c:pt>
                <c:pt idx="10">
                  <c:v>ann-INV190</c:v>
                </c:pt>
                <c:pt idx="11">
                  <c:v>ann-INV194</c:v>
                </c:pt>
                <c:pt idx="12">
                  <c:v>ann-INV195</c:v>
                </c:pt>
                <c:pt idx="13">
                  <c:v>Total</c:v>
                </c:pt>
              </c:strCache>
            </c:strRef>
          </c:cat>
          <c:val>
            <c:numRef>
              <c:f>'July 6th Sales Report'!$K$32:$K$45</c:f>
              <c:numCache>
                <c:formatCode>0%</c:formatCode>
                <c:ptCount val="14"/>
                <c:pt idx="0">
                  <c:v>-0.03</c:v>
                </c:pt>
                <c:pt idx="1">
                  <c:v>0.04</c:v>
                </c:pt>
                <c:pt idx="2">
                  <c:v>0.06</c:v>
                </c:pt>
                <c:pt idx="3">
                  <c:v>0.04</c:v>
                </c:pt>
                <c:pt idx="4">
                  <c:v>0.03</c:v>
                </c:pt>
                <c:pt idx="5">
                  <c:v>0</c:v>
                </c:pt>
                <c:pt idx="6">
                  <c:v>-0.05</c:v>
                </c:pt>
                <c:pt idx="7">
                  <c:v>0.04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0.08</c:v>
                </c:pt>
                <c:pt idx="1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3-2245-9BED-D69951E4A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095264"/>
        <c:axId val="443102320"/>
      </c:lineChart>
      <c:catAx>
        <c:axId val="443093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7224"/>
        <c:crosses val="autoZero"/>
        <c:auto val="1"/>
        <c:lblAlgn val="ctr"/>
        <c:lblOffset val="100"/>
        <c:noMultiLvlLbl val="0"/>
      </c:catAx>
      <c:valAx>
        <c:axId val="4430972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3304"/>
        <c:crosses val="autoZero"/>
        <c:crossBetween val="between"/>
      </c:valAx>
      <c:catAx>
        <c:axId val="44309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102320"/>
        <c:crosses val="autoZero"/>
        <c:auto val="1"/>
        <c:lblAlgn val="ctr"/>
        <c:lblOffset val="100"/>
        <c:noMultiLvlLbl val="0"/>
      </c:catAx>
      <c:valAx>
        <c:axId val="4431023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52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Report'!$J$2:$J$15</c:f>
              <c:numCache>
                <c:formatCode>General</c:formatCode>
                <c:ptCount val="14"/>
                <c:pt idx="0">
                  <c:v>431</c:v>
                </c:pt>
                <c:pt idx="1">
                  <c:v>130</c:v>
                </c:pt>
                <c:pt idx="2">
                  <c:v>73</c:v>
                </c:pt>
                <c:pt idx="3">
                  <c:v>1</c:v>
                </c:pt>
                <c:pt idx="4">
                  <c:v>81</c:v>
                </c:pt>
                <c:pt idx="5">
                  <c:v>175</c:v>
                </c:pt>
                <c:pt idx="6">
                  <c:v>20</c:v>
                </c:pt>
                <c:pt idx="7">
                  <c:v>14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D-E546-8EA4-56CB066B41C2}"/>
            </c:ext>
          </c:extLst>
        </c:ser>
        <c:ser>
          <c:idx val="1"/>
          <c:order val="1"/>
          <c:tx>
            <c:strRef>
              <c:f>'July 6th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Report'!$K$2:$K$15</c:f>
              <c:numCache>
                <c:formatCode>_(* #,##0_);_(* \(#,##0\);_(* \-??_);_(@_)</c:formatCode>
                <c:ptCount val="14"/>
                <c:pt idx="0">
                  <c:v>2133800</c:v>
                </c:pt>
                <c:pt idx="1">
                  <c:v>1014000</c:v>
                </c:pt>
                <c:pt idx="2">
                  <c:v>973455</c:v>
                </c:pt>
                <c:pt idx="3">
                  <c:v>18300</c:v>
                </c:pt>
                <c:pt idx="4">
                  <c:v>740040</c:v>
                </c:pt>
                <c:pt idx="5">
                  <c:v>1593800</c:v>
                </c:pt>
                <c:pt idx="6">
                  <c:v>166000</c:v>
                </c:pt>
                <c:pt idx="7">
                  <c:v>128780</c:v>
                </c:pt>
                <c:pt idx="8">
                  <c:v>11910</c:v>
                </c:pt>
                <c:pt idx="9">
                  <c:v>14575</c:v>
                </c:pt>
                <c:pt idx="10">
                  <c:v>13550</c:v>
                </c:pt>
                <c:pt idx="11">
                  <c:v>26250</c:v>
                </c:pt>
                <c:pt idx="12">
                  <c:v>21485</c:v>
                </c:pt>
                <c:pt idx="13">
                  <c:v>6855945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D-E546-8EA4-56CB066B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97616"/>
        <c:axId val="443095656"/>
      </c:barChart>
      <c:lineChart>
        <c:grouping val="standard"/>
        <c:varyColors val="0"/>
        <c:ser>
          <c:idx val="2"/>
          <c:order val="2"/>
          <c:tx>
            <c:strRef>
              <c:f>'July 6th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Report'!$L$2:$L$15</c:f>
              <c:numCache>
                <c:formatCode>0%</c:formatCode>
                <c:ptCount val="14"/>
                <c:pt idx="0">
                  <c:v>0.31123353527485997</c:v>
                </c:pt>
                <c:pt idx="1">
                  <c:v>0.1479008364273634</c:v>
                </c:pt>
                <c:pt idx="2">
                  <c:v>0.14198699085246455</c:v>
                </c:pt>
                <c:pt idx="3">
                  <c:v>2.6692162787186886E-3</c:v>
                </c:pt>
                <c:pt idx="4">
                  <c:v>0.10794135600562724</c:v>
                </c:pt>
                <c:pt idx="5">
                  <c:v>0.23246977623070197</c:v>
                </c:pt>
                <c:pt idx="6">
                  <c:v>2.4212562965426357E-2</c:v>
                </c:pt>
                <c:pt idx="7">
                  <c:v>1.878369794390124E-2</c:v>
                </c:pt>
                <c:pt idx="8">
                  <c:v>1.7371784633628186E-3</c:v>
                </c:pt>
                <c:pt idx="9">
                  <c:v>2.1258922001270429E-3</c:v>
                </c:pt>
                <c:pt idx="10">
                  <c:v>1.9763869167561876E-3</c:v>
                </c:pt>
                <c:pt idx="11">
                  <c:v>3.8287938424243486E-3</c:v>
                </c:pt>
                <c:pt idx="12">
                  <c:v>3.1337765982661762E-3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3D-E546-8EA4-56CB066B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102712"/>
        <c:axId val="443099576"/>
      </c:lineChart>
      <c:catAx>
        <c:axId val="443097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5656"/>
        <c:crosses val="autoZero"/>
        <c:auto val="1"/>
        <c:lblAlgn val="ctr"/>
        <c:lblOffset val="100"/>
        <c:noMultiLvlLbl val="0"/>
      </c:catAx>
      <c:valAx>
        <c:axId val="4430956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7616"/>
        <c:crosses val="autoZero"/>
        <c:crossBetween val="between"/>
      </c:valAx>
      <c:catAx>
        <c:axId val="443102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099576"/>
        <c:crosses val="autoZero"/>
        <c:auto val="1"/>
        <c:lblAlgn val="ctr"/>
        <c:lblOffset val="100"/>
        <c:noMultiLvlLbl val="0"/>
      </c:catAx>
      <c:valAx>
        <c:axId val="4430995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27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Report'!$J$2:$J$16</c:f>
              <c:numCache>
                <c:formatCode>General</c:formatCode>
                <c:ptCount val="15"/>
                <c:pt idx="0">
                  <c:v>403</c:v>
                </c:pt>
                <c:pt idx="1">
                  <c:v>224</c:v>
                </c:pt>
                <c:pt idx="2">
                  <c:v>603</c:v>
                </c:pt>
                <c:pt idx="3">
                  <c:v>11</c:v>
                </c:pt>
                <c:pt idx="4">
                  <c:v>262</c:v>
                </c:pt>
                <c:pt idx="5">
                  <c:v>67</c:v>
                </c:pt>
                <c:pt idx="6">
                  <c:v>2</c:v>
                </c:pt>
                <c:pt idx="7">
                  <c:v>55</c:v>
                </c:pt>
                <c:pt idx="8">
                  <c:v>23</c:v>
                </c:pt>
                <c:pt idx="9">
                  <c:v>1</c:v>
                </c:pt>
                <c:pt idx="10">
                  <c:v>6</c:v>
                </c:pt>
                <c:pt idx="11">
                  <c:v>15</c:v>
                </c:pt>
                <c:pt idx="12">
                  <c:v>10</c:v>
                </c:pt>
                <c:pt idx="13">
                  <c:v>3</c:v>
                </c:pt>
                <c:pt idx="14">
                  <c:v>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E-5547-9044-B5752A4E5B26}"/>
            </c:ext>
          </c:extLst>
        </c:ser>
        <c:ser>
          <c:idx val="1"/>
          <c:order val="1"/>
          <c:tx>
            <c:strRef>
              <c:f>'July 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Report'!$K$2:$K$16</c:f>
              <c:numCache>
                <c:formatCode>_(* #,##0_);_(* \(#,##0\);_(* \-??_);_(@_)</c:formatCode>
                <c:ptCount val="15"/>
                <c:pt idx="0">
                  <c:v>3540800</c:v>
                </c:pt>
                <c:pt idx="1">
                  <c:v>2032510</c:v>
                </c:pt>
                <c:pt idx="2">
                  <c:v>3011800</c:v>
                </c:pt>
                <c:pt idx="3">
                  <c:v>189100</c:v>
                </c:pt>
                <c:pt idx="4">
                  <c:v>3394545</c:v>
                </c:pt>
                <c:pt idx="5">
                  <c:v>594160</c:v>
                </c:pt>
                <c:pt idx="6">
                  <c:v>29150</c:v>
                </c:pt>
                <c:pt idx="7">
                  <c:v>441100</c:v>
                </c:pt>
                <c:pt idx="8">
                  <c:v>264030</c:v>
                </c:pt>
                <c:pt idx="9">
                  <c:v>16145</c:v>
                </c:pt>
                <c:pt idx="10">
                  <c:v>123240</c:v>
                </c:pt>
                <c:pt idx="11">
                  <c:v>172200</c:v>
                </c:pt>
                <c:pt idx="12">
                  <c:v>130200</c:v>
                </c:pt>
                <c:pt idx="13">
                  <c:v>42435</c:v>
                </c:pt>
                <c:pt idx="14">
                  <c:v>13981415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E-5547-9044-B5752A4E5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96440"/>
        <c:axId val="443103104"/>
      </c:barChart>
      <c:lineChart>
        <c:grouping val="standard"/>
        <c:varyColors val="0"/>
        <c:ser>
          <c:idx val="2"/>
          <c:order val="2"/>
          <c:tx>
            <c:strRef>
              <c:f>'July 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Report'!$L$2:$L$16</c:f>
              <c:numCache>
                <c:formatCode>0%</c:formatCode>
                <c:ptCount val="15"/>
                <c:pt idx="0">
                  <c:v>0.25325047572080506</c:v>
                </c:pt>
                <c:pt idx="1">
                  <c:v>0.14537226739925824</c:v>
                </c:pt>
                <c:pt idx="2">
                  <c:v>0.21541453422275214</c:v>
                </c:pt>
                <c:pt idx="3">
                  <c:v>1.3525097423973181E-2</c:v>
                </c:pt>
                <c:pt idx="4">
                  <c:v>0.24278980346409859</c:v>
                </c:pt>
                <c:pt idx="5">
                  <c:v>4.2496413989571158E-2</c:v>
                </c:pt>
                <c:pt idx="6">
                  <c:v>2.0849105759324074E-3</c:v>
                </c:pt>
                <c:pt idx="7">
                  <c:v>3.154902418675077E-2</c:v>
                </c:pt>
                <c:pt idx="8">
                  <c:v>1.8884354695143518E-2</c:v>
                </c:pt>
                <c:pt idx="9">
                  <c:v>1.1547472126390641E-3</c:v>
                </c:pt>
                <c:pt idx="10">
                  <c:v>8.8145584692250391E-3</c:v>
                </c:pt>
                <c:pt idx="11">
                  <c:v>1.2316349954564685E-2</c:v>
                </c:pt>
                <c:pt idx="12">
                  <c:v>9.3123621607684205E-3</c:v>
                </c:pt>
                <c:pt idx="13">
                  <c:v>3.0351005245177259E-3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E-5547-9044-B5752A4E5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096832"/>
        <c:axId val="443098008"/>
      </c:lineChart>
      <c:catAx>
        <c:axId val="443096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3104"/>
        <c:crosses val="autoZero"/>
        <c:auto val="1"/>
        <c:lblAlgn val="ctr"/>
        <c:lblOffset val="100"/>
        <c:noMultiLvlLbl val="0"/>
      </c:catAx>
      <c:valAx>
        <c:axId val="4431031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6440"/>
        <c:crosses val="autoZero"/>
        <c:crossBetween val="between"/>
      </c:valAx>
      <c:catAx>
        <c:axId val="443096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098008"/>
        <c:crosses val="autoZero"/>
        <c:auto val="1"/>
        <c:lblAlgn val="ctr"/>
        <c:lblOffset val="100"/>
        <c:noMultiLvlLbl val="0"/>
      </c:catAx>
      <c:valAx>
        <c:axId val="4430980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68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Report'!$J$18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Report'!$J$19:$J$32</c:f>
              <c:numCache>
                <c:formatCode>_(* #,##0_);_(* \(#,##0\);_(* \-??_);_(@_)</c:formatCode>
                <c:ptCount val="14"/>
                <c:pt idx="0">
                  <c:v>1654160</c:v>
                </c:pt>
                <c:pt idx="1">
                  <c:v>612000</c:v>
                </c:pt>
                <c:pt idx="2">
                  <c:v>1237500</c:v>
                </c:pt>
                <c:pt idx="3">
                  <c:v>172000</c:v>
                </c:pt>
                <c:pt idx="4">
                  <c:v>548695</c:v>
                </c:pt>
                <c:pt idx="5">
                  <c:v>3987900</c:v>
                </c:pt>
                <c:pt idx="6">
                  <c:v>94600</c:v>
                </c:pt>
                <c:pt idx="7">
                  <c:v>711185</c:v>
                </c:pt>
                <c:pt idx="8">
                  <c:v>1170400</c:v>
                </c:pt>
                <c:pt idx="9">
                  <c:v>657900</c:v>
                </c:pt>
                <c:pt idx="10">
                  <c:v>2969375</c:v>
                </c:pt>
                <c:pt idx="11">
                  <c:v>160400</c:v>
                </c:pt>
                <c:pt idx="12">
                  <c:v>5300</c:v>
                </c:pt>
                <c:pt idx="13">
                  <c:v>13981415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4-5149-B6A3-326FE967244A}"/>
            </c:ext>
          </c:extLst>
        </c:ser>
        <c:ser>
          <c:idx val="1"/>
          <c:order val="1"/>
          <c:tx>
            <c:strRef>
              <c:f>'July 7th Sales Report'!$K$18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Report'!$K$19:$K$32</c:f>
              <c:numCache>
                <c:formatCode>0%</c:formatCode>
                <c:ptCount val="14"/>
                <c:pt idx="0">
                  <c:v>0.11831134402347689</c:v>
                </c:pt>
                <c:pt idx="1">
                  <c:v>4.3772393566745567E-2</c:v>
                </c:pt>
                <c:pt idx="2">
                  <c:v>8.8510354638639932E-2</c:v>
                </c:pt>
                <c:pt idx="3">
                  <c:v>1.2302045250784703E-2</c:v>
                </c:pt>
                <c:pt idx="4">
                  <c:v>3.9244597202786696E-2</c:v>
                </c:pt>
                <c:pt idx="5">
                  <c:v>0.2852286410209553</c:v>
                </c:pt>
                <c:pt idx="6">
                  <c:v>6.766124887931586E-3</c:v>
                </c:pt>
                <c:pt idx="7">
                  <c:v>5.0866453788833248E-2</c:v>
                </c:pt>
                <c:pt idx="8">
                  <c:v>8.3711126520455911E-2</c:v>
                </c:pt>
                <c:pt idx="9">
                  <c:v>4.7055323084251484E-2</c:v>
                </c:pt>
                <c:pt idx="10">
                  <c:v>0.21238014893342341</c:v>
                </c:pt>
                <c:pt idx="11">
                  <c:v>1.1472372431545735E-2</c:v>
                </c:pt>
                <c:pt idx="12">
                  <c:v>3.7907465016952864E-4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4-5149-B6A3-326FE9672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01144"/>
        <c:axId val="443093696"/>
      </c:barChart>
      <c:lineChart>
        <c:grouping val="standard"/>
        <c:varyColors val="0"/>
        <c:ser>
          <c:idx val="2"/>
          <c:order val="2"/>
          <c:tx>
            <c:strRef>
              <c:f>'July 7th Sales Report'!$L$18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Report'!$L$19:$L$32</c:f>
              <c:numCache>
                <c:formatCode>0%</c:formatCode>
                <c:ptCount val="14"/>
                <c:pt idx="0">
                  <c:v>2.5600000000000001E-2</c:v>
                </c:pt>
                <c:pt idx="1">
                  <c:v>-1.9599999999999999E-2</c:v>
                </c:pt>
                <c:pt idx="2">
                  <c:v>-5.0500000000000003E-2</c:v>
                </c:pt>
                <c:pt idx="3">
                  <c:v>5.7999999999999996E-3</c:v>
                </c:pt>
                <c:pt idx="4">
                  <c:v>4.9099999999999998E-2</c:v>
                </c:pt>
                <c:pt idx="5">
                  <c:v>1.1599999999999999E-2</c:v>
                </c:pt>
                <c:pt idx="6">
                  <c:v>-3.7000000000000002E-3</c:v>
                </c:pt>
                <c:pt idx="7">
                  <c:v>8.8000000000000005E-3</c:v>
                </c:pt>
                <c:pt idx="8">
                  <c:v>-2.8799999999999999E-2</c:v>
                </c:pt>
                <c:pt idx="9">
                  <c:v>1.3899999999999999E-2</c:v>
                </c:pt>
                <c:pt idx="10">
                  <c:v>4.9200000000000001E-2</c:v>
                </c:pt>
                <c:pt idx="11">
                  <c:v>4.1799999999999997E-2</c:v>
                </c:pt>
                <c:pt idx="12">
                  <c:v>1.89E-2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4-5149-B6A3-326FE9672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098400"/>
        <c:axId val="443103888"/>
      </c:lineChart>
      <c:catAx>
        <c:axId val="443101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3696"/>
        <c:crosses val="autoZero"/>
        <c:auto val="1"/>
        <c:lblAlgn val="ctr"/>
        <c:lblOffset val="100"/>
        <c:noMultiLvlLbl val="0"/>
      </c:catAx>
      <c:valAx>
        <c:axId val="4430936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1144"/>
        <c:crosses val="autoZero"/>
        <c:crossBetween val="between"/>
      </c:valAx>
      <c:catAx>
        <c:axId val="443098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103888"/>
        <c:crosses val="autoZero"/>
        <c:auto val="1"/>
        <c:lblAlgn val="ctr"/>
        <c:lblOffset val="100"/>
        <c:noMultiLvlLbl val="0"/>
      </c:catAx>
      <c:valAx>
        <c:axId val="4431038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84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Report'!$J$34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Report'!$I$35:$I$49</c:f>
              <c:strCache>
                <c:ptCount val="15"/>
                <c:pt idx="0">
                  <c:v>ann-INV197</c:v>
                </c:pt>
                <c:pt idx="1">
                  <c:v>ann-INV196</c:v>
                </c:pt>
                <c:pt idx="2">
                  <c:v>ann-INV198</c:v>
                </c:pt>
                <c:pt idx="3">
                  <c:v>ann-INV199</c:v>
                </c:pt>
                <c:pt idx="4">
                  <c:v>ann-INV200</c:v>
                </c:pt>
                <c:pt idx="5">
                  <c:v>ann-INV201</c:v>
                </c:pt>
                <c:pt idx="6">
                  <c:v>ann-INV202</c:v>
                </c:pt>
                <c:pt idx="7">
                  <c:v>ann-INV203</c:v>
                </c:pt>
                <c:pt idx="8">
                  <c:v>ann-INV204</c:v>
                </c:pt>
                <c:pt idx="9">
                  <c:v>ann-INV205</c:v>
                </c:pt>
                <c:pt idx="10">
                  <c:v>ann-INV206</c:v>
                </c:pt>
                <c:pt idx="11">
                  <c:v>ann-INV207</c:v>
                </c:pt>
                <c:pt idx="12">
                  <c:v>ann-INV208</c:v>
                </c:pt>
                <c:pt idx="13">
                  <c:v>ann-INV209</c:v>
                </c:pt>
                <c:pt idx="14">
                  <c:v>Total</c:v>
                </c:pt>
              </c:strCache>
            </c:strRef>
          </c:cat>
          <c:val>
            <c:numRef>
              <c:f>'July 7th Sales Report'!$J$35:$J$49</c:f>
              <c:numCache>
                <c:formatCode>_(* #,##0_);_(* \(#,##0\);_(* \-??_);_(@_)</c:formatCode>
                <c:ptCount val="15"/>
                <c:pt idx="0">
                  <c:v>1930160</c:v>
                </c:pt>
                <c:pt idx="1">
                  <c:v>612000</c:v>
                </c:pt>
                <c:pt idx="2">
                  <c:v>1237500</c:v>
                </c:pt>
                <c:pt idx="3">
                  <c:v>172000</c:v>
                </c:pt>
                <c:pt idx="4">
                  <c:v>626695</c:v>
                </c:pt>
                <c:pt idx="5">
                  <c:v>4512900</c:v>
                </c:pt>
                <c:pt idx="6">
                  <c:v>111100</c:v>
                </c:pt>
                <c:pt idx="7">
                  <c:v>756425</c:v>
                </c:pt>
                <c:pt idx="8">
                  <c:v>1170400</c:v>
                </c:pt>
                <c:pt idx="9">
                  <c:v>747900</c:v>
                </c:pt>
                <c:pt idx="10">
                  <c:v>3597375</c:v>
                </c:pt>
                <c:pt idx="11">
                  <c:v>17760</c:v>
                </c:pt>
                <c:pt idx="12">
                  <c:v>160400</c:v>
                </c:pt>
                <c:pt idx="13">
                  <c:v>5300</c:v>
                </c:pt>
                <c:pt idx="14">
                  <c:v>15657915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BE4E-A3E1-F9E80F319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04672"/>
        <c:axId val="443099968"/>
      </c:barChart>
      <c:lineChart>
        <c:grouping val="standard"/>
        <c:varyColors val="0"/>
        <c:ser>
          <c:idx val="1"/>
          <c:order val="1"/>
          <c:tx>
            <c:strRef>
              <c:f>'July 7th Sales Report'!$K$34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Report'!$I$35:$I$49</c:f>
              <c:strCache>
                <c:ptCount val="15"/>
                <c:pt idx="0">
                  <c:v>ann-INV197</c:v>
                </c:pt>
                <c:pt idx="1">
                  <c:v>ann-INV196</c:v>
                </c:pt>
                <c:pt idx="2">
                  <c:v>ann-INV198</c:v>
                </c:pt>
                <c:pt idx="3">
                  <c:v>ann-INV199</c:v>
                </c:pt>
                <c:pt idx="4">
                  <c:v>ann-INV200</c:v>
                </c:pt>
                <c:pt idx="5">
                  <c:v>ann-INV201</c:v>
                </c:pt>
                <c:pt idx="6">
                  <c:v>ann-INV202</c:v>
                </c:pt>
                <c:pt idx="7">
                  <c:v>ann-INV203</c:v>
                </c:pt>
                <c:pt idx="8">
                  <c:v>ann-INV204</c:v>
                </c:pt>
                <c:pt idx="9">
                  <c:v>ann-INV205</c:v>
                </c:pt>
                <c:pt idx="10">
                  <c:v>ann-INV206</c:v>
                </c:pt>
                <c:pt idx="11">
                  <c:v>ann-INV207</c:v>
                </c:pt>
                <c:pt idx="12">
                  <c:v>ann-INV208</c:v>
                </c:pt>
                <c:pt idx="13">
                  <c:v>ann-INV209</c:v>
                </c:pt>
                <c:pt idx="14">
                  <c:v>Total</c:v>
                </c:pt>
              </c:strCache>
            </c:strRef>
          </c:cat>
          <c:val>
            <c:numRef>
              <c:f>'July 7th Sales Report'!$K$35:$K$49</c:f>
              <c:numCache>
                <c:formatCode>0%</c:formatCode>
                <c:ptCount val="15"/>
                <c:pt idx="0">
                  <c:v>0.03</c:v>
                </c:pt>
                <c:pt idx="1">
                  <c:v>-0.02</c:v>
                </c:pt>
                <c:pt idx="2">
                  <c:v>-0.05</c:v>
                </c:pt>
                <c:pt idx="3">
                  <c:v>0.01</c:v>
                </c:pt>
                <c:pt idx="4">
                  <c:v>0.05</c:v>
                </c:pt>
                <c:pt idx="5">
                  <c:v>0.01</c:v>
                </c:pt>
                <c:pt idx="6">
                  <c:v>0</c:v>
                </c:pt>
                <c:pt idx="7">
                  <c:v>0.01</c:v>
                </c:pt>
                <c:pt idx="8">
                  <c:v>-0.03</c:v>
                </c:pt>
                <c:pt idx="9">
                  <c:v>0.01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7-BE4E-A3E1-F9E80F319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098792"/>
        <c:axId val="443100360"/>
      </c:lineChart>
      <c:catAx>
        <c:axId val="44310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9968"/>
        <c:crosses val="autoZero"/>
        <c:auto val="1"/>
        <c:lblAlgn val="ctr"/>
        <c:lblOffset val="100"/>
        <c:noMultiLvlLbl val="0"/>
      </c:catAx>
      <c:valAx>
        <c:axId val="4430999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104672"/>
        <c:crosses val="autoZero"/>
        <c:crossBetween val="between"/>
      </c:valAx>
      <c:catAx>
        <c:axId val="443098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100360"/>
        <c:crosses val="autoZero"/>
        <c:auto val="1"/>
        <c:lblAlgn val="ctr"/>
        <c:lblOffset val="100"/>
        <c:noMultiLvlLbl val="0"/>
      </c:catAx>
      <c:valAx>
        <c:axId val="44310036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30987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Report'!$J$2:$J$22</c:f>
              <c:numCache>
                <c:formatCode>General</c:formatCode>
                <c:ptCount val="21"/>
                <c:pt idx="0">
                  <c:v>137</c:v>
                </c:pt>
                <c:pt idx="1">
                  <c:v>5</c:v>
                </c:pt>
                <c:pt idx="2">
                  <c:v>19</c:v>
                </c:pt>
                <c:pt idx="3">
                  <c:v>10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  <c:pt idx="7">
                  <c:v>2</c:v>
                </c:pt>
                <c:pt idx="8">
                  <c:v>25</c:v>
                </c:pt>
                <c:pt idx="9">
                  <c:v>25</c:v>
                </c:pt>
                <c:pt idx="10">
                  <c:v>4</c:v>
                </c:pt>
                <c:pt idx="11">
                  <c:v>55</c:v>
                </c:pt>
                <c:pt idx="12">
                  <c:v>20</c:v>
                </c:pt>
                <c:pt idx="13">
                  <c:v>310</c:v>
                </c:pt>
                <c:pt idx="14">
                  <c:v>190</c:v>
                </c:pt>
                <c:pt idx="15">
                  <c:v>1</c:v>
                </c:pt>
                <c:pt idx="16">
                  <c:v>3</c:v>
                </c:pt>
                <c:pt idx="17">
                  <c:v>7</c:v>
                </c:pt>
                <c:pt idx="18">
                  <c:v>10</c:v>
                </c:pt>
                <c:pt idx="19">
                  <c:v>5</c:v>
                </c:pt>
                <c:pt idx="20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2-4941-810D-114F5B9E48AD}"/>
            </c:ext>
          </c:extLst>
        </c:ser>
        <c:ser>
          <c:idx val="1"/>
          <c:order val="1"/>
          <c:tx>
            <c:strRef>
              <c:f>'July 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Report'!$K$2:$K$22</c:f>
              <c:numCache>
                <c:formatCode>_(* #,##0_);_(* \(#,##0\);_(* \-??_);_(@_)</c:formatCode>
                <c:ptCount val="21"/>
                <c:pt idx="0">
                  <c:v>1774245</c:v>
                </c:pt>
                <c:pt idx="1">
                  <c:v>107425</c:v>
                </c:pt>
                <c:pt idx="2">
                  <c:v>226290</c:v>
                </c:pt>
                <c:pt idx="3">
                  <c:v>135500</c:v>
                </c:pt>
                <c:pt idx="4">
                  <c:v>41260</c:v>
                </c:pt>
                <c:pt idx="5">
                  <c:v>108675</c:v>
                </c:pt>
                <c:pt idx="6">
                  <c:v>72250</c:v>
                </c:pt>
                <c:pt idx="7">
                  <c:v>22960</c:v>
                </c:pt>
                <c:pt idx="8">
                  <c:v>431225</c:v>
                </c:pt>
                <c:pt idx="9">
                  <c:v>403625</c:v>
                </c:pt>
                <c:pt idx="10">
                  <c:v>36800</c:v>
                </c:pt>
                <c:pt idx="11">
                  <c:v>490000</c:v>
                </c:pt>
                <c:pt idx="12">
                  <c:v>160400</c:v>
                </c:pt>
                <c:pt idx="13">
                  <c:v>2672300</c:v>
                </c:pt>
                <c:pt idx="14">
                  <c:v>950000</c:v>
                </c:pt>
                <c:pt idx="15">
                  <c:v>13125</c:v>
                </c:pt>
                <c:pt idx="16">
                  <c:v>34800</c:v>
                </c:pt>
                <c:pt idx="17">
                  <c:v>99015</c:v>
                </c:pt>
                <c:pt idx="18">
                  <c:v>93450</c:v>
                </c:pt>
                <c:pt idx="19">
                  <c:v>103275</c:v>
                </c:pt>
                <c:pt idx="20">
                  <c:v>7976620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2-4941-810D-114F5B9E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106632"/>
        <c:axId val="443107024"/>
      </c:barChart>
      <c:lineChart>
        <c:grouping val="standard"/>
        <c:varyColors val="0"/>
        <c:ser>
          <c:idx val="2"/>
          <c:order val="2"/>
          <c:tx>
            <c:strRef>
              <c:f>'July 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Report'!$L$2:$L$22</c:f>
              <c:numCache>
                <c:formatCode>0%</c:formatCode>
                <c:ptCount val="21"/>
                <c:pt idx="0">
                  <c:v>0.22243067865837912</c:v>
                </c:pt>
                <c:pt idx="1">
                  <c:v>1.3467483721175134E-2</c:v>
                </c:pt>
                <c:pt idx="2">
                  <c:v>2.8369158866788188E-2</c:v>
                </c:pt>
                <c:pt idx="3">
                  <c:v>1.6987144931061026E-2</c:v>
                </c:pt>
                <c:pt idx="4">
                  <c:v>5.1726169731038957E-3</c:v>
                </c:pt>
                <c:pt idx="5">
                  <c:v>1.3624191700243963E-2</c:v>
                </c:pt>
                <c:pt idx="6">
                  <c:v>9.0577211901782962E-3</c:v>
                </c:pt>
                <c:pt idx="7">
                  <c:v>2.8784121595362448E-3</c:v>
                </c:pt>
                <c:pt idx="8">
                  <c:v>5.406111861916451E-2</c:v>
                </c:pt>
                <c:pt idx="9">
                  <c:v>5.0601006441324772E-2</c:v>
                </c:pt>
                <c:pt idx="10">
                  <c:v>4.6134829037863152E-3</c:v>
                </c:pt>
                <c:pt idx="11">
                  <c:v>6.1429527794980829E-2</c:v>
                </c:pt>
                <c:pt idx="12">
                  <c:v>2.0108767874112091E-2</c:v>
                </c:pt>
                <c:pt idx="13">
                  <c:v>0.33501658597250467</c:v>
                </c:pt>
                <c:pt idx="14">
                  <c:v>0.11909806409230977</c:v>
                </c:pt>
                <c:pt idx="15">
                  <c:v>1.6454337802227009E-3</c:v>
                </c:pt>
                <c:pt idx="16">
                  <c:v>4.3627501372761899E-3</c:v>
                </c:pt>
                <c:pt idx="17">
                  <c:v>1.2413152438000055E-2</c:v>
                </c:pt>
                <c:pt idx="18">
                  <c:v>1.171548851518563E-2</c:v>
                </c:pt>
                <c:pt idx="19">
                  <c:v>1.2947213230666624E-2</c:v>
                </c:pt>
                <c:pt idx="2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D2-4941-810D-114F5B9E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106240"/>
        <c:axId val="443107416"/>
      </c:lineChart>
      <c:catAx>
        <c:axId val="443106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7024"/>
        <c:crosses val="autoZero"/>
        <c:auto val="1"/>
        <c:lblAlgn val="ctr"/>
        <c:lblOffset val="100"/>
        <c:noMultiLvlLbl val="0"/>
      </c:catAx>
      <c:valAx>
        <c:axId val="4431070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6632"/>
        <c:crosses val="autoZero"/>
        <c:crossBetween val="between"/>
      </c:valAx>
      <c:catAx>
        <c:axId val="443106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7416"/>
        <c:crosses val="autoZero"/>
        <c:auto val="1"/>
        <c:lblAlgn val="ctr"/>
        <c:lblOffset val="100"/>
        <c:noMultiLvlLbl val="0"/>
      </c:catAx>
      <c:valAx>
        <c:axId val="4431074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624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Report'!$J$24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Report'!$I$25:$I$39</c:f>
              <c:strCache>
                <c:ptCount val="15"/>
                <c:pt idx="0">
                  <c:v>Amandla</c:v>
                </c:pt>
                <c:pt idx="1">
                  <c:v>Ameh Mathew</c:v>
                </c:pt>
                <c:pt idx="2">
                  <c:v>Delayers</c:v>
                </c:pt>
                <c:pt idx="3">
                  <c:v>Solomon</c:v>
                </c:pt>
                <c:pt idx="4">
                  <c:v>Remilekun</c:v>
                </c:pt>
                <c:pt idx="5">
                  <c:v>Ahmed SR</c:v>
                </c:pt>
                <c:pt idx="6">
                  <c:v>Walk in Customer</c:v>
                </c:pt>
                <c:pt idx="7">
                  <c:v>Mr Godswill</c:v>
                </c:pt>
                <c:pt idx="8">
                  <c:v>Tmoney NB</c:v>
                </c:pt>
                <c:pt idx="9">
                  <c:v>Eniola Marketer</c:v>
                </c:pt>
                <c:pt idx="10">
                  <c:v>Ola SR</c:v>
                </c:pt>
                <c:pt idx="11">
                  <c:v>Mama Oyin Mowe</c:v>
                </c:pt>
                <c:pt idx="12">
                  <c:v>Mr Musefiu</c:v>
                </c:pt>
                <c:pt idx="13">
                  <c:v>Mr Lekan Ojifini</c:v>
                </c:pt>
                <c:pt idx="14">
                  <c:v>Total</c:v>
                </c:pt>
              </c:strCache>
            </c:strRef>
          </c:cat>
          <c:val>
            <c:numRef>
              <c:f>'July 8th Sales Report'!$J$25:$J$39</c:f>
              <c:numCache>
                <c:formatCode>_(* #,##0_);_(* \(#,##0\);_(* \-??_);_(@_)</c:formatCode>
                <c:ptCount val="15"/>
                <c:pt idx="0">
                  <c:v>301400</c:v>
                </c:pt>
                <c:pt idx="1">
                  <c:v>819190</c:v>
                </c:pt>
                <c:pt idx="2">
                  <c:v>129300</c:v>
                </c:pt>
                <c:pt idx="3">
                  <c:v>204290</c:v>
                </c:pt>
                <c:pt idx="4">
                  <c:v>9500</c:v>
                </c:pt>
                <c:pt idx="5">
                  <c:v>280200</c:v>
                </c:pt>
                <c:pt idx="6">
                  <c:v>46000</c:v>
                </c:pt>
                <c:pt idx="7">
                  <c:v>13125</c:v>
                </c:pt>
                <c:pt idx="8">
                  <c:v>910720</c:v>
                </c:pt>
                <c:pt idx="9">
                  <c:v>839225</c:v>
                </c:pt>
                <c:pt idx="10">
                  <c:v>144170</c:v>
                </c:pt>
                <c:pt idx="11">
                  <c:v>3024000</c:v>
                </c:pt>
                <c:pt idx="12">
                  <c:v>775800</c:v>
                </c:pt>
                <c:pt idx="13">
                  <c:v>479700</c:v>
                </c:pt>
                <c:pt idx="14">
                  <c:v>7976620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7-3A4F-81DD-2CDDC108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105848"/>
        <c:axId val="443108200"/>
      </c:barChart>
      <c:lineChart>
        <c:grouping val="standard"/>
        <c:varyColors val="0"/>
        <c:ser>
          <c:idx val="1"/>
          <c:order val="1"/>
          <c:tx>
            <c:strRef>
              <c:f>'July 8th Sales Report'!$K$24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Report'!$I$25:$I$39</c:f>
              <c:strCache>
                <c:ptCount val="15"/>
                <c:pt idx="0">
                  <c:v>Amandla</c:v>
                </c:pt>
                <c:pt idx="1">
                  <c:v>Ameh Mathew</c:v>
                </c:pt>
                <c:pt idx="2">
                  <c:v>Delayers</c:v>
                </c:pt>
                <c:pt idx="3">
                  <c:v>Solomon</c:v>
                </c:pt>
                <c:pt idx="4">
                  <c:v>Remilekun</c:v>
                </c:pt>
                <c:pt idx="5">
                  <c:v>Ahmed SR</c:v>
                </c:pt>
                <c:pt idx="6">
                  <c:v>Walk in Customer</c:v>
                </c:pt>
                <c:pt idx="7">
                  <c:v>Mr Godswill</c:v>
                </c:pt>
                <c:pt idx="8">
                  <c:v>Tmoney NB</c:v>
                </c:pt>
                <c:pt idx="9">
                  <c:v>Eniola Marketer</c:v>
                </c:pt>
                <c:pt idx="10">
                  <c:v>Ola SR</c:v>
                </c:pt>
                <c:pt idx="11">
                  <c:v>Mama Oyin Mowe</c:v>
                </c:pt>
                <c:pt idx="12">
                  <c:v>Mr Musefiu</c:v>
                </c:pt>
                <c:pt idx="13">
                  <c:v>Mr Lekan Ojifini</c:v>
                </c:pt>
                <c:pt idx="14">
                  <c:v>Total</c:v>
                </c:pt>
              </c:strCache>
            </c:strRef>
          </c:cat>
          <c:val>
            <c:numRef>
              <c:f>'July 8th Sales Report'!$K$25:$K$39</c:f>
              <c:numCache>
                <c:formatCode>0%</c:formatCode>
                <c:ptCount val="15"/>
                <c:pt idx="0">
                  <c:v>3.7785427913075965E-2</c:v>
                </c:pt>
                <c:pt idx="1">
                  <c:v>0.10269888749871499</c:v>
                </c:pt>
                <c:pt idx="2">
                  <c:v>1.6209873354879636E-2</c:v>
                </c:pt>
                <c:pt idx="3">
                  <c:v>2.5611098435176803E-2</c:v>
                </c:pt>
                <c:pt idx="4">
                  <c:v>1.1909806409230977E-3</c:v>
                </c:pt>
                <c:pt idx="5">
                  <c:v>3.5127660588068634E-2</c:v>
                </c:pt>
                <c:pt idx="6">
                  <c:v>5.766853629732894E-3</c:v>
                </c:pt>
                <c:pt idx="7">
                  <c:v>1.6454337802227009E-3</c:v>
                </c:pt>
                <c:pt idx="8">
                  <c:v>0.1141736725580509</c:v>
                </c:pt>
                <c:pt idx="9">
                  <c:v>0.10521060298723019</c:v>
                </c:pt>
                <c:pt idx="10">
                  <c:v>1.807407147388242E-2</c:v>
                </c:pt>
                <c:pt idx="11">
                  <c:v>0.3791079429633103</c:v>
                </c:pt>
                <c:pt idx="12">
                  <c:v>9.7259240129277807E-2</c:v>
                </c:pt>
                <c:pt idx="13">
                  <c:v>6.0138254047453682E-2</c:v>
                </c:pt>
                <c:pt idx="1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17-3A4F-81DD-2CDDC108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3108592"/>
        <c:axId val="443105456"/>
      </c:lineChart>
      <c:catAx>
        <c:axId val="443105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8200"/>
        <c:crosses val="autoZero"/>
        <c:auto val="1"/>
        <c:lblAlgn val="ctr"/>
        <c:lblOffset val="100"/>
        <c:noMultiLvlLbl val="0"/>
      </c:catAx>
      <c:valAx>
        <c:axId val="443108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5848"/>
        <c:crosses val="autoZero"/>
        <c:crossBetween val="between"/>
      </c:valAx>
      <c:catAx>
        <c:axId val="443108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5456"/>
        <c:crosses val="autoZero"/>
        <c:auto val="1"/>
        <c:lblAlgn val="ctr"/>
        <c:lblOffset val="100"/>
        <c:noMultiLvlLbl val="0"/>
      </c:catAx>
      <c:valAx>
        <c:axId val="4431054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0859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Report'!$J$41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Report'!$I$42:$I$57</c:f>
              <c:strCache>
                <c:ptCount val="16"/>
                <c:pt idx="0">
                  <c:v>ann-INV210</c:v>
                </c:pt>
                <c:pt idx="1">
                  <c:v>ann-INV212</c:v>
                </c:pt>
                <c:pt idx="2">
                  <c:v>ann-INV211</c:v>
                </c:pt>
                <c:pt idx="3">
                  <c:v>ann-INV213</c:v>
                </c:pt>
                <c:pt idx="4">
                  <c:v>ann-INV214</c:v>
                </c:pt>
                <c:pt idx="5">
                  <c:v>ann-INV215</c:v>
                </c:pt>
                <c:pt idx="6">
                  <c:v>ann-INV216</c:v>
                </c:pt>
                <c:pt idx="7">
                  <c:v>ann-INV218</c:v>
                </c:pt>
                <c:pt idx="8">
                  <c:v>ann-INV219</c:v>
                </c:pt>
                <c:pt idx="9">
                  <c:v>ann-INV220</c:v>
                </c:pt>
                <c:pt idx="10">
                  <c:v>ann-INV222</c:v>
                </c:pt>
                <c:pt idx="11">
                  <c:v>ann-INV221</c:v>
                </c:pt>
                <c:pt idx="12">
                  <c:v>ann-INV223</c:v>
                </c:pt>
                <c:pt idx="13">
                  <c:v>ann-INV224</c:v>
                </c:pt>
                <c:pt idx="14">
                  <c:v>ann-INV227</c:v>
                </c:pt>
                <c:pt idx="15">
                  <c:v>ann-INV228</c:v>
                </c:pt>
              </c:strCache>
            </c:strRef>
          </c:cat>
          <c:val>
            <c:numRef>
              <c:f>'July 8th Sales Report'!$J$42:$J$57</c:f>
              <c:numCache>
                <c:formatCode>_(* #,##0_);_(* \(#,##0\);_(* \-??_);_(@_)</c:formatCode>
                <c:ptCount val="16"/>
                <c:pt idx="0">
                  <c:v>339400</c:v>
                </c:pt>
                <c:pt idx="1">
                  <c:v>84365</c:v>
                </c:pt>
                <c:pt idx="2">
                  <c:v>745625</c:v>
                </c:pt>
                <c:pt idx="3">
                  <c:v>149300</c:v>
                </c:pt>
                <c:pt idx="4">
                  <c:v>226290</c:v>
                </c:pt>
                <c:pt idx="5">
                  <c:v>9500</c:v>
                </c:pt>
                <c:pt idx="6">
                  <c:v>230200</c:v>
                </c:pt>
                <c:pt idx="7">
                  <c:v>55000</c:v>
                </c:pt>
                <c:pt idx="8">
                  <c:v>15125</c:v>
                </c:pt>
                <c:pt idx="9">
                  <c:v>1048720</c:v>
                </c:pt>
                <c:pt idx="10">
                  <c:v>839225</c:v>
                </c:pt>
                <c:pt idx="11">
                  <c:v>167570</c:v>
                </c:pt>
                <c:pt idx="12">
                  <c:v>3724000</c:v>
                </c:pt>
                <c:pt idx="13">
                  <c:v>775800</c:v>
                </c:pt>
                <c:pt idx="14">
                  <c:v>535500</c:v>
                </c:pt>
                <c:pt idx="1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114B-9B0E-5AC961BD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375872"/>
        <c:axId val="444376264"/>
      </c:barChart>
      <c:lineChart>
        <c:grouping val="standard"/>
        <c:varyColors val="0"/>
        <c:ser>
          <c:idx val="1"/>
          <c:order val="1"/>
          <c:tx>
            <c:strRef>
              <c:f>'July 8th Sales Report'!$K$41</c:f>
              <c:strCache>
                <c:ptCount val="1"/>
                <c:pt idx="0">
                  <c:v>Gross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8th Sales Report'!$I$42:$I$57</c:f>
              <c:strCache>
                <c:ptCount val="16"/>
                <c:pt idx="0">
                  <c:v>ann-INV210</c:v>
                </c:pt>
                <c:pt idx="1">
                  <c:v>ann-INV212</c:v>
                </c:pt>
                <c:pt idx="2">
                  <c:v>ann-INV211</c:v>
                </c:pt>
                <c:pt idx="3">
                  <c:v>ann-INV213</c:v>
                </c:pt>
                <c:pt idx="4">
                  <c:v>ann-INV214</c:v>
                </c:pt>
                <c:pt idx="5">
                  <c:v>ann-INV215</c:v>
                </c:pt>
                <c:pt idx="6">
                  <c:v>ann-INV216</c:v>
                </c:pt>
                <c:pt idx="7">
                  <c:v>ann-INV218</c:v>
                </c:pt>
                <c:pt idx="8">
                  <c:v>ann-INV219</c:v>
                </c:pt>
                <c:pt idx="9">
                  <c:v>ann-INV220</c:v>
                </c:pt>
                <c:pt idx="10">
                  <c:v>ann-INV222</c:v>
                </c:pt>
                <c:pt idx="11">
                  <c:v>ann-INV221</c:v>
                </c:pt>
                <c:pt idx="12">
                  <c:v>ann-INV223</c:v>
                </c:pt>
                <c:pt idx="13">
                  <c:v>ann-INV224</c:v>
                </c:pt>
                <c:pt idx="14">
                  <c:v>ann-INV227</c:v>
                </c:pt>
                <c:pt idx="15">
                  <c:v>ann-INV228</c:v>
                </c:pt>
              </c:strCache>
            </c:strRef>
          </c:cat>
          <c:val>
            <c:numRef>
              <c:f>'July 8th Sales Report'!$K$42:$K$57</c:f>
              <c:numCache>
                <c:formatCode>0%</c:formatCode>
                <c:ptCount val="16"/>
                <c:pt idx="0">
                  <c:v>0.11</c:v>
                </c:pt>
                <c:pt idx="1">
                  <c:v>0.06</c:v>
                </c:pt>
                <c:pt idx="2">
                  <c:v>0.03</c:v>
                </c:pt>
                <c:pt idx="3">
                  <c:v>0.14000000000000001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-0.01</c:v>
                </c:pt>
                <c:pt idx="7">
                  <c:v>0.08</c:v>
                </c:pt>
                <c:pt idx="8">
                  <c:v>0.08</c:v>
                </c:pt>
                <c:pt idx="9">
                  <c:v>0.13</c:v>
                </c:pt>
                <c:pt idx="10">
                  <c:v>-0.03</c:v>
                </c:pt>
                <c:pt idx="11">
                  <c:v>0.06</c:v>
                </c:pt>
                <c:pt idx="12">
                  <c:v>0.05</c:v>
                </c:pt>
                <c:pt idx="13">
                  <c:v>0.01</c:v>
                </c:pt>
                <c:pt idx="14">
                  <c:v>0.06</c:v>
                </c:pt>
                <c:pt idx="15">
                  <c:v>-0.04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01-114B-9B0E-5AC961BD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72736"/>
        <c:axId val="444376656"/>
      </c:lineChart>
      <c:catAx>
        <c:axId val="444375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376264"/>
        <c:crosses val="autoZero"/>
        <c:auto val="1"/>
        <c:lblAlgn val="ctr"/>
        <c:lblOffset val="100"/>
        <c:noMultiLvlLbl val="0"/>
      </c:catAx>
      <c:valAx>
        <c:axId val="4443762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375872"/>
        <c:crosses val="autoZero"/>
        <c:crossBetween val="between"/>
      </c:valAx>
      <c:catAx>
        <c:axId val="444372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376656"/>
        <c:crosses val="autoZero"/>
        <c:auto val="1"/>
        <c:lblAlgn val="ctr"/>
        <c:lblOffset val="100"/>
        <c:noMultiLvlLbl val="0"/>
      </c:catAx>
      <c:valAx>
        <c:axId val="444376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37273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Report'!$J$2:$J$24</c:f>
              <c:numCache>
                <c:formatCode>General</c:formatCode>
                <c:ptCount val="23"/>
                <c:pt idx="0">
                  <c:v>69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24</c:v>
                </c:pt>
                <c:pt idx="7">
                  <c:v>11</c:v>
                </c:pt>
                <c:pt idx="8">
                  <c:v>15</c:v>
                </c:pt>
                <c:pt idx="9">
                  <c:v>30</c:v>
                </c:pt>
                <c:pt idx="10">
                  <c:v>20</c:v>
                </c:pt>
                <c:pt idx="11">
                  <c:v>9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11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9-FE43-9D75-D4DB493C9D9D}"/>
            </c:ext>
          </c:extLst>
        </c:ser>
        <c:ser>
          <c:idx val="1"/>
          <c:order val="1"/>
          <c:tx>
            <c:strRef>
              <c:f>'July 9th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Report'!$K$2:$K$24</c:f>
              <c:numCache>
                <c:formatCode>_(* #,##0_);_(* \(#,##0\);_(* \-??_);_(@_)</c:formatCode>
                <c:ptCount val="23"/>
                <c:pt idx="0">
                  <c:v>895815</c:v>
                </c:pt>
                <c:pt idx="1">
                  <c:v>216950</c:v>
                </c:pt>
                <c:pt idx="2">
                  <c:v>43350</c:v>
                </c:pt>
                <c:pt idx="3">
                  <c:v>20630</c:v>
                </c:pt>
                <c:pt idx="4">
                  <c:v>53510</c:v>
                </c:pt>
                <c:pt idx="5">
                  <c:v>61965</c:v>
                </c:pt>
                <c:pt idx="6">
                  <c:v>285840</c:v>
                </c:pt>
                <c:pt idx="7">
                  <c:v>170775</c:v>
                </c:pt>
                <c:pt idx="8">
                  <c:v>138000</c:v>
                </c:pt>
                <c:pt idx="9">
                  <c:v>240600</c:v>
                </c:pt>
                <c:pt idx="10">
                  <c:v>475400</c:v>
                </c:pt>
                <c:pt idx="11">
                  <c:v>84105</c:v>
                </c:pt>
                <c:pt idx="12">
                  <c:v>105850</c:v>
                </c:pt>
                <c:pt idx="13">
                  <c:v>53280</c:v>
                </c:pt>
                <c:pt idx="14">
                  <c:v>43000</c:v>
                </c:pt>
                <c:pt idx="15">
                  <c:v>98700</c:v>
                </c:pt>
                <c:pt idx="16">
                  <c:v>17000</c:v>
                </c:pt>
                <c:pt idx="17">
                  <c:v>18300</c:v>
                </c:pt>
                <c:pt idx="18">
                  <c:v>42800</c:v>
                </c:pt>
                <c:pt idx="19">
                  <c:v>11415</c:v>
                </c:pt>
                <c:pt idx="20">
                  <c:v>26040</c:v>
                </c:pt>
                <c:pt idx="21">
                  <c:v>10300</c:v>
                </c:pt>
                <c:pt idx="22">
                  <c:v>3113625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9-FE43-9D75-D4DB493C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73520"/>
        <c:axId val="444375480"/>
      </c:barChart>
      <c:lineChart>
        <c:grouping val="standard"/>
        <c:varyColors val="0"/>
        <c:ser>
          <c:idx val="2"/>
          <c:order val="2"/>
          <c:tx>
            <c:strRef>
              <c:f>'July 9th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Report'!$L$2:$L$24</c:f>
              <c:numCache>
                <c:formatCode>0%</c:formatCode>
                <c:ptCount val="23"/>
                <c:pt idx="0">
                  <c:v>0.28770805732867638</c:v>
                </c:pt>
                <c:pt idx="1">
                  <c:v>6.9677626560680883E-2</c:v>
                </c:pt>
                <c:pt idx="2">
                  <c:v>1.3922678549921715E-2</c:v>
                </c:pt>
                <c:pt idx="3">
                  <c:v>6.6257176121080731E-3</c:v>
                </c:pt>
                <c:pt idx="4">
                  <c:v>1.7185756152394718E-2</c:v>
                </c:pt>
                <c:pt idx="5">
                  <c:v>1.9901240515476332E-2</c:v>
                </c:pt>
                <c:pt idx="6">
                  <c:v>9.1802962784535716E-2</c:v>
                </c:pt>
                <c:pt idx="7">
                  <c:v>5.4847645429362879E-2</c:v>
                </c:pt>
                <c:pt idx="8">
                  <c:v>4.4321329639889197E-2</c:v>
                </c:pt>
                <c:pt idx="9">
                  <c:v>7.7273274719980731E-2</c:v>
                </c:pt>
                <c:pt idx="10">
                  <c:v>0.15268376891886468</c:v>
                </c:pt>
                <c:pt idx="11">
                  <c:v>2.7011923401180297E-2</c:v>
                </c:pt>
                <c:pt idx="12">
                  <c:v>3.3995744510016461E-2</c:v>
                </c:pt>
                <c:pt idx="13">
                  <c:v>1.7111887269661567E-2</c:v>
                </c:pt>
                <c:pt idx="14">
                  <c:v>1.3810269380545184E-2</c:v>
                </c:pt>
                <c:pt idx="15">
                  <c:v>3.1699385764181624E-2</c:v>
                </c:pt>
                <c:pt idx="16">
                  <c:v>5.4598739411457703E-3</c:v>
                </c:pt>
                <c:pt idx="17">
                  <c:v>5.8773937131157417E-3</c:v>
                </c:pt>
                <c:pt idx="18">
                  <c:v>1.3746035569472881E-2</c:v>
                </c:pt>
                <c:pt idx="19">
                  <c:v>3.6661447669517041E-3</c:v>
                </c:pt>
                <c:pt idx="20">
                  <c:v>8.3632422016138748E-3</c:v>
                </c:pt>
                <c:pt idx="21">
                  <c:v>3.3080412702236142E-3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9-FE43-9D75-D4DB493C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73912"/>
        <c:axId val="444382144"/>
      </c:lineChart>
      <c:catAx>
        <c:axId val="444373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5480"/>
        <c:crosses val="autoZero"/>
        <c:auto val="1"/>
        <c:lblAlgn val="ctr"/>
        <c:lblOffset val="100"/>
        <c:noMultiLvlLbl val="0"/>
      </c:catAx>
      <c:valAx>
        <c:axId val="4443754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3520"/>
        <c:crosses val="autoZero"/>
        <c:crossBetween val="between"/>
      </c:valAx>
      <c:catAx>
        <c:axId val="444373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82144"/>
        <c:crosses val="autoZero"/>
        <c:auto val="1"/>
        <c:lblAlgn val="ctr"/>
        <c:lblOffset val="100"/>
        <c:noMultiLvlLbl val="0"/>
      </c:catAx>
      <c:valAx>
        <c:axId val="4443821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39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Report'!$J$27:$J$36</c:f>
              <c:numCache>
                <c:formatCode>_(* #,##0_);_(* \(#,##0\);_(* \-??_);_(@_)</c:formatCode>
                <c:ptCount val="10"/>
                <c:pt idx="0">
                  <c:v>775800</c:v>
                </c:pt>
                <c:pt idx="1">
                  <c:v>727460</c:v>
                </c:pt>
                <c:pt idx="2">
                  <c:v>1191685</c:v>
                </c:pt>
                <c:pt idx="3">
                  <c:v>121455</c:v>
                </c:pt>
                <c:pt idx="4">
                  <c:v>87700</c:v>
                </c:pt>
                <c:pt idx="5">
                  <c:v>81855</c:v>
                </c:pt>
                <c:pt idx="6">
                  <c:v>18400</c:v>
                </c:pt>
                <c:pt idx="7">
                  <c:v>85470</c:v>
                </c:pt>
                <c:pt idx="8">
                  <c:v>23800</c:v>
                </c:pt>
                <c:pt idx="9">
                  <c:v>3113625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5-4F41-B27A-F57ED7B2EED4}"/>
            </c:ext>
          </c:extLst>
        </c:ser>
        <c:ser>
          <c:idx val="1"/>
          <c:order val="1"/>
          <c:tx>
            <c:strRef>
              <c:f>'July 9th Sales Report'!$K$26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Report'!$K$27:$K$36</c:f>
              <c:numCache>
                <c:formatCode>0%</c:formatCode>
                <c:ptCount val="10"/>
                <c:pt idx="0">
                  <c:v>0.24916295314946404</c:v>
                </c:pt>
                <c:pt idx="1">
                  <c:v>0.23363764101328838</c:v>
                </c:pt>
                <c:pt idx="2">
                  <c:v>0.38273234573848808</c:v>
                </c:pt>
                <c:pt idx="3">
                  <c:v>3.9007587618932915E-2</c:v>
                </c:pt>
                <c:pt idx="4">
                  <c:v>2.8166526155204947E-2</c:v>
                </c:pt>
                <c:pt idx="5">
                  <c:v>2.6289293026616884E-2</c:v>
                </c:pt>
                <c:pt idx="6">
                  <c:v>5.9095106186518925E-3</c:v>
                </c:pt>
                <c:pt idx="7">
                  <c:v>2.7450319161748764E-2</c:v>
                </c:pt>
                <c:pt idx="8">
                  <c:v>7.6438235176040786E-3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5-4F41-B27A-F57ED7B2E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80968"/>
        <c:axId val="444377440"/>
      </c:barChart>
      <c:lineChart>
        <c:grouping val="standard"/>
        <c:varyColors val="0"/>
        <c:ser>
          <c:idx val="2"/>
          <c:order val="2"/>
          <c:tx>
            <c:strRef>
              <c:f>'July 9th Sales Report'!$L$26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Report'!$L$27:$L$36</c:f>
              <c:numCache>
                <c:formatCode>0%</c:formatCode>
                <c:ptCount val="10"/>
                <c:pt idx="0">
                  <c:v>0.13700000000000001</c:v>
                </c:pt>
                <c:pt idx="1">
                  <c:v>5.9700000000000003E-2</c:v>
                </c:pt>
                <c:pt idx="2">
                  <c:v>4.1700000000000001E-2</c:v>
                </c:pt>
                <c:pt idx="3">
                  <c:v>6.0400000000000002E-2</c:v>
                </c:pt>
                <c:pt idx="4">
                  <c:v>5.0599999999999999E-2</c:v>
                </c:pt>
                <c:pt idx="5">
                  <c:v>6.2E-2</c:v>
                </c:pt>
                <c:pt idx="6">
                  <c:v>4.2000000000000003E-2</c:v>
                </c:pt>
                <c:pt idx="7">
                  <c:v>3.9399999999999998E-2</c:v>
                </c:pt>
                <c:pt idx="8">
                  <c:v>7.7399999999999997E-2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5-4F41-B27A-F57ED7B2E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77048"/>
        <c:axId val="444372344"/>
      </c:lineChart>
      <c:catAx>
        <c:axId val="444380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7440"/>
        <c:crosses val="autoZero"/>
        <c:auto val="1"/>
        <c:lblAlgn val="ctr"/>
        <c:lblOffset val="100"/>
        <c:noMultiLvlLbl val="0"/>
      </c:catAx>
      <c:valAx>
        <c:axId val="444377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0968"/>
        <c:crosses val="autoZero"/>
        <c:crossBetween val="between"/>
      </c:valAx>
      <c:catAx>
        <c:axId val="444377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72344"/>
        <c:crosses val="autoZero"/>
        <c:auto val="1"/>
        <c:lblAlgn val="ctr"/>
        <c:lblOffset val="100"/>
        <c:noMultiLvlLbl val="0"/>
      </c:catAx>
      <c:valAx>
        <c:axId val="4443723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70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Report'!$J$38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Report'!$I$39:$I$51</c:f>
              <c:strCache>
                <c:ptCount val="13"/>
                <c:pt idx="0">
                  <c:v>ann-INV229</c:v>
                </c:pt>
                <c:pt idx="1">
                  <c:v>ann-INV230</c:v>
                </c:pt>
                <c:pt idx="2">
                  <c:v>ann-INV231</c:v>
                </c:pt>
                <c:pt idx="3">
                  <c:v>ann-INV232</c:v>
                </c:pt>
                <c:pt idx="4">
                  <c:v>ann-INV233</c:v>
                </c:pt>
                <c:pt idx="5">
                  <c:v>ann-INV234</c:v>
                </c:pt>
                <c:pt idx="6">
                  <c:v>ann-INV235</c:v>
                </c:pt>
                <c:pt idx="7">
                  <c:v>ann-INV236</c:v>
                </c:pt>
                <c:pt idx="8">
                  <c:v>ann-INV237</c:v>
                </c:pt>
                <c:pt idx="9">
                  <c:v>ann-INV238</c:v>
                </c:pt>
                <c:pt idx="10">
                  <c:v>ann-INV239</c:v>
                </c:pt>
                <c:pt idx="11">
                  <c:v>ann-INV240</c:v>
                </c:pt>
                <c:pt idx="12">
                  <c:v>Total</c:v>
                </c:pt>
              </c:strCache>
            </c:strRef>
          </c:cat>
          <c:val>
            <c:numRef>
              <c:f>'July 9th Sales Report'!$J$39:$J$51</c:f>
              <c:numCache>
                <c:formatCode>_(* #,##0_);_(* \(#,##0\);_(* \-??_);_(@_)</c:formatCode>
                <c:ptCount val="13"/>
                <c:pt idx="0">
                  <c:v>895800</c:v>
                </c:pt>
                <c:pt idx="1">
                  <c:v>216950</c:v>
                </c:pt>
                <c:pt idx="2">
                  <c:v>1224685</c:v>
                </c:pt>
                <c:pt idx="3">
                  <c:v>141255</c:v>
                </c:pt>
                <c:pt idx="4">
                  <c:v>87700</c:v>
                </c:pt>
                <c:pt idx="5">
                  <c:v>94455</c:v>
                </c:pt>
                <c:pt idx="6">
                  <c:v>18400</c:v>
                </c:pt>
                <c:pt idx="7">
                  <c:v>95970</c:v>
                </c:pt>
                <c:pt idx="8">
                  <c:v>411800</c:v>
                </c:pt>
                <c:pt idx="9">
                  <c:v>76675</c:v>
                </c:pt>
                <c:pt idx="10">
                  <c:v>101635</c:v>
                </c:pt>
                <c:pt idx="11">
                  <c:v>23800</c:v>
                </c:pt>
                <c:pt idx="12">
                  <c:v>3389125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7-144D-8582-214785D6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74304"/>
        <c:axId val="444377832"/>
      </c:barChart>
      <c:lineChart>
        <c:grouping val="standard"/>
        <c:varyColors val="0"/>
        <c:ser>
          <c:idx val="1"/>
          <c:order val="1"/>
          <c:tx>
            <c:strRef>
              <c:f>'July 9th Sales Report'!$K$38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Report'!$I$39:$I$51</c:f>
              <c:strCache>
                <c:ptCount val="13"/>
                <c:pt idx="0">
                  <c:v>ann-INV229</c:v>
                </c:pt>
                <c:pt idx="1">
                  <c:v>ann-INV230</c:v>
                </c:pt>
                <c:pt idx="2">
                  <c:v>ann-INV231</c:v>
                </c:pt>
                <c:pt idx="3">
                  <c:v>ann-INV232</c:v>
                </c:pt>
                <c:pt idx="4">
                  <c:v>ann-INV233</c:v>
                </c:pt>
                <c:pt idx="5">
                  <c:v>ann-INV234</c:v>
                </c:pt>
                <c:pt idx="6">
                  <c:v>ann-INV235</c:v>
                </c:pt>
                <c:pt idx="7">
                  <c:v>ann-INV236</c:v>
                </c:pt>
                <c:pt idx="8">
                  <c:v>ann-INV237</c:v>
                </c:pt>
                <c:pt idx="9">
                  <c:v>ann-INV238</c:v>
                </c:pt>
                <c:pt idx="10">
                  <c:v>ann-INV239</c:v>
                </c:pt>
                <c:pt idx="11">
                  <c:v>ann-INV240</c:v>
                </c:pt>
                <c:pt idx="12">
                  <c:v>Total</c:v>
                </c:pt>
              </c:strCache>
            </c:strRef>
          </c:cat>
          <c:val>
            <c:numRef>
              <c:f>'July 9th Sales Report'!$K$39:$K$51</c:f>
              <c:numCache>
                <c:formatCode>0%</c:formatCode>
                <c:ptCount val="13"/>
                <c:pt idx="0">
                  <c:v>0.14000000000000001</c:v>
                </c:pt>
                <c:pt idx="1">
                  <c:v>0</c:v>
                </c:pt>
                <c:pt idx="2">
                  <c:v>0.04</c:v>
                </c:pt>
                <c:pt idx="3">
                  <c:v>0.06</c:v>
                </c:pt>
                <c:pt idx="4">
                  <c:v>0.05</c:v>
                </c:pt>
                <c:pt idx="5">
                  <c:v>0.06</c:v>
                </c:pt>
                <c:pt idx="6">
                  <c:v>0.04</c:v>
                </c:pt>
                <c:pt idx="7">
                  <c:v>0.04</c:v>
                </c:pt>
                <c:pt idx="8">
                  <c:v>7.0000000000000007E-2</c:v>
                </c:pt>
                <c:pt idx="9">
                  <c:v>0.16</c:v>
                </c:pt>
                <c:pt idx="10">
                  <c:v>7.0000000000000007E-2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7-144D-8582-214785D6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81360"/>
        <c:axId val="444374696"/>
      </c:lineChart>
      <c:catAx>
        <c:axId val="444374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7832"/>
        <c:crosses val="autoZero"/>
        <c:auto val="1"/>
        <c:lblAlgn val="ctr"/>
        <c:lblOffset val="100"/>
        <c:noMultiLvlLbl val="0"/>
      </c:catAx>
      <c:valAx>
        <c:axId val="4443778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4304"/>
        <c:crosses val="autoZero"/>
        <c:crossBetween val="between"/>
      </c:valAx>
      <c:catAx>
        <c:axId val="444381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74696"/>
        <c:crosses val="autoZero"/>
        <c:auto val="1"/>
        <c:lblAlgn val="ctr"/>
        <c:lblOffset val="100"/>
        <c:noMultiLvlLbl val="0"/>
      </c:catAx>
      <c:valAx>
        <c:axId val="4443746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13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Report'!$J$2:$J$12</c:f>
              <c:numCache>
                <c:formatCode>General</c:formatCode>
                <c:ptCount val="11"/>
                <c:pt idx="0">
                  <c:v>10</c:v>
                </c:pt>
                <c:pt idx="1">
                  <c:v>200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D54A-81BD-554FEDFF05A6}"/>
            </c:ext>
          </c:extLst>
        </c:ser>
        <c:ser>
          <c:idx val="1"/>
          <c:order val="1"/>
          <c:tx>
            <c:strRef>
              <c:f>'July 10th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Report'!$K$2:$K$12</c:f>
              <c:numCache>
                <c:formatCode>_(* #,##0_);_(* \(#,##0\);_(* \-??_);_(@_)</c:formatCode>
                <c:ptCount val="11"/>
                <c:pt idx="0">
                  <c:v>284450</c:v>
                </c:pt>
                <c:pt idx="1">
                  <c:v>1000000</c:v>
                </c:pt>
                <c:pt idx="2">
                  <c:v>51575</c:v>
                </c:pt>
                <c:pt idx="3">
                  <c:v>47640</c:v>
                </c:pt>
                <c:pt idx="4">
                  <c:v>13335</c:v>
                </c:pt>
                <c:pt idx="5">
                  <c:v>37700</c:v>
                </c:pt>
                <c:pt idx="6">
                  <c:v>18300</c:v>
                </c:pt>
                <c:pt idx="7">
                  <c:v>15115</c:v>
                </c:pt>
                <c:pt idx="8">
                  <c:v>42435</c:v>
                </c:pt>
                <c:pt idx="9">
                  <c:v>18690</c:v>
                </c:pt>
                <c:pt idx="10">
                  <c:v>1529240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C-D54A-81BD-554FEDFF0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79008"/>
        <c:axId val="444380576"/>
      </c:barChart>
      <c:lineChart>
        <c:grouping val="standard"/>
        <c:varyColors val="0"/>
        <c:ser>
          <c:idx val="2"/>
          <c:order val="2"/>
          <c:tx>
            <c:strRef>
              <c:f>'July 10th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Report'!$L$2:$L$12</c:f>
              <c:numCache>
                <c:formatCode>0%</c:formatCode>
                <c:ptCount val="11"/>
                <c:pt idx="0">
                  <c:v>0.18600742852658836</c:v>
                </c:pt>
                <c:pt idx="1">
                  <c:v>0.65391959404671607</c:v>
                </c:pt>
                <c:pt idx="2">
                  <c:v>3.3725903062959375E-2</c:v>
                </c:pt>
                <c:pt idx="3">
                  <c:v>3.115272946038555E-2</c:v>
                </c:pt>
                <c:pt idx="4">
                  <c:v>8.7200177866129588E-3</c:v>
                </c:pt>
                <c:pt idx="5">
                  <c:v>2.4652768695561194E-2</c:v>
                </c:pt>
                <c:pt idx="6">
                  <c:v>1.1966728571054902E-2</c:v>
                </c:pt>
                <c:pt idx="7">
                  <c:v>9.883994664016113E-3</c:v>
                </c:pt>
                <c:pt idx="8">
                  <c:v>2.7749077973372394E-2</c:v>
                </c:pt>
                <c:pt idx="9">
                  <c:v>1.2221757212733123E-2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C-D54A-81BD-554FEDFF0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79792"/>
        <c:axId val="444380184"/>
      </c:lineChart>
      <c:catAx>
        <c:axId val="44437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0576"/>
        <c:crosses val="autoZero"/>
        <c:auto val="1"/>
        <c:lblAlgn val="ctr"/>
        <c:lblOffset val="100"/>
        <c:noMultiLvlLbl val="0"/>
      </c:catAx>
      <c:valAx>
        <c:axId val="4443805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9008"/>
        <c:crosses val="autoZero"/>
        <c:crossBetween val="between"/>
      </c:valAx>
      <c:catAx>
        <c:axId val="444379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80184"/>
        <c:crosses val="autoZero"/>
        <c:auto val="1"/>
        <c:lblAlgn val="ctr"/>
        <c:lblOffset val="100"/>
        <c:noMultiLvlLbl val="0"/>
      </c:catAx>
      <c:valAx>
        <c:axId val="4443801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97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Report'!$J$14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Report'!$J$15:$J$21</c:f>
              <c:numCache>
                <c:formatCode>_(* #,##0_);_(* \(#,##0\);_(* \-??_);_(@_)</c:formatCode>
                <c:ptCount val="7"/>
                <c:pt idx="0">
                  <c:v>284450</c:v>
                </c:pt>
                <c:pt idx="1">
                  <c:v>1000000</c:v>
                </c:pt>
                <c:pt idx="2">
                  <c:v>99215</c:v>
                </c:pt>
                <c:pt idx="3">
                  <c:v>55950</c:v>
                </c:pt>
                <c:pt idx="4">
                  <c:v>61125</c:v>
                </c:pt>
                <c:pt idx="5">
                  <c:v>28500</c:v>
                </c:pt>
                <c:pt idx="6">
                  <c:v>1529240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4-B346-A45C-0B7B0679AFFD}"/>
            </c:ext>
          </c:extLst>
        </c:ser>
        <c:ser>
          <c:idx val="1"/>
          <c:order val="1"/>
          <c:tx>
            <c:strRef>
              <c:f>'July 10th Sales Report'!$K$14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Report'!$K$15:$K$21</c:f>
              <c:numCache>
                <c:formatCode>0%</c:formatCode>
                <c:ptCount val="7"/>
                <c:pt idx="0">
                  <c:v>0.18600742852658836</c:v>
                </c:pt>
                <c:pt idx="1">
                  <c:v>0.65391959404671607</c:v>
                </c:pt>
                <c:pt idx="2">
                  <c:v>6.4878632523344928E-2</c:v>
                </c:pt>
                <c:pt idx="3">
                  <c:v>3.6586801286913759E-2</c:v>
                </c:pt>
                <c:pt idx="4">
                  <c:v>3.9970835186105516E-2</c:v>
                </c:pt>
                <c:pt idx="5">
                  <c:v>1.8636708430331408E-2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4-B346-A45C-0B7B0679A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81752"/>
        <c:axId val="444370384"/>
      </c:barChart>
      <c:lineChart>
        <c:grouping val="standard"/>
        <c:varyColors val="0"/>
        <c:ser>
          <c:idx val="2"/>
          <c:order val="2"/>
          <c:tx>
            <c:strRef>
              <c:f>'July 10th Sales Report'!$L$14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Report'!$L$15:$L$21</c:f>
              <c:numCache>
                <c:formatCode>0%</c:formatCode>
                <c:ptCount val="7"/>
                <c:pt idx="0">
                  <c:v>8.8400000000000006E-2</c:v>
                </c:pt>
                <c:pt idx="1">
                  <c:v>-0.04</c:v>
                </c:pt>
                <c:pt idx="2">
                  <c:v>6.0699999999999997E-2</c:v>
                </c:pt>
                <c:pt idx="3">
                  <c:v>5.2600000000000001E-2</c:v>
                </c:pt>
                <c:pt idx="4">
                  <c:v>4.2900000000000001E-2</c:v>
                </c:pt>
                <c:pt idx="5">
                  <c:v>9.9199999999999997E-2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4-B346-A45C-0B7B0679A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70776"/>
        <c:axId val="444371168"/>
      </c:lineChart>
      <c:catAx>
        <c:axId val="444381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0384"/>
        <c:crosses val="autoZero"/>
        <c:auto val="1"/>
        <c:lblAlgn val="ctr"/>
        <c:lblOffset val="100"/>
        <c:noMultiLvlLbl val="0"/>
      </c:catAx>
      <c:valAx>
        <c:axId val="4443703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1752"/>
        <c:crosses val="autoZero"/>
        <c:crossBetween val="between"/>
      </c:valAx>
      <c:catAx>
        <c:axId val="444370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71168"/>
        <c:crosses val="autoZero"/>
        <c:auto val="1"/>
        <c:lblAlgn val="ctr"/>
        <c:lblOffset val="100"/>
        <c:noMultiLvlLbl val="0"/>
      </c:catAx>
      <c:valAx>
        <c:axId val="4443711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07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Report'!$I$24:$I$31</c:f>
              <c:strCache>
                <c:ptCount val="8"/>
                <c:pt idx="0">
                  <c:v>ann-INV241</c:v>
                </c:pt>
                <c:pt idx="1">
                  <c:v>ann-INV242</c:v>
                </c:pt>
                <c:pt idx="2">
                  <c:v>ann-INV243</c:v>
                </c:pt>
                <c:pt idx="3">
                  <c:v>ann-INV244</c:v>
                </c:pt>
                <c:pt idx="4">
                  <c:v>ann-INV245</c:v>
                </c:pt>
                <c:pt idx="5">
                  <c:v>ann-INV247</c:v>
                </c:pt>
                <c:pt idx="6">
                  <c:v>ann-INV246</c:v>
                </c:pt>
                <c:pt idx="7">
                  <c:v>Total</c:v>
                </c:pt>
              </c:strCache>
            </c:strRef>
          </c:cat>
          <c:val>
            <c:numRef>
              <c:f>'July 10th Sales Report'!$J$24:$J$31</c:f>
              <c:numCache>
                <c:formatCode>_(* #,##0_);_(* \(#,##0\);_(* \-??_);_(@_)</c:formatCode>
                <c:ptCount val="8"/>
                <c:pt idx="0">
                  <c:v>284450</c:v>
                </c:pt>
                <c:pt idx="1">
                  <c:v>1000000</c:v>
                </c:pt>
                <c:pt idx="2">
                  <c:v>115415</c:v>
                </c:pt>
                <c:pt idx="3">
                  <c:v>55950</c:v>
                </c:pt>
                <c:pt idx="4">
                  <c:v>61125</c:v>
                </c:pt>
                <c:pt idx="5">
                  <c:v>22600</c:v>
                </c:pt>
                <c:pt idx="6">
                  <c:v>9500</c:v>
                </c:pt>
                <c:pt idx="7">
                  <c:v>1549040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8-DB48-8064-56C9FDE60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71952"/>
        <c:axId val="444386064"/>
      </c:barChart>
      <c:lineChart>
        <c:grouping val="standard"/>
        <c:varyColors val="0"/>
        <c:ser>
          <c:idx val="1"/>
          <c:order val="1"/>
          <c:tx>
            <c:strRef>
              <c:f>'July 10th Sales Report'!$K$23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Report'!$I$24:$I$31</c:f>
              <c:strCache>
                <c:ptCount val="8"/>
                <c:pt idx="0">
                  <c:v>ann-INV241</c:v>
                </c:pt>
                <c:pt idx="1">
                  <c:v>ann-INV242</c:v>
                </c:pt>
                <c:pt idx="2">
                  <c:v>ann-INV243</c:v>
                </c:pt>
                <c:pt idx="3">
                  <c:v>ann-INV244</c:v>
                </c:pt>
                <c:pt idx="4">
                  <c:v>ann-INV245</c:v>
                </c:pt>
                <c:pt idx="5">
                  <c:v>ann-INV247</c:v>
                </c:pt>
                <c:pt idx="6">
                  <c:v>ann-INV246</c:v>
                </c:pt>
                <c:pt idx="7">
                  <c:v>Total</c:v>
                </c:pt>
              </c:strCache>
            </c:strRef>
          </c:cat>
          <c:val>
            <c:numRef>
              <c:f>'July 10th Sales Report'!$K$24:$K$31</c:f>
              <c:numCache>
                <c:formatCode>0%</c:formatCode>
                <c:ptCount val="8"/>
                <c:pt idx="0">
                  <c:v>0.09</c:v>
                </c:pt>
                <c:pt idx="1">
                  <c:v>-0.04</c:v>
                </c:pt>
                <c:pt idx="2">
                  <c:v>0.06</c:v>
                </c:pt>
                <c:pt idx="3">
                  <c:v>0.05</c:v>
                </c:pt>
                <c:pt idx="4">
                  <c:v>0.04</c:v>
                </c:pt>
                <c:pt idx="5">
                  <c:v>0.1</c:v>
                </c:pt>
                <c:pt idx="6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8-DB48-8064-56C9FDE60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84888"/>
        <c:axId val="444385280"/>
      </c:lineChart>
      <c:catAx>
        <c:axId val="444371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6064"/>
        <c:crosses val="autoZero"/>
        <c:auto val="1"/>
        <c:lblAlgn val="ctr"/>
        <c:lblOffset val="100"/>
        <c:noMultiLvlLbl val="0"/>
      </c:catAx>
      <c:valAx>
        <c:axId val="4443860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71952"/>
        <c:crosses val="autoZero"/>
        <c:crossBetween val="between"/>
      </c:valAx>
      <c:catAx>
        <c:axId val="444384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85280"/>
        <c:crosses val="autoZero"/>
        <c:auto val="1"/>
        <c:lblAlgn val="ctr"/>
        <c:lblOffset val="100"/>
        <c:noMultiLvlLbl val="0"/>
      </c:catAx>
      <c:valAx>
        <c:axId val="4443852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48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Report'!$J$2:$J$18</c:f>
              <c:numCache>
                <c:formatCode>General</c:formatCode>
                <c:ptCount val="17"/>
                <c:pt idx="0">
                  <c:v>3</c:v>
                </c:pt>
                <c:pt idx="1">
                  <c:v>43</c:v>
                </c:pt>
                <c:pt idx="2">
                  <c:v>22</c:v>
                </c:pt>
                <c:pt idx="3">
                  <c:v>4</c:v>
                </c:pt>
                <c:pt idx="4">
                  <c:v>230</c:v>
                </c:pt>
                <c:pt idx="5">
                  <c:v>37</c:v>
                </c:pt>
                <c:pt idx="6">
                  <c:v>16</c:v>
                </c:pt>
                <c:pt idx="7">
                  <c:v>15</c:v>
                </c:pt>
                <c:pt idx="8">
                  <c:v>3</c:v>
                </c:pt>
                <c:pt idx="9">
                  <c:v>1</c:v>
                </c:pt>
                <c:pt idx="10">
                  <c:v>11</c:v>
                </c:pt>
                <c:pt idx="11">
                  <c:v>1</c:v>
                </c:pt>
                <c:pt idx="12">
                  <c:v>20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F-674F-A080-58F01C05AEC8}"/>
            </c:ext>
          </c:extLst>
        </c:ser>
        <c:ser>
          <c:idx val="1"/>
          <c:order val="1"/>
          <c:tx>
            <c:strRef>
              <c:f>'July 11th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Report'!$K$2:$K$18</c:f>
              <c:numCache>
                <c:formatCode>_(* #,##0_);_(* \(#,##0\);_(* \-??_);_(@_)</c:formatCode>
                <c:ptCount val="17"/>
                <c:pt idx="0">
                  <c:v>27000</c:v>
                </c:pt>
                <c:pt idx="1">
                  <c:v>395000</c:v>
                </c:pt>
                <c:pt idx="2">
                  <c:v>202700</c:v>
                </c:pt>
                <c:pt idx="3">
                  <c:v>62715</c:v>
                </c:pt>
                <c:pt idx="4">
                  <c:v>1150000</c:v>
                </c:pt>
                <c:pt idx="5">
                  <c:v>500775</c:v>
                </c:pt>
                <c:pt idx="6">
                  <c:v>348225</c:v>
                </c:pt>
                <c:pt idx="7">
                  <c:v>178650</c:v>
                </c:pt>
                <c:pt idx="8">
                  <c:v>34430</c:v>
                </c:pt>
                <c:pt idx="9">
                  <c:v>16145</c:v>
                </c:pt>
                <c:pt idx="10">
                  <c:v>159325</c:v>
                </c:pt>
                <c:pt idx="11">
                  <c:v>17840</c:v>
                </c:pt>
                <c:pt idx="12">
                  <c:v>160400</c:v>
                </c:pt>
                <c:pt idx="13">
                  <c:v>18700</c:v>
                </c:pt>
                <c:pt idx="14">
                  <c:v>18300</c:v>
                </c:pt>
                <c:pt idx="15">
                  <c:v>13460</c:v>
                </c:pt>
                <c:pt idx="16">
                  <c:v>3303665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F-674F-A080-58F01C05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83320"/>
        <c:axId val="444383712"/>
      </c:barChart>
      <c:lineChart>
        <c:grouping val="standard"/>
        <c:varyColors val="0"/>
        <c:ser>
          <c:idx val="2"/>
          <c:order val="2"/>
          <c:tx>
            <c:strRef>
              <c:f>'July 11th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Report'!$L$2:$L$18</c:f>
              <c:numCache>
                <c:formatCode>0%</c:formatCode>
                <c:ptCount val="17"/>
                <c:pt idx="0">
                  <c:v>8.1727414855925166E-3</c:v>
                </c:pt>
                <c:pt idx="1">
                  <c:v>0.11956418099292755</c:v>
                </c:pt>
                <c:pt idx="2">
                  <c:v>6.1356099967763075E-2</c:v>
                </c:pt>
                <c:pt idx="3">
                  <c:v>1.8983462306256839E-2</c:v>
                </c:pt>
                <c:pt idx="4">
                  <c:v>0.34809824846042198</c:v>
                </c:pt>
                <c:pt idx="5">
                  <c:v>0.15158165249805897</c:v>
                </c:pt>
                <c:pt idx="6">
                  <c:v>0.10540566310446126</c:v>
                </c:pt>
                <c:pt idx="7">
                  <c:v>5.4076306163003816E-2</c:v>
                </c:pt>
                <c:pt idx="8">
                  <c:v>1.0421758864775938E-2</c:v>
                </c:pt>
                <c:pt idx="9">
                  <c:v>4.886996714255229E-3</c:v>
                </c:pt>
                <c:pt idx="10">
                  <c:v>4.8226742118223247E-2</c:v>
                </c:pt>
                <c:pt idx="11">
                  <c:v>5.400063263072981E-3</c:v>
                </c:pt>
                <c:pt idx="12">
                  <c:v>4.8552138307001468E-2</c:v>
                </c:pt>
                <c:pt idx="13">
                  <c:v>5.6603802140955577E-3</c:v>
                </c:pt>
                <c:pt idx="14">
                  <c:v>5.5393025624571497E-3</c:v>
                </c:pt>
                <c:pt idx="15">
                  <c:v>4.0742629776324172E-3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EF-674F-A080-58F01C05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384104"/>
        <c:axId val="444382928"/>
      </c:lineChart>
      <c:catAx>
        <c:axId val="444383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3712"/>
        <c:crosses val="autoZero"/>
        <c:auto val="1"/>
        <c:lblAlgn val="ctr"/>
        <c:lblOffset val="100"/>
        <c:noMultiLvlLbl val="0"/>
      </c:catAx>
      <c:valAx>
        <c:axId val="4443837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3320"/>
        <c:crosses val="autoZero"/>
        <c:crossBetween val="between"/>
      </c:valAx>
      <c:catAx>
        <c:axId val="444384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82928"/>
        <c:crosses val="autoZero"/>
        <c:auto val="1"/>
        <c:lblAlgn val="ctr"/>
        <c:lblOffset val="100"/>
        <c:noMultiLvlLbl val="0"/>
      </c:catAx>
      <c:valAx>
        <c:axId val="4443829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3841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Report'!$J$21:$J$31</c:f>
              <c:numCache>
                <c:formatCode>_(* #,##0_);_(* \(#,##0\);_(* \-??_);_(@_)</c:formatCode>
                <c:ptCount val="11"/>
                <c:pt idx="0">
                  <c:v>65500</c:v>
                </c:pt>
                <c:pt idx="1">
                  <c:v>30090</c:v>
                </c:pt>
                <c:pt idx="2">
                  <c:v>150000</c:v>
                </c:pt>
                <c:pt idx="3">
                  <c:v>500000</c:v>
                </c:pt>
                <c:pt idx="4">
                  <c:v>298825</c:v>
                </c:pt>
                <c:pt idx="5">
                  <c:v>380190</c:v>
                </c:pt>
                <c:pt idx="6">
                  <c:v>660400</c:v>
                </c:pt>
                <c:pt idx="7">
                  <c:v>257600</c:v>
                </c:pt>
                <c:pt idx="8">
                  <c:v>824640</c:v>
                </c:pt>
                <c:pt idx="9">
                  <c:v>136420</c:v>
                </c:pt>
                <c:pt idx="10">
                  <c:v>3303665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5-4C4B-BD76-D53121F8868B}"/>
            </c:ext>
          </c:extLst>
        </c:ser>
        <c:ser>
          <c:idx val="1"/>
          <c:order val="1"/>
          <c:tx>
            <c:strRef>
              <c:f>'July 11th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Report'!$K$21:$K$31</c:f>
              <c:numCache>
                <c:formatCode>0%</c:formatCode>
                <c:ptCount val="11"/>
                <c:pt idx="0">
                  <c:v>1.9826465455789252E-2</c:v>
                </c:pt>
                <c:pt idx="1">
                  <c:v>9.1080663444992153E-3</c:v>
                </c:pt>
                <c:pt idx="2">
                  <c:v>4.5404119364402869E-2</c:v>
                </c:pt>
                <c:pt idx="3">
                  <c:v>0.15134706454800956</c:v>
                </c:pt>
                <c:pt idx="4">
                  <c:v>9.0452573127117908E-2</c:v>
                </c:pt>
                <c:pt idx="5">
                  <c:v>0.11508128094101551</c:v>
                </c:pt>
                <c:pt idx="6">
                  <c:v>0.19989920285501103</c:v>
                </c:pt>
                <c:pt idx="7">
                  <c:v>7.7974007655134528E-2</c:v>
                </c:pt>
                <c:pt idx="8">
                  <c:v>0.24961368661774119</c:v>
                </c:pt>
                <c:pt idx="9">
                  <c:v>4.1293533091278929E-2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5-4C4B-BD76-D53121F8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31512"/>
        <c:axId val="444935824"/>
      </c:barChart>
      <c:lineChart>
        <c:grouping val="standard"/>
        <c:varyColors val="0"/>
        <c:ser>
          <c:idx val="2"/>
          <c:order val="2"/>
          <c:tx>
            <c:strRef>
              <c:f>'July 11th Sales Report'!$L$20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Report'!$L$21:$L$31</c:f>
              <c:numCache>
                <c:formatCode>0%</c:formatCode>
                <c:ptCount val="11"/>
                <c:pt idx="0">
                  <c:v>8.8999999999999996E-2</c:v>
                </c:pt>
                <c:pt idx="1">
                  <c:v>0.1341</c:v>
                </c:pt>
                <c:pt idx="2">
                  <c:v>-0.04</c:v>
                </c:pt>
                <c:pt idx="3">
                  <c:v>-0.04</c:v>
                </c:pt>
                <c:pt idx="4">
                  <c:v>0.1638</c:v>
                </c:pt>
                <c:pt idx="5">
                  <c:v>7.22E-2</c:v>
                </c:pt>
                <c:pt idx="6">
                  <c:v>-2.01E-2</c:v>
                </c:pt>
                <c:pt idx="7">
                  <c:v>7.8100000000000003E-2</c:v>
                </c:pt>
                <c:pt idx="8">
                  <c:v>9.9500000000000005E-2</c:v>
                </c:pt>
                <c:pt idx="9">
                  <c:v>5.7700000000000001E-2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D5-4C4B-BD76-D53121F8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9352"/>
        <c:axId val="444935432"/>
      </c:lineChart>
      <c:catAx>
        <c:axId val="444931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5824"/>
        <c:crosses val="autoZero"/>
        <c:auto val="1"/>
        <c:lblAlgn val="ctr"/>
        <c:lblOffset val="100"/>
        <c:noMultiLvlLbl val="0"/>
      </c:catAx>
      <c:valAx>
        <c:axId val="4449358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1512"/>
        <c:crosses val="autoZero"/>
        <c:crossBetween val="between"/>
      </c:valAx>
      <c:catAx>
        <c:axId val="444939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35432"/>
        <c:crosses val="autoZero"/>
        <c:auto val="1"/>
        <c:lblAlgn val="ctr"/>
        <c:lblOffset val="100"/>
        <c:noMultiLvlLbl val="0"/>
      </c:catAx>
      <c:valAx>
        <c:axId val="4449354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935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Report'!$J$33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Report'!$I$34:$I$46</c:f>
              <c:strCache>
                <c:ptCount val="13"/>
                <c:pt idx="0">
                  <c:v>ann-INV248</c:v>
                </c:pt>
                <c:pt idx="1">
                  <c:v>ann-INV251</c:v>
                </c:pt>
                <c:pt idx="2">
                  <c:v>ann-INV249</c:v>
                </c:pt>
                <c:pt idx="3">
                  <c:v>ann-INV250</c:v>
                </c:pt>
                <c:pt idx="4">
                  <c:v>ann-INV255</c:v>
                </c:pt>
                <c:pt idx="5">
                  <c:v>ann-INV252</c:v>
                </c:pt>
                <c:pt idx="6">
                  <c:v>ann-INV253</c:v>
                </c:pt>
                <c:pt idx="7">
                  <c:v>ann-INV254</c:v>
                </c:pt>
                <c:pt idx="8">
                  <c:v>ann-INV256</c:v>
                </c:pt>
                <c:pt idx="9">
                  <c:v>ann-INV257</c:v>
                </c:pt>
                <c:pt idx="10">
                  <c:v>ann-INV258</c:v>
                </c:pt>
                <c:pt idx="11">
                  <c:v>ann-INV259</c:v>
                </c:pt>
                <c:pt idx="12">
                  <c:v>Total</c:v>
                </c:pt>
              </c:strCache>
            </c:strRef>
          </c:cat>
          <c:val>
            <c:numRef>
              <c:f>'July 11th Sales Report'!$J$34:$J$46</c:f>
              <c:numCache>
                <c:formatCode>_(* #,##0_);_(* \(#,##0\);_(* \-??_);_(@_)</c:formatCode>
                <c:ptCount val="13"/>
                <c:pt idx="0">
                  <c:v>56000</c:v>
                </c:pt>
                <c:pt idx="1">
                  <c:v>16140</c:v>
                </c:pt>
                <c:pt idx="2">
                  <c:v>150000</c:v>
                </c:pt>
                <c:pt idx="3">
                  <c:v>15950</c:v>
                </c:pt>
                <c:pt idx="4">
                  <c:v>500000</c:v>
                </c:pt>
                <c:pt idx="5">
                  <c:v>337825</c:v>
                </c:pt>
                <c:pt idx="6">
                  <c:v>438990</c:v>
                </c:pt>
                <c:pt idx="7">
                  <c:v>660400</c:v>
                </c:pt>
                <c:pt idx="8">
                  <c:v>308000</c:v>
                </c:pt>
                <c:pt idx="9">
                  <c:v>936840</c:v>
                </c:pt>
                <c:pt idx="10">
                  <c:v>136420</c:v>
                </c:pt>
                <c:pt idx="11">
                  <c:v>9500</c:v>
                </c:pt>
                <c:pt idx="12">
                  <c:v>3566065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5-3D47-A994-85457809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28768"/>
        <c:axId val="444930336"/>
      </c:barChart>
      <c:lineChart>
        <c:grouping val="standard"/>
        <c:varyColors val="0"/>
        <c:ser>
          <c:idx val="1"/>
          <c:order val="1"/>
          <c:tx>
            <c:strRef>
              <c:f>'July 11th Sales Report'!$K$33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Report'!$I$34:$I$46</c:f>
              <c:strCache>
                <c:ptCount val="13"/>
                <c:pt idx="0">
                  <c:v>ann-INV248</c:v>
                </c:pt>
                <c:pt idx="1">
                  <c:v>ann-INV251</c:v>
                </c:pt>
                <c:pt idx="2">
                  <c:v>ann-INV249</c:v>
                </c:pt>
                <c:pt idx="3">
                  <c:v>ann-INV250</c:v>
                </c:pt>
                <c:pt idx="4">
                  <c:v>ann-INV255</c:v>
                </c:pt>
                <c:pt idx="5">
                  <c:v>ann-INV252</c:v>
                </c:pt>
                <c:pt idx="6">
                  <c:v>ann-INV253</c:v>
                </c:pt>
                <c:pt idx="7">
                  <c:v>ann-INV254</c:v>
                </c:pt>
                <c:pt idx="8">
                  <c:v>ann-INV256</c:v>
                </c:pt>
                <c:pt idx="9">
                  <c:v>ann-INV257</c:v>
                </c:pt>
                <c:pt idx="10">
                  <c:v>ann-INV258</c:v>
                </c:pt>
                <c:pt idx="11">
                  <c:v>ann-INV259</c:v>
                </c:pt>
                <c:pt idx="12">
                  <c:v>Total</c:v>
                </c:pt>
              </c:strCache>
            </c:strRef>
          </c:cat>
          <c:val>
            <c:numRef>
              <c:f>'July 11th Sales Report'!$K$34:$K$46</c:f>
              <c:numCache>
                <c:formatCode>0%</c:formatCode>
                <c:ptCount val="13"/>
                <c:pt idx="0">
                  <c:v>0.09</c:v>
                </c:pt>
                <c:pt idx="1">
                  <c:v>0.08</c:v>
                </c:pt>
                <c:pt idx="2">
                  <c:v>-0.04</c:v>
                </c:pt>
                <c:pt idx="3">
                  <c:v>0.19</c:v>
                </c:pt>
                <c:pt idx="4">
                  <c:v>-0.04</c:v>
                </c:pt>
                <c:pt idx="5">
                  <c:v>0.16</c:v>
                </c:pt>
                <c:pt idx="6">
                  <c:v>7.0000000000000007E-2</c:v>
                </c:pt>
                <c:pt idx="7">
                  <c:v>-0.02</c:v>
                </c:pt>
                <c:pt idx="8">
                  <c:v>0.08</c:v>
                </c:pt>
                <c:pt idx="9">
                  <c:v>0.1</c:v>
                </c:pt>
                <c:pt idx="10">
                  <c:v>0.06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5-3D47-A994-85457809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3472"/>
        <c:axId val="444937000"/>
      </c:lineChart>
      <c:catAx>
        <c:axId val="444928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0336"/>
        <c:crosses val="autoZero"/>
        <c:auto val="1"/>
        <c:lblAlgn val="ctr"/>
        <c:lblOffset val="100"/>
        <c:noMultiLvlLbl val="0"/>
      </c:catAx>
      <c:valAx>
        <c:axId val="4449303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28768"/>
        <c:crosses val="autoZero"/>
        <c:crossBetween val="between"/>
      </c:valAx>
      <c:catAx>
        <c:axId val="444933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37000"/>
        <c:crosses val="autoZero"/>
        <c:auto val="1"/>
        <c:lblAlgn val="ctr"/>
        <c:lblOffset val="100"/>
        <c:noMultiLvlLbl val="0"/>
      </c:catAx>
      <c:valAx>
        <c:axId val="4449370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34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Report'!$J$2:$J$18</c:f>
              <c:numCache>
                <c:formatCode>General</c:formatCode>
                <c:ptCount val="17"/>
                <c:pt idx="0">
                  <c:v>1390</c:v>
                </c:pt>
                <c:pt idx="1">
                  <c:v>22</c:v>
                </c:pt>
                <c:pt idx="2">
                  <c:v>17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21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192</c:v>
                </c:pt>
                <c:pt idx="16">
                  <c:v>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C-0F46-9E3D-D9EA53146E31}"/>
            </c:ext>
          </c:extLst>
        </c:ser>
        <c:ser>
          <c:idx val="1"/>
          <c:order val="1"/>
          <c:tx>
            <c:strRef>
              <c:f>'July 13th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Report'!$K$2:$K$18</c:f>
              <c:numCache>
                <c:formatCode>_(* #,##0_);_(* \(#,##0\);_(* \-??_);_(@_)</c:formatCode>
                <c:ptCount val="17"/>
                <c:pt idx="0">
                  <c:v>6888000</c:v>
                </c:pt>
                <c:pt idx="1">
                  <c:v>195600</c:v>
                </c:pt>
                <c:pt idx="2">
                  <c:v>232845</c:v>
                </c:pt>
                <c:pt idx="3">
                  <c:v>35730</c:v>
                </c:pt>
                <c:pt idx="4">
                  <c:v>29150</c:v>
                </c:pt>
                <c:pt idx="5">
                  <c:v>26640</c:v>
                </c:pt>
                <c:pt idx="6">
                  <c:v>31050</c:v>
                </c:pt>
                <c:pt idx="7">
                  <c:v>21400</c:v>
                </c:pt>
                <c:pt idx="8">
                  <c:v>61890</c:v>
                </c:pt>
                <c:pt idx="9">
                  <c:v>11415</c:v>
                </c:pt>
                <c:pt idx="10">
                  <c:v>193200</c:v>
                </c:pt>
                <c:pt idx="11">
                  <c:v>9345</c:v>
                </c:pt>
                <c:pt idx="12">
                  <c:v>65750</c:v>
                </c:pt>
                <c:pt idx="13">
                  <c:v>43365</c:v>
                </c:pt>
                <c:pt idx="14">
                  <c:v>234000</c:v>
                </c:pt>
                <c:pt idx="15">
                  <c:v>1488000</c:v>
                </c:pt>
                <c:pt idx="16">
                  <c:v>9567380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C-0F46-9E3D-D9EA5314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37392"/>
        <c:axId val="444936216"/>
      </c:barChart>
      <c:lineChart>
        <c:grouping val="standard"/>
        <c:varyColors val="0"/>
        <c:ser>
          <c:idx val="2"/>
          <c:order val="2"/>
          <c:tx>
            <c:strRef>
              <c:f>'July 13th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Report'!$L$2:$L$18</c:f>
              <c:numCache>
                <c:formatCode>0%</c:formatCode>
                <c:ptCount val="17"/>
                <c:pt idx="0">
                  <c:v>0.71994631759164995</c:v>
                </c:pt>
                <c:pt idx="1">
                  <c:v>2.0444468600599119E-2</c:v>
                </c:pt>
                <c:pt idx="2">
                  <c:v>2.433738390238498E-2</c:v>
                </c:pt>
                <c:pt idx="3">
                  <c:v>3.7345647397720172E-3</c:v>
                </c:pt>
                <c:pt idx="4">
                  <c:v>3.0468111436986927E-3</c:v>
                </c:pt>
                <c:pt idx="5">
                  <c:v>2.7844613676889598E-3</c:v>
                </c:pt>
                <c:pt idx="6">
                  <c:v>3.245402607610443E-3</c:v>
                </c:pt>
                <c:pt idx="7">
                  <c:v>2.2367670145849753E-3</c:v>
                </c:pt>
                <c:pt idx="8">
                  <c:v>6.4688556323674821E-3</c:v>
                </c:pt>
                <c:pt idx="9">
                  <c:v>1.1931166108171726E-3</c:v>
                </c:pt>
                <c:pt idx="10">
                  <c:v>2.0193616225131644E-2</c:v>
                </c:pt>
                <c:pt idx="11">
                  <c:v>9.7675643697647634E-4</c:v>
                </c:pt>
                <c:pt idx="12">
                  <c:v>6.8723098695776695E-3</c:v>
                </c:pt>
                <c:pt idx="13">
                  <c:v>4.5325888592279186E-3</c:v>
                </c:pt>
                <c:pt idx="14">
                  <c:v>2.4458106608078702E-2</c:v>
                </c:pt>
                <c:pt idx="15">
                  <c:v>0.15552847278983378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C-0F46-9E3D-D9EA5314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0728"/>
        <c:axId val="444931904"/>
      </c:lineChart>
      <c:catAx>
        <c:axId val="444937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6216"/>
        <c:crosses val="autoZero"/>
        <c:auto val="1"/>
        <c:lblAlgn val="ctr"/>
        <c:lblOffset val="100"/>
        <c:noMultiLvlLbl val="0"/>
      </c:catAx>
      <c:valAx>
        <c:axId val="4449362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7392"/>
        <c:crosses val="autoZero"/>
        <c:crossBetween val="between"/>
      </c:valAx>
      <c:catAx>
        <c:axId val="444930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31904"/>
        <c:crosses val="autoZero"/>
        <c:auto val="1"/>
        <c:lblAlgn val="ctr"/>
        <c:lblOffset val="100"/>
        <c:noMultiLvlLbl val="0"/>
      </c:catAx>
      <c:valAx>
        <c:axId val="44493190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07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Report'!$J$21:$J$27</c:f>
              <c:numCache>
                <c:formatCode>_(* #,##0_);_(* \(#,##0\);_(* \-??_);_(@_)</c:formatCode>
                <c:ptCount val="7"/>
                <c:pt idx="0">
                  <c:v>6138000</c:v>
                </c:pt>
                <c:pt idx="1">
                  <c:v>46000</c:v>
                </c:pt>
                <c:pt idx="2">
                  <c:v>611190</c:v>
                </c:pt>
                <c:pt idx="3">
                  <c:v>815750</c:v>
                </c:pt>
                <c:pt idx="4">
                  <c:v>468440</c:v>
                </c:pt>
                <c:pt idx="5">
                  <c:v>1488000</c:v>
                </c:pt>
                <c:pt idx="6">
                  <c:v>9567380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C-1A47-BF25-E162E76217AD}"/>
            </c:ext>
          </c:extLst>
        </c:ser>
        <c:ser>
          <c:idx val="1"/>
          <c:order val="1"/>
          <c:tx>
            <c:strRef>
              <c:f>'July 13th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Report'!$K$21:$K$27</c:f>
              <c:numCache>
                <c:formatCode>0%</c:formatCode>
                <c:ptCount val="7"/>
                <c:pt idx="0">
                  <c:v>0.64155495025806442</c:v>
                </c:pt>
                <c:pt idx="1">
                  <c:v>4.8080038631265823E-3</c:v>
                </c:pt>
                <c:pt idx="2">
                  <c:v>6.3882693067485563E-2</c:v>
                </c:pt>
                <c:pt idx="3">
                  <c:v>8.5263677203163246E-2</c:v>
                </c:pt>
                <c:pt idx="4">
                  <c:v>4.8962202818326438E-2</c:v>
                </c:pt>
                <c:pt idx="5">
                  <c:v>0.15552847278983378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C-1A47-BF25-E162E762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36608"/>
        <c:axId val="444938176"/>
      </c:barChart>
      <c:lineChart>
        <c:grouping val="standard"/>
        <c:varyColors val="0"/>
        <c:ser>
          <c:idx val="2"/>
          <c:order val="2"/>
          <c:tx>
            <c:strRef>
              <c:f>'July 13th Sales Report'!$L$20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Report'!$L$21:$L$27</c:f>
              <c:numCache>
                <c:formatCode>0%</c:formatCode>
                <c:ptCount val="7"/>
                <c:pt idx="0">
                  <c:v>-5.0500000000000003E-2</c:v>
                </c:pt>
                <c:pt idx="1">
                  <c:v>5.8999999999999997E-2</c:v>
                </c:pt>
                <c:pt idx="2">
                  <c:v>6.5799999999999997E-2</c:v>
                </c:pt>
                <c:pt idx="3">
                  <c:v>-3.8899999999999997E-2</c:v>
                </c:pt>
                <c:pt idx="4">
                  <c:v>0.2346</c:v>
                </c:pt>
                <c:pt idx="5">
                  <c:v>8.3999999999999995E-3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C-1A47-BF25-E162E762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1120"/>
        <c:axId val="444935040"/>
      </c:lineChart>
      <c:catAx>
        <c:axId val="444936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8176"/>
        <c:crosses val="autoZero"/>
        <c:auto val="1"/>
        <c:lblAlgn val="ctr"/>
        <c:lblOffset val="100"/>
        <c:noMultiLvlLbl val="0"/>
      </c:catAx>
      <c:valAx>
        <c:axId val="4449381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6608"/>
        <c:crosses val="autoZero"/>
        <c:crossBetween val="between"/>
      </c:valAx>
      <c:catAx>
        <c:axId val="444931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35040"/>
        <c:crosses val="autoZero"/>
        <c:auto val="1"/>
        <c:lblAlgn val="ctr"/>
        <c:lblOffset val="100"/>
        <c:noMultiLvlLbl val="0"/>
      </c:catAx>
      <c:valAx>
        <c:axId val="4449350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11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Report'!$J$29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Report'!$I$30:$I$37</c:f>
              <c:strCache>
                <c:ptCount val="8"/>
                <c:pt idx="0">
                  <c:v>ann-INV260</c:v>
                </c:pt>
                <c:pt idx="1">
                  <c:v>ann-INV261</c:v>
                </c:pt>
                <c:pt idx="2">
                  <c:v>ann-INV262</c:v>
                </c:pt>
                <c:pt idx="3">
                  <c:v>ann-INV263</c:v>
                </c:pt>
                <c:pt idx="4">
                  <c:v>ann-INV264</c:v>
                </c:pt>
                <c:pt idx="5">
                  <c:v>ann-INV265</c:v>
                </c:pt>
                <c:pt idx="6">
                  <c:v>ann-INV266</c:v>
                </c:pt>
                <c:pt idx="7">
                  <c:v>Total</c:v>
                </c:pt>
              </c:strCache>
            </c:strRef>
          </c:cat>
          <c:val>
            <c:numRef>
              <c:f>'July 13th Sales Report'!$J$30:$J$37</c:f>
              <c:numCache>
                <c:formatCode>_(* #,##0_);_(* \(#,##0\);_(* \-??_);_(@_)</c:formatCode>
                <c:ptCount val="8"/>
                <c:pt idx="0">
                  <c:v>6138000</c:v>
                </c:pt>
                <c:pt idx="1">
                  <c:v>46000</c:v>
                </c:pt>
                <c:pt idx="2">
                  <c:v>707845</c:v>
                </c:pt>
                <c:pt idx="3">
                  <c:v>11145</c:v>
                </c:pt>
                <c:pt idx="4">
                  <c:v>815750</c:v>
                </c:pt>
                <c:pt idx="5">
                  <c:v>502840</c:v>
                </c:pt>
                <c:pt idx="6">
                  <c:v>1488000</c:v>
                </c:pt>
                <c:pt idx="7">
                  <c:v>9709580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A-194F-8570-CB0705D1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29160"/>
        <c:axId val="444932296"/>
      </c:barChart>
      <c:lineChart>
        <c:grouping val="standard"/>
        <c:varyColors val="0"/>
        <c:ser>
          <c:idx val="1"/>
          <c:order val="1"/>
          <c:tx>
            <c:strRef>
              <c:f>'July 13th Sales Report'!$K$29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Report'!$I$30:$I$37</c:f>
              <c:strCache>
                <c:ptCount val="8"/>
                <c:pt idx="0">
                  <c:v>ann-INV260</c:v>
                </c:pt>
                <c:pt idx="1">
                  <c:v>ann-INV261</c:v>
                </c:pt>
                <c:pt idx="2">
                  <c:v>ann-INV262</c:v>
                </c:pt>
                <c:pt idx="3">
                  <c:v>ann-INV263</c:v>
                </c:pt>
                <c:pt idx="4">
                  <c:v>ann-INV264</c:v>
                </c:pt>
                <c:pt idx="5">
                  <c:v>ann-INV265</c:v>
                </c:pt>
                <c:pt idx="6">
                  <c:v>ann-INV266</c:v>
                </c:pt>
                <c:pt idx="7">
                  <c:v>Total</c:v>
                </c:pt>
              </c:strCache>
            </c:strRef>
          </c:cat>
          <c:val>
            <c:numRef>
              <c:f>'July 13th Sales Report'!$K$30:$K$37</c:f>
              <c:numCache>
                <c:formatCode>0%</c:formatCode>
                <c:ptCount val="8"/>
                <c:pt idx="0">
                  <c:v>-0.05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-0.04</c:v>
                </c:pt>
                <c:pt idx="5">
                  <c:v>0.23</c:v>
                </c:pt>
                <c:pt idx="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5A-194F-8570-CB0705D1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3864"/>
        <c:axId val="444939744"/>
      </c:lineChart>
      <c:catAx>
        <c:axId val="444929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2296"/>
        <c:crosses val="autoZero"/>
        <c:auto val="1"/>
        <c:lblAlgn val="ctr"/>
        <c:lblOffset val="100"/>
        <c:noMultiLvlLbl val="0"/>
      </c:catAx>
      <c:valAx>
        <c:axId val="4449322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29160"/>
        <c:crosses val="autoZero"/>
        <c:crossBetween val="between"/>
      </c:valAx>
      <c:catAx>
        <c:axId val="444933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39744"/>
        <c:crosses val="autoZero"/>
        <c:auto val="1"/>
        <c:lblAlgn val="ctr"/>
        <c:lblOffset val="100"/>
        <c:noMultiLvlLbl val="0"/>
      </c:catAx>
      <c:valAx>
        <c:axId val="4449397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38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Report'!$J$2:$J$24</c:f>
              <c:numCache>
                <c:formatCode>General</c:formatCode>
                <c:ptCount val="23"/>
                <c:pt idx="0">
                  <c:v>189</c:v>
                </c:pt>
                <c:pt idx="1">
                  <c:v>518</c:v>
                </c:pt>
                <c:pt idx="2">
                  <c:v>15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88</c:v>
                </c:pt>
                <c:pt idx="7">
                  <c:v>81</c:v>
                </c:pt>
                <c:pt idx="8">
                  <c:v>79</c:v>
                </c:pt>
                <c:pt idx="9">
                  <c:v>12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6</c:v>
                </c:pt>
                <c:pt idx="14">
                  <c:v>60</c:v>
                </c:pt>
                <c:pt idx="15">
                  <c:v>3</c:v>
                </c:pt>
                <c:pt idx="16">
                  <c:v>8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1-F243-AD16-5211B58F6C6C}"/>
            </c:ext>
          </c:extLst>
        </c:ser>
        <c:ser>
          <c:idx val="1"/>
          <c:order val="1"/>
          <c:tx>
            <c:strRef>
              <c:f>'July 14th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Report'!$K$2:$K$24</c:f>
              <c:numCache>
                <c:formatCode>_(* #,##0_);_(* \(#,##0\);_(* \-??_);_(@_)</c:formatCode>
                <c:ptCount val="23"/>
                <c:pt idx="0">
                  <c:v>1691400</c:v>
                </c:pt>
                <c:pt idx="1">
                  <c:v>2596000</c:v>
                </c:pt>
                <c:pt idx="2">
                  <c:v>256500</c:v>
                </c:pt>
                <c:pt idx="3">
                  <c:v>28860</c:v>
                </c:pt>
                <c:pt idx="4">
                  <c:v>20655</c:v>
                </c:pt>
                <c:pt idx="5">
                  <c:v>26400</c:v>
                </c:pt>
                <c:pt idx="6">
                  <c:v>794900</c:v>
                </c:pt>
                <c:pt idx="7">
                  <c:v>1079985</c:v>
                </c:pt>
                <c:pt idx="8">
                  <c:v>703560</c:v>
                </c:pt>
                <c:pt idx="9">
                  <c:v>96240</c:v>
                </c:pt>
                <c:pt idx="10">
                  <c:v>80725</c:v>
                </c:pt>
                <c:pt idx="11">
                  <c:v>63510</c:v>
                </c:pt>
                <c:pt idx="12">
                  <c:v>77450</c:v>
                </c:pt>
                <c:pt idx="13">
                  <c:v>136440</c:v>
                </c:pt>
                <c:pt idx="14">
                  <c:v>1014000</c:v>
                </c:pt>
                <c:pt idx="15">
                  <c:v>27000</c:v>
                </c:pt>
                <c:pt idx="16">
                  <c:v>77600</c:v>
                </c:pt>
                <c:pt idx="17">
                  <c:v>46500</c:v>
                </c:pt>
                <c:pt idx="18">
                  <c:v>18100</c:v>
                </c:pt>
                <c:pt idx="19">
                  <c:v>59550</c:v>
                </c:pt>
                <c:pt idx="20">
                  <c:v>30230</c:v>
                </c:pt>
                <c:pt idx="21">
                  <c:v>67300</c:v>
                </c:pt>
                <c:pt idx="22">
                  <c:v>8992905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1-F243-AD16-5211B58F6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27592"/>
        <c:axId val="444929552"/>
      </c:barChart>
      <c:lineChart>
        <c:grouping val="standard"/>
        <c:varyColors val="0"/>
        <c:ser>
          <c:idx val="2"/>
          <c:order val="2"/>
          <c:tx>
            <c:strRef>
              <c:f>'July 14th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Report'!$L$2:$L$24</c:f>
              <c:numCache>
                <c:formatCode>0%</c:formatCode>
                <c:ptCount val="23"/>
                <c:pt idx="0">
                  <c:v>0.1880816043314146</c:v>
                </c:pt>
                <c:pt idx="1">
                  <c:v>0.28867201421565114</c:v>
                </c:pt>
                <c:pt idx="2">
                  <c:v>2.8522485225853048E-2</c:v>
                </c:pt>
                <c:pt idx="3">
                  <c:v>3.2091965833065065E-3</c:v>
                </c:pt>
                <c:pt idx="4">
                  <c:v>2.2968106523976401E-3</c:v>
                </c:pt>
                <c:pt idx="5">
                  <c:v>2.9356476021930623E-3</c:v>
                </c:pt>
                <c:pt idx="6">
                  <c:v>8.8391904506941857E-2</c:v>
                </c:pt>
                <c:pt idx="7">
                  <c:v>0.12009300665357857</c:v>
                </c:pt>
                <c:pt idx="8">
                  <c:v>7.8235008598445108E-2</c:v>
                </c:pt>
                <c:pt idx="9">
                  <c:v>1.0701769895267436E-2</c:v>
                </c:pt>
                <c:pt idx="10">
                  <c:v>8.9765209351149594E-3</c:v>
                </c:pt>
                <c:pt idx="11">
                  <c:v>7.0622340611849006E-3</c:v>
                </c:pt>
                <c:pt idx="12">
                  <c:v>8.6123449541610862E-3</c:v>
                </c:pt>
                <c:pt idx="13">
                  <c:v>1.5171960562243235E-2</c:v>
                </c:pt>
                <c:pt idx="14">
                  <c:v>0.11275555562968807</c:v>
                </c:pt>
                <c:pt idx="15">
                  <c:v>3.0023668658792683E-3</c:v>
                </c:pt>
                <c:pt idx="16">
                  <c:v>8.6290247700826373E-3</c:v>
                </c:pt>
                <c:pt idx="17">
                  <c:v>5.1707429356809614E-3</c:v>
                </c:pt>
                <c:pt idx="18">
                  <c:v>2.0126977878672132E-3</c:v>
                </c:pt>
                <c:pt idx="19">
                  <c:v>6.6218869208559414E-3</c:v>
                </c:pt>
                <c:pt idx="20">
                  <c:v>3.361538902056677E-3</c:v>
                </c:pt>
                <c:pt idx="21">
                  <c:v>7.4836774101361015E-3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1-F243-AD16-5211B58F6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32688"/>
        <c:axId val="444927984"/>
      </c:lineChart>
      <c:catAx>
        <c:axId val="444927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29552"/>
        <c:crosses val="autoZero"/>
        <c:auto val="1"/>
        <c:lblAlgn val="ctr"/>
        <c:lblOffset val="100"/>
        <c:noMultiLvlLbl val="0"/>
      </c:catAx>
      <c:valAx>
        <c:axId val="444929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27592"/>
        <c:crosses val="autoZero"/>
        <c:crossBetween val="between"/>
      </c:valAx>
      <c:catAx>
        <c:axId val="444932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27984"/>
        <c:crosses val="autoZero"/>
        <c:auto val="1"/>
        <c:lblAlgn val="ctr"/>
        <c:lblOffset val="100"/>
        <c:noMultiLvlLbl val="0"/>
      </c:catAx>
      <c:valAx>
        <c:axId val="4449279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26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Report'!$J$27:$J$38</c:f>
              <c:numCache>
                <c:formatCode>_(* #,##0_);_(* \(#,##0\);_(* \-??_);_(@_)</c:formatCode>
                <c:ptCount val="12"/>
                <c:pt idx="0">
                  <c:v>9200</c:v>
                </c:pt>
                <c:pt idx="1">
                  <c:v>1265000</c:v>
                </c:pt>
                <c:pt idx="2">
                  <c:v>1109040</c:v>
                </c:pt>
                <c:pt idx="3">
                  <c:v>100000</c:v>
                </c:pt>
                <c:pt idx="4">
                  <c:v>106000</c:v>
                </c:pt>
                <c:pt idx="5">
                  <c:v>835385</c:v>
                </c:pt>
                <c:pt idx="6">
                  <c:v>250000</c:v>
                </c:pt>
                <c:pt idx="7">
                  <c:v>4458140</c:v>
                </c:pt>
                <c:pt idx="8">
                  <c:v>314600</c:v>
                </c:pt>
                <c:pt idx="9">
                  <c:v>98040</c:v>
                </c:pt>
                <c:pt idx="10">
                  <c:v>447500</c:v>
                </c:pt>
                <c:pt idx="11">
                  <c:v>8992905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4-2D4D-BBAB-3094B0A311E0}"/>
            </c:ext>
          </c:extLst>
        </c:ser>
        <c:ser>
          <c:idx val="1"/>
          <c:order val="1"/>
          <c:tx>
            <c:strRef>
              <c:f>'July 14th Sales Report'!$K$26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Report'!$K$27:$K$38</c:f>
              <c:numCache>
                <c:formatCode>0%</c:formatCode>
                <c:ptCount val="12"/>
                <c:pt idx="0">
                  <c:v>1.023028709855158E-3</c:v>
                </c:pt>
                <c:pt idx="1">
                  <c:v>0.14066644760508423</c:v>
                </c:pt>
                <c:pt idx="2">
                  <c:v>0.12332388699758309</c:v>
                </c:pt>
                <c:pt idx="3">
                  <c:v>1.1119877281034326E-2</c:v>
                </c:pt>
                <c:pt idx="4">
                  <c:v>1.1787069917896386E-2</c:v>
                </c:pt>
                <c:pt idx="5">
                  <c:v>9.2893786824168614E-2</c:v>
                </c:pt>
                <c:pt idx="6">
                  <c:v>2.7799693202585816E-2</c:v>
                </c:pt>
                <c:pt idx="7">
                  <c:v>0.49573969701670373</c:v>
                </c:pt>
                <c:pt idx="8">
                  <c:v>3.4983133926133989E-2</c:v>
                </c:pt>
                <c:pt idx="9">
                  <c:v>1.0901927686326054E-2</c:v>
                </c:pt>
                <c:pt idx="10">
                  <c:v>4.9761450832628611E-2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4-2D4D-BBAB-3094B0A31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29944"/>
        <c:axId val="444934648"/>
      </c:barChart>
      <c:lineChart>
        <c:grouping val="standard"/>
        <c:varyColors val="0"/>
        <c:ser>
          <c:idx val="2"/>
          <c:order val="2"/>
          <c:tx>
            <c:strRef>
              <c:f>'July 14th Sales Report'!$L$26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Report'!$L$27:$L$38</c:f>
              <c:numCache>
                <c:formatCode>0%</c:formatCode>
                <c:ptCount val="12"/>
                <c:pt idx="0">
                  <c:v>5.8999999999999997E-2</c:v>
                </c:pt>
                <c:pt idx="1">
                  <c:v>-0.04</c:v>
                </c:pt>
                <c:pt idx="2">
                  <c:v>3.6999999999999998E-2</c:v>
                </c:pt>
                <c:pt idx="3">
                  <c:v>-0.04</c:v>
                </c:pt>
                <c:pt idx="4">
                  <c:v>1.89E-2</c:v>
                </c:pt>
                <c:pt idx="5">
                  <c:v>0</c:v>
                </c:pt>
                <c:pt idx="6">
                  <c:v>-0.04</c:v>
                </c:pt>
                <c:pt idx="7">
                  <c:v>6.2799999999999995E-2</c:v>
                </c:pt>
                <c:pt idx="8">
                  <c:v>4.8300000000000003E-2</c:v>
                </c:pt>
                <c:pt idx="9">
                  <c:v>8.8700000000000001E-2</c:v>
                </c:pt>
                <c:pt idx="10">
                  <c:v>-1.26E-2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4-2D4D-BBAB-3094B0A31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42096"/>
        <c:axId val="444940528"/>
      </c:lineChart>
      <c:catAx>
        <c:axId val="444929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34648"/>
        <c:crosses val="autoZero"/>
        <c:auto val="1"/>
        <c:lblAlgn val="ctr"/>
        <c:lblOffset val="100"/>
        <c:noMultiLvlLbl val="0"/>
      </c:catAx>
      <c:valAx>
        <c:axId val="4449346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29944"/>
        <c:crosses val="autoZero"/>
        <c:crossBetween val="between"/>
      </c:valAx>
      <c:catAx>
        <c:axId val="44494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40528"/>
        <c:crosses val="autoZero"/>
        <c:auto val="1"/>
        <c:lblAlgn val="ctr"/>
        <c:lblOffset val="100"/>
        <c:noMultiLvlLbl val="0"/>
      </c:catAx>
      <c:valAx>
        <c:axId val="4449405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420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Report'!$J$40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Report'!$I$41:$I$54</c:f>
              <c:strCache>
                <c:ptCount val="14"/>
                <c:pt idx="0">
                  <c:v>ann-INV267</c:v>
                </c:pt>
                <c:pt idx="1">
                  <c:v>ann-INV268</c:v>
                </c:pt>
                <c:pt idx="2">
                  <c:v>ann-INV269</c:v>
                </c:pt>
                <c:pt idx="3">
                  <c:v>ann-INV270</c:v>
                </c:pt>
                <c:pt idx="4">
                  <c:v>ann-INV271</c:v>
                </c:pt>
                <c:pt idx="5">
                  <c:v>ann-INV272</c:v>
                </c:pt>
                <c:pt idx="6">
                  <c:v>ann-INV273</c:v>
                </c:pt>
                <c:pt idx="7">
                  <c:v>ann-INV274</c:v>
                </c:pt>
                <c:pt idx="8">
                  <c:v>Tayo-INV138</c:v>
                </c:pt>
                <c:pt idx="9">
                  <c:v>ann-INV275</c:v>
                </c:pt>
                <c:pt idx="10">
                  <c:v>ann-INV277</c:v>
                </c:pt>
                <c:pt idx="11">
                  <c:v>ann-INV278</c:v>
                </c:pt>
                <c:pt idx="12">
                  <c:v>ann-INV276</c:v>
                </c:pt>
                <c:pt idx="13">
                  <c:v>Total</c:v>
                </c:pt>
              </c:strCache>
            </c:strRef>
          </c:cat>
          <c:val>
            <c:numRef>
              <c:f>'July 14th Sales Report'!$J$41:$J$54</c:f>
              <c:numCache>
                <c:formatCode>_(* #,##0_);_(* \(#,##0\);_(* \-??_);_(@_)</c:formatCode>
                <c:ptCount val="14"/>
                <c:pt idx="0">
                  <c:v>9200</c:v>
                </c:pt>
                <c:pt idx="1">
                  <c:v>1265000</c:v>
                </c:pt>
                <c:pt idx="2">
                  <c:v>407415</c:v>
                </c:pt>
                <c:pt idx="3">
                  <c:v>394075</c:v>
                </c:pt>
                <c:pt idx="4">
                  <c:v>100000</c:v>
                </c:pt>
                <c:pt idx="5">
                  <c:v>106000</c:v>
                </c:pt>
                <c:pt idx="6">
                  <c:v>835385</c:v>
                </c:pt>
                <c:pt idx="7">
                  <c:v>250000</c:v>
                </c:pt>
                <c:pt idx="8">
                  <c:v>4538140</c:v>
                </c:pt>
                <c:pt idx="9">
                  <c:v>314600</c:v>
                </c:pt>
                <c:pt idx="10">
                  <c:v>439950</c:v>
                </c:pt>
                <c:pt idx="11">
                  <c:v>110040</c:v>
                </c:pt>
                <c:pt idx="12">
                  <c:v>447500</c:v>
                </c:pt>
                <c:pt idx="13">
                  <c:v>9217305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8-F549-B6BC-CB553F87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40136"/>
        <c:axId val="444940920"/>
      </c:barChart>
      <c:lineChart>
        <c:grouping val="standard"/>
        <c:varyColors val="0"/>
        <c:ser>
          <c:idx val="1"/>
          <c:order val="1"/>
          <c:tx>
            <c:strRef>
              <c:f>'July 14th Sales Report'!$K$40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Report'!$I$41:$I$54</c:f>
              <c:strCache>
                <c:ptCount val="14"/>
                <c:pt idx="0">
                  <c:v>ann-INV267</c:v>
                </c:pt>
                <c:pt idx="1">
                  <c:v>ann-INV268</c:v>
                </c:pt>
                <c:pt idx="2">
                  <c:v>ann-INV269</c:v>
                </c:pt>
                <c:pt idx="3">
                  <c:v>ann-INV270</c:v>
                </c:pt>
                <c:pt idx="4">
                  <c:v>ann-INV271</c:v>
                </c:pt>
                <c:pt idx="5">
                  <c:v>ann-INV272</c:v>
                </c:pt>
                <c:pt idx="6">
                  <c:v>ann-INV273</c:v>
                </c:pt>
                <c:pt idx="7">
                  <c:v>ann-INV274</c:v>
                </c:pt>
                <c:pt idx="8">
                  <c:v>Tayo-INV138</c:v>
                </c:pt>
                <c:pt idx="9">
                  <c:v>ann-INV275</c:v>
                </c:pt>
                <c:pt idx="10">
                  <c:v>ann-INV277</c:v>
                </c:pt>
                <c:pt idx="11">
                  <c:v>ann-INV278</c:v>
                </c:pt>
                <c:pt idx="12">
                  <c:v>ann-INV276</c:v>
                </c:pt>
                <c:pt idx="13">
                  <c:v>Total</c:v>
                </c:pt>
              </c:strCache>
            </c:strRef>
          </c:cat>
          <c:val>
            <c:numRef>
              <c:f>'July 14th Sales Report'!$K$41:$K$54</c:f>
              <c:numCache>
                <c:formatCode>0%</c:formatCode>
                <c:ptCount val="14"/>
                <c:pt idx="0">
                  <c:v>0.06</c:v>
                </c:pt>
                <c:pt idx="1">
                  <c:v>-0.04</c:v>
                </c:pt>
                <c:pt idx="2">
                  <c:v>0.01</c:v>
                </c:pt>
                <c:pt idx="3">
                  <c:v>0.05</c:v>
                </c:pt>
                <c:pt idx="4">
                  <c:v>-0.04</c:v>
                </c:pt>
                <c:pt idx="5">
                  <c:v>0.02</c:v>
                </c:pt>
                <c:pt idx="6">
                  <c:v>0</c:v>
                </c:pt>
                <c:pt idx="7">
                  <c:v>-0.04</c:v>
                </c:pt>
                <c:pt idx="8">
                  <c:v>0.06</c:v>
                </c:pt>
                <c:pt idx="9">
                  <c:v>0.05</c:v>
                </c:pt>
                <c:pt idx="10">
                  <c:v>0.05</c:v>
                </c:pt>
                <c:pt idx="11">
                  <c:v>0.09</c:v>
                </c:pt>
                <c:pt idx="12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8-F549-B6BC-CB553F87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4941704"/>
        <c:axId val="444942488"/>
      </c:lineChart>
      <c:catAx>
        <c:axId val="444940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40920"/>
        <c:crosses val="autoZero"/>
        <c:auto val="1"/>
        <c:lblAlgn val="ctr"/>
        <c:lblOffset val="100"/>
        <c:noMultiLvlLbl val="0"/>
      </c:catAx>
      <c:valAx>
        <c:axId val="4449409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40136"/>
        <c:crosses val="autoZero"/>
        <c:crossBetween val="between"/>
      </c:valAx>
      <c:catAx>
        <c:axId val="444941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42488"/>
        <c:crosses val="autoZero"/>
        <c:auto val="1"/>
        <c:lblAlgn val="ctr"/>
        <c:lblOffset val="100"/>
        <c:noMultiLvlLbl val="0"/>
      </c:catAx>
      <c:valAx>
        <c:axId val="4449424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417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Report'!$J$2:$J$27</c:f>
              <c:numCache>
                <c:formatCode>General</c:formatCode>
                <c:ptCount val="26"/>
                <c:pt idx="0">
                  <c:v>5</c:v>
                </c:pt>
                <c:pt idx="1">
                  <c:v>20</c:v>
                </c:pt>
                <c:pt idx="2">
                  <c:v>18</c:v>
                </c:pt>
                <c:pt idx="3">
                  <c:v>5</c:v>
                </c:pt>
                <c:pt idx="4">
                  <c:v>100</c:v>
                </c:pt>
                <c:pt idx="5">
                  <c:v>20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50</c:v>
                </c:pt>
                <c:pt idx="12">
                  <c:v>11</c:v>
                </c:pt>
                <c:pt idx="13">
                  <c:v>51</c:v>
                </c:pt>
                <c:pt idx="14">
                  <c:v>10</c:v>
                </c:pt>
                <c:pt idx="15">
                  <c:v>10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6-8B43-AE5E-2A3D6A2985DE}"/>
            </c:ext>
          </c:extLst>
        </c:ser>
        <c:ser>
          <c:idx val="1"/>
          <c:order val="1"/>
          <c:tx>
            <c:strRef>
              <c:f>'July 15th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Report'!$K$2:$K$27</c:f>
              <c:numCache>
                <c:formatCode>_(* #,##0_);_(* \(#,##0\);_(* \-??_);_(@_)</c:formatCode>
                <c:ptCount val="26"/>
                <c:pt idx="0">
                  <c:v>107425</c:v>
                </c:pt>
                <c:pt idx="1">
                  <c:v>356800</c:v>
                </c:pt>
                <c:pt idx="2">
                  <c:v>240000</c:v>
                </c:pt>
                <c:pt idx="3">
                  <c:v>58000</c:v>
                </c:pt>
                <c:pt idx="4">
                  <c:v>535850</c:v>
                </c:pt>
                <c:pt idx="5">
                  <c:v>160400</c:v>
                </c:pt>
                <c:pt idx="6">
                  <c:v>159450</c:v>
                </c:pt>
                <c:pt idx="7">
                  <c:v>211700</c:v>
                </c:pt>
                <c:pt idx="8">
                  <c:v>161450</c:v>
                </c:pt>
                <c:pt idx="9">
                  <c:v>141450</c:v>
                </c:pt>
                <c:pt idx="10">
                  <c:v>113700</c:v>
                </c:pt>
                <c:pt idx="11">
                  <c:v>673000</c:v>
                </c:pt>
                <c:pt idx="12">
                  <c:v>158730</c:v>
                </c:pt>
                <c:pt idx="13">
                  <c:v>709400</c:v>
                </c:pt>
                <c:pt idx="14">
                  <c:v>237700</c:v>
                </c:pt>
                <c:pt idx="15">
                  <c:v>178450</c:v>
                </c:pt>
                <c:pt idx="16">
                  <c:v>56890</c:v>
                </c:pt>
                <c:pt idx="17">
                  <c:v>48370</c:v>
                </c:pt>
                <c:pt idx="18">
                  <c:v>75575</c:v>
                </c:pt>
                <c:pt idx="19">
                  <c:v>20655</c:v>
                </c:pt>
                <c:pt idx="20">
                  <c:v>14450</c:v>
                </c:pt>
                <c:pt idx="21">
                  <c:v>27600</c:v>
                </c:pt>
                <c:pt idx="22">
                  <c:v>27600</c:v>
                </c:pt>
                <c:pt idx="23">
                  <c:v>9200</c:v>
                </c:pt>
                <c:pt idx="24">
                  <c:v>9000</c:v>
                </c:pt>
                <c:pt idx="25">
                  <c:v>4492845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6-8B43-AE5E-2A3D6A29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43272"/>
        <c:axId val="446941024"/>
      </c:barChart>
      <c:lineChart>
        <c:grouping val="standard"/>
        <c:varyColors val="0"/>
        <c:ser>
          <c:idx val="2"/>
          <c:order val="2"/>
          <c:tx>
            <c:strRef>
              <c:f>'July 15th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Report'!$L$2:$L$27</c:f>
              <c:numCache>
                <c:formatCode>0%</c:formatCode>
                <c:ptCount val="26"/>
                <c:pt idx="0">
                  <c:v>2.3910239503032043E-2</c:v>
                </c:pt>
                <c:pt idx="1">
                  <c:v>7.9415158991685664E-2</c:v>
                </c:pt>
                <c:pt idx="2">
                  <c:v>5.3418268380057622E-2</c:v>
                </c:pt>
                <c:pt idx="3">
                  <c:v>1.2909414858513926E-2</c:v>
                </c:pt>
                <c:pt idx="4">
                  <c:v>0.11926741296439115</c:v>
                </c:pt>
                <c:pt idx="5">
                  <c:v>3.5701209367338511E-2</c:v>
                </c:pt>
                <c:pt idx="6">
                  <c:v>3.5489762055000783E-2</c:v>
                </c:pt>
                <c:pt idx="7">
                  <c:v>4.7119364233575829E-2</c:v>
                </c:pt>
                <c:pt idx="8">
                  <c:v>3.5934914291501266E-2</c:v>
                </c:pt>
                <c:pt idx="9">
                  <c:v>3.1483391926496462E-2</c:v>
                </c:pt>
                <c:pt idx="10">
                  <c:v>2.5306904645052301E-2</c:v>
                </c:pt>
                <c:pt idx="11">
                  <c:v>0.14979372758241158</c:v>
                </c:pt>
                <c:pt idx="12">
                  <c:v>3.5329507249860614E-2</c:v>
                </c:pt>
                <c:pt idx="13">
                  <c:v>0.15789549828672034</c:v>
                </c:pt>
                <c:pt idx="14">
                  <c:v>5.2906343308082075E-2</c:v>
                </c:pt>
                <c:pt idx="15">
                  <c:v>3.9718708301755348E-2</c:v>
                </c:pt>
                <c:pt idx="16">
                  <c:v>1.266235536725616E-2</c:v>
                </c:pt>
                <c:pt idx="17">
                  <c:v>1.0766006839764114E-2</c:v>
                </c:pt>
                <c:pt idx="18">
                  <c:v>1.6821190136761897E-2</c:v>
                </c:pt>
                <c:pt idx="19">
                  <c:v>4.5973097224587091E-3</c:v>
                </c:pt>
                <c:pt idx="20">
                  <c:v>3.2162249087159694E-3</c:v>
                </c:pt>
                <c:pt idx="21">
                  <c:v>6.1431008637066265E-3</c:v>
                </c:pt>
                <c:pt idx="22">
                  <c:v>6.1431008637066265E-3</c:v>
                </c:pt>
                <c:pt idx="23">
                  <c:v>2.047700287902209E-3</c:v>
                </c:pt>
                <c:pt idx="24">
                  <c:v>2.0031850642521611E-3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6-8B43-AE5E-2A3D6A29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42592"/>
        <c:axId val="446940632"/>
      </c:lineChart>
      <c:catAx>
        <c:axId val="444943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41024"/>
        <c:crosses val="autoZero"/>
        <c:auto val="1"/>
        <c:lblAlgn val="ctr"/>
        <c:lblOffset val="100"/>
        <c:noMultiLvlLbl val="0"/>
      </c:catAx>
      <c:valAx>
        <c:axId val="4469410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4943272"/>
        <c:crosses val="autoZero"/>
        <c:crossBetween val="between"/>
      </c:valAx>
      <c:catAx>
        <c:axId val="446942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40632"/>
        <c:crosses val="autoZero"/>
        <c:auto val="1"/>
        <c:lblAlgn val="ctr"/>
        <c:lblOffset val="100"/>
        <c:noMultiLvlLbl val="0"/>
      </c:catAx>
      <c:valAx>
        <c:axId val="4469406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425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Report'!$J$29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Report'!$J$30:$J$35</c:f>
              <c:numCache>
                <c:formatCode>_(* #,##0_);_(* \(#,##0\);_(* \-??_);_(@_)</c:formatCode>
                <c:ptCount val="6"/>
                <c:pt idx="0">
                  <c:v>3731320</c:v>
                </c:pt>
                <c:pt idx="1">
                  <c:v>20655</c:v>
                </c:pt>
                <c:pt idx="2">
                  <c:v>87120</c:v>
                </c:pt>
                <c:pt idx="3">
                  <c:v>613000</c:v>
                </c:pt>
                <c:pt idx="4">
                  <c:v>40750</c:v>
                </c:pt>
                <c:pt idx="5">
                  <c:v>4492845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8-B742-9F90-1001753493A2}"/>
            </c:ext>
          </c:extLst>
        </c:ser>
        <c:ser>
          <c:idx val="1"/>
          <c:order val="1"/>
          <c:tx>
            <c:strRef>
              <c:f>'July 15th Sales Report'!$K$29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Report'!$K$30:$K$35</c:f>
              <c:numCache>
                <c:formatCode>0%</c:formatCode>
                <c:ptCount val="6"/>
                <c:pt idx="0">
                  <c:v>0.8305027215494859</c:v>
                </c:pt>
                <c:pt idx="1">
                  <c:v>4.5973097224587091E-3</c:v>
                </c:pt>
                <c:pt idx="2">
                  <c:v>1.9390831421960918E-2</c:v>
                </c:pt>
                <c:pt idx="3">
                  <c:v>0.13643916048739718</c:v>
                </c:pt>
                <c:pt idx="4">
                  <c:v>9.069976818697284E-3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8-B742-9F90-10017534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41808"/>
        <c:axId val="446942200"/>
      </c:barChart>
      <c:lineChart>
        <c:grouping val="standard"/>
        <c:varyColors val="0"/>
        <c:ser>
          <c:idx val="2"/>
          <c:order val="2"/>
          <c:tx>
            <c:strRef>
              <c:f>'July 15th Sales Report'!$L$29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Report'!$L$30:$L$35</c:f>
              <c:numCache>
                <c:formatCode>0%</c:formatCode>
                <c:ptCount val="6"/>
                <c:pt idx="0">
                  <c:v>7.1300000000000002E-2</c:v>
                </c:pt>
                <c:pt idx="1">
                  <c:v>6.54E-2</c:v>
                </c:pt>
                <c:pt idx="2">
                  <c:v>4.6199999999999998E-2</c:v>
                </c:pt>
                <c:pt idx="3">
                  <c:v>-3.4299999999999997E-2</c:v>
                </c:pt>
                <c:pt idx="4">
                  <c:v>5.4800000000000001E-2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8-B742-9F90-10017534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9456"/>
        <c:axId val="446939848"/>
      </c:lineChart>
      <c:catAx>
        <c:axId val="44694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42200"/>
        <c:crosses val="autoZero"/>
        <c:auto val="1"/>
        <c:lblAlgn val="ctr"/>
        <c:lblOffset val="100"/>
        <c:noMultiLvlLbl val="0"/>
      </c:catAx>
      <c:valAx>
        <c:axId val="446942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41808"/>
        <c:crosses val="autoZero"/>
        <c:crossBetween val="between"/>
      </c:valAx>
      <c:catAx>
        <c:axId val="446939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39848"/>
        <c:crosses val="autoZero"/>
        <c:auto val="1"/>
        <c:lblAlgn val="ctr"/>
        <c:lblOffset val="100"/>
        <c:noMultiLvlLbl val="0"/>
      </c:catAx>
      <c:valAx>
        <c:axId val="4469398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94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Report'!$J$37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Report'!$I$38:$I$43</c:f>
              <c:strCache>
                <c:ptCount val="6"/>
                <c:pt idx="0">
                  <c:v>Tayo-INV139</c:v>
                </c:pt>
                <c:pt idx="1">
                  <c:v>ann-INV279</c:v>
                </c:pt>
                <c:pt idx="2">
                  <c:v>ann-INV280</c:v>
                </c:pt>
                <c:pt idx="3">
                  <c:v>ann-INV281</c:v>
                </c:pt>
                <c:pt idx="4">
                  <c:v>ann-INV282</c:v>
                </c:pt>
                <c:pt idx="5">
                  <c:v>Total</c:v>
                </c:pt>
              </c:strCache>
            </c:strRef>
          </c:cat>
          <c:val>
            <c:numRef>
              <c:f>'July 15th Sales Report'!$J$38:$J$43</c:f>
              <c:numCache>
                <c:formatCode>_(* #,##0_);_(* \(#,##0\);_(* \-??_);_(@_)</c:formatCode>
                <c:ptCount val="6"/>
                <c:pt idx="0">
                  <c:v>3865320</c:v>
                </c:pt>
                <c:pt idx="1">
                  <c:v>20655</c:v>
                </c:pt>
                <c:pt idx="2">
                  <c:v>87120</c:v>
                </c:pt>
                <c:pt idx="3">
                  <c:v>613000</c:v>
                </c:pt>
                <c:pt idx="4">
                  <c:v>40750</c:v>
                </c:pt>
                <c:pt idx="5">
                  <c:v>4626845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F-FC45-9F8C-3BD46EC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30832"/>
        <c:axId val="446939064"/>
      </c:barChart>
      <c:lineChart>
        <c:grouping val="standard"/>
        <c:varyColors val="0"/>
        <c:ser>
          <c:idx val="1"/>
          <c:order val="1"/>
          <c:tx>
            <c:strRef>
              <c:f>'July 15th Sales Report'!$K$37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Report'!$I$38:$I$43</c:f>
              <c:strCache>
                <c:ptCount val="6"/>
                <c:pt idx="0">
                  <c:v>Tayo-INV139</c:v>
                </c:pt>
                <c:pt idx="1">
                  <c:v>ann-INV279</c:v>
                </c:pt>
                <c:pt idx="2">
                  <c:v>ann-INV280</c:v>
                </c:pt>
                <c:pt idx="3">
                  <c:v>ann-INV281</c:v>
                </c:pt>
                <c:pt idx="4">
                  <c:v>ann-INV282</c:v>
                </c:pt>
                <c:pt idx="5">
                  <c:v>Total</c:v>
                </c:pt>
              </c:strCache>
            </c:strRef>
          </c:cat>
          <c:val>
            <c:numRef>
              <c:f>'July 15th Sales Report'!$K$38:$K$43</c:f>
              <c:numCache>
                <c:formatCode>0%</c:formatCode>
                <c:ptCount val="6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-0.03</c:v>
                </c:pt>
                <c:pt idx="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F-FC45-9F8C-3BD46EC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5928"/>
        <c:axId val="446926912"/>
      </c:lineChart>
      <c:catAx>
        <c:axId val="446930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9064"/>
        <c:crosses val="autoZero"/>
        <c:auto val="1"/>
        <c:lblAlgn val="ctr"/>
        <c:lblOffset val="100"/>
        <c:noMultiLvlLbl val="0"/>
      </c:catAx>
      <c:valAx>
        <c:axId val="4469390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0832"/>
        <c:crosses val="autoZero"/>
        <c:crossBetween val="between"/>
      </c:valAx>
      <c:catAx>
        <c:axId val="446935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26912"/>
        <c:crosses val="autoZero"/>
        <c:auto val="1"/>
        <c:lblAlgn val="ctr"/>
        <c:lblOffset val="100"/>
        <c:noMultiLvlLbl val="0"/>
      </c:catAx>
      <c:valAx>
        <c:axId val="44692691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59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Report'!$J$2:$J$15</c:f>
              <c:numCache>
                <c:formatCode>General</c:formatCode>
                <c:ptCount val="14"/>
                <c:pt idx="0">
                  <c:v>5</c:v>
                </c:pt>
                <c:pt idx="1">
                  <c:v>5</c:v>
                </c:pt>
                <c:pt idx="2">
                  <c:v>104</c:v>
                </c:pt>
                <c:pt idx="3">
                  <c:v>30</c:v>
                </c:pt>
                <c:pt idx="4">
                  <c:v>15</c:v>
                </c:pt>
                <c:pt idx="5">
                  <c:v>25</c:v>
                </c:pt>
                <c:pt idx="6">
                  <c:v>20</c:v>
                </c:pt>
                <c:pt idx="7">
                  <c:v>1</c:v>
                </c:pt>
                <c:pt idx="8">
                  <c:v>28</c:v>
                </c:pt>
                <c:pt idx="9">
                  <c:v>26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6-2145-8997-91E8AD6E1927}"/>
            </c:ext>
          </c:extLst>
        </c:ser>
        <c:ser>
          <c:idx val="1"/>
          <c:order val="1"/>
          <c:tx>
            <c:strRef>
              <c:f>'July 16th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Report'!$K$2:$K$15</c:f>
              <c:numCache>
                <c:formatCode>_(* #,##0_);_(* \(#,##0\);_(* \-??_);_(@_)</c:formatCode>
                <c:ptCount val="14"/>
                <c:pt idx="0">
                  <c:v>113700</c:v>
                </c:pt>
                <c:pt idx="1">
                  <c:v>64425</c:v>
                </c:pt>
                <c:pt idx="2">
                  <c:v>521200</c:v>
                </c:pt>
                <c:pt idx="3">
                  <c:v>469650</c:v>
                </c:pt>
                <c:pt idx="4">
                  <c:v>258000</c:v>
                </c:pt>
                <c:pt idx="5">
                  <c:v>391375</c:v>
                </c:pt>
                <c:pt idx="6">
                  <c:v>258000</c:v>
                </c:pt>
                <c:pt idx="7">
                  <c:v>13460</c:v>
                </c:pt>
                <c:pt idx="8">
                  <c:v>257600</c:v>
                </c:pt>
                <c:pt idx="9">
                  <c:v>214000</c:v>
                </c:pt>
                <c:pt idx="10">
                  <c:v>55500</c:v>
                </c:pt>
                <c:pt idx="11">
                  <c:v>13350</c:v>
                </c:pt>
                <c:pt idx="12">
                  <c:v>11600</c:v>
                </c:pt>
                <c:pt idx="13">
                  <c:v>2641860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6-2145-8997-91E8AD6E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38280"/>
        <c:axId val="446927304"/>
      </c:barChart>
      <c:lineChart>
        <c:grouping val="standard"/>
        <c:varyColors val="0"/>
        <c:ser>
          <c:idx val="2"/>
          <c:order val="2"/>
          <c:tx>
            <c:strRef>
              <c:f>'July 16th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Report'!$L$2:$L$15</c:f>
              <c:numCache>
                <c:formatCode>0%</c:formatCode>
                <c:ptCount val="14"/>
                <c:pt idx="0">
                  <c:v>4.3037859689764028E-2</c:v>
                </c:pt>
                <c:pt idx="1">
                  <c:v>2.4386227884899275E-2</c:v>
                </c:pt>
                <c:pt idx="2">
                  <c:v>0.19728524600092359</c:v>
                </c:pt>
                <c:pt idx="3">
                  <c:v>0.17777247848107017</c:v>
                </c:pt>
                <c:pt idx="4">
                  <c:v>9.765846789761759E-2</c:v>
                </c:pt>
                <c:pt idx="5">
                  <c:v>0.14814373206755846</c:v>
                </c:pt>
                <c:pt idx="6">
                  <c:v>9.765846789761759E-2</c:v>
                </c:pt>
                <c:pt idx="7">
                  <c:v>5.094895263185786E-3</c:v>
                </c:pt>
                <c:pt idx="8">
                  <c:v>9.7507059420256934E-2</c:v>
                </c:pt>
                <c:pt idx="9">
                  <c:v>8.1003535387946371E-2</c:v>
                </c:pt>
                <c:pt idx="10">
                  <c:v>2.1007926233789831E-2</c:v>
                </c:pt>
                <c:pt idx="11">
                  <c:v>5.053257931911608E-3</c:v>
                </c:pt>
                <c:pt idx="12">
                  <c:v>4.390845843458775E-3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6-2145-8997-91E8AD6E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3968"/>
        <c:axId val="446932792"/>
      </c:lineChart>
      <c:catAx>
        <c:axId val="446938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27304"/>
        <c:crosses val="autoZero"/>
        <c:auto val="1"/>
        <c:lblAlgn val="ctr"/>
        <c:lblOffset val="100"/>
        <c:noMultiLvlLbl val="0"/>
      </c:catAx>
      <c:valAx>
        <c:axId val="4469273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8280"/>
        <c:crosses val="autoZero"/>
        <c:crossBetween val="between"/>
      </c:valAx>
      <c:catAx>
        <c:axId val="44693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32792"/>
        <c:crosses val="autoZero"/>
        <c:auto val="1"/>
        <c:lblAlgn val="ctr"/>
        <c:lblOffset val="100"/>
        <c:noMultiLvlLbl val="0"/>
      </c:catAx>
      <c:valAx>
        <c:axId val="4469327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39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
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Report'!$J$18:$J$24</c:f>
              <c:numCache>
                <c:formatCode>_(* #,##0_);_(* \(#,##0\);_(* \-??_);_(@_)</c:formatCode>
                <c:ptCount val="7"/>
                <c:pt idx="0">
                  <c:v>178125</c:v>
                </c:pt>
                <c:pt idx="1">
                  <c:v>68810</c:v>
                </c:pt>
                <c:pt idx="2">
                  <c:v>1877025</c:v>
                </c:pt>
                <c:pt idx="3">
                  <c:v>481000</c:v>
                </c:pt>
                <c:pt idx="4">
                  <c:v>27400</c:v>
                </c:pt>
                <c:pt idx="5">
                  <c:v>9500</c:v>
                </c:pt>
                <c:pt idx="6">
                  <c:v>2641860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D-CA43-A1F4-782FAFC04397}"/>
            </c:ext>
          </c:extLst>
        </c:ser>
        <c:ser>
          <c:idx val="1"/>
          <c:order val="1"/>
          <c:tx>
            <c:strRef>
              <c:f>'July 16th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Report'!$K$18:$K$24</c:f>
              <c:numCache>
                <c:formatCode>0%</c:formatCode>
                <c:ptCount val="7"/>
                <c:pt idx="0">
                  <c:v>6.7424087574663311E-2</c:v>
                </c:pt>
                <c:pt idx="1">
                  <c:v>2.6046043317965374E-2</c:v>
                </c:pt>
                <c:pt idx="2">
                  <c:v>0.71049374304467305</c:v>
                </c:pt>
                <c:pt idx="3">
                  <c:v>0.18206869402617853</c:v>
                </c:pt>
                <c:pt idx="4">
                  <c:v>1.0371480699204348E-2</c:v>
                </c:pt>
                <c:pt idx="5">
                  <c:v>3.5959513373153762E-3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D-CA43-A1F4-782FAFC0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27696"/>
        <c:axId val="446928872"/>
      </c:barChart>
      <c:lineChart>
        <c:grouping val="standard"/>
        <c:varyColors val="0"/>
        <c:ser>
          <c:idx val="2"/>
          <c:order val="2"/>
          <c:tx>
            <c:strRef>
              <c:f>'July 16th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Report'!$L$18:$L$24</c:f>
              <c:numCache>
                <c:formatCode>0%</c:formatCode>
                <c:ptCount val="7"/>
                <c:pt idx="0">
                  <c:v>5.3600000000000002E-2</c:v>
                </c:pt>
                <c:pt idx="1">
                  <c:v>3.8100000000000002E-2</c:v>
                </c:pt>
                <c:pt idx="2">
                  <c:v>-8.3999999999999995E-3</c:v>
                </c:pt>
                <c:pt idx="3">
                  <c:v>4.3799999999999999E-2</c:v>
                </c:pt>
                <c:pt idx="4">
                  <c:v>7.17E-2</c:v>
                </c:pt>
                <c:pt idx="5">
                  <c:v>5.3699999999999998E-2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D-CA43-A1F4-782FAFC0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7104"/>
        <c:axId val="446934360"/>
      </c:lineChart>
      <c:catAx>
        <c:axId val="446927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28872"/>
        <c:crosses val="autoZero"/>
        <c:auto val="1"/>
        <c:lblAlgn val="ctr"/>
        <c:lblOffset val="100"/>
        <c:noMultiLvlLbl val="0"/>
      </c:catAx>
      <c:valAx>
        <c:axId val="4469288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27696"/>
        <c:crosses val="autoZero"/>
        <c:crossBetween val="between"/>
      </c:valAx>
      <c:catAx>
        <c:axId val="446937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34360"/>
        <c:crosses val="autoZero"/>
        <c:auto val="1"/>
        <c:lblAlgn val="ctr"/>
        <c:lblOffset val="100"/>
        <c:noMultiLvlLbl val="0"/>
      </c:catAx>
      <c:valAx>
        <c:axId val="44693436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71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Report'!$I$27:$I$37</c:f>
              <c:strCache>
                <c:ptCount val="11"/>
                <c:pt idx="0">
                  <c:v>ann-INV283</c:v>
                </c:pt>
                <c:pt idx="1">
                  <c:v>ann-INV284</c:v>
                </c:pt>
                <c:pt idx="2">
                  <c:v>ann-INV285</c:v>
                </c:pt>
                <c:pt idx="3">
                  <c:v>ann-INV286</c:v>
                </c:pt>
                <c:pt idx="4">
                  <c:v>ann-INV287</c:v>
                </c:pt>
                <c:pt idx="5">
                  <c:v>ann-INV288</c:v>
                </c:pt>
                <c:pt idx="6">
                  <c:v>ann-INV289</c:v>
                </c:pt>
                <c:pt idx="7">
                  <c:v>ann-INV290</c:v>
                </c:pt>
                <c:pt idx="8">
                  <c:v>ann-INV291</c:v>
                </c:pt>
                <c:pt idx="9">
                  <c:v>ann-INV292</c:v>
                </c:pt>
                <c:pt idx="10">
                  <c:v>Total</c:v>
                </c:pt>
              </c:strCache>
            </c:strRef>
          </c:cat>
          <c:val>
            <c:numRef>
              <c:f>'July 16th Sales Report'!$J$27:$J$37</c:f>
              <c:numCache>
                <c:formatCode>_(* #,##0_);_(* \(#,##0\);_(* \-??_);_(@_)</c:formatCode>
                <c:ptCount val="11"/>
                <c:pt idx="0">
                  <c:v>178125</c:v>
                </c:pt>
                <c:pt idx="1">
                  <c:v>5300</c:v>
                </c:pt>
                <c:pt idx="2">
                  <c:v>1877025</c:v>
                </c:pt>
                <c:pt idx="3">
                  <c:v>24060</c:v>
                </c:pt>
                <c:pt idx="4">
                  <c:v>5300</c:v>
                </c:pt>
                <c:pt idx="5">
                  <c:v>575000</c:v>
                </c:pt>
                <c:pt idx="6">
                  <c:v>27400</c:v>
                </c:pt>
                <c:pt idx="7">
                  <c:v>24950</c:v>
                </c:pt>
                <c:pt idx="8">
                  <c:v>9200</c:v>
                </c:pt>
                <c:pt idx="9">
                  <c:v>9500</c:v>
                </c:pt>
                <c:pt idx="10">
                  <c:v>2735860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3-FC43-BB42-03181149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34752"/>
        <c:axId val="446937496"/>
      </c:barChart>
      <c:lineChart>
        <c:grouping val="standard"/>
        <c:varyColors val="0"/>
        <c:ser>
          <c:idx val="1"/>
          <c:order val="1"/>
          <c:tx>
            <c:strRef>
              <c:f>'July 16th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16th Sales Report'!$I$27:$I$37</c:f>
              <c:strCache>
                <c:ptCount val="11"/>
                <c:pt idx="0">
                  <c:v>ann-INV283</c:v>
                </c:pt>
                <c:pt idx="1">
                  <c:v>ann-INV284</c:v>
                </c:pt>
                <c:pt idx="2">
                  <c:v>ann-INV285</c:v>
                </c:pt>
                <c:pt idx="3">
                  <c:v>ann-INV286</c:v>
                </c:pt>
                <c:pt idx="4">
                  <c:v>ann-INV287</c:v>
                </c:pt>
                <c:pt idx="5">
                  <c:v>ann-INV288</c:v>
                </c:pt>
                <c:pt idx="6">
                  <c:v>ann-INV289</c:v>
                </c:pt>
                <c:pt idx="7">
                  <c:v>ann-INV290</c:v>
                </c:pt>
                <c:pt idx="8">
                  <c:v>ann-INV291</c:v>
                </c:pt>
                <c:pt idx="9">
                  <c:v>ann-INV292</c:v>
                </c:pt>
                <c:pt idx="10">
                  <c:v>Total</c:v>
                </c:pt>
              </c:strCache>
            </c:strRef>
          </c:cat>
          <c:val>
            <c:numRef>
              <c:f>'July 16th Sales Report'!$K$27:$K$37</c:f>
              <c:numCache>
                <c:formatCode>0%</c:formatCode>
                <c:ptCount val="11"/>
                <c:pt idx="0">
                  <c:v>0.05</c:v>
                </c:pt>
                <c:pt idx="1">
                  <c:v>0.02</c:v>
                </c:pt>
                <c:pt idx="2">
                  <c:v>-0.01</c:v>
                </c:pt>
                <c:pt idx="3">
                  <c:v>0.03</c:v>
                </c:pt>
                <c:pt idx="4">
                  <c:v>0.02</c:v>
                </c:pt>
                <c:pt idx="5">
                  <c:v>0.04</c:v>
                </c:pt>
                <c:pt idx="6">
                  <c:v>7.0000000000000007E-2</c:v>
                </c:pt>
                <c:pt idx="7">
                  <c:v>0.04</c:v>
                </c:pt>
                <c:pt idx="8">
                  <c:v>0.06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3-FC43-BB42-03181149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8672"/>
        <c:axId val="446932008"/>
      </c:lineChart>
      <c:catAx>
        <c:axId val="446934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7496"/>
        <c:crosses val="autoZero"/>
        <c:auto val="1"/>
        <c:lblAlgn val="ctr"/>
        <c:lblOffset val="100"/>
        <c:noMultiLvlLbl val="0"/>
      </c:catAx>
      <c:valAx>
        <c:axId val="446937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4752"/>
        <c:crosses val="autoZero"/>
        <c:crossBetween val="between"/>
      </c:valAx>
      <c:catAx>
        <c:axId val="446938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32008"/>
        <c:crosses val="autoZero"/>
        <c:auto val="1"/>
        <c:lblAlgn val="ctr"/>
        <c:lblOffset val="100"/>
        <c:noMultiLvlLbl val="0"/>
      </c:catAx>
      <c:valAx>
        <c:axId val="4469320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86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Report'!$J$2:$J$19</c:f>
              <c:numCache>
                <c:formatCode>General</c:formatCode>
                <c:ptCount val="18"/>
                <c:pt idx="0">
                  <c:v>56</c:v>
                </c:pt>
                <c:pt idx="1">
                  <c:v>32</c:v>
                </c:pt>
                <c:pt idx="2">
                  <c:v>23</c:v>
                </c:pt>
                <c:pt idx="3">
                  <c:v>9</c:v>
                </c:pt>
                <c:pt idx="4">
                  <c:v>10</c:v>
                </c:pt>
                <c:pt idx="5">
                  <c:v>16</c:v>
                </c:pt>
                <c:pt idx="6">
                  <c:v>251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384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6-8041-90D9-1A5BA1E7A1F4}"/>
            </c:ext>
          </c:extLst>
        </c:ser>
        <c:ser>
          <c:idx val="1"/>
          <c:order val="1"/>
          <c:tx>
            <c:strRef>
              <c:f>'July 17th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Report'!$K$2:$K$19</c:f>
              <c:numCache>
                <c:formatCode>_(* #,##0_);_(* \(#,##0\);_(* \-??_);_(@_)</c:formatCode>
                <c:ptCount val="18"/>
                <c:pt idx="0">
                  <c:v>722700</c:v>
                </c:pt>
                <c:pt idx="1">
                  <c:v>419920</c:v>
                </c:pt>
                <c:pt idx="2">
                  <c:v>202800</c:v>
                </c:pt>
                <c:pt idx="3">
                  <c:v>121860</c:v>
                </c:pt>
                <c:pt idx="4">
                  <c:v>89120</c:v>
                </c:pt>
                <c:pt idx="5">
                  <c:v>147500</c:v>
                </c:pt>
                <c:pt idx="6">
                  <c:v>1255300</c:v>
                </c:pt>
                <c:pt idx="7">
                  <c:v>35730</c:v>
                </c:pt>
                <c:pt idx="8">
                  <c:v>11320</c:v>
                </c:pt>
                <c:pt idx="9">
                  <c:v>9000</c:v>
                </c:pt>
                <c:pt idx="10">
                  <c:v>18300</c:v>
                </c:pt>
                <c:pt idx="11">
                  <c:v>21400</c:v>
                </c:pt>
                <c:pt idx="12">
                  <c:v>69600</c:v>
                </c:pt>
                <c:pt idx="13">
                  <c:v>2976000</c:v>
                </c:pt>
                <c:pt idx="14">
                  <c:v>11480</c:v>
                </c:pt>
                <c:pt idx="15">
                  <c:v>15945</c:v>
                </c:pt>
                <c:pt idx="16">
                  <c:v>35680</c:v>
                </c:pt>
                <c:pt idx="17">
                  <c:v>6163655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6-8041-90D9-1A5BA1E7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31616"/>
        <c:axId val="446928088"/>
      </c:barChart>
      <c:lineChart>
        <c:grouping val="standard"/>
        <c:varyColors val="0"/>
        <c:ser>
          <c:idx val="2"/>
          <c:order val="2"/>
          <c:tx>
            <c:strRef>
              <c:f>'July 17th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Report'!$L$2:$L$19</c:f>
              <c:numCache>
                <c:formatCode>0%</c:formatCode>
                <c:ptCount val="18"/>
                <c:pt idx="0">
                  <c:v>0.11725185786680144</c:v>
                </c:pt>
                <c:pt idx="1">
                  <c:v>6.8128407576348776E-2</c:v>
                </c:pt>
                <c:pt idx="2">
                  <c:v>3.2902555383129001E-2</c:v>
                </c:pt>
                <c:pt idx="3">
                  <c:v>1.9770736681400891E-2</c:v>
                </c:pt>
                <c:pt idx="4">
                  <c:v>1.4458953332073258E-2</c:v>
                </c:pt>
                <c:pt idx="5">
                  <c:v>2.3930606109524299E-2</c:v>
                </c:pt>
                <c:pt idx="6">
                  <c:v>0.20366162609685326</c:v>
                </c:pt>
                <c:pt idx="7">
                  <c:v>5.7968851274122256E-3</c:v>
                </c:pt>
                <c:pt idx="8">
                  <c:v>1.8365726180326447E-3</c:v>
                </c:pt>
                <c:pt idx="9">
                  <c:v>1.4601725761743641E-3</c:v>
                </c:pt>
                <c:pt idx="10">
                  <c:v>2.9690175715545403E-3</c:v>
                </c:pt>
                <c:pt idx="11">
                  <c:v>3.4719659033479325E-3</c:v>
                </c:pt>
                <c:pt idx="12">
                  <c:v>1.1292001255748415E-2</c:v>
                </c:pt>
                <c:pt idx="13">
                  <c:v>0.48283039852165638</c:v>
                </c:pt>
                <c:pt idx="14">
                  <c:v>1.8625312416090777E-3</c:v>
                </c:pt>
                <c:pt idx="15">
                  <c:v>2.586939080788915E-3</c:v>
                </c:pt>
                <c:pt idx="16">
                  <c:v>5.7887730575445903E-3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6-8041-90D9-1A5BA1E7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1224"/>
        <c:axId val="446937888"/>
      </c:lineChart>
      <c:catAx>
        <c:axId val="446931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28088"/>
        <c:crosses val="autoZero"/>
        <c:auto val="1"/>
        <c:lblAlgn val="ctr"/>
        <c:lblOffset val="100"/>
        <c:noMultiLvlLbl val="0"/>
      </c:catAx>
      <c:valAx>
        <c:axId val="4469280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1616"/>
        <c:crosses val="autoZero"/>
        <c:crossBetween val="between"/>
      </c:valAx>
      <c:catAx>
        <c:axId val="446931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37888"/>
        <c:crosses val="autoZero"/>
        <c:auto val="1"/>
        <c:lblAlgn val="ctr"/>
        <c:lblOffset val="100"/>
        <c:noMultiLvlLbl val="0"/>
      </c:catAx>
      <c:valAx>
        <c:axId val="4469378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12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Report'!$J$21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Report'!$J$22:$J$30</c:f>
              <c:numCache>
                <c:formatCode>_(* #,##0_);_(* \(#,##0\);_(* \-??_);_(@_)</c:formatCode>
                <c:ptCount val="9"/>
                <c:pt idx="0">
                  <c:v>1102500</c:v>
                </c:pt>
                <c:pt idx="1">
                  <c:v>13460</c:v>
                </c:pt>
                <c:pt idx="2">
                  <c:v>805290</c:v>
                </c:pt>
                <c:pt idx="3">
                  <c:v>48720</c:v>
                </c:pt>
                <c:pt idx="4">
                  <c:v>130660</c:v>
                </c:pt>
                <c:pt idx="5">
                  <c:v>2976000</c:v>
                </c:pt>
                <c:pt idx="6">
                  <c:v>87025</c:v>
                </c:pt>
                <c:pt idx="7">
                  <c:v>1000000</c:v>
                </c:pt>
                <c:pt idx="8">
                  <c:v>6163655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C-E84F-AAD8-FEE20824DB3B}"/>
            </c:ext>
          </c:extLst>
        </c:ser>
        <c:ser>
          <c:idx val="1"/>
          <c:order val="1"/>
          <c:tx>
            <c:strRef>
              <c:f>'July 17th Sales Report'!$K$21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Report'!$K$22:$K$30</c:f>
              <c:numCache>
                <c:formatCode>0%</c:formatCode>
                <c:ptCount val="9"/>
                <c:pt idx="0">
                  <c:v>0.17887114058135961</c:v>
                </c:pt>
                <c:pt idx="1">
                  <c:v>2.1837692083674378E-3</c:v>
                </c:pt>
                <c:pt idx="2">
                  <c:v>0.13065137487416151</c:v>
                </c:pt>
                <c:pt idx="3">
                  <c:v>7.9044008790238908E-3</c:v>
                </c:pt>
                <c:pt idx="4">
                  <c:v>2.1198460978104711E-2</c:v>
                </c:pt>
                <c:pt idx="5">
                  <c:v>0.48283039852165638</c:v>
                </c:pt>
                <c:pt idx="6">
                  <c:v>1.4119057604619336E-2</c:v>
                </c:pt>
                <c:pt idx="7">
                  <c:v>0.16224139735270712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C-E84F-AAD8-FEE20824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28480"/>
        <c:axId val="446932400"/>
      </c:barChart>
      <c:lineChart>
        <c:grouping val="standard"/>
        <c:varyColors val="0"/>
        <c:ser>
          <c:idx val="2"/>
          <c:order val="2"/>
          <c:tx>
            <c:strRef>
              <c:f>'July 17th Sales Report'!$L$21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Report'!$L$22:$L$30</c:f>
              <c:numCache>
                <c:formatCode>0%</c:formatCode>
                <c:ptCount val="9"/>
                <c:pt idx="0">
                  <c:v>-2.3300000000000001E-2</c:v>
                </c:pt>
                <c:pt idx="1">
                  <c:v>4.4900000000000002E-2</c:v>
                </c:pt>
                <c:pt idx="2">
                  <c:v>3.78E-2</c:v>
                </c:pt>
                <c:pt idx="3">
                  <c:v>7.85E-2</c:v>
                </c:pt>
                <c:pt idx="4">
                  <c:v>7.0099999999999996E-2</c:v>
                </c:pt>
                <c:pt idx="5">
                  <c:v>8.3999999999999995E-3</c:v>
                </c:pt>
                <c:pt idx="6">
                  <c:v>4.53E-2</c:v>
                </c:pt>
                <c:pt idx="7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C-E84F-AAD8-FEE20824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6933184"/>
        <c:axId val="446929264"/>
      </c:lineChart>
      <c:catAx>
        <c:axId val="446928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2400"/>
        <c:crosses val="autoZero"/>
        <c:auto val="1"/>
        <c:lblAlgn val="ctr"/>
        <c:lblOffset val="100"/>
        <c:noMultiLvlLbl val="0"/>
      </c:catAx>
      <c:valAx>
        <c:axId val="4469324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28480"/>
        <c:crosses val="autoZero"/>
        <c:crossBetween val="between"/>
      </c:valAx>
      <c:catAx>
        <c:axId val="446933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929264"/>
        <c:crosses val="autoZero"/>
        <c:auto val="1"/>
        <c:lblAlgn val="ctr"/>
        <c:lblOffset val="100"/>
        <c:noMultiLvlLbl val="0"/>
      </c:catAx>
      <c:valAx>
        <c:axId val="4469292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31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Report'!$I$33:$I$44</c:f>
              <c:strCache>
                <c:ptCount val="12"/>
                <c:pt idx="0">
                  <c:v>ann-INV293</c:v>
                </c:pt>
                <c:pt idx="1">
                  <c:v>ann-INV296</c:v>
                </c:pt>
                <c:pt idx="2">
                  <c:v>ann-INV297</c:v>
                </c:pt>
                <c:pt idx="3">
                  <c:v>ann-INV294</c:v>
                </c:pt>
                <c:pt idx="4">
                  <c:v>ann-INV295</c:v>
                </c:pt>
                <c:pt idx="5">
                  <c:v>ann-INV298</c:v>
                </c:pt>
                <c:pt idx="6">
                  <c:v>ann-INV299</c:v>
                </c:pt>
                <c:pt idx="7">
                  <c:v>ann-INV300</c:v>
                </c:pt>
                <c:pt idx="8">
                  <c:v>ann-INV301</c:v>
                </c:pt>
                <c:pt idx="9">
                  <c:v>ann-INV302</c:v>
                </c:pt>
                <c:pt idx="10">
                  <c:v>ann-INV303</c:v>
                </c:pt>
                <c:pt idx="11">
                  <c:v>Total</c:v>
                </c:pt>
              </c:strCache>
            </c:strRef>
          </c:cat>
          <c:val>
            <c:numRef>
              <c:f>'July 17th Sales Report'!$J$33:$J$44</c:f>
              <c:numCache>
                <c:formatCode>_(* #,##0_);_(* \(#,##0\);_(* \-??_);_(@_)</c:formatCode>
                <c:ptCount val="12"/>
                <c:pt idx="0">
                  <c:v>780000</c:v>
                </c:pt>
                <c:pt idx="1">
                  <c:v>322500</c:v>
                </c:pt>
                <c:pt idx="2">
                  <c:v>13460</c:v>
                </c:pt>
                <c:pt idx="3">
                  <c:v>866210</c:v>
                </c:pt>
                <c:pt idx="4">
                  <c:v>48720</c:v>
                </c:pt>
                <c:pt idx="5">
                  <c:v>134460</c:v>
                </c:pt>
                <c:pt idx="6">
                  <c:v>2976000</c:v>
                </c:pt>
                <c:pt idx="7">
                  <c:v>13200</c:v>
                </c:pt>
                <c:pt idx="8">
                  <c:v>1000000</c:v>
                </c:pt>
                <c:pt idx="9">
                  <c:v>84625</c:v>
                </c:pt>
                <c:pt idx="10">
                  <c:v>39680</c:v>
                </c:pt>
                <c:pt idx="11">
                  <c:v>6278855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9-DF4F-831F-72ED4A846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933576"/>
        <c:axId val="446935536"/>
      </c:barChart>
      <c:lineChart>
        <c:grouping val="standard"/>
        <c:varyColors val="0"/>
        <c:ser>
          <c:idx val="1"/>
          <c:order val="1"/>
          <c:tx>
            <c:strRef>
              <c:f>'July 17th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17th Sales Report'!$I$33:$I$44</c:f>
              <c:strCache>
                <c:ptCount val="12"/>
                <c:pt idx="0">
                  <c:v>ann-INV293</c:v>
                </c:pt>
                <c:pt idx="1">
                  <c:v>ann-INV296</c:v>
                </c:pt>
                <c:pt idx="2">
                  <c:v>ann-INV297</c:v>
                </c:pt>
                <c:pt idx="3">
                  <c:v>ann-INV294</c:v>
                </c:pt>
                <c:pt idx="4">
                  <c:v>ann-INV295</c:v>
                </c:pt>
                <c:pt idx="5">
                  <c:v>ann-INV298</c:v>
                </c:pt>
                <c:pt idx="6">
                  <c:v>ann-INV299</c:v>
                </c:pt>
                <c:pt idx="7">
                  <c:v>ann-INV300</c:v>
                </c:pt>
                <c:pt idx="8">
                  <c:v>ann-INV301</c:v>
                </c:pt>
                <c:pt idx="9">
                  <c:v>ann-INV302</c:v>
                </c:pt>
                <c:pt idx="10">
                  <c:v>ann-INV303</c:v>
                </c:pt>
                <c:pt idx="11">
                  <c:v>Total</c:v>
                </c:pt>
              </c:strCache>
            </c:strRef>
          </c:cat>
          <c:val>
            <c:numRef>
              <c:f>'July 17th Sales Report'!$K$33:$K$44</c:f>
              <c:numCache>
                <c:formatCode>0%</c:formatCode>
                <c:ptCount val="12"/>
                <c:pt idx="0">
                  <c:v>-0.01</c:v>
                </c:pt>
                <c:pt idx="1">
                  <c:v>-0.05</c:v>
                </c:pt>
                <c:pt idx="2">
                  <c:v>0.04</c:v>
                </c:pt>
                <c:pt idx="3">
                  <c:v>0.03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0.01</c:v>
                </c:pt>
                <c:pt idx="7">
                  <c:v>-0.02</c:v>
                </c:pt>
                <c:pt idx="8">
                  <c:v>-0.04</c:v>
                </c:pt>
                <c:pt idx="9">
                  <c:v>0.06</c:v>
                </c:pt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9-DF4F-831F-72ED4A846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0760"/>
        <c:axId val="445287816"/>
      </c:lineChart>
      <c:catAx>
        <c:axId val="446933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5536"/>
        <c:crosses val="autoZero"/>
        <c:auto val="1"/>
        <c:lblAlgn val="ctr"/>
        <c:lblOffset val="100"/>
        <c:noMultiLvlLbl val="0"/>
      </c:catAx>
      <c:valAx>
        <c:axId val="4469355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6933576"/>
        <c:crosses val="autoZero"/>
        <c:crossBetween val="between"/>
      </c:valAx>
      <c:catAx>
        <c:axId val="445280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7816"/>
        <c:crosses val="autoZero"/>
        <c:auto val="1"/>
        <c:lblAlgn val="ctr"/>
        <c:lblOffset val="100"/>
        <c:noMultiLvlLbl val="0"/>
      </c:catAx>
      <c:valAx>
        <c:axId val="4452878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07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Report'!$J$2:$J$21</c:f>
              <c:numCache>
                <c:formatCode>General</c:formatCode>
                <c:ptCount val="20"/>
                <c:pt idx="0">
                  <c:v>304</c:v>
                </c:pt>
                <c:pt idx="1">
                  <c:v>155</c:v>
                </c:pt>
                <c:pt idx="2">
                  <c:v>62</c:v>
                </c:pt>
                <c:pt idx="3">
                  <c:v>91</c:v>
                </c:pt>
                <c:pt idx="4">
                  <c:v>45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31</c:v>
                </c:pt>
                <c:pt idx="9">
                  <c:v>179</c:v>
                </c:pt>
                <c:pt idx="10">
                  <c:v>10</c:v>
                </c:pt>
                <c:pt idx="11">
                  <c:v>75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30</c:v>
                </c:pt>
                <c:pt idx="17">
                  <c:v>30</c:v>
                </c:pt>
                <c:pt idx="18">
                  <c:v>70</c:v>
                </c:pt>
                <c:pt idx="19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6-CB49-AEB1-64F698DCE1A8}"/>
            </c:ext>
          </c:extLst>
        </c:ser>
        <c:ser>
          <c:idx val="1"/>
          <c:order val="1"/>
          <c:tx>
            <c:strRef>
              <c:f>'July 18th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Report'!$K$2:$K$21</c:f>
              <c:numCache>
                <c:formatCode>_(* #,##0_);_(* \(#,##0\);_(* \-??_);_(@_)</c:formatCode>
                <c:ptCount val="20"/>
                <c:pt idx="0">
                  <c:v>3898440</c:v>
                </c:pt>
                <c:pt idx="1">
                  <c:v>1395500</c:v>
                </c:pt>
                <c:pt idx="2">
                  <c:v>925050</c:v>
                </c:pt>
                <c:pt idx="3">
                  <c:v>1320325</c:v>
                </c:pt>
                <c:pt idx="4">
                  <c:v>591750</c:v>
                </c:pt>
                <c:pt idx="5">
                  <c:v>178450</c:v>
                </c:pt>
                <c:pt idx="6">
                  <c:v>161450</c:v>
                </c:pt>
                <c:pt idx="7">
                  <c:v>134600</c:v>
                </c:pt>
                <c:pt idx="8">
                  <c:v>551300</c:v>
                </c:pt>
                <c:pt idx="9">
                  <c:v>1537880</c:v>
                </c:pt>
                <c:pt idx="10">
                  <c:v>116000</c:v>
                </c:pt>
                <c:pt idx="11">
                  <c:v>666620</c:v>
                </c:pt>
                <c:pt idx="12">
                  <c:v>9345</c:v>
                </c:pt>
                <c:pt idx="13">
                  <c:v>21400</c:v>
                </c:pt>
                <c:pt idx="14">
                  <c:v>23820</c:v>
                </c:pt>
                <c:pt idx="15">
                  <c:v>15945</c:v>
                </c:pt>
                <c:pt idx="16">
                  <c:v>150000</c:v>
                </c:pt>
                <c:pt idx="17">
                  <c:v>390600</c:v>
                </c:pt>
                <c:pt idx="18">
                  <c:v>567000</c:v>
                </c:pt>
                <c:pt idx="19">
                  <c:v>12655475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6-CB49-AEB1-64F698DCE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81152"/>
        <c:axId val="445290168"/>
      </c:barChart>
      <c:lineChart>
        <c:grouping val="standard"/>
        <c:varyColors val="0"/>
        <c:ser>
          <c:idx val="2"/>
          <c:order val="2"/>
          <c:tx>
            <c:strRef>
              <c:f>'July 18th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Report'!$L$2:$L$21</c:f>
              <c:numCache>
                <c:formatCode>0%</c:formatCode>
                <c:ptCount val="20"/>
                <c:pt idx="0">
                  <c:v>0.30804375181492594</c:v>
                </c:pt>
                <c:pt idx="1">
                  <c:v>0.11026848063782671</c:v>
                </c:pt>
                <c:pt idx="2">
                  <c:v>7.3094846301699462E-2</c:v>
                </c:pt>
                <c:pt idx="3">
                  <c:v>0.10432836381091978</c:v>
                </c:pt>
                <c:pt idx="4">
                  <c:v>4.6758418787125729E-2</c:v>
                </c:pt>
                <c:pt idx="5">
                  <c:v>1.4100616531580205E-2</c:v>
                </c:pt>
                <c:pt idx="6">
                  <c:v>1.27573243991237E-2</c:v>
                </c:pt>
                <c:pt idx="7">
                  <c:v>1.0635713001685041E-2</c:v>
                </c:pt>
                <c:pt idx="8">
                  <c:v>4.3562173683721866E-2</c:v>
                </c:pt>
                <c:pt idx="9">
                  <c:v>0.12151894733307125</c:v>
                </c:pt>
                <c:pt idx="10">
                  <c:v>9.1659933744091E-3</c:v>
                </c:pt>
                <c:pt idx="11">
                  <c:v>5.2674435372832708E-2</c:v>
                </c:pt>
                <c:pt idx="12">
                  <c:v>7.3841558692976756E-4</c:v>
                </c:pt>
                <c:pt idx="13">
                  <c:v>1.6909677432099546E-3</c:v>
                </c:pt>
                <c:pt idx="14">
                  <c:v>1.8821893291243513E-3</c:v>
                </c:pt>
                <c:pt idx="15">
                  <c:v>1.2599290030599404E-3</c:v>
                </c:pt>
                <c:pt idx="16">
                  <c:v>1.1852577639322112E-2</c:v>
                </c:pt>
                <c:pt idx="17">
                  <c:v>3.0864112172794778E-2</c:v>
                </c:pt>
                <c:pt idx="18">
                  <c:v>4.4802743476637583E-2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56-CB49-AEB1-64F698DCE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6640"/>
        <c:axId val="445286248"/>
      </c:lineChart>
      <c:catAx>
        <c:axId val="44528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0168"/>
        <c:crosses val="autoZero"/>
        <c:auto val="1"/>
        <c:lblAlgn val="ctr"/>
        <c:lblOffset val="100"/>
        <c:noMultiLvlLbl val="0"/>
      </c:catAx>
      <c:valAx>
        <c:axId val="4452901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1152"/>
        <c:crosses val="autoZero"/>
        <c:crossBetween val="between"/>
      </c:valAx>
      <c:catAx>
        <c:axId val="445286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6248"/>
        <c:crosses val="autoZero"/>
        <c:auto val="1"/>
        <c:lblAlgn val="ctr"/>
        <c:lblOffset val="100"/>
        <c:noMultiLvlLbl val="0"/>
      </c:catAx>
      <c:valAx>
        <c:axId val="4452862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66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Report'!$J$24:$J$33</c:f>
              <c:numCache>
                <c:formatCode>_(* #,##0_);_(* \(#,##0\);_(* \-??_);_(@_)</c:formatCode>
                <c:ptCount val="10"/>
                <c:pt idx="0">
                  <c:v>4803300</c:v>
                </c:pt>
                <c:pt idx="1">
                  <c:v>1243250</c:v>
                </c:pt>
                <c:pt idx="2">
                  <c:v>608700</c:v>
                </c:pt>
                <c:pt idx="3">
                  <c:v>425660</c:v>
                </c:pt>
                <c:pt idx="4">
                  <c:v>4435650</c:v>
                </c:pt>
                <c:pt idx="5">
                  <c:v>1013900</c:v>
                </c:pt>
                <c:pt idx="6">
                  <c:v>40835</c:v>
                </c:pt>
                <c:pt idx="7">
                  <c:v>9500</c:v>
                </c:pt>
                <c:pt idx="8">
                  <c:v>74680</c:v>
                </c:pt>
                <c:pt idx="9">
                  <c:v>12655475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2-A64B-ACF9-5C25B3C1C6EE}"/>
            </c:ext>
          </c:extLst>
        </c:ser>
        <c:ser>
          <c:idx val="1"/>
          <c:order val="1"/>
          <c:tx>
            <c:strRef>
              <c:f>'July 18th Sales Report'!$K$23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Report'!$K$24:$K$33</c:f>
              <c:numCache>
                <c:formatCode>0%</c:formatCode>
                <c:ptCount val="10"/>
                <c:pt idx="0">
                  <c:v>0.37954324116637267</c:v>
                </c:pt>
                <c:pt idx="1">
                  <c:v>9.8238114333914772E-2</c:v>
                </c:pt>
                <c:pt idx="2">
                  <c:v>4.809776006036913E-2</c:v>
                </c:pt>
                <c:pt idx="3">
                  <c:v>3.3634454653025669E-2</c:v>
                </c:pt>
                <c:pt idx="4">
                  <c:v>0.35049257337239415</c:v>
                </c:pt>
                <c:pt idx="5">
                  <c:v>8.0115523123391263E-2</c:v>
                </c:pt>
                <c:pt idx="6">
                  <c:v>3.2266667193447895E-3</c:v>
                </c:pt>
                <c:pt idx="7">
                  <c:v>7.5066325049040039E-4</c:v>
                </c:pt>
                <c:pt idx="8">
                  <c:v>5.9010033206971686E-3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2-A64B-ACF9-5C25B3C1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81544"/>
        <c:axId val="445283504"/>
      </c:barChart>
      <c:lineChart>
        <c:grouping val="standard"/>
        <c:varyColors val="0"/>
        <c:ser>
          <c:idx val="2"/>
          <c:order val="2"/>
          <c:tx>
            <c:strRef>
              <c:f>'July 18th Sales Report'!$L$23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Report'!$L$24:$L$33</c:f>
              <c:numCache>
                <c:formatCode>0%</c:formatCode>
                <c:ptCount val="10"/>
                <c:pt idx="0">
                  <c:v>6.0299999999999999E-2</c:v>
                </c:pt>
                <c:pt idx="1">
                  <c:v>7.6100000000000001E-2</c:v>
                </c:pt>
                <c:pt idx="2">
                  <c:v>9.0300000000000005E-2</c:v>
                </c:pt>
                <c:pt idx="3">
                  <c:v>3.9600000000000003E-2</c:v>
                </c:pt>
                <c:pt idx="4">
                  <c:v>6.9400000000000003E-2</c:v>
                </c:pt>
                <c:pt idx="5">
                  <c:v>0.15090000000000001</c:v>
                </c:pt>
                <c:pt idx="6">
                  <c:v>5.5899999999999998E-2</c:v>
                </c:pt>
                <c:pt idx="7">
                  <c:v>0.1026</c:v>
                </c:pt>
                <c:pt idx="8">
                  <c:v>7.2700000000000001E-2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E2-A64B-ACF9-5C25B3C1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9776"/>
        <c:axId val="445284288"/>
      </c:lineChart>
      <c:catAx>
        <c:axId val="445281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3504"/>
        <c:crosses val="autoZero"/>
        <c:auto val="1"/>
        <c:lblAlgn val="ctr"/>
        <c:lblOffset val="100"/>
        <c:noMultiLvlLbl val="0"/>
      </c:catAx>
      <c:valAx>
        <c:axId val="4452835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1544"/>
        <c:crosses val="autoZero"/>
        <c:crossBetween val="between"/>
      </c:valAx>
      <c:catAx>
        <c:axId val="445289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4288"/>
        <c:crosses val="autoZero"/>
        <c:auto val="1"/>
        <c:lblAlgn val="ctr"/>
        <c:lblOffset val="100"/>
        <c:noMultiLvlLbl val="0"/>
      </c:catAx>
      <c:valAx>
        <c:axId val="4452842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97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Report'!$J$35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Report'!$I$36:$I$50</c:f>
              <c:strCache>
                <c:ptCount val="15"/>
                <c:pt idx="0">
                  <c:v>ann-INV304</c:v>
                </c:pt>
                <c:pt idx="1">
                  <c:v>ann-INV305</c:v>
                </c:pt>
                <c:pt idx="2">
                  <c:v>ann-INV306</c:v>
                </c:pt>
                <c:pt idx="3">
                  <c:v>ann-INV311</c:v>
                </c:pt>
                <c:pt idx="4">
                  <c:v>ann-INV310</c:v>
                </c:pt>
                <c:pt idx="5">
                  <c:v>ann-INV309</c:v>
                </c:pt>
                <c:pt idx="6">
                  <c:v>ann-INV312</c:v>
                </c:pt>
                <c:pt idx="7">
                  <c:v>ann-INV316</c:v>
                </c:pt>
                <c:pt idx="8">
                  <c:v>ann-INV313</c:v>
                </c:pt>
                <c:pt idx="9">
                  <c:v>ann-INV314</c:v>
                </c:pt>
                <c:pt idx="10">
                  <c:v>ann-INV308</c:v>
                </c:pt>
                <c:pt idx="11">
                  <c:v>ann-INV315</c:v>
                </c:pt>
                <c:pt idx="12">
                  <c:v>ann-INV307</c:v>
                </c:pt>
                <c:pt idx="13">
                  <c:v>ann-INV317</c:v>
                </c:pt>
                <c:pt idx="14">
                  <c:v>Total</c:v>
                </c:pt>
              </c:strCache>
            </c:strRef>
          </c:cat>
          <c:val>
            <c:numRef>
              <c:f>'July 18th Sales Report'!$J$36:$J$50</c:f>
              <c:numCache>
                <c:formatCode>_(* #,##0_);_(* \(#,##0\);_(* \-??_);_(@_)</c:formatCode>
                <c:ptCount val="15"/>
                <c:pt idx="0">
                  <c:v>5551300</c:v>
                </c:pt>
                <c:pt idx="1">
                  <c:v>931650</c:v>
                </c:pt>
                <c:pt idx="2">
                  <c:v>361600</c:v>
                </c:pt>
                <c:pt idx="3">
                  <c:v>212000</c:v>
                </c:pt>
                <c:pt idx="4">
                  <c:v>440700</c:v>
                </c:pt>
                <c:pt idx="5">
                  <c:v>17760</c:v>
                </c:pt>
                <c:pt idx="6">
                  <c:v>458900</c:v>
                </c:pt>
                <c:pt idx="7">
                  <c:v>5201650</c:v>
                </c:pt>
                <c:pt idx="8">
                  <c:v>50000</c:v>
                </c:pt>
                <c:pt idx="9">
                  <c:v>564900</c:v>
                </c:pt>
                <c:pt idx="10">
                  <c:v>40835</c:v>
                </c:pt>
                <c:pt idx="11">
                  <c:v>9500</c:v>
                </c:pt>
                <c:pt idx="12">
                  <c:v>679000</c:v>
                </c:pt>
                <c:pt idx="13">
                  <c:v>74680</c:v>
                </c:pt>
                <c:pt idx="14">
                  <c:v>14594475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E-D448-805C-845DEBCC5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85856"/>
        <c:axId val="445287424"/>
      </c:barChart>
      <c:lineChart>
        <c:grouping val="standard"/>
        <c:varyColors val="0"/>
        <c:ser>
          <c:idx val="1"/>
          <c:order val="1"/>
          <c:tx>
            <c:strRef>
              <c:f>'July 18th Sales Report'!$K$35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18th Sales Report'!$I$36:$I$50</c:f>
              <c:strCache>
                <c:ptCount val="15"/>
                <c:pt idx="0">
                  <c:v>ann-INV304</c:v>
                </c:pt>
                <c:pt idx="1">
                  <c:v>ann-INV305</c:v>
                </c:pt>
                <c:pt idx="2">
                  <c:v>ann-INV306</c:v>
                </c:pt>
                <c:pt idx="3">
                  <c:v>ann-INV311</c:v>
                </c:pt>
                <c:pt idx="4">
                  <c:v>ann-INV310</c:v>
                </c:pt>
                <c:pt idx="5">
                  <c:v>ann-INV309</c:v>
                </c:pt>
                <c:pt idx="6">
                  <c:v>ann-INV312</c:v>
                </c:pt>
                <c:pt idx="7">
                  <c:v>ann-INV316</c:v>
                </c:pt>
                <c:pt idx="8">
                  <c:v>ann-INV313</c:v>
                </c:pt>
                <c:pt idx="9">
                  <c:v>ann-INV314</c:v>
                </c:pt>
                <c:pt idx="10">
                  <c:v>ann-INV308</c:v>
                </c:pt>
                <c:pt idx="11">
                  <c:v>ann-INV315</c:v>
                </c:pt>
                <c:pt idx="12">
                  <c:v>ann-INV307</c:v>
                </c:pt>
                <c:pt idx="13">
                  <c:v>ann-INV317</c:v>
                </c:pt>
                <c:pt idx="14">
                  <c:v>Total</c:v>
                </c:pt>
              </c:strCache>
            </c:strRef>
          </c:cat>
          <c:val>
            <c:numRef>
              <c:f>'July 18th Sales Report'!$K$36:$K$50</c:f>
              <c:numCache>
                <c:formatCode>0%</c:formatCode>
                <c:ptCount val="15"/>
                <c:pt idx="0">
                  <c:v>0.06</c:v>
                </c:pt>
                <c:pt idx="1">
                  <c:v>0</c:v>
                </c:pt>
                <c:pt idx="2">
                  <c:v>0.27</c:v>
                </c:pt>
                <c:pt idx="3">
                  <c:v>0.04</c:v>
                </c:pt>
                <c:pt idx="4">
                  <c:v>0.13</c:v>
                </c:pt>
                <c:pt idx="5">
                  <c:v>0.04</c:v>
                </c:pt>
                <c:pt idx="6">
                  <c:v>0.04</c:v>
                </c:pt>
                <c:pt idx="7">
                  <c:v>7.0000000000000007E-2</c:v>
                </c:pt>
                <c:pt idx="8">
                  <c:v>-0.04</c:v>
                </c:pt>
                <c:pt idx="9">
                  <c:v>0.34</c:v>
                </c:pt>
                <c:pt idx="10">
                  <c:v>0.06</c:v>
                </c:pt>
                <c:pt idx="11">
                  <c:v>0.1</c:v>
                </c:pt>
                <c:pt idx="12">
                  <c:v>0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E-D448-805C-845DEBCC5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3112"/>
        <c:axId val="445287032"/>
      </c:lineChart>
      <c:catAx>
        <c:axId val="445285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7424"/>
        <c:crosses val="autoZero"/>
        <c:auto val="1"/>
        <c:lblAlgn val="ctr"/>
        <c:lblOffset val="100"/>
        <c:noMultiLvlLbl val="0"/>
      </c:catAx>
      <c:valAx>
        <c:axId val="4452874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5856"/>
        <c:crosses val="autoZero"/>
        <c:crossBetween val="between"/>
      </c:valAx>
      <c:catAx>
        <c:axId val="445283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7032"/>
        <c:crosses val="autoZero"/>
        <c:auto val="1"/>
        <c:lblAlgn val="ctr"/>
        <c:lblOffset val="100"/>
        <c:noMultiLvlLbl val="0"/>
      </c:catAx>
      <c:valAx>
        <c:axId val="4452870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31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Report'!$J$2:$J$21</c:f>
              <c:numCache>
                <c:formatCode>General</c:formatCode>
                <c:ptCount val="20"/>
                <c:pt idx="0">
                  <c:v>536</c:v>
                </c:pt>
                <c:pt idx="1">
                  <c:v>41</c:v>
                </c:pt>
                <c:pt idx="2">
                  <c:v>335</c:v>
                </c:pt>
                <c:pt idx="3">
                  <c:v>82</c:v>
                </c:pt>
                <c:pt idx="4">
                  <c:v>55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</c:v>
                </c:pt>
                <c:pt idx="9">
                  <c:v>1</c:v>
                </c:pt>
                <c:pt idx="10">
                  <c:v>13</c:v>
                </c:pt>
                <c:pt idx="11">
                  <c:v>6</c:v>
                </c:pt>
                <c:pt idx="12">
                  <c:v>10</c:v>
                </c:pt>
                <c:pt idx="13">
                  <c:v>1</c:v>
                </c:pt>
                <c:pt idx="14">
                  <c:v>20</c:v>
                </c:pt>
                <c:pt idx="15">
                  <c:v>15</c:v>
                </c:pt>
                <c:pt idx="16">
                  <c:v>15</c:v>
                </c:pt>
                <c:pt idx="17">
                  <c:v>30</c:v>
                </c:pt>
                <c:pt idx="18">
                  <c:v>1</c:v>
                </c:pt>
                <c:pt idx="1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7-4848-B3CD-833E27167E94}"/>
            </c:ext>
          </c:extLst>
        </c:ser>
        <c:ser>
          <c:idx val="1"/>
          <c:order val="1"/>
          <c:tx>
            <c:strRef>
              <c:f>'July 20th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Report'!$K$2:$K$21</c:f>
              <c:numCache>
                <c:formatCode>_(* #,##0_);_(* \(#,##0\);_(* \-??_);_(@_)</c:formatCode>
                <c:ptCount val="20"/>
                <c:pt idx="0">
                  <c:v>4586400</c:v>
                </c:pt>
                <c:pt idx="1">
                  <c:v>339400</c:v>
                </c:pt>
                <c:pt idx="2">
                  <c:v>1675600</c:v>
                </c:pt>
                <c:pt idx="3">
                  <c:v>746700</c:v>
                </c:pt>
                <c:pt idx="4">
                  <c:v>712770</c:v>
                </c:pt>
                <c:pt idx="5">
                  <c:v>121880</c:v>
                </c:pt>
                <c:pt idx="6">
                  <c:v>268910</c:v>
                </c:pt>
                <c:pt idx="7">
                  <c:v>222300</c:v>
                </c:pt>
                <c:pt idx="8">
                  <c:v>21695</c:v>
                </c:pt>
                <c:pt idx="9">
                  <c:v>16145</c:v>
                </c:pt>
                <c:pt idx="10">
                  <c:v>149385</c:v>
                </c:pt>
                <c:pt idx="11">
                  <c:v>87950</c:v>
                </c:pt>
                <c:pt idx="12">
                  <c:v>132000</c:v>
                </c:pt>
                <c:pt idx="13">
                  <c:v>12885</c:v>
                </c:pt>
                <c:pt idx="14">
                  <c:v>260400</c:v>
                </c:pt>
                <c:pt idx="15">
                  <c:v>169950</c:v>
                </c:pt>
                <c:pt idx="16">
                  <c:v>120300</c:v>
                </c:pt>
                <c:pt idx="17">
                  <c:v>264000</c:v>
                </c:pt>
                <c:pt idx="18">
                  <c:v>11480</c:v>
                </c:pt>
                <c:pt idx="19">
                  <c:v>9920150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7-4848-B3CD-833E2716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81936"/>
        <c:axId val="445284680"/>
      </c:barChart>
      <c:lineChart>
        <c:grouping val="standard"/>
        <c:varyColors val="0"/>
        <c:ser>
          <c:idx val="2"/>
          <c:order val="2"/>
          <c:tx>
            <c:strRef>
              <c:f>'July 20th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Report'!$L$2:$L$21</c:f>
              <c:numCache>
                <c:formatCode>0%</c:formatCode>
                <c:ptCount val="20"/>
                <c:pt idx="0">
                  <c:v>0.4623317187744137</c:v>
                </c:pt>
                <c:pt idx="1">
                  <c:v>3.4213192340841622E-2</c:v>
                </c:pt>
                <c:pt idx="2">
                  <c:v>0.16890873625902833</c:v>
                </c:pt>
                <c:pt idx="3">
                  <c:v>7.5271039248398466E-2</c:v>
                </c:pt>
                <c:pt idx="4">
                  <c:v>7.1850728063587749E-2</c:v>
                </c:pt>
                <c:pt idx="5">
                  <c:v>1.228610454479015E-2</c:v>
                </c:pt>
                <c:pt idx="6">
                  <c:v>2.7107453012303242E-2</c:v>
                </c:pt>
                <c:pt idx="7">
                  <c:v>2.2408935348759849E-2</c:v>
                </c:pt>
                <c:pt idx="8">
                  <c:v>2.1869628987464906E-3</c:v>
                </c:pt>
                <c:pt idx="9">
                  <c:v>1.6274955519825808E-3</c:v>
                </c:pt>
                <c:pt idx="10">
                  <c:v>1.505874407141021E-2</c:v>
                </c:pt>
                <c:pt idx="11">
                  <c:v>8.8657933599794354E-3</c:v>
                </c:pt>
                <c:pt idx="12">
                  <c:v>1.3306250409520017E-2</c:v>
                </c:pt>
                <c:pt idx="13">
                  <c:v>1.2988714888383743E-3</c:v>
                </c:pt>
                <c:pt idx="14">
                  <c:v>2.624960308059858E-2</c:v>
                </c:pt>
                <c:pt idx="15">
                  <c:v>1.7131797402257024E-2</c:v>
                </c:pt>
                <c:pt idx="16">
                  <c:v>1.2126832759585289E-2</c:v>
                </c:pt>
                <c:pt idx="17">
                  <c:v>2.6612500819040034E-2</c:v>
                </c:pt>
                <c:pt idx="18">
                  <c:v>1.157240565918862E-3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A7-4848-B3CD-833E2716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2328"/>
        <c:axId val="445285072"/>
      </c:lineChart>
      <c:catAx>
        <c:axId val="445281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4680"/>
        <c:crosses val="autoZero"/>
        <c:auto val="1"/>
        <c:lblAlgn val="ctr"/>
        <c:lblOffset val="100"/>
        <c:noMultiLvlLbl val="0"/>
      </c:catAx>
      <c:valAx>
        <c:axId val="4452846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1936"/>
        <c:crosses val="autoZero"/>
        <c:crossBetween val="between"/>
      </c:valAx>
      <c:catAx>
        <c:axId val="445282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5072"/>
        <c:crosses val="autoZero"/>
        <c:auto val="1"/>
        <c:lblAlgn val="ctr"/>
        <c:lblOffset val="100"/>
        <c:noMultiLvlLbl val="0"/>
      </c:catAx>
      <c:valAx>
        <c:axId val="4452850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23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Report'!$J$24:$J$33</c:f>
              <c:numCache>
                <c:formatCode>_(* #,##0_);_(* \(#,##0\);_(* \-??_);_(@_)</c:formatCode>
                <c:ptCount val="10"/>
                <c:pt idx="0">
                  <c:v>54600</c:v>
                </c:pt>
                <c:pt idx="1">
                  <c:v>1240000</c:v>
                </c:pt>
                <c:pt idx="2">
                  <c:v>3611300</c:v>
                </c:pt>
                <c:pt idx="3">
                  <c:v>384000</c:v>
                </c:pt>
                <c:pt idx="4">
                  <c:v>135340</c:v>
                </c:pt>
                <c:pt idx="5">
                  <c:v>949335</c:v>
                </c:pt>
                <c:pt idx="6">
                  <c:v>12885</c:v>
                </c:pt>
                <c:pt idx="7">
                  <c:v>10600</c:v>
                </c:pt>
                <c:pt idx="8">
                  <c:v>3522090</c:v>
                </c:pt>
                <c:pt idx="9">
                  <c:v>9920150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8-BA4E-A4C0-334C4988EFA9}"/>
            </c:ext>
          </c:extLst>
        </c:ser>
        <c:ser>
          <c:idx val="1"/>
          <c:order val="1"/>
          <c:tx>
            <c:strRef>
              <c:f>'July 20th Sales Report'!$K$23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Report'!$K$24:$K$33</c:f>
              <c:numCache>
                <c:formatCode>0%</c:formatCode>
                <c:ptCount val="10"/>
                <c:pt idx="0">
                  <c:v>5.5039490330287344E-3</c:v>
                </c:pt>
                <c:pt idx="1">
                  <c:v>0.12499810990761229</c:v>
                </c:pt>
                <c:pt idx="2">
                  <c:v>0.36403683412045179</c:v>
                </c:pt>
                <c:pt idx="3">
                  <c:v>3.8709092100421866E-2</c:v>
                </c:pt>
                <c:pt idx="4">
                  <c:v>1.3642938866851811E-2</c:v>
                </c:pt>
                <c:pt idx="5">
                  <c:v>9.569764570092186E-2</c:v>
                </c:pt>
                <c:pt idx="6">
                  <c:v>1.2988714888383743E-3</c:v>
                </c:pt>
                <c:pt idx="7">
                  <c:v>1.0685322298553954E-3</c:v>
                </c:pt>
                <c:pt idx="8">
                  <c:v>0.35504402655201789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8-BA4E-A4C0-334C4988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88208"/>
        <c:axId val="445288600"/>
      </c:barChart>
      <c:lineChart>
        <c:grouping val="standard"/>
        <c:varyColors val="0"/>
        <c:ser>
          <c:idx val="2"/>
          <c:order val="2"/>
          <c:tx>
            <c:strRef>
              <c:f>'July 20th Sales Report'!$L$23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Report'!$L$24:$L$33</c:f>
              <c:numCache>
                <c:formatCode>0%</c:formatCode>
                <c:ptCount val="10"/>
                <c:pt idx="0">
                  <c:v>7.8100000000000003E-2</c:v>
                </c:pt>
                <c:pt idx="1">
                  <c:v>-0.04</c:v>
                </c:pt>
                <c:pt idx="2">
                  <c:v>-1.3299999999999999E-2</c:v>
                </c:pt>
                <c:pt idx="3">
                  <c:v>3.2199999999999999E-2</c:v>
                </c:pt>
                <c:pt idx="4">
                  <c:v>0.11899999999999999</c:v>
                </c:pt>
                <c:pt idx="5">
                  <c:v>-9.7999999999999997E-3</c:v>
                </c:pt>
                <c:pt idx="6">
                  <c:v>5.9400000000000001E-2</c:v>
                </c:pt>
                <c:pt idx="7">
                  <c:v>1.89E-2</c:v>
                </c:pt>
                <c:pt idx="8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8-BA4E-A4C0-334C4988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82720"/>
        <c:axId val="445289384"/>
      </c:lineChart>
      <c:catAx>
        <c:axId val="445288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8600"/>
        <c:crosses val="autoZero"/>
        <c:auto val="1"/>
        <c:lblAlgn val="ctr"/>
        <c:lblOffset val="100"/>
        <c:noMultiLvlLbl val="0"/>
      </c:catAx>
      <c:valAx>
        <c:axId val="4452886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8208"/>
        <c:crosses val="autoZero"/>
        <c:crossBetween val="between"/>
      </c:valAx>
      <c:catAx>
        <c:axId val="445282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9384"/>
        <c:crosses val="autoZero"/>
        <c:auto val="1"/>
        <c:lblAlgn val="ctr"/>
        <c:lblOffset val="100"/>
        <c:noMultiLvlLbl val="0"/>
      </c:catAx>
      <c:valAx>
        <c:axId val="4452893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827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Report'!$J$35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Report'!$I$36:$I$46</c:f>
              <c:strCache>
                <c:ptCount val="11"/>
                <c:pt idx="0">
                  <c:v>ann-INV318</c:v>
                </c:pt>
                <c:pt idx="1">
                  <c:v>ann-INV321</c:v>
                </c:pt>
                <c:pt idx="2">
                  <c:v>ann-INV319</c:v>
                </c:pt>
                <c:pt idx="3">
                  <c:v>ann-INV325</c:v>
                </c:pt>
                <c:pt idx="4">
                  <c:v>ann-INV323</c:v>
                </c:pt>
                <c:pt idx="5">
                  <c:v>ann-INV320</c:v>
                </c:pt>
                <c:pt idx="6">
                  <c:v>ann-INV324</c:v>
                </c:pt>
                <c:pt idx="7">
                  <c:v>ann-INV326</c:v>
                </c:pt>
                <c:pt idx="8">
                  <c:v>ann-INV327</c:v>
                </c:pt>
                <c:pt idx="9">
                  <c:v>ann-INV328</c:v>
                </c:pt>
                <c:pt idx="10">
                  <c:v>Total</c:v>
                </c:pt>
              </c:strCache>
            </c:strRef>
          </c:cat>
          <c:val>
            <c:numRef>
              <c:f>'July 20th Sales Report'!$J$36:$J$46</c:f>
              <c:numCache>
                <c:formatCode>_(* #,##0_);_(* \(#,##0\);_(* \-??_);_(@_)</c:formatCode>
                <c:ptCount val="11"/>
                <c:pt idx="0">
                  <c:v>54600</c:v>
                </c:pt>
                <c:pt idx="1">
                  <c:v>1240000</c:v>
                </c:pt>
                <c:pt idx="2">
                  <c:v>3611300</c:v>
                </c:pt>
                <c:pt idx="3">
                  <c:v>459000</c:v>
                </c:pt>
                <c:pt idx="4">
                  <c:v>154540</c:v>
                </c:pt>
                <c:pt idx="5">
                  <c:v>89140</c:v>
                </c:pt>
                <c:pt idx="6">
                  <c:v>888995</c:v>
                </c:pt>
                <c:pt idx="7">
                  <c:v>12885</c:v>
                </c:pt>
                <c:pt idx="8">
                  <c:v>10600</c:v>
                </c:pt>
                <c:pt idx="9">
                  <c:v>4121490</c:v>
                </c:pt>
                <c:pt idx="10">
                  <c:v>10642550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D84C-B132-420B84BD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91344"/>
        <c:axId val="445292128"/>
      </c:barChart>
      <c:lineChart>
        <c:grouping val="standard"/>
        <c:varyColors val="0"/>
        <c:ser>
          <c:idx val="1"/>
          <c:order val="1"/>
          <c:tx>
            <c:strRef>
              <c:f>'July 20th Sales Report'!$K$35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20th Sales Report'!$I$36:$I$46</c:f>
              <c:strCache>
                <c:ptCount val="11"/>
                <c:pt idx="0">
                  <c:v>ann-INV318</c:v>
                </c:pt>
                <c:pt idx="1">
                  <c:v>ann-INV321</c:v>
                </c:pt>
                <c:pt idx="2">
                  <c:v>ann-INV319</c:v>
                </c:pt>
                <c:pt idx="3">
                  <c:v>ann-INV325</c:v>
                </c:pt>
                <c:pt idx="4">
                  <c:v>ann-INV323</c:v>
                </c:pt>
                <c:pt idx="5">
                  <c:v>ann-INV320</c:v>
                </c:pt>
                <c:pt idx="6">
                  <c:v>ann-INV324</c:v>
                </c:pt>
                <c:pt idx="7">
                  <c:v>ann-INV326</c:v>
                </c:pt>
                <c:pt idx="8">
                  <c:v>ann-INV327</c:v>
                </c:pt>
                <c:pt idx="9">
                  <c:v>ann-INV328</c:v>
                </c:pt>
                <c:pt idx="10">
                  <c:v>Total</c:v>
                </c:pt>
              </c:strCache>
            </c:strRef>
          </c:cat>
          <c:val>
            <c:numRef>
              <c:f>'July 20th Sales Report'!$K$36:$K$46</c:f>
              <c:numCache>
                <c:formatCode>0%</c:formatCode>
                <c:ptCount val="11"/>
                <c:pt idx="0">
                  <c:v>0.08</c:v>
                </c:pt>
                <c:pt idx="1">
                  <c:v>-0.04</c:v>
                </c:pt>
                <c:pt idx="2">
                  <c:v>-0.01</c:v>
                </c:pt>
                <c:pt idx="3">
                  <c:v>0.03</c:v>
                </c:pt>
                <c:pt idx="4">
                  <c:v>0.12</c:v>
                </c:pt>
                <c:pt idx="5">
                  <c:v>0.01</c:v>
                </c:pt>
                <c:pt idx="6">
                  <c:v>-0.01</c:v>
                </c:pt>
                <c:pt idx="7">
                  <c:v>0.06</c:v>
                </c:pt>
                <c:pt idx="8">
                  <c:v>0.02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7D-D84C-B132-420B84BD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92520"/>
        <c:axId val="445280368"/>
      </c:lineChart>
      <c:catAx>
        <c:axId val="445291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2128"/>
        <c:crosses val="autoZero"/>
        <c:auto val="1"/>
        <c:lblAlgn val="ctr"/>
        <c:lblOffset val="100"/>
        <c:noMultiLvlLbl val="0"/>
      </c:catAx>
      <c:valAx>
        <c:axId val="4452921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1344"/>
        <c:crosses val="autoZero"/>
        <c:crossBetween val="between"/>
      </c:valAx>
      <c:catAx>
        <c:axId val="445292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80368"/>
        <c:crosses val="autoZero"/>
        <c:auto val="1"/>
        <c:lblAlgn val="ctr"/>
        <c:lblOffset val="100"/>
        <c:noMultiLvlLbl val="0"/>
      </c:catAx>
      <c:valAx>
        <c:axId val="4452803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25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Report'!$J$2:$J$19</c:f>
              <c:numCache>
                <c:formatCode>General</c:formatCode>
                <c:ptCount val="18"/>
                <c:pt idx="0">
                  <c:v>380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21</c:v>
                </c:pt>
                <c:pt idx="7">
                  <c:v>9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D-0D4A-9BDE-AD4DA7B0196A}"/>
            </c:ext>
          </c:extLst>
        </c:ser>
        <c:ser>
          <c:idx val="1"/>
          <c:order val="1"/>
          <c:tx>
            <c:strRef>
              <c:f>'July 21st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Report'!$K$2:$K$19</c:f>
              <c:numCache>
                <c:formatCode>_(* #,##0_);_(* \(#,##0\);_(* \-??_);_(@_)</c:formatCode>
                <c:ptCount val="18"/>
                <c:pt idx="0">
                  <c:v>1900300</c:v>
                </c:pt>
                <c:pt idx="1">
                  <c:v>101200</c:v>
                </c:pt>
                <c:pt idx="2">
                  <c:v>174695</c:v>
                </c:pt>
                <c:pt idx="3">
                  <c:v>46000</c:v>
                </c:pt>
                <c:pt idx="4">
                  <c:v>28900</c:v>
                </c:pt>
                <c:pt idx="5">
                  <c:v>10315</c:v>
                </c:pt>
                <c:pt idx="6">
                  <c:v>186000</c:v>
                </c:pt>
                <c:pt idx="7">
                  <c:v>122475</c:v>
                </c:pt>
                <c:pt idx="8">
                  <c:v>39600</c:v>
                </c:pt>
                <c:pt idx="9">
                  <c:v>26920</c:v>
                </c:pt>
                <c:pt idx="10">
                  <c:v>12885</c:v>
                </c:pt>
                <c:pt idx="11">
                  <c:v>32290</c:v>
                </c:pt>
                <c:pt idx="12">
                  <c:v>32290</c:v>
                </c:pt>
                <c:pt idx="13">
                  <c:v>22740</c:v>
                </c:pt>
                <c:pt idx="14">
                  <c:v>76245</c:v>
                </c:pt>
                <c:pt idx="15">
                  <c:v>26000</c:v>
                </c:pt>
                <c:pt idx="16">
                  <c:v>40100</c:v>
                </c:pt>
                <c:pt idx="17">
                  <c:v>2878955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D-0D4A-9BDE-AD4DA7B0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95264"/>
        <c:axId val="445294480"/>
      </c:barChart>
      <c:lineChart>
        <c:grouping val="standard"/>
        <c:varyColors val="0"/>
        <c:ser>
          <c:idx val="2"/>
          <c:order val="2"/>
          <c:tx>
            <c:strRef>
              <c:f>'July 21st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Report'!$L$2:$L$19</c:f>
              <c:numCache>
                <c:formatCode>0%</c:formatCode>
                <c:ptCount val="18"/>
                <c:pt idx="0">
                  <c:v>0.66006589196427179</c:v>
                </c:pt>
                <c:pt idx="1">
                  <c:v>3.5151643565113036E-2</c:v>
                </c:pt>
                <c:pt idx="2">
                  <c:v>6.0680003681891519E-2</c:v>
                </c:pt>
                <c:pt idx="3">
                  <c:v>1.5978019802324106E-2</c:v>
                </c:pt>
                <c:pt idx="4">
                  <c:v>1.0038364614938407E-2</c:v>
                </c:pt>
                <c:pt idx="5">
                  <c:v>3.5828972665428948E-3</c:v>
                </c:pt>
                <c:pt idx="6">
                  <c:v>6.4606775722440959E-2</c:v>
                </c:pt>
                <c:pt idx="7">
                  <c:v>4.2541477723687937E-2</c:v>
                </c:pt>
                <c:pt idx="8">
                  <c:v>1.3754990960261622E-2</c:v>
                </c:pt>
                <c:pt idx="9">
                  <c:v>9.350615066925326E-3</c:v>
                </c:pt>
                <c:pt idx="10">
                  <c:v>4.4755822859336115E-3</c:v>
                </c:pt>
                <c:pt idx="11">
                  <c:v>1.121587520471838E-2</c:v>
                </c:pt>
                <c:pt idx="12">
                  <c:v>1.121587520471838E-2</c:v>
                </c:pt>
                <c:pt idx="13">
                  <c:v>7.8986993544532657E-3</c:v>
                </c:pt>
                <c:pt idx="14">
                  <c:v>2.6483567822352207E-2</c:v>
                </c:pt>
                <c:pt idx="15">
                  <c:v>9.031054670878844E-3</c:v>
                </c:pt>
                <c:pt idx="16">
                  <c:v>1.3928665088547754E-2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D-0D4A-9BDE-AD4DA7B0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92912"/>
        <c:axId val="445295656"/>
      </c:lineChart>
      <c:catAx>
        <c:axId val="445295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4480"/>
        <c:crosses val="autoZero"/>
        <c:auto val="1"/>
        <c:lblAlgn val="ctr"/>
        <c:lblOffset val="100"/>
        <c:noMultiLvlLbl val="0"/>
      </c:catAx>
      <c:valAx>
        <c:axId val="4452944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5264"/>
        <c:crosses val="autoZero"/>
        <c:crossBetween val="between"/>
      </c:valAx>
      <c:catAx>
        <c:axId val="44529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5295656"/>
        <c:crosses val="autoZero"/>
        <c:auto val="1"/>
        <c:lblAlgn val="ctr"/>
        <c:lblOffset val="100"/>
        <c:noMultiLvlLbl val="0"/>
      </c:catAx>
      <c:valAx>
        <c:axId val="445295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29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Report'!$J$21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Report'!$J$22:$J$30</c:f>
              <c:numCache>
                <c:formatCode>_(* #,##0_);_(* \(#,##0\);_(* \-??_);_(@_)</c:formatCode>
                <c:ptCount val="9"/>
                <c:pt idx="0">
                  <c:v>884215</c:v>
                </c:pt>
                <c:pt idx="1">
                  <c:v>370725</c:v>
                </c:pt>
                <c:pt idx="2">
                  <c:v>1200000</c:v>
                </c:pt>
                <c:pt idx="3">
                  <c:v>179580</c:v>
                </c:pt>
                <c:pt idx="4">
                  <c:v>46650</c:v>
                </c:pt>
                <c:pt idx="5">
                  <c:v>48735</c:v>
                </c:pt>
                <c:pt idx="6">
                  <c:v>33950</c:v>
                </c:pt>
                <c:pt idx="7">
                  <c:v>115100</c:v>
                </c:pt>
                <c:pt idx="8">
                  <c:v>2878955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7-5641-A427-4AFCCB361506}"/>
            </c:ext>
          </c:extLst>
        </c:ser>
        <c:ser>
          <c:idx val="1"/>
          <c:order val="1"/>
          <c:tx>
            <c:strRef>
              <c:f>'July 21st Sales Report'!$K$21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Report'!$K$22:$K$30</c:f>
              <c:numCache>
                <c:formatCode>0%</c:formatCode>
                <c:ptCount val="9"/>
                <c:pt idx="0">
                  <c:v>0.3071305386850437</c:v>
                </c:pt>
                <c:pt idx="1">
                  <c:v>0.12877068241775227</c:v>
                </c:pt>
                <c:pt idx="2">
                  <c:v>0.41681790788671585</c:v>
                </c:pt>
                <c:pt idx="3">
                  <c:v>6.2376799915247028E-2</c:v>
                </c:pt>
                <c:pt idx="4">
                  <c:v>1.6203796169096077E-2</c:v>
                </c:pt>
                <c:pt idx="5">
                  <c:v>1.6928017284049246E-2</c:v>
                </c:pt>
                <c:pt idx="6">
                  <c:v>1.1792473310628335E-2</c:v>
                </c:pt>
                <c:pt idx="7">
                  <c:v>3.9979784331467497E-2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7-5641-A427-4AFCCB361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293304"/>
        <c:axId val="445294872"/>
      </c:barChart>
      <c:lineChart>
        <c:grouping val="standard"/>
        <c:varyColors val="0"/>
        <c:ser>
          <c:idx val="2"/>
          <c:order val="2"/>
          <c:tx>
            <c:strRef>
              <c:f>'July 21st Sales Report'!$L$21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Report'!$L$22:$L$30</c:f>
              <c:numCache>
                <c:formatCode>0%</c:formatCode>
                <c:ptCount val="9"/>
                <c:pt idx="0">
                  <c:v>2.7000000000000001E-3</c:v>
                </c:pt>
                <c:pt idx="1">
                  <c:v>5.11E-2</c:v>
                </c:pt>
                <c:pt idx="2">
                  <c:v>-0.04</c:v>
                </c:pt>
                <c:pt idx="3">
                  <c:v>0.13769999999999999</c:v>
                </c:pt>
                <c:pt idx="4">
                  <c:v>6.2899999999999998E-2</c:v>
                </c:pt>
                <c:pt idx="5">
                  <c:v>4.99E-2</c:v>
                </c:pt>
                <c:pt idx="6">
                  <c:v>9.9000000000000008E-3</c:v>
                </c:pt>
                <c:pt idx="7">
                  <c:v>-1.15E-2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57-5641-A427-4AFCCB361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293696"/>
        <c:axId val="447576024"/>
      </c:lineChart>
      <c:catAx>
        <c:axId val="445293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4872"/>
        <c:crosses val="autoZero"/>
        <c:auto val="1"/>
        <c:lblAlgn val="ctr"/>
        <c:lblOffset val="100"/>
        <c:noMultiLvlLbl val="0"/>
      </c:catAx>
      <c:valAx>
        <c:axId val="4452948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3304"/>
        <c:crosses val="autoZero"/>
        <c:crossBetween val="between"/>
      </c:valAx>
      <c:catAx>
        <c:axId val="445293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76024"/>
        <c:crosses val="autoZero"/>
        <c:auto val="1"/>
        <c:lblAlgn val="ctr"/>
        <c:lblOffset val="100"/>
        <c:noMultiLvlLbl val="0"/>
      </c:catAx>
      <c:valAx>
        <c:axId val="4475760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52936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Report'!$I$33:$I$43</c:f>
              <c:strCache>
                <c:ptCount val="11"/>
                <c:pt idx="0">
                  <c:v>ann-INV329</c:v>
                </c:pt>
                <c:pt idx="1">
                  <c:v>ann-INV330</c:v>
                </c:pt>
                <c:pt idx="2">
                  <c:v>ann-INV332</c:v>
                </c:pt>
                <c:pt idx="3">
                  <c:v>ann-INV333</c:v>
                </c:pt>
                <c:pt idx="4">
                  <c:v>ann-INV337</c:v>
                </c:pt>
                <c:pt idx="5">
                  <c:v>ann-INV335</c:v>
                </c:pt>
                <c:pt idx="6">
                  <c:v>ann-INV334</c:v>
                </c:pt>
                <c:pt idx="7">
                  <c:v>ann-INV336</c:v>
                </c:pt>
                <c:pt idx="8">
                  <c:v>ann-INV338</c:v>
                </c:pt>
                <c:pt idx="9">
                  <c:v>ann-INV331</c:v>
                </c:pt>
                <c:pt idx="10">
                  <c:v>Total</c:v>
                </c:pt>
              </c:strCache>
            </c:strRef>
          </c:cat>
          <c:val>
            <c:numRef>
              <c:f>'July 21st Sales Report'!$J$33:$J$43</c:f>
              <c:numCache>
                <c:formatCode>_(* #,##0_);_(* \(#,##0\);_(* \-??_);_(@_)</c:formatCode>
                <c:ptCount val="11"/>
                <c:pt idx="0">
                  <c:v>600000</c:v>
                </c:pt>
                <c:pt idx="1">
                  <c:v>326615</c:v>
                </c:pt>
                <c:pt idx="2">
                  <c:v>411125</c:v>
                </c:pt>
                <c:pt idx="3">
                  <c:v>1200000</c:v>
                </c:pt>
                <c:pt idx="4">
                  <c:v>196980</c:v>
                </c:pt>
                <c:pt idx="5">
                  <c:v>46650</c:v>
                </c:pt>
                <c:pt idx="6">
                  <c:v>48735</c:v>
                </c:pt>
                <c:pt idx="7">
                  <c:v>5000</c:v>
                </c:pt>
                <c:pt idx="8">
                  <c:v>115100</c:v>
                </c:pt>
                <c:pt idx="9">
                  <c:v>32550</c:v>
                </c:pt>
                <c:pt idx="10">
                  <c:v>2982755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A-C348-80D2-3E9E812A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72888"/>
        <c:axId val="447570928"/>
      </c:barChart>
      <c:lineChart>
        <c:grouping val="standard"/>
        <c:varyColors val="0"/>
        <c:ser>
          <c:idx val="1"/>
          <c:order val="1"/>
          <c:tx>
            <c:strRef>
              <c:f>'July 21st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21st Sales Report'!$I$33:$I$43</c:f>
              <c:strCache>
                <c:ptCount val="11"/>
                <c:pt idx="0">
                  <c:v>ann-INV329</c:v>
                </c:pt>
                <c:pt idx="1">
                  <c:v>ann-INV330</c:v>
                </c:pt>
                <c:pt idx="2">
                  <c:v>ann-INV332</c:v>
                </c:pt>
                <c:pt idx="3">
                  <c:v>ann-INV333</c:v>
                </c:pt>
                <c:pt idx="4">
                  <c:v>ann-INV337</c:v>
                </c:pt>
                <c:pt idx="5">
                  <c:v>ann-INV335</c:v>
                </c:pt>
                <c:pt idx="6">
                  <c:v>ann-INV334</c:v>
                </c:pt>
                <c:pt idx="7">
                  <c:v>ann-INV336</c:v>
                </c:pt>
                <c:pt idx="8">
                  <c:v>ann-INV338</c:v>
                </c:pt>
                <c:pt idx="9">
                  <c:v>ann-INV331</c:v>
                </c:pt>
                <c:pt idx="10">
                  <c:v>Total</c:v>
                </c:pt>
              </c:strCache>
            </c:strRef>
          </c:cat>
          <c:val>
            <c:numRef>
              <c:f>'July 21st Sales Report'!$K$33:$K$43</c:f>
              <c:numCache>
                <c:formatCode>0%</c:formatCode>
                <c:ptCount val="11"/>
                <c:pt idx="0">
                  <c:v>-0.04</c:v>
                </c:pt>
                <c:pt idx="1">
                  <c:v>0.08</c:v>
                </c:pt>
                <c:pt idx="2">
                  <c:v>0.05</c:v>
                </c:pt>
                <c:pt idx="3">
                  <c:v>-0.04</c:v>
                </c:pt>
                <c:pt idx="4">
                  <c:v>0.14000000000000001</c:v>
                </c:pt>
                <c:pt idx="5">
                  <c:v>0.06</c:v>
                </c:pt>
                <c:pt idx="6">
                  <c:v>0.05</c:v>
                </c:pt>
                <c:pt idx="7">
                  <c:v>-0.04</c:v>
                </c:pt>
                <c:pt idx="8">
                  <c:v>-0.01</c:v>
                </c:pt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A-C348-80D2-3E9E812A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72104"/>
        <c:axId val="447570144"/>
      </c:lineChart>
      <c:catAx>
        <c:axId val="447572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0928"/>
        <c:crosses val="autoZero"/>
        <c:auto val="1"/>
        <c:lblAlgn val="ctr"/>
        <c:lblOffset val="100"/>
        <c:noMultiLvlLbl val="0"/>
      </c:catAx>
      <c:valAx>
        <c:axId val="447570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2888"/>
        <c:crosses val="autoZero"/>
        <c:crossBetween val="between"/>
      </c:valAx>
      <c:catAx>
        <c:axId val="447572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70144"/>
        <c:crosses val="autoZero"/>
        <c:auto val="1"/>
        <c:lblAlgn val="ctr"/>
        <c:lblOffset val="100"/>
        <c:noMultiLvlLbl val="0"/>
      </c:catAx>
      <c:valAx>
        <c:axId val="4475701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21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Report'!$J$2:$J$15</c:f>
              <c:numCache>
                <c:formatCode>General</c:formatCode>
                <c:ptCount val="14"/>
                <c:pt idx="0">
                  <c:v>30</c:v>
                </c:pt>
                <c:pt idx="1">
                  <c:v>15</c:v>
                </c:pt>
                <c:pt idx="2">
                  <c:v>21</c:v>
                </c:pt>
                <c:pt idx="3">
                  <c:v>40</c:v>
                </c:pt>
                <c:pt idx="4">
                  <c:v>598</c:v>
                </c:pt>
                <c:pt idx="5">
                  <c:v>64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D-4748-A43B-4C485403633B}"/>
            </c:ext>
          </c:extLst>
        </c:ser>
        <c:ser>
          <c:idx val="1"/>
          <c:order val="1"/>
          <c:tx>
            <c:strRef>
              <c:f>'July 22nd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Report'!$K$2:$K$15</c:f>
              <c:numCache>
                <c:formatCode>_(* #,##0_);_(* \(#,##0\);_(* \-??_);_(@_)</c:formatCode>
                <c:ptCount val="14"/>
                <c:pt idx="0">
                  <c:v>469650</c:v>
                </c:pt>
                <c:pt idx="1">
                  <c:v>234825</c:v>
                </c:pt>
                <c:pt idx="2">
                  <c:v>275460</c:v>
                </c:pt>
                <c:pt idx="3">
                  <c:v>688000</c:v>
                </c:pt>
                <c:pt idx="4">
                  <c:v>2990000</c:v>
                </c:pt>
                <c:pt idx="5">
                  <c:v>589700</c:v>
                </c:pt>
                <c:pt idx="6">
                  <c:v>28445</c:v>
                </c:pt>
                <c:pt idx="7">
                  <c:v>24235</c:v>
                </c:pt>
                <c:pt idx="8">
                  <c:v>18000</c:v>
                </c:pt>
                <c:pt idx="9">
                  <c:v>18700</c:v>
                </c:pt>
                <c:pt idx="10">
                  <c:v>27900</c:v>
                </c:pt>
                <c:pt idx="11">
                  <c:v>13900</c:v>
                </c:pt>
                <c:pt idx="12">
                  <c:v>9200</c:v>
                </c:pt>
                <c:pt idx="13">
                  <c:v>5388015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D-4748-A43B-4C4854036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74064"/>
        <c:axId val="447574456"/>
      </c:barChart>
      <c:lineChart>
        <c:grouping val="standard"/>
        <c:varyColors val="0"/>
        <c:ser>
          <c:idx val="2"/>
          <c:order val="2"/>
          <c:tx>
            <c:strRef>
              <c:f>'July 22nd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Report'!$L$2:$L$15</c:f>
              <c:numCache>
                <c:formatCode>0%</c:formatCode>
                <c:ptCount val="14"/>
                <c:pt idx="0">
                  <c:v>8.7165681610017795E-2</c:v>
                </c:pt>
                <c:pt idx="1">
                  <c:v>4.3582840805008898E-2</c:v>
                </c:pt>
                <c:pt idx="2">
                  <c:v>5.1124579274556582E-2</c:v>
                </c:pt>
                <c:pt idx="3">
                  <c:v>0.12769081006641592</c:v>
                </c:pt>
                <c:pt idx="4">
                  <c:v>0.55493535188747622</c:v>
                </c:pt>
                <c:pt idx="5">
                  <c:v>0.10944661438396144</c:v>
                </c:pt>
                <c:pt idx="6">
                  <c:v>5.2793097272372108E-3</c:v>
                </c:pt>
                <c:pt idx="7">
                  <c:v>4.4979459040110316E-3</c:v>
                </c:pt>
                <c:pt idx="8">
                  <c:v>3.3407479377841375E-3</c:v>
                </c:pt>
                <c:pt idx="9">
                  <c:v>3.4706659131424097E-3</c:v>
                </c:pt>
                <c:pt idx="10">
                  <c:v>5.1781593035654131E-3</c:v>
                </c:pt>
                <c:pt idx="11">
                  <c:v>2.5797997963999727E-3</c:v>
                </c:pt>
                <c:pt idx="12">
                  <c:v>1.7074933904230036E-3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D-4748-A43B-4C4854036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77200"/>
        <c:axId val="447570536"/>
      </c:lineChart>
      <c:catAx>
        <c:axId val="447574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4456"/>
        <c:crosses val="autoZero"/>
        <c:auto val="1"/>
        <c:lblAlgn val="ctr"/>
        <c:lblOffset val="100"/>
        <c:noMultiLvlLbl val="0"/>
      </c:catAx>
      <c:valAx>
        <c:axId val="4475744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4064"/>
        <c:crosses val="autoZero"/>
        <c:crossBetween val="between"/>
      </c:valAx>
      <c:catAx>
        <c:axId val="447577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70536"/>
        <c:crosses val="autoZero"/>
        <c:auto val="1"/>
        <c:lblAlgn val="ctr"/>
        <c:lblOffset val="100"/>
        <c:noMultiLvlLbl val="0"/>
      </c:catAx>
      <c:valAx>
        <c:axId val="4475705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72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Report'!$J$18:$J$24</c:f>
              <c:numCache>
                <c:formatCode>_(* #,##0_);_(* \(#,##0\);_(* \-??_);_(@_)</c:formatCode>
                <c:ptCount val="7"/>
                <c:pt idx="0">
                  <c:v>2894475</c:v>
                </c:pt>
                <c:pt idx="1">
                  <c:v>752000</c:v>
                </c:pt>
                <c:pt idx="2">
                  <c:v>500000</c:v>
                </c:pt>
                <c:pt idx="3">
                  <c:v>84050</c:v>
                </c:pt>
                <c:pt idx="4">
                  <c:v>1102680</c:v>
                </c:pt>
                <c:pt idx="5">
                  <c:v>54810</c:v>
                </c:pt>
                <c:pt idx="6">
                  <c:v>5388015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0-3C42-8432-BD04A474CECA}"/>
            </c:ext>
          </c:extLst>
        </c:ser>
        <c:ser>
          <c:idx val="1"/>
          <c:order val="1"/>
          <c:tx>
            <c:strRef>
              <c:f>'July 22nd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Report'!$K$18:$K$24</c:f>
              <c:numCache>
                <c:formatCode>0%</c:formatCode>
                <c:ptCount val="7"/>
                <c:pt idx="0">
                  <c:v>0.53720618817876342</c:v>
                </c:pt>
                <c:pt idx="1">
                  <c:v>0.13956902495631507</c:v>
                </c:pt>
                <c:pt idx="2">
                  <c:v>9.2798553827337149E-2</c:v>
                </c:pt>
                <c:pt idx="3">
                  <c:v>1.5599436898375375E-2</c:v>
                </c:pt>
                <c:pt idx="4">
                  <c:v>0.20465421866865627</c:v>
                </c:pt>
                <c:pt idx="5">
                  <c:v>1.01725774705527E-2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0-3C42-8432-BD04A474C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71320"/>
        <c:axId val="447573280"/>
      </c:barChart>
      <c:lineChart>
        <c:grouping val="standard"/>
        <c:varyColors val="0"/>
        <c:ser>
          <c:idx val="2"/>
          <c:order val="2"/>
          <c:tx>
            <c:strRef>
              <c:f>'July 22nd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Report'!$L$18:$L$24</c:f>
              <c:numCache>
                <c:formatCode>0%</c:formatCode>
                <c:ptCount val="7"/>
                <c:pt idx="0">
                  <c:v>-1.09E-2</c:v>
                </c:pt>
                <c:pt idx="1">
                  <c:v>3.27E-2</c:v>
                </c:pt>
                <c:pt idx="2">
                  <c:v>-0.04</c:v>
                </c:pt>
                <c:pt idx="3">
                  <c:v>8.6900000000000005E-2</c:v>
                </c:pt>
                <c:pt idx="4">
                  <c:v>-3.4000000000000002E-2</c:v>
                </c:pt>
                <c:pt idx="5">
                  <c:v>6.2700000000000006E-2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0-3C42-8432-BD04A474C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71712"/>
        <c:axId val="447573672"/>
      </c:lineChart>
      <c:catAx>
        <c:axId val="447571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3280"/>
        <c:crosses val="autoZero"/>
        <c:auto val="1"/>
        <c:lblAlgn val="ctr"/>
        <c:lblOffset val="100"/>
        <c:noMultiLvlLbl val="0"/>
      </c:catAx>
      <c:valAx>
        <c:axId val="4475732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1320"/>
        <c:crosses val="autoZero"/>
        <c:crossBetween val="between"/>
      </c:valAx>
      <c:catAx>
        <c:axId val="447571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73672"/>
        <c:crosses val="autoZero"/>
        <c:auto val="1"/>
        <c:lblAlgn val="ctr"/>
        <c:lblOffset val="100"/>
        <c:noMultiLvlLbl val="0"/>
      </c:catAx>
      <c:valAx>
        <c:axId val="4475736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17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Report'!$I$27:$I$38</c:f>
              <c:strCache>
                <c:ptCount val="12"/>
                <c:pt idx="0">
                  <c:v>ann-INV340</c:v>
                </c:pt>
                <c:pt idx="1">
                  <c:v>ann-INV342</c:v>
                </c:pt>
                <c:pt idx="2">
                  <c:v>ann-INV341</c:v>
                </c:pt>
                <c:pt idx="3">
                  <c:v>ann-INV343</c:v>
                </c:pt>
                <c:pt idx="4">
                  <c:v>ann-INV339</c:v>
                </c:pt>
                <c:pt idx="5">
                  <c:v>ann-INV345</c:v>
                </c:pt>
                <c:pt idx="6">
                  <c:v>ann-INV344</c:v>
                </c:pt>
                <c:pt idx="7">
                  <c:v>ann-INV346</c:v>
                </c:pt>
                <c:pt idx="8">
                  <c:v>ann-INV347</c:v>
                </c:pt>
                <c:pt idx="9">
                  <c:v>ann-INV348</c:v>
                </c:pt>
                <c:pt idx="10">
                  <c:v>ann-INV349</c:v>
                </c:pt>
                <c:pt idx="11">
                  <c:v>Total</c:v>
                </c:pt>
              </c:strCache>
            </c:strRef>
          </c:cat>
          <c:val>
            <c:numRef>
              <c:f>'July 22nd Sales Report'!$J$27:$J$38</c:f>
              <c:numCache>
                <c:formatCode>_(* #,##0_);_(* \(#,##0\);_(* \-??_);_(@_)</c:formatCode>
                <c:ptCount val="12"/>
                <c:pt idx="0">
                  <c:v>1654475</c:v>
                </c:pt>
                <c:pt idx="1">
                  <c:v>200000</c:v>
                </c:pt>
                <c:pt idx="2">
                  <c:v>500000</c:v>
                </c:pt>
                <c:pt idx="3">
                  <c:v>19000</c:v>
                </c:pt>
                <c:pt idx="4">
                  <c:v>1240000</c:v>
                </c:pt>
                <c:pt idx="5">
                  <c:v>52680</c:v>
                </c:pt>
                <c:pt idx="6">
                  <c:v>1050000</c:v>
                </c:pt>
                <c:pt idx="7">
                  <c:v>41950</c:v>
                </c:pt>
                <c:pt idx="8">
                  <c:v>552000</c:v>
                </c:pt>
                <c:pt idx="9">
                  <c:v>54810</c:v>
                </c:pt>
                <c:pt idx="10">
                  <c:v>23100</c:v>
                </c:pt>
                <c:pt idx="11">
                  <c:v>5388015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F-444E-BD1F-CEBB8AD1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76416"/>
        <c:axId val="447576808"/>
      </c:barChart>
      <c:lineChart>
        <c:grouping val="standard"/>
        <c:varyColors val="0"/>
        <c:ser>
          <c:idx val="1"/>
          <c:order val="1"/>
          <c:tx>
            <c:strRef>
              <c:f>'July 22nd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22nd Sales Report'!$I$27:$I$38</c:f>
              <c:strCache>
                <c:ptCount val="12"/>
                <c:pt idx="0">
                  <c:v>ann-INV340</c:v>
                </c:pt>
                <c:pt idx="1">
                  <c:v>ann-INV342</c:v>
                </c:pt>
                <c:pt idx="2">
                  <c:v>ann-INV341</c:v>
                </c:pt>
                <c:pt idx="3">
                  <c:v>ann-INV343</c:v>
                </c:pt>
                <c:pt idx="4">
                  <c:v>ann-INV339</c:v>
                </c:pt>
                <c:pt idx="5">
                  <c:v>ann-INV345</c:v>
                </c:pt>
                <c:pt idx="6">
                  <c:v>ann-INV344</c:v>
                </c:pt>
                <c:pt idx="7">
                  <c:v>ann-INV346</c:v>
                </c:pt>
                <c:pt idx="8">
                  <c:v>ann-INV347</c:v>
                </c:pt>
                <c:pt idx="9">
                  <c:v>ann-INV348</c:v>
                </c:pt>
                <c:pt idx="10">
                  <c:v>ann-INV349</c:v>
                </c:pt>
                <c:pt idx="11">
                  <c:v>Total</c:v>
                </c:pt>
              </c:strCache>
            </c:strRef>
          </c:cat>
          <c:val>
            <c:numRef>
              <c:f>'July 22nd Sales Report'!$K$27:$K$38</c:f>
              <c:numCache>
                <c:formatCode>0%</c:formatCode>
                <c:ptCount val="12"/>
                <c:pt idx="0">
                  <c:v>0.01</c:v>
                </c:pt>
                <c:pt idx="1">
                  <c:v>-0.04</c:v>
                </c:pt>
                <c:pt idx="2">
                  <c:v>-0.04</c:v>
                </c:pt>
                <c:pt idx="3">
                  <c:v>0.09</c:v>
                </c:pt>
                <c:pt idx="4">
                  <c:v>-0.04</c:v>
                </c:pt>
                <c:pt idx="5">
                  <c:v>0.09</c:v>
                </c:pt>
                <c:pt idx="6">
                  <c:v>-0.04</c:v>
                </c:pt>
                <c:pt idx="7">
                  <c:v>0.08</c:v>
                </c:pt>
                <c:pt idx="8">
                  <c:v>0.06</c:v>
                </c:pt>
                <c:pt idx="9">
                  <c:v>0.06</c:v>
                </c:pt>
                <c:pt idx="1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F-444E-BD1F-CEBB8AD1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4464"/>
        <c:axId val="447548584"/>
      </c:lineChart>
      <c:catAx>
        <c:axId val="447576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6808"/>
        <c:crosses val="autoZero"/>
        <c:auto val="1"/>
        <c:lblAlgn val="ctr"/>
        <c:lblOffset val="100"/>
        <c:noMultiLvlLbl val="0"/>
      </c:catAx>
      <c:valAx>
        <c:axId val="4475768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76416"/>
        <c:crosses val="autoZero"/>
        <c:crossBetween val="between"/>
      </c:valAx>
      <c:catAx>
        <c:axId val="447554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48584"/>
        <c:crosses val="autoZero"/>
        <c:auto val="1"/>
        <c:lblAlgn val="ctr"/>
        <c:lblOffset val="100"/>
        <c:noMultiLvlLbl val="0"/>
      </c:catAx>
      <c:valAx>
        <c:axId val="4475485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44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Report'!$J$2:$J$15</c:f>
              <c:numCache>
                <c:formatCode>General</c:formatCode>
                <c:ptCount val="14"/>
                <c:pt idx="0">
                  <c:v>804</c:v>
                </c:pt>
                <c:pt idx="1">
                  <c:v>5</c:v>
                </c:pt>
                <c:pt idx="2">
                  <c:v>51</c:v>
                </c:pt>
                <c:pt idx="3">
                  <c:v>9</c:v>
                </c:pt>
                <c:pt idx="4">
                  <c:v>16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16</c:v>
                </c:pt>
                <c:pt idx="13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3-424C-A496-0DAA4D57D804}"/>
            </c:ext>
          </c:extLst>
        </c:ser>
        <c:ser>
          <c:idx val="1"/>
          <c:order val="1"/>
          <c:tx>
            <c:strRef>
              <c:f>'July 23rd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Report'!$K$2:$K$15</c:f>
              <c:numCache>
                <c:formatCode>_(* #,##0_);_(* \(#,##0\);_(* \-??_);_(@_)</c:formatCode>
                <c:ptCount val="14"/>
                <c:pt idx="0">
                  <c:v>4020000</c:v>
                </c:pt>
                <c:pt idx="1">
                  <c:v>67750</c:v>
                </c:pt>
                <c:pt idx="2">
                  <c:v>465740</c:v>
                </c:pt>
                <c:pt idx="3">
                  <c:v>120015</c:v>
                </c:pt>
                <c:pt idx="4">
                  <c:v>147200</c:v>
                </c:pt>
                <c:pt idx="5">
                  <c:v>21400</c:v>
                </c:pt>
                <c:pt idx="6">
                  <c:v>31050</c:v>
                </c:pt>
                <c:pt idx="7">
                  <c:v>13460</c:v>
                </c:pt>
                <c:pt idx="8">
                  <c:v>23820</c:v>
                </c:pt>
                <c:pt idx="9">
                  <c:v>44400</c:v>
                </c:pt>
                <c:pt idx="10">
                  <c:v>22960</c:v>
                </c:pt>
                <c:pt idx="11">
                  <c:v>18690</c:v>
                </c:pt>
                <c:pt idx="12">
                  <c:v>131500</c:v>
                </c:pt>
                <c:pt idx="13">
                  <c:v>5127985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3-424C-A496-0DAA4D57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45840"/>
        <c:axId val="447554856"/>
      </c:barChart>
      <c:lineChart>
        <c:grouping val="standard"/>
        <c:varyColors val="0"/>
        <c:ser>
          <c:idx val="2"/>
          <c:order val="2"/>
          <c:tx>
            <c:strRef>
              <c:f>'July 23rd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Report'!$L$2:$L$15</c:f>
              <c:numCache>
                <c:formatCode>0%</c:formatCode>
                <c:ptCount val="14"/>
                <c:pt idx="0">
                  <c:v>0.7839336503519414</c:v>
                </c:pt>
                <c:pt idx="1">
                  <c:v>1.3211817117249757E-2</c:v>
                </c:pt>
                <c:pt idx="2">
                  <c:v>9.0823198585799292E-2</c:v>
                </c:pt>
                <c:pt idx="3">
                  <c:v>2.3403929613678667E-2</c:v>
                </c:pt>
                <c:pt idx="4">
                  <c:v>2.8705232172090988E-2</c:v>
                </c:pt>
                <c:pt idx="5">
                  <c:v>4.1731791337143147E-3</c:v>
                </c:pt>
                <c:pt idx="6">
                  <c:v>6.0550099113004423E-3</c:v>
                </c:pt>
                <c:pt idx="7">
                  <c:v>2.6248126700838632E-3</c:v>
                </c:pt>
                <c:pt idx="8">
                  <c:v>4.6450993908913538E-3</c:v>
                </c:pt>
                <c:pt idx="9">
                  <c:v>8.6583716606035317E-3</c:v>
                </c:pt>
                <c:pt idx="10">
                  <c:v>4.4773921920598439E-3</c:v>
                </c:pt>
                <c:pt idx="11">
                  <c:v>3.6447064490243244E-3</c:v>
                </c:pt>
                <c:pt idx="12">
                  <c:v>2.5643600751562259E-2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73-424C-A496-0DAA4D57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0544"/>
        <c:axId val="447556816"/>
      </c:lineChart>
      <c:catAx>
        <c:axId val="447545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4856"/>
        <c:crosses val="autoZero"/>
        <c:auto val="1"/>
        <c:lblAlgn val="ctr"/>
        <c:lblOffset val="100"/>
        <c:noMultiLvlLbl val="0"/>
      </c:catAx>
      <c:valAx>
        <c:axId val="4475548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5840"/>
        <c:crosses val="autoZero"/>
        <c:crossBetween val="between"/>
      </c:valAx>
      <c:catAx>
        <c:axId val="447550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56816"/>
        <c:crosses val="autoZero"/>
        <c:auto val="1"/>
        <c:lblAlgn val="ctr"/>
        <c:lblOffset val="100"/>
        <c:noMultiLvlLbl val="0"/>
      </c:catAx>
      <c:valAx>
        <c:axId val="4475568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05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Report'!$J$18:$J$24</c:f>
              <c:numCache>
                <c:formatCode>_(* #,##0_);_(* \(#,##0\);_(* \-??_);_(@_)</c:formatCode>
                <c:ptCount val="7"/>
                <c:pt idx="0">
                  <c:v>2547750</c:v>
                </c:pt>
                <c:pt idx="1">
                  <c:v>1501000</c:v>
                </c:pt>
                <c:pt idx="2">
                  <c:v>37340</c:v>
                </c:pt>
                <c:pt idx="3">
                  <c:v>636405</c:v>
                </c:pt>
                <c:pt idx="4">
                  <c:v>378590</c:v>
                </c:pt>
                <c:pt idx="5">
                  <c:v>26900</c:v>
                </c:pt>
                <c:pt idx="6">
                  <c:v>5127985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5-AE41-8A63-98976893BA84}"/>
            </c:ext>
          </c:extLst>
        </c:ser>
        <c:ser>
          <c:idx val="1"/>
          <c:order val="1"/>
          <c:tx>
            <c:strRef>
              <c:f>'July 23rd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Report'!$K$18:$K$24</c:f>
              <c:numCache>
                <c:formatCode>0%</c:formatCode>
                <c:ptCount val="7"/>
                <c:pt idx="0">
                  <c:v>0.49683257653834789</c:v>
                </c:pt>
                <c:pt idx="1">
                  <c:v>0.29270756447220497</c:v>
                </c:pt>
                <c:pt idx="2">
                  <c:v>7.2816125632192766E-3</c:v>
                </c:pt>
                <c:pt idx="3">
                  <c:v>0.12410430217717096</c:v>
                </c:pt>
                <c:pt idx="4">
                  <c:v>7.3828219076303853E-2</c:v>
                </c:pt>
                <c:pt idx="5">
                  <c:v>5.2457251727530407E-3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5-AE41-8A63-98976893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45056"/>
        <c:axId val="447547408"/>
      </c:barChart>
      <c:lineChart>
        <c:grouping val="standard"/>
        <c:varyColors val="0"/>
        <c:ser>
          <c:idx val="2"/>
          <c:order val="2"/>
          <c:tx>
            <c:strRef>
              <c:f>'July 23rd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Report'!$L$18:$L$24</c:f>
              <c:numCache>
                <c:formatCode>0%</c:formatCode>
                <c:ptCount val="7"/>
                <c:pt idx="0">
                  <c:v>-3.7699999999999997E-2</c:v>
                </c:pt>
                <c:pt idx="1">
                  <c:v>-2.0199999999999999E-2</c:v>
                </c:pt>
                <c:pt idx="2">
                  <c:v>7.2700000000000001E-2</c:v>
                </c:pt>
                <c:pt idx="3">
                  <c:v>2.4E-2</c:v>
                </c:pt>
                <c:pt idx="4">
                  <c:v>7.9200000000000007E-2</c:v>
                </c:pt>
                <c:pt idx="5">
                  <c:v>5.45E-2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5-AE41-8A63-98976893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2112"/>
        <c:axId val="447546232"/>
      </c:lineChart>
      <c:catAx>
        <c:axId val="447545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7408"/>
        <c:crosses val="autoZero"/>
        <c:auto val="1"/>
        <c:lblAlgn val="ctr"/>
        <c:lblOffset val="100"/>
        <c:noMultiLvlLbl val="0"/>
      </c:catAx>
      <c:valAx>
        <c:axId val="4475474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5056"/>
        <c:crosses val="autoZero"/>
        <c:crossBetween val="between"/>
      </c:valAx>
      <c:catAx>
        <c:axId val="447552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46232"/>
        <c:crosses val="autoZero"/>
        <c:auto val="1"/>
        <c:lblAlgn val="ctr"/>
        <c:lblOffset val="100"/>
        <c:noMultiLvlLbl val="0"/>
      </c:catAx>
      <c:valAx>
        <c:axId val="4475462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21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Report'!$I$27:$I$36</c:f>
              <c:strCache>
                <c:ptCount val="10"/>
                <c:pt idx="0">
                  <c:v>ann-INV350</c:v>
                </c:pt>
                <c:pt idx="1">
                  <c:v>ann-INV351</c:v>
                </c:pt>
                <c:pt idx="2">
                  <c:v>ann-INV352</c:v>
                </c:pt>
                <c:pt idx="3">
                  <c:v>Tayo-INV141</c:v>
                </c:pt>
                <c:pt idx="4">
                  <c:v>ann-INV353</c:v>
                </c:pt>
                <c:pt idx="5">
                  <c:v>ann-INV354</c:v>
                </c:pt>
                <c:pt idx="6">
                  <c:v>ann-INV355</c:v>
                </c:pt>
                <c:pt idx="7">
                  <c:v>ann-INV356</c:v>
                </c:pt>
                <c:pt idx="8">
                  <c:v>ann-INV357</c:v>
                </c:pt>
                <c:pt idx="9">
                  <c:v>Total</c:v>
                </c:pt>
              </c:strCache>
            </c:strRef>
          </c:cat>
          <c:val>
            <c:numRef>
              <c:f>'July 23rd Sales Report'!$J$27:$J$36</c:f>
              <c:numCache>
                <c:formatCode>_(* #,##0_);_(* \(#,##0\);_(* \-??_);_(@_)</c:formatCode>
                <c:ptCount val="10"/>
                <c:pt idx="0">
                  <c:v>2480000</c:v>
                </c:pt>
                <c:pt idx="1">
                  <c:v>67750</c:v>
                </c:pt>
                <c:pt idx="2">
                  <c:v>1240000</c:v>
                </c:pt>
                <c:pt idx="3">
                  <c:v>37340</c:v>
                </c:pt>
                <c:pt idx="4">
                  <c:v>391605</c:v>
                </c:pt>
                <c:pt idx="5">
                  <c:v>449590</c:v>
                </c:pt>
                <c:pt idx="6">
                  <c:v>300000</c:v>
                </c:pt>
                <c:pt idx="7">
                  <c:v>26900</c:v>
                </c:pt>
                <c:pt idx="8">
                  <c:v>316500</c:v>
                </c:pt>
                <c:pt idx="9">
                  <c:v>5309685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2-734B-A82D-AA628C34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47016"/>
        <c:axId val="447548976"/>
      </c:barChart>
      <c:lineChart>
        <c:grouping val="standard"/>
        <c:varyColors val="0"/>
        <c:ser>
          <c:idx val="1"/>
          <c:order val="1"/>
          <c:tx>
            <c:strRef>
              <c:f>'July 23rd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23rd Sales Report'!$I$27:$I$36</c:f>
              <c:strCache>
                <c:ptCount val="10"/>
                <c:pt idx="0">
                  <c:v>ann-INV350</c:v>
                </c:pt>
                <c:pt idx="1">
                  <c:v>ann-INV351</c:v>
                </c:pt>
                <c:pt idx="2">
                  <c:v>ann-INV352</c:v>
                </c:pt>
                <c:pt idx="3">
                  <c:v>Tayo-INV141</c:v>
                </c:pt>
                <c:pt idx="4">
                  <c:v>ann-INV353</c:v>
                </c:pt>
                <c:pt idx="5">
                  <c:v>ann-INV354</c:v>
                </c:pt>
                <c:pt idx="6">
                  <c:v>ann-INV355</c:v>
                </c:pt>
                <c:pt idx="7">
                  <c:v>ann-INV356</c:v>
                </c:pt>
                <c:pt idx="8">
                  <c:v>ann-INV357</c:v>
                </c:pt>
                <c:pt idx="9">
                  <c:v>Total</c:v>
                </c:pt>
              </c:strCache>
            </c:strRef>
          </c:cat>
          <c:val>
            <c:numRef>
              <c:f>'July 23rd Sales Report'!$K$27:$K$36</c:f>
              <c:numCache>
                <c:formatCode>0%</c:formatCode>
                <c:ptCount val="10"/>
                <c:pt idx="0">
                  <c:v>-0.04</c:v>
                </c:pt>
                <c:pt idx="1">
                  <c:v>0.05</c:v>
                </c:pt>
                <c:pt idx="2">
                  <c:v>-0.04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-0.04</c:v>
                </c:pt>
                <c:pt idx="7">
                  <c:v>0.05</c:v>
                </c:pt>
                <c:pt idx="8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2-734B-A82D-AA628C34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47800"/>
        <c:axId val="447548192"/>
      </c:lineChart>
      <c:catAx>
        <c:axId val="447547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8976"/>
        <c:crosses val="autoZero"/>
        <c:auto val="1"/>
        <c:lblAlgn val="ctr"/>
        <c:lblOffset val="100"/>
        <c:noMultiLvlLbl val="0"/>
      </c:catAx>
      <c:valAx>
        <c:axId val="4475489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7016"/>
        <c:crosses val="autoZero"/>
        <c:crossBetween val="between"/>
      </c:valAx>
      <c:catAx>
        <c:axId val="447547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48192"/>
        <c:crosses val="autoZero"/>
        <c:auto val="1"/>
        <c:lblAlgn val="ctr"/>
        <c:lblOffset val="100"/>
        <c:noMultiLvlLbl val="0"/>
      </c:catAx>
      <c:valAx>
        <c:axId val="4475481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78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Report'!$J$2:$J$14</c:f>
              <c:numCache>
                <c:formatCode>General</c:formatCode>
                <c:ptCount val="13"/>
                <c:pt idx="0">
                  <c:v>258</c:v>
                </c:pt>
                <c:pt idx="1">
                  <c:v>298</c:v>
                </c:pt>
                <c:pt idx="2">
                  <c:v>11</c:v>
                </c:pt>
                <c:pt idx="3">
                  <c:v>292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  <c:pt idx="12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B-AA4C-967D-9CF795B04599}"/>
            </c:ext>
          </c:extLst>
        </c:ser>
        <c:ser>
          <c:idx val="1"/>
          <c:order val="1"/>
          <c:tx>
            <c:strRef>
              <c:f>'July 24th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Report'!$K$2:$K$14</c:f>
              <c:numCache>
                <c:formatCode>_(* #,##0_);_(* \(#,##0\);_(* \-??_);_(@_)</c:formatCode>
                <c:ptCount val="13"/>
                <c:pt idx="0">
                  <c:v>2276840</c:v>
                </c:pt>
                <c:pt idx="1">
                  <c:v>2683400</c:v>
                </c:pt>
                <c:pt idx="2">
                  <c:v>149760</c:v>
                </c:pt>
                <c:pt idx="3">
                  <c:v>1460400</c:v>
                </c:pt>
                <c:pt idx="4">
                  <c:v>21400</c:v>
                </c:pt>
                <c:pt idx="5">
                  <c:v>66160</c:v>
                </c:pt>
                <c:pt idx="6">
                  <c:v>14575</c:v>
                </c:pt>
                <c:pt idx="7">
                  <c:v>48255</c:v>
                </c:pt>
                <c:pt idx="8">
                  <c:v>9500</c:v>
                </c:pt>
                <c:pt idx="9">
                  <c:v>57400</c:v>
                </c:pt>
                <c:pt idx="10">
                  <c:v>27000</c:v>
                </c:pt>
                <c:pt idx="11">
                  <c:v>9710</c:v>
                </c:pt>
                <c:pt idx="12">
                  <c:v>6824400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B-AA4C-967D-9CF795B04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49368"/>
        <c:axId val="447550936"/>
      </c:barChart>
      <c:lineChart>
        <c:grouping val="standard"/>
        <c:varyColors val="0"/>
        <c:ser>
          <c:idx val="2"/>
          <c:order val="2"/>
          <c:tx>
            <c:strRef>
              <c:f>'July 24th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Report'!$L$2:$L$14</c:f>
              <c:numCache>
                <c:formatCode>0%</c:formatCode>
                <c:ptCount val="13"/>
                <c:pt idx="0">
                  <c:v>0.33363226071156438</c:v>
                </c:pt>
                <c:pt idx="1">
                  <c:v>0.39320672879667079</c:v>
                </c:pt>
                <c:pt idx="2">
                  <c:v>2.194478635484438E-2</c:v>
                </c:pt>
                <c:pt idx="3">
                  <c:v>0.21399683488658344</c:v>
                </c:pt>
                <c:pt idx="4">
                  <c:v>3.135806810855167E-3</c:v>
                </c:pt>
                <c:pt idx="5">
                  <c:v>9.6946251685129832E-3</c:v>
                </c:pt>
                <c:pt idx="6">
                  <c:v>2.1357188910380398E-3</c:v>
                </c:pt>
                <c:pt idx="7">
                  <c:v>7.0709512924213118E-3</c:v>
                </c:pt>
                <c:pt idx="8">
                  <c:v>1.3920637711740227E-3</c:v>
                </c:pt>
                <c:pt idx="9">
                  <c:v>8.41099583846199E-3</c:v>
                </c:pt>
                <c:pt idx="10">
                  <c:v>3.956391770705117E-3</c:v>
                </c:pt>
                <c:pt idx="11">
                  <c:v>1.4228357071683958E-3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B-AA4C-967D-9CF795B04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7208"/>
        <c:axId val="447555640"/>
      </c:lineChart>
      <c:catAx>
        <c:axId val="447549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0936"/>
        <c:crosses val="autoZero"/>
        <c:auto val="1"/>
        <c:lblAlgn val="ctr"/>
        <c:lblOffset val="100"/>
        <c:noMultiLvlLbl val="0"/>
      </c:catAx>
      <c:valAx>
        <c:axId val="4475509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49368"/>
        <c:crosses val="autoZero"/>
        <c:crossBetween val="between"/>
      </c:valAx>
      <c:catAx>
        <c:axId val="447557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55640"/>
        <c:crosses val="autoZero"/>
        <c:auto val="1"/>
        <c:lblAlgn val="ctr"/>
        <c:lblOffset val="100"/>
        <c:noMultiLvlLbl val="0"/>
      </c:catAx>
      <c:valAx>
        <c:axId val="4475556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72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Report'!$J$16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Report'!$J$17:$J$26</c:f>
              <c:numCache>
                <c:formatCode>_(* #,##0_);_(* \(#,##0\);_(* \-??_);_(@_)</c:formatCode>
                <c:ptCount val="10"/>
                <c:pt idx="0">
                  <c:v>3707200</c:v>
                </c:pt>
                <c:pt idx="1">
                  <c:v>23450</c:v>
                </c:pt>
                <c:pt idx="2">
                  <c:v>356480</c:v>
                </c:pt>
                <c:pt idx="3">
                  <c:v>69925</c:v>
                </c:pt>
                <c:pt idx="4">
                  <c:v>1350000</c:v>
                </c:pt>
                <c:pt idx="5">
                  <c:v>337075</c:v>
                </c:pt>
                <c:pt idx="6">
                  <c:v>597440</c:v>
                </c:pt>
                <c:pt idx="7">
                  <c:v>152830</c:v>
                </c:pt>
                <c:pt idx="8">
                  <c:v>230000</c:v>
                </c:pt>
                <c:pt idx="9">
                  <c:v>6824400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A-E340-9B7D-B568D2CF08B9}"/>
            </c:ext>
          </c:extLst>
        </c:ser>
        <c:ser>
          <c:idx val="1"/>
          <c:order val="1"/>
          <c:tx>
            <c:strRef>
              <c:f>'July 24th Sales Report'!$K$16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Report'!$K$17:$K$26</c:f>
              <c:numCache>
                <c:formatCode>0%</c:formatCode>
                <c:ptCount val="10"/>
                <c:pt idx="0">
                  <c:v>0.54322724342066697</c:v>
                </c:pt>
                <c:pt idx="1">
                  <c:v>3.4361995193716664E-3</c:v>
                </c:pt>
                <c:pt idx="2">
                  <c:v>5.2236094015591115E-2</c:v>
                </c:pt>
                <c:pt idx="3">
                  <c:v>1.024632202098353E-2</c:v>
                </c:pt>
                <c:pt idx="4">
                  <c:v>0.19781958853525586</c:v>
                </c:pt>
                <c:pt idx="5">
                  <c:v>4.9392620596682493E-2</c:v>
                </c:pt>
                <c:pt idx="6">
                  <c:v>8.7544692573706118E-2</c:v>
                </c:pt>
                <c:pt idx="7">
                  <c:v>2.2394642752476407E-2</c:v>
                </c:pt>
                <c:pt idx="8">
                  <c:v>3.3702596565265808E-2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A-E340-9B7D-B568D2CF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50152"/>
        <c:axId val="447551328"/>
      </c:barChart>
      <c:lineChart>
        <c:grouping val="standard"/>
        <c:varyColors val="0"/>
        <c:ser>
          <c:idx val="2"/>
          <c:order val="2"/>
          <c:tx>
            <c:strRef>
              <c:f>'July 24th Sales Report'!$L$16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Report'!$L$17:$L$26</c:f>
              <c:numCache>
                <c:formatCode>0%</c:formatCode>
                <c:ptCount val="10"/>
                <c:pt idx="0">
                  <c:v>2.1899999999999999E-2</c:v>
                </c:pt>
                <c:pt idx="1">
                  <c:v>8.72E-2</c:v>
                </c:pt>
                <c:pt idx="2">
                  <c:v>4.3900000000000002E-2</c:v>
                </c:pt>
                <c:pt idx="3">
                  <c:v>7.8799999999999995E-2</c:v>
                </c:pt>
                <c:pt idx="4">
                  <c:v>-0.04</c:v>
                </c:pt>
                <c:pt idx="5">
                  <c:v>6.3500000000000001E-2</c:v>
                </c:pt>
                <c:pt idx="6">
                  <c:v>7.2900000000000006E-2</c:v>
                </c:pt>
                <c:pt idx="7">
                  <c:v>7.0000000000000007E-2</c:v>
                </c:pt>
                <c:pt idx="8">
                  <c:v>5.1799999999999999E-2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A-E340-9B7D-B568D2CF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2504"/>
        <c:axId val="447552896"/>
      </c:lineChart>
      <c:catAx>
        <c:axId val="447550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1328"/>
        <c:crosses val="autoZero"/>
        <c:auto val="1"/>
        <c:lblAlgn val="ctr"/>
        <c:lblOffset val="100"/>
        <c:noMultiLvlLbl val="0"/>
      </c:catAx>
      <c:valAx>
        <c:axId val="4475513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0152"/>
        <c:crosses val="autoZero"/>
        <c:crossBetween val="between"/>
      </c:valAx>
      <c:catAx>
        <c:axId val="447552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52896"/>
        <c:crosses val="autoZero"/>
        <c:auto val="1"/>
        <c:lblAlgn val="ctr"/>
        <c:lblOffset val="100"/>
        <c:noMultiLvlLbl val="0"/>
      </c:catAx>
      <c:valAx>
        <c:axId val="4475528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25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Report'!$J$28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Report'!$I$29:$I$42</c:f>
              <c:strCache>
                <c:ptCount val="14"/>
                <c:pt idx="0">
                  <c:v>ann-INV358</c:v>
                </c:pt>
                <c:pt idx="1">
                  <c:v>ann-INV359</c:v>
                </c:pt>
                <c:pt idx="2">
                  <c:v>ann-INV360</c:v>
                </c:pt>
                <c:pt idx="3">
                  <c:v>ann-INV363</c:v>
                </c:pt>
                <c:pt idx="4">
                  <c:v>ann-INV361</c:v>
                </c:pt>
                <c:pt idx="5">
                  <c:v>ann-INV362</c:v>
                </c:pt>
                <c:pt idx="6">
                  <c:v>ann-INV364</c:v>
                </c:pt>
                <c:pt idx="7">
                  <c:v>ann-INV365</c:v>
                </c:pt>
                <c:pt idx="8">
                  <c:v>ann-INV366</c:v>
                </c:pt>
                <c:pt idx="9">
                  <c:v>ann-INV367</c:v>
                </c:pt>
                <c:pt idx="10">
                  <c:v>ann-INV368</c:v>
                </c:pt>
                <c:pt idx="11">
                  <c:v>ann-INV369</c:v>
                </c:pt>
                <c:pt idx="12">
                  <c:v>ann-INV370</c:v>
                </c:pt>
                <c:pt idx="13">
                  <c:v>Total</c:v>
                </c:pt>
              </c:strCache>
            </c:strRef>
          </c:cat>
          <c:val>
            <c:numRef>
              <c:f>'July 24th Sales Report'!$J$29:$J$42</c:f>
              <c:numCache>
                <c:formatCode>_(* #,##0_);_(* \(#,##0\);_(* \-??_);_(@_)</c:formatCode>
                <c:ptCount val="14"/>
                <c:pt idx="0">
                  <c:v>4463200</c:v>
                </c:pt>
                <c:pt idx="1">
                  <c:v>9500</c:v>
                </c:pt>
                <c:pt idx="2">
                  <c:v>13950</c:v>
                </c:pt>
                <c:pt idx="3">
                  <c:v>416280</c:v>
                </c:pt>
                <c:pt idx="4">
                  <c:v>19000</c:v>
                </c:pt>
                <c:pt idx="5">
                  <c:v>1350000</c:v>
                </c:pt>
                <c:pt idx="6">
                  <c:v>383075</c:v>
                </c:pt>
                <c:pt idx="7">
                  <c:v>18670</c:v>
                </c:pt>
                <c:pt idx="8">
                  <c:v>154730</c:v>
                </c:pt>
                <c:pt idx="9">
                  <c:v>58225</c:v>
                </c:pt>
                <c:pt idx="10">
                  <c:v>230000</c:v>
                </c:pt>
                <c:pt idx="11">
                  <c:v>20470</c:v>
                </c:pt>
                <c:pt idx="12">
                  <c:v>560100</c:v>
                </c:pt>
                <c:pt idx="13">
                  <c:v>7697200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7A4D-80C9-7E677F2DD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53680"/>
        <c:axId val="447555248"/>
      </c:barChart>
      <c:lineChart>
        <c:grouping val="standard"/>
        <c:varyColors val="0"/>
        <c:ser>
          <c:idx val="1"/>
          <c:order val="1"/>
          <c:tx>
            <c:strRef>
              <c:f>'July 24th Sales Report'!$K$28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24th Sales Report'!$I$29:$I$42</c:f>
              <c:strCache>
                <c:ptCount val="14"/>
                <c:pt idx="0">
                  <c:v>ann-INV358</c:v>
                </c:pt>
                <c:pt idx="1">
                  <c:v>ann-INV359</c:v>
                </c:pt>
                <c:pt idx="2">
                  <c:v>ann-INV360</c:v>
                </c:pt>
                <c:pt idx="3">
                  <c:v>ann-INV363</c:v>
                </c:pt>
                <c:pt idx="4">
                  <c:v>ann-INV361</c:v>
                </c:pt>
                <c:pt idx="5">
                  <c:v>ann-INV362</c:v>
                </c:pt>
                <c:pt idx="6">
                  <c:v>ann-INV364</c:v>
                </c:pt>
                <c:pt idx="7">
                  <c:v>ann-INV365</c:v>
                </c:pt>
                <c:pt idx="8">
                  <c:v>ann-INV366</c:v>
                </c:pt>
                <c:pt idx="9">
                  <c:v>ann-INV367</c:v>
                </c:pt>
                <c:pt idx="10">
                  <c:v>ann-INV368</c:v>
                </c:pt>
                <c:pt idx="11">
                  <c:v>ann-INV369</c:v>
                </c:pt>
                <c:pt idx="12">
                  <c:v>ann-INV370</c:v>
                </c:pt>
                <c:pt idx="13">
                  <c:v>Total</c:v>
                </c:pt>
              </c:strCache>
            </c:strRef>
          </c:cat>
          <c:val>
            <c:numRef>
              <c:f>'July 24th Sales Report'!$K$29:$K$42</c:f>
              <c:numCache>
                <c:formatCode>0%</c:formatCode>
                <c:ptCount val="14"/>
                <c:pt idx="0">
                  <c:v>0.02</c:v>
                </c:pt>
                <c:pt idx="1">
                  <c:v>0.09</c:v>
                </c:pt>
                <c:pt idx="2">
                  <c:v>0.09</c:v>
                </c:pt>
                <c:pt idx="3">
                  <c:v>0.04</c:v>
                </c:pt>
                <c:pt idx="4">
                  <c:v>0.08</c:v>
                </c:pt>
                <c:pt idx="5">
                  <c:v>-0.04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0.05</c:v>
                </c:pt>
                <c:pt idx="11">
                  <c:v>0.08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A-7A4D-80C9-7E677F2DD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56032"/>
        <c:axId val="447556424"/>
      </c:lineChart>
      <c:catAx>
        <c:axId val="447553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5248"/>
        <c:crosses val="autoZero"/>
        <c:auto val="1"/>
        <c:lblAlgn val="ctr"/>
        <c:lblOffset val="100"/>
        <c:noMultiLvlLbl val="0"/>
      </c:catAx>
      <c:valAx>
        <c:axId val="4475552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3680"/>
        <c:crosses val="autoZero"/>
        <c:crossBetween val="between"/>
      </c:valAx>
      <c:catAx>
        <c:axId val="447556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56424"/>
        <c:crosses val="autoZero"/>
        <c:auto val="1"/>
        <c:lblAlgn val="ctr"/>
        <c:lblOffset val="100"/>
        <c:noMultiLvlLbl val="0"/>
      </c:catAx>
      <c:valAx>
        <c:axId val="4475564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60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Report'!$J$2:$J$16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267</c:v>
                </c:pt>
                <c:pt idx="3">
                  <c:v>64</c:v>
                </c:pt>
                <c:pt idx="4">
                  <c:v>6</c:v>
                </c:pt>
                <c:pt idx="5">
                  <c:v>3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C-7E43-A36E-778B4C5CDBA4}"/>
            </c:ext>
          </c:extLst>
        </c:ser>
        <c:ser>
          <c:idx val="1"/>
          <c:order val="1"/>
          <c:tx>
            <c:strRef>
              <c:f>'July 25th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Report'!$K$2:$K$16</c:f>
              <c:numCache>
                <c:formatCode>_(* #,##0_);_(* \(#,##0\);_(* \-??_);_(@_)</c:formatCode>
                <c:ptCount val="15"/>
                <c:pt idx="0">
                  <c:v>21485</c:v>
                </c:pt>
                <c:pt idx="1">
                  <c:v>28290</c:v>
                </c:pt>
                <c:pt idx="2">
                  <c:v>1335600</c:v>
                </c:pt>
                <c:pt idx="3">
                  <c:v>576035</c:v>
                </c:pt>
                <c:pt idx="4">
                  <c:v>136440</c:v>
                </c:pt>
                <c:pt idx="5">
                  <c:v>63510</c:v>
                </c:pt>
                <c:pt idx="6">
                  <c:v>98000</c:v>
                </c:pt>
                <c:pt idx="7">
                  <c:v>110400</c:v>
                </c:pt>
                <c:pt idx="8">
                  <c:v>107295</c:v>
                </c:pt>
                <c:pt idx="9">
                  <c:v>17500</c:v>
                </c:pt>
                <c:pt idx="10">
                  <c:v>4200</c:v>
                </c:pt>
                <c:pt idx="11">
                  <c:v>16145</c:v>
                </c:pt>
                <c:pt idx="12">
                  <c:v>80725</c:v>
                </c:pt>
                <c:pt idx="13">
                  <c:v>16950</c:v>
                </c:pt>
                <c:pt idx="14">
                  <c:v>2612575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C-7E43-A36E-778B4C5CD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9752"/>
        <c:axId val="447567400"/>
      </c:barChart>
      <c:lineChart>
        <c:grouping val="standard"/>
        <c:varyColors val="0"/>
        <c:ser>
          <c:idx val="2"/>
          <c:order val="2"/>
          <c:tx>
            <c:strRef>
              <c:f>'July 25th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Report'!$L$2:$L$16</c:f>
              <c:numCache>
                <c:formatCode>0%</c:formatCode>
                <c:ptCount val="15"/>
                <c:pt idx="0">
                  <c:v>8.2236873582576583E-3</c:v>
                </c:pt>
                <c:pt idx="1">
                  <c:v>1.0828397270891745E-2</c:v>
                </c:pt>
                <c:pt idx="2">
                  <c:v>0.51121977359501636</c:v>
                </c:pt>
                <c:pt idx="3">
                  <c:v>0.2204855363003933</c:v>
                </c:pt>
                <c:pt idx="4">
                  <c:v>5.2224338057280655E-2</c:v>
                </c:pt>
                <c:pt idx="5">
                  <c:v>2.4309349970814235E-2</c:v>
                </c:pt>
                <c:pt idx="6">
                  <c:v>3.7510884854980241E-2</c:v>
                </c:pt>
                <c:pt idx="7">
                  <c:v>4.2257160081528758E-2</c:v>
                </c:pt>
                <c:pt idx="8">
                  <c:v>4.1068677454235765E-2</c:v>
                </c:pt>
                <c:pt idx="9">
                  <c:v>6.6983722955321857E-3</c:v>
                </c:pt>
                <c:pt idx="10">
                  <c:v>1.6076093509277245E-3</c:v>
                </c:pt>
                <c:pt idx="11">
                  <c:v>6.1797268977924081E-3</c:v>
                </c:pt>
                <c:pt idx="12">
                  <c:v>3.0898634488962039E-2</c:v>
                </c:pt>
                <c:pt idx="13">
                  <c:v>6.4878520233868885E-3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C-7E43-A36E-778B4C5CD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1912"/>
        <c:axId val="447562304"/>
      </c:lineChart>
      <c:catAx>
        <c:axId val="447569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7400"/>
        <c:crosses val="autoZero"/>
        <c:auto val="1"/>
        <c:lblAlgn val="ctr"/>
        <c:lblOffset val="100"/>
        <c:noMultiLvlLbl val="0"/>
      </c:catAx>
      <c:valAx>
        <c:axId val="4475674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9752"/>
        <c:crosses val="autoZero"/>
        <c:crossBetween val="between"/>
      </c:valAx>
      <c:catAx>
        <c:axId val="447561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62304"/>
        <c:crosses val="autoZero"/>
        <c:auto val="1"/>
        <c:lblAlgn val="ctr"/>
        <c:lblOffset val="100"/>
        <c:noMultiLvlLbl val="0"/>
      </c:catAx>
      <c:valAx>
        <c:axId val="44756230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19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Report'!$J$18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Report'!$J$19:$J$31</c:f>
              <c:numCache>
                <c:formatCode>_(* #,##0_);_(* \(#,##0\);_(* \-??_);_(@_)</c:formatCode>
                <c:ptCount val="13"/>
                <c:pt idx="0">
                  <c:v>247500</c:v>
                </c:pt>
                <c:pt idx="1">
                  <c:v>27550</c:v>
                </c:pt>
                <c:pt idx="2">
                  <c:v>1300000</c:v>
                </c:pt>
                <c:pt idx="3">
                  <c:v>177210</c:v>
                </c:pt>
                <c:pt idx="4">
                  <c:v>92000</c:v>
                </c:pt>
                <c:pt idx="5">
                  <c:v>27600</c:v>
                </c:pt>
                <c:pt idx="6">
                  <c:v>511475</c:v>
                </c:pt>
                <c:pt idx="7">
                  <c:v>35735</c:v>
                </c:pt>
                <c:pt idx="8">
                  <c:v>74120</c:v>
                </c:pt>
                <c:pt idx="9">
                  <c:v>36600</c:v>
                </c:pt>
                <c:pt idx="10">
                  <c:v>23450</c:v>
                </c:pt>
                <c:pt idx="11">
                  <c:v>59335</c:v>
                </c:pt>
                <c:pt idx="12">
                  <c:v>2612575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8-1649-9B3A-C0DABD5D81AA}"/>
            </c:ext>
          </c:extLst>
        </c:ser>
        <c:ser>
          <c:idx val="1"/>
          <c:order val="1"/>
          <c:tx>
            <c:strRef>
              <c:f>'July 25th Sales Report'!$K$18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Report'!$K$19:$K$31</c:f>
              <c:numCache>
                <c:formatCode>0%</c:formatCode>
                <c:ptCount val="13"/>
                <c:pt idx="0">
                  <c:v>9.4734122465383763E-2</c:v>
                </c:pt>
                <c:pt idx="1">
                  <c:v>1.0545151813823527E-2</c:v>
                </c:pt>
                <c:pt idx="2">
                  <c:v>0.4975933705252481</c:v>
                </c:pt>
                <c:pt idx="3">
                  <c:v>6.7829631685214775E-2</c:v>
                </c:pt>
                <c:pt idx="4">
                  <c:v>3.5214300067940636E-2</c:v>
                </c:pt>
                <c:pt idx="5">
                  <c:v>1.0564290020382189E-2</c:v>
                </c:pt>
                <c:pt idx="6">
                  <c:v>0.19577428399184713</c:v>
                </c:pt>
                <c:pt idx="7">
                  <c:v>1.3678076227476722E-2</c:v>
                </c:pt>
                <c:pt idx="8">
                  <c:v>2.8370477402562606E-2</c:v>
                </c:pt>
                <c:pt idx="9">
                  <c:v>1.40091672009416E-2</c:v>
                </c:pt>
                <c:pt idx="10">
                  <c:v>8.9758188760131283E-3</c:v>
                </c:pt>
                <c:pt idx="11">
                  <c:v>2.2711309723165842E-2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8-1649-9B3A-C0DABD5D8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8184"/>
        <c:axId val="447561520"/>
      </c:barChart>
      <c:lineChart>
        <c:grouping val="standard"/>
        <c:varyColors val="0"/>
        <c:ser>
          <c:idx val="2"/>
          <c:order val="2"/>
          <c:tx>
            <c:strRef>
              <c:f>'July 25th Sales Report'!$L$18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Report'!$L$19:$L$31</c:f>
              <c:numCache>
                <c:formatCode>0%</c:formatCode>
                <c:ptCount val="13"/>
                <c:pt idx="0">
                  <c:v>5.2999999999999999E-2</c:v>
                </c:pt>
                <c:pt idx="1">
                  <c:v>0.28939999999999999</c:v>
                </c:pt>
                <c:pt idx="2">
                  <c:v>-0.04</c:v>
                </c:pt>
                <c:pt idx="3">
                  <c:v>4.53E-2</c:v>
                </c:pt>
                <c:pt idx="4">
                  <c:v>7.5300000000000006E-2</c:v>
                </c:pt>
                <c:pt idx="5">
                  <c:v>5.91E-2</c:v>
                </c:pt>
                <c:pt idx="6">
                  <c:v>5.9700000000000003E-2</c:v>
                </c:pt>
                <c:pt idx="7">
                  <c:v>4.7699999999999999E-2</c:v>
                </c:pt>
                <c:pt idx="8">
                  <c:v>4.65E-2</c:v>
                </c:pt>
                <c:pt idx="9">
                  <c:v>7.2099999999999997E-2</c:v>
                </c:pt>
                <c:pt idx="10">
                  <c:v>8.72E-2</c:v>
                </c:pt>
                <c:pt idx="11">
                  <c:v>4.4499999999999998E-2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8-1649-9B3A-C0DABD5D8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6616"/>
        <c:axId val="447564656"/>
      </c:lineChart>
      <c:catAx>
        <c:axId val="447568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1520"/>
        <c:crosses val="autoZero"/>
        <c:auto val="1"/>
        <c:lblAlgn val="ctr"/>
        <c:lblOffset val="100"/>
        <c:noMultiLvlLbl val="0"/>
      </c:catAx>
      <c:valAx>
        <c:axId val="4475615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8184"/>
        <c:crosses val="autoZero"/>
        <c:crossBetween val="between"/>
      </c:valAx>
      <c:catAx>
        <c:axId val="447566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64656"/>
        <c:crosses val="autoZero"/>
        <c:auto val="1"/>
        <c:lblAlgn val="ctr"/>
        <c:lblOffset val="100"/>
        <c:noMultiLvlLbl val="0"/>
      </c:catAx>
      <c:valAx>
        <c:axId val="447564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66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Report'!$J$33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Report'!$I$34:$I$52</c:f>
              <c:strCache>
                <c:ptCount val="19"/>
                <c:pt idx="0">
                  <c:v>ann-INV372</c:v>
                </c:pt>
                <c:pt idx="1">
                  <c:v>ann-INV373</c:v>
                </c:pt>
                <c:pt idx="2">
                  <c:v>ann-INV374</c:v>
                </c:pt>
                <c:pt idx="3">
                  <c:v>ann-INV375</c:v>
                </c:pt>
                <c:pt idx="4">
                  <c:v>ann-INV376</c:v>
                </c:pt>
                <c:pt idx="5">
                  <c:v>ann-INV377</c:v>
                </c:pt>
                <c:pt idx="6">
                  <c:v>ann-INV378</c:v>
                </c:pt>
                <c:pt idx="7">
                  <c:v>ann-INV379</c:v>
                </c:pt>
                <c:pt idx="8">
                  <c:v>ann-INV380</c:v>
                </c:pt>
                <c:pt idx="9">
                  <c:v>ann-INV381</c:v>
                </c:pt>
                <c:pt idx="10">
                  <c:v>Tayo-INV142</c:v>
                </c:pt>
                <c:pt idx="11">
                  <c:v>ann-INV382</c:v>
                </c:pt>
                <c:pt idx="12">
                  <c:v>ann-INV383</c:v>
                </c:pt>
                <c:pt idx="13">
                  <c:v>ann-INV384</c:v>
                </c:pt>
                <c:pt idx="14">
                  <c:v>ann-INV385</c:v>
                </c:pt>
                <c:pt idx="15">
                  <c:v>ann-INV387</c:v>
                </c:pt>
                <c:pt idx="16">
                  <c:v>ann-INV388</c:v>
                </c:pt>
                <c:pt idx="17">
                  <c:v>ann-INV386</c:v>
                </c:pt>
                <c:pt idx="18">
                  <c:v>Total</c:v>
                </c:pt>
              </c:strCache>
            </c:strRef>
          </c:cat>
          <c:val>
            <c:numRef>
              <c:f>'July 25th Sales Report'!$J$34:$J$52</c:f>
              <c:numCache>
                <c:formatCode>_(* #,##0_);_(* \(#,##0\);_(* \-??_);_(@_)</c:formatCode>
                <c:ptCount val="19"/>
                <c:pt idx="0">
                  <c:v>49775</c:v>
                </c:pt>
                <c:pt idx="1">
                  <c:v>5300</c:v>
                </c:pt>
                <c:pt idx="2">
                  <c:v>1300000</c:v>
                </c:pt>
                <c:pt idx="3">
                  <c:v>135000</c:v>
                </c:pt>
                <c:pt idx="4">
                  <c:v>177210</c:v>
                </c:pt>
                <c:pt idx="5">
                  <c:v>110000</c:v>
                </c:pt>
                <c:pt idx="6">
                  <c:v>27600</c:v>
                </c:pt>
                <c:pt idx="7">
                  <c:v>611475</c:v>
                </c:pt>
                <c:pt idx="8">
                  <c:v>9335</c:v>
                </c:pt>
                <c:pt idx="9">
                  <c:v>31800</c:v>
                </c:pt>
                <c:pt idx="10">
                  <c:v>74120</c:v>
                </c:pt>
                <c:pt idx="11">
                  <c:v>5300</c:v>
                </c:pt>
                <c:pt idx="12">
                  <c:v>80725</c:v>
                </c:pt>
                <c:pt idx="13">
                  <c:v>36600</c:v>
                </c:pt>
                <c:pt idx="14">
                  <c:v>9500</c:v>
                </c:pt>
                <c:pt idx="15">
                  <c:v>13950</c:v>
                </c:pt>
                <c:pt idx="16">
                  <c:v>21950</c:v>
                </c:pt>
                <c:pt idx="17">
                  <c:v>59335</c:v>
                </c:pt>
                <c:pt idx="18">
                  <c:v>2758975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C-E24D-973C-BB4A605D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5832"/>
        <c:axId val="447560736"/>
      </c:barChart>
      <c:lineChart>
        <c:grouping val="standard"/>
        <c:varyColors val="0"/>
        <c:ser>
          <c:idx val="1"/>
          <c:order val="1"/>
          <c:tx>
            <c:strRef>
              <c:f>'July 25th Sales Report'!$K$33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25th Sales Report'!$I$34:$I$52</c:f>
              <c:strCache>
                <c:ptCount val="19"/>
                <c:pt idx="0">
                  <c:v>ann-INV372</c:v>
                </c:pt>
                <c:pt idx="1">
                  <c:v>ann-INV373</c:v>
                </c:pt>
                <c:pt idx="2">
                  <c:v>ann-INV374</c:v>
                </c:pt>
                <c:pt idx="3">
                  <c:v>ann-INV375</c:v>
                </c:pt>
                <c:pt idx="4">
                  <c:v>ann-INV376</c:v>
                </c:pt>
                <c:pt idx="5">
                  <c:v>ann-INV377</c:v>
                </c:pt>
                <c:pt idx="6">
                  <c:v>ann-INV378</c:v>
                </c:pt>
                <c:pt idx="7">
                  <c:v>ann-INV379</c:v>
                </c:pt>
                <c:pt idx="8">
                  <c:v>ann-INV380</c:v>
                </c:pt>
                <c:pt idx="9">
                  <c:v>ann-INV381</c:v>
                </c:pt>
                <c:pt idx="10">
                  <c:v>Tayo-INV142</c:v>
                </c:pt>
                <c:pt idx="11">
                  <c:v>ann-INV382</c:v>
                </c:pt>
                <c:pt idx="12">
                  <c:v>ann-INV383</c:v>
                </c:pt>
                <c:pt idx="13">
                  <c:v>ann-INV384</c:v>
                </c:pt>
                <c:pt idx="14">
                  <c:v>ann-INV385</c:v>
                </c:pt>
                <c:pt idx="15">
                  <c:v>ann-INV387</c:v>
                </c:pt>
                <c:pt idx="16">
                  <c:v>ann-INV388</c:v>
                </c:pt>
                <c:pt idx="17">
                  <c:v>ann-INV386</c:v>
                </c:pt>
                <c:pt idx="18">
                  <c:v>Total</c:v>
                </c:pt>
              </c:strCache>
            </c:strRef>
          </c:cat>
          <c:val>
            <c:numRef>
              <c:f>'July 25th Sales Report'!$K$34:$K$52</c:f>
              <c:numCache>
                <c:formatCode>0%</c:formatCode>
                <c:ptCount val="19"/>
                <c:pt idx="0">
                  <c:v>0.05</c:v>
                </c:pt>
                <c:pt idx="1">
                  <c:v>0.02</c:v>
                </c:pt>
                <c:pt idx="2">
                  <c:v>-0.04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0.06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0.04</c:v>
                </c:pt>
                <c:pt idx="10">
                  <c:v>0.05</c:v>
                </c:pt>
                <c:pt idx="11">
                  <c:v>0.02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0.42</c:v>
                </c:pt>
                <c:pt idx="1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C-E24D-973C-BB4A605D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9360"/>
        <c:axId val="447567792"/>
      </c:lineChart>
      <c:catAx>
        <c:axId val="447565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0736"/>
        <c:crosses val="autoZero"/>
        <c:auto val="1"/>
        <c:lblAlgn val="ctr"/>
        <c:lblOffset val="100"/>
        <c:noMultiLvlLbl val="0"/>
      </c:catAx>
      <c:valAx>
        <c:axId val="4475607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5832"/>
        <c:crosses val="autoZero"/>
        <c:crossBetween val="between"/>
      </c:valAx>
      <c:catAx>
        <c:axId val="447569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67792"/>
        <c:crosses val="autoZero"/>
        <c:auto val="1"/>
        <c:lblAlgn val="ctr"/>
        <c:lblOffset val="100"/>
        <c:noMultiLvlLbl val="0"/>
      </c:catAx>
      <c:valAx>
        <c:axId val="4475677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93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Report'!$J$2:$J$14</c:f>
              <c:numCache>
                <c:formatCode>General</c:formatCode>
                <c:ptCount val="13"/>
                <c:pt idx="0">
                  <c:v>374</c:v>
                </c:pt>
                <c:pt idx="1">
                  <c:v>1</c:v>
                </c:pt>
                <c:pt idx="2">
                  <c:v>10</c:v>
                </c:pt>
                <c:pt idx="3">
                  <c:v>15</c:v>
                </c:pt>
                <c:pt idx="4">
                  <c:v>6</c:v>
                </c:pt>
                <c:pt idx="5">
                  <c:v>22</c:v>
                </c:pt>
                <c:pt idx="6">
                  <c:v>97</c:v>
                </c:pt>
                <c:pt idx="7">
                  <c:v>321</c:v>
                </c:pt>
                <c:pt idx="8">
                  <c:v>102</c:v>
                </c:pt>
                <c:pt idx="9">
                  <c:v>18</c:v>
                </c:pt>
                <c:pt idx="10">
                  <c:v>3</c:v>
                </c:pt>
                <c:pt idx="11">
                  <c:v>2</c:v>
                </c:pt>
                <c:pt idx="12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047-A247-684F236A8737}"/>
            </c:ext>
          </c:extLst>
        </c:ser>
        <c:ser>
          <c:idx val="1"/>
          <c:order val="1"/>
          <c:tx>
            <c:strRef>
              <c:f>'July 27th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Report'!$K$2:$K$14</c:f>
              <c:numCache>
                <c:formatCode>_(* #,##0_);_(* \(#,##0\);_(* \-??_);_(@_)</c:formatCode>
                <c:ptCount val="13"/>
                <c:pt idx="0">
                  <c:v>1871200</c:v>
                </c:pt>
                <c:pt idx="1">
                  <c:v>16145</c:v>
                </c:pt>
                <c:pt idx="2">
                  <c:v>114800</c:v>
                </c:pt>
                <c:pt idx="3">
                  <c:v>326825</c:v>
                </c:pt>
                <c:pt idx="4">
                  <c:v>54000</c:v>
                </c:pt>
                <c:pt idx="5">
                  <c:v>390600</c:v>
                </c:pt>
                <c:pt idx="6">
                  <c:v>1264245</c:v>
                </c:pt>
                <c:pt idx="7">
                  <c:v>2757240</c:v>
                </c:pt>
                <c:pt idx="8">
                  <c:v>906700</c:v>
                </c:pt>
                <c:pt idx="9">
                  <c:v>144360</c:v>
                </c:pt>
                <c:pt idx="10">
                  <c:v>43365</c:v>
                </c:pt>
                <c:pt idx="11">
                  <c:v>18700</c:v>
                </c:pt>
                <c:pt idx="12">
                  <c:v>7908180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3-4047-A247-684F236A8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57992"/>
        <c:axId val="447560344"/>
      </c:barChart>
      <c:lineChart>
        <c:grouping val="standard"/>
        <c:varyColors val="0"/>
        <c:ser>
          <c:idx val="2"/>
          <c:order val="2"/>
          <c:tx>
            <c:strRef>
              <c:f>'July 27th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Report'!$L$2:$L$14</c:f>
              <c:numCache>
                <c:formatCode>0%</c:formatCode>
                <c:ptCount val="13"/>
                <c:pt idx="0">
                  <c:v>0.23661575735504251</c:v>
                </c:pt>
                <c:pt idx="1">
                  <c:v>2.0415569701246051E-3</c:v>
                </c:pt>
                <c:pt idx="2">
                  <c:v>1.4516614442261051E-2</c:v>
                </c:pt>
                <c:pt idx="3">
                  <c:v>4.1327460932856865E-2</c:v>
                </c:pt>
                <c:pt idx="4">
                  <c:v>6.8283726470565924E-3</c:v>
                </c:pt>
                <c:pt idx="5">
                  <c:v>4.9391895480376015E-2</c:v>
                </c:pt>
                <c:pt idx="6">
                  <c:v>0.15986548105885298</c:v>
                </c:pt>
                <c:pt idx="7">
                  <c:v>0.34865670735870957</c:v>
                </c:pt>
                <c:pt idx="8">
                  <c:v>0.11465343479789282</c:v>
                </c:pt>
                <c:pt idx="9">
                  <c:v>1.8254516209797955E-2</c:v>
                </c:pt>
                <c:pt idx="10">
                  <c:v>5.4835625896223908E-3</c:v>
                </c:pt>
                <c:pt idx="11">
                  <c:v>2.3646401574066345E-3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3-4047-A247-684F236A8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1128"/>
        <c:axId val="447563088"/>
      </c:lineChart>
      <c:catAx>
        <c:axId val="447557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0344"/>
        <c:crosses val="autoZero"/>
        <c:auto val="1"/>
        <c:lblAlgn val="ctr"/>
        <c:lblOffset val="100"/>
        <c:noMultiLvlLbl val="0"/>
      </c:catAx>
      <c:valAx>
        <c:axId val="4475603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7992"/>
        <c:crosses val="autoZero"/>
        <c:crossBetween val="between"/>
      </c:valAx>
      <c:catAx>
        <c:axId val="447561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63088"/>
        <c:crosses val="autoZero"/>
        <c:auto val="1"/>
        <c:lblAlgn val="ctr"/>
        <c:lblOffset val="100"/>
        <c:noMultiLvlLbl val="0"/>
      </c:catAx>
      <c:valAx>
        <c:axId val="4475630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11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Report'!$J$16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Report'!$J$17:$J$30</c:f>
              <c:numCache>
                <c:formatCode>_(* #,##0_);_(* \(#,##0\);_(* \-??_);_(@_)</c:formatCode>
                <c:ptCount val="14"/>
                <c:pt idx="0">
                  <c:v>43900</c:v>
                </c:pt>
                <c:pt idx="1">
                  <c:v>16145</c:v>
                </c:pt>
                <c:pt idx="2">
                  <c:v>328800</c:v>
                </c:pt>
                <c:pt idx="3">
                  <c:v>45300</c:v>
                </c:pt>
                <c:pt idx="4">
                  <c:v>646500</c:v>
                </c:pt>
                <c:pt idx="5">
                  <c:v>1114160</c:v>
                </c:pt>
                <c:pt idx="6">
                  <c:v>3326900</c:v>
                </c:pt>
                <c:pt idx="7">
                  <c:v>1240200</c:v>
                </c:pt>
                <c:pt idx="8">
                  <c:v>595000</c:v>
                </c:pt>
                <c:pt idx="9">
                  <c:v>66675</c:v>
                </c:pt>
                <c:pt idx="10">
                  <c:v>342190</c:v>
                </c:pt>
                <c:pt idx="11">
                  <c:v>37340</c:v>
                </c:pt>
                <c:pt idx="12">
                  <c:v>105070</c:v>
                </c:pt>
                <c:pt idx="13">
                  <c:v>7908180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6-EF4D-B737-1D77FE22C112}"/>
            </c:ext>
          </c:extLst>
        </c:ser>
        <c:ser>
          <c:idx val="1"/>
          <c:order val="1"/>
          <c:tx>
            <c:strRef>
              <c:f>'July 27th Sales Report'!$K$16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Report'!$K$17:$K$30</c:f>
              <c:numCache>
                <c:formatCode>0%</c:formatCode>
                <c:ptCount val="14"/>
                <c:pt idx="0">
                  <c:v>5.5512140593663778E-3</c:v>
                </c:pt>
                <c:pt idx="1">
                  <c:v>2.0415569701246051E-3</c:v>
                </c:pt>
                <c:pt idx="2">
                  <c:v>4.1577202339855693E-2</c:v>
                </c:pt>
                <c:pt idx="3">
                  <c:v>5.7282459428085854E-3</c:v>
                </c:pt>
                <c:pt idx="4">
                  <c:v>8.175079474670531E-2</c:v>
                </c:pt>
                <c:pt idx="5">
                  <c:v>0.14088703089712171</c:v>
                </c:pt>
                <c:pt idx="6">
                  <c:v>0.42069098073134398</c:v>
                </c:pt>
                <c:pt idx="7">
                  <c:v>0.15682495846073308</c:v>
                </c:pt>
                <c:pt idx="8">
                  <c:v>7.5238550462938369E-2</c:v>
                </c:pt>
                <c:pt idx="9">
                  <c:v>8.4311434489351533E-3</c:v>
                </c:pt>
                <c:pt idx="10">
                  <c:v>4.3270385853635095E-2</c:v>
                </c:pt>
                <c:pt idx="11">
                  <c:v>4.7216932340943176E-3</c:v>
                </c:pt>
                <c:pt idx="12">
                  <c:v>1.3286242852337706E-2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6-EF4D-B737-1D77FE22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8576"/>
        <c:axId val="447568968"/>
      </c:barChart>
      <c:lineChart>
        <c:grouping val="standard"/>
        <c:varyColors val="0"/>
        <c:ser>
          <c:idx val="2"/>
          <c:order val="2"/>
          <c:tx>
            <c:strRef>
              <c:f>'July 27th Sales Report'!$L$16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Report'!$L$17:$L$30</c:f>
              <c:numCache>
                <c:formatCode>0%</c:formatCode>
                <c:ptCount val="14"/>
                <c:pt idx="0">
                  <c:v>6.08E-2</c:v>
                </c:pt>
                <c:pt idx="1">
                  <c:v>5.5599999999999997E-2</c:v>
                </c:pt>
                <c:pt idx="2">
                  <c:v>0.1014</c:v>
                </c:pt>
                <c:pt idx="3">
                  <c:v>8.3799999999999999E-2</c:v>
                </c:pt>
                <c:pt idx="4">
                  <c:v>0.14050000000000001</c:v>
                </c:pt>
                <c:pt idx="5">
                  <c:v>-3.5299999999999998E-2</c:v>
                </c:pt>
                <c:pt idx="6">
                  <c:v>8.2900000000000001E-2</c:v>
                </c:pt>
                <c:pt idx="7">
                  <c:v>3.3E-3</c:v>
                </c:pt>
                <c:pt idx="8">
                  <c:v>1.2E-2</c:v>
                </c:pt>
                <c:pt idx="9">
                  <c:v>0.16320000000000001</c:v>
                </c:pt>
                <c:pt idx="10">
                  <c:v>0.15890000000000001</c:v>
                </c:pt>
                <c:pt idx="11">
                  <c:v>8.6099999999999996E-2</c:v>
                </c:pt>
                <c:pt idx="12">
                  <c:v>5.8700000000000002E-2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F6-EF4D-B737-1D77FE22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3872"/>
        <c:axId val="447567008"/>
      </c:lineChart>
      <c:catAx>
        <c:axId val="447568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8968"/>
        <c:crosses val="autoZero"/>
        <c:auto val="1"/>
        <c:lblAlgn val="ctr"/>
        <c:lblOffset val="100"/>
        <c:noMultiLvlLbl val="0"/>
      </c:catAx>
      <c:valAx>
        <c:axId val="4475689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8576"/>
        <c:crosses val="autoZero"/>
        <c:crossBetween val="between"/>
      </c:valAx>
      <c:catAx>
        <c:axId val="447563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67008"/>
        <c:crosses val="autoZero"/>
        <c:auto val="1"/>
        <c:lblAlgn val="ctr"/>
        <c:lblOffset val="100"/>
        <c:noMultiLvlLbl val="0"/>
      </c:catAx>
      <c:valAx>
        <c:axId val="4475670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38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Report'!$I$33:$I$51</c:f>
              <c:strCache>
                <c:ptCount val="19"/>
                <c:pt idx="0">
                  <c:v>ann-INV389</c:v>
                </c:pt>
                <c:pt idx="1">
                  <c:v>ann-INV390</c:v>
                </c:pt>
                <c:pt idx="2">
                  <c:v>ann-INV391</c:v>
                </c:pt>
                <c:pt idx="3">
                  <c:v>ann-INV392</c:v>
                </c:pt>
                <c:pt idx="4">
                  <c:v>ann-INV394</c:v>
                </c:pt>
                <c:pt idx="5">
                  <c:v>ann-INV395</c:v>
                </c:pt>
                <c:pt idx="6">
                  <c:v>ann-INV397</c:v>
                </c:pt>
                <c:pt idx="7">
                  <c:v>ann-INV396</c:v>
                </c:pt>
                <c:pt idx="8">
                  <c:v>ann-INV398</c:v>
                </c:pt>
                <c:pt idx="9">
                  <c:v>ann-INV399</c:v>
                </c:pt>
                <c:pt idx="10">
                  <c:v>ann-INV400</c:v>
                </c:pt>
                <c:pt idx="11">
                  <c:v>ann-INV401</c:v>
                </c:pt>
                <c:pt idx="12">
                  <c:v>ann-INV402</c:v>
                </c:pt>
                <c:pt idx="13">
                  <c:v>ann-INV403</c:v>
                </c:pt>
                <c:pt idx="14">
                  <c:v>ann-INV404</c:v>
                </c:pt>
                <c:pt idx="15">
                  <c:v>ann-INV405</c:v>
                </c:pt>
                <c:pt idx="16">
                  <c:v>ann-INV406</c:v>
                </c:pt>
                <c:pt idx="17">
                  <c:v>ann-INV407</c:v>
                </c:pt>
                <c:pt idx="18">
                  <c:v>Total</c:v>
                </c:pt>
              </c:strCache>
            </c:strRef>
          </c:cat>
          <c:val>
            <c:numRef>
              <c:f>'July 27th Sales Report'!$J$33:$J$51</c:f>
              <c:numCache>
                <c:formatCode>_(* #,##0_);_(* \(#,##0\);_(* \-??_);_(@_)</c:formatCode>
                <c:ptCount val="19"/>
                <c:pt idx="0">
                  <c:v>10600</c:v>
                </c:pt>
                <c:pt idx="1">
                  <c:v>16145</c:v>
                </c:pt>
                <c:pt idx="2">
                  <c:v>366800</c:v>
                </c:pt>
                <c:pt idx="3">
                  <c:v>45300</c:v>
                </c:pt>
                <c:pt idx="4">
                  <c:v>746500</c:v>
                </c:pt>
                <c:pt idx="5">
                  <c:v>1050000</c:v>
                </c:pt>
                <c:pt idx="6">
                  <c:v>4026900</c:v>
                </c:pt>
                <c:pt idx="7">
                  <c:v>440000</c:v>
                </c:pt>
                <c:pt idx="8">
                  <c:v>721000</c:v>
                </c:pt>
                <c:pt idx="9">
                  <c:v>64160</c:v>
                </c:pt>
                <c:pt idx="10">
                  <c:v>76675</c:v>
                </c:pt>
                <c:pt idx="11">
                  <c:v>5300</c:v>
                </c:pt>
                <c:pt idx="12">
                  <c:v>386590</c:v>
                </c:pt>
                <c:pt idx="13">
                  <c:v>500000</c:v>
                </c:pt>
                <c:pt idx="14">
                  <c:v>44540</c:v>
                </c:pt>
                <c:pt idx="15">
                  <c:v>105070</c:v>
                </c:pt>
                <c:pt idx="16">
                  <c:v>380200</c:v>
                </c:pt>
                <c:pt idx="17">
                  <c:v>28000</c:v>
                </c:pt>
                <c:pt idx="18">
                  <c:v>9013780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E-B84A-B4FB-F61D10852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58776"/>
        <c:axId val="447559168"/>
      </c:barChart>
      <c:lineChart>
        <c:grouping val="standard"/>
        <c:varyColors val="0"/>
        <c:ser>
          <c:idx val="1"/>
          <c:order val="1"/>
          <c:tx>
            <c:strRef>
              <c:f>'July 27th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27th Sales Report'!$I$33:$I$51</c:f>
              <c:strCache>
                <c:ptCount val="19"/>
                <c:pt idx="0">
                  <c:v>ann-INV389</c:v>
                </c:pt>
                <c:pt idx="1">
                  <c:v>ann-INV390</c:v>
                </c:pt>
                <c:pt idx="2">
                  <c:v>ann-INV391</c:v>
                </c:pt>
                <c:pt idx="3">
                  <c:v>ann-INV392</c:v>
                </c:pt>
                <c:pt idx="4">
                  <c:v>ann-INV394</c:v>
                </c:pt>
                <c:pt idx="5">
                  <c:v>ann-INV395</c:v>
                </c:pt>
                <c:pt idx="6">
                  <c:v>ann-INV397</c:v>
                </c:pt>
                <c:pt idx="7">
                  <c:v>ann-INV396</c:v>
                </c:pt>
                <c:pt idx="8">
                  <c:v>ann-INV398</c:v>
                </c:pt>
                <c:pt idx="9">
                  <c:v>ann-INV399</c:v>
                </c:pt>
                <c:pt idx="10">
                  <c:v>ann-INV400</c:v>
                </c:pt>
                <c:pt idx="11">
                  <c:v>ann-INV401</c:v>
                </c:pt>
                <c:pt idx="12">
                  <c:v>ann-INV402</c:v>
                </c:pt>
                <c:pt idx="13">
                  <c:v>ann-INV403</c:v>
                </c:pt>
                <c:pt idx="14">
                  <c:v>ann-INV404</c:v>
                </c:pt>
                <c:pt idx="15">
                  <c:v>ann-INV405</c:v>
                </c:pt>
                <c:pt idx="16">
                  <c:v>ann-INV406</c:v>
                </c:pt>
                <c:pt idx="17">
                  <c:v>ann-INV407</c:v>
                </c:pt>
                <c:pt idx="18">
                  <c:v>Total</c:v>
                </c:pt>
              </c:strCache>
            </c:strRef>
          </c:cat>
          <c:val>
            <c:numRef>
              <c:f>'July 27th Sales Report'!$K$33:$K$51</c:f>
              <c:numCache>
                <c:formatCode>0%</c:formatCode>
                <c:ptCount val="19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0.08</c:v>
                </c:pt>
                <c:pt idx="4">
                  <c:v>0.14000000000000001</c:v>
                </c:pt>
                <c:pt idx="5">
                  <c:v>-0.04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0.01</c:v>
                </c:pt>
                <c:pt idx="9">
                  <c:v>0.04</c:v>
                </c:pt>
                <c:pt idx="10">
                  <c:v>0.16</c:v>
                </c:pt>
                <c:pt idx="11">
                  <c:v>0.02</c:v>
                </c:pt>
                <c:pt idx="12">
                  <c:v>0.16</c:v>
                </c:pt>
                <c:pt idx="13">
                  <c:v>-0.04</c:v>
                </c:pt>
                <c:pt idx="14">
                  <c:v>0.09</c:v>
                </c:pt>
                <c:pt idx="15">
                  <c:v>0.06</c:v>
                </c:pt>
                <c:pt idx="16">
                  <c:v>-0.02</c:v>
                </c:pt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B84A-B4FB-F61D10852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7563480"/>
        <c:axId val="447559560"/>
      </c:lineChart>
      <c:catAx>
        <c:axId val="447558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9168"/>
        <c:crosses val="autoZero"/>
        <c:auto val="1"/>
        <c:lblAlgn val="ctr"/>
        <c:lblOffset val="100"/>
        <c:noMultiLvlLbl val="0"/>
      </c:catAx>
      <c:valAx>
        <c:axId val="4475591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58776"/>
        <c:crosses val="autoZero"/>
        <c:crossBetween val="between"/>
      </c:valAx>
      <c:catAx>
        <c:axId val="447563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7559560"/>
        <c:crosses val="autoZero"/>
        <c:auto val="1"/>
        <c:lblAlgn val="ctr"/>
        <c:lblOffset val="100"/>
        <c:noMultiLvlLbl val="0"/>
      </c:catAx>
      <c:valAx>
        <c:axId val="44755956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348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Report'!$J$30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Report'!$I$31:$I$40</c:f>
              <c:strCache>
                <c:ptCount val="10"/>
                <c:pt idx="0">
                  <c:v>ann-INV408</c:v>
                </c:pt>
                <c:pt idx="1">
                  <c:v>ann-INV410</c:v>
                </c:pt>
                <c:pt idx="2">
                  <c:v>ann-INV409</c:v>
                </c:pt>
                <c:pt idx="3">
                  <c:v>ann-INV411</c:v>
                </c:pt>
                <c:pt idx="4">
                  <c:v>ann-INV412</c:v>
                </c:pt>
                <c:pt idx="5">
                  <c:v>ann-INV413</c:v>
                </c:pt>
                <c:pt idx="6">
                  <c:v>ann-INV414</c:v>
                </c:pt>
                <c:pt idx="7">
                  <c:v>ann-INV415</c:v>
                </c:pt>
                <c:pt idx="8">
                  <c:v>ann-INV416</c:v>
                </c:pt>
                <c:pt idx="9">
                  <c:v>Total</c:v>
                </c:pt>
              </c:strCache>
            </c:strRef>
          </c:cat>
          <c:val>
            <c:numRef>
              <c:f>'July 28th Sales Report'!$J$31:$J$40</c:f>
              <c:numCache>
                <c:formatCode>_(* #,##0_);_(* \(#,##0\);_(* \-??_);_(@_)</c:formatCode>
                <c:ptCount val="10"/>
                <c:pt idx="0">
                  <c:v>46000</c:v>
                </c:pt>
                <c:pt idx="1">
                  <c:v>1307800</c:v>
                </c:pt>
                <c:pt idx="2">
                  <c:v>5300</c:v>
                </c:pt>
                <c:pt idx="3">
                  <c:v>1325335</c:v>
                </c:pt>
                <c:pt idx="4">
                  <c:v>75000</c:v>
                </c:pt>
                <c:pt idx="5">
                  <c:v>866365</c:v>
                </c:pt>
                <c:pt idx="6">
                  <c:v>1080230</c:v>
                </c:pt>
                <c:pt idx="7">
                  <c:v>593410</c:v>
                </c:pt>
                <c:pt idx="8">
                  <c:v>35630</c:v>
                </c:pt>
                <c:pt idx="9">
                  <c:v>5335070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C-1444-A4F6-6CDA92E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6224"/>
        <c:axId val="450415992"/>
      </c:barChart>
      <c:lineChart>
        <c:grouping val="standard"/>
        <c:varyColors val="0"/>
        <c:ser>
          <c:idx val="1"/>
          <c:order val="1"/>
          <c:tx>
            <c:strRef>
              <c:f>'July 28th Sales Report'!$K$30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Report'!$I$31:$I$40</c:f>
              <c:strCache>
                <c:ptCount val="10"/>
                <c:pt idx="0">
                  <c:v>ann-INV408</c:v>
                </c:pt>
                <c:pt idx="1">
                  <c:v>ann-INV410</c:v>
                </c:pt>
                <c:pt idx="2">
                  <c:v>ann-INV409</c:v>
                </c:pt>
                <c:pt idx="3">
                  <c:v>ann-INV411</c:v>
                </c:pt>
                <c:pt idx="4">
                  <c:v>ann-INV412</c:v>
                </c:pt>
                <c:pt idx="5">
                  <c:v>ann-INV413</c:v>
                </c:pt>
                <c:pt idx="6">
                  <c:v>ann-INV414</c:v>
                </c:pt>
                <c:pt idx="7">
                  <c:v>ann-INV415</c:v>
                </c:pt>
                <c:pt idx="8">
                  <c:v>ann-INV416</c:v>
                </c:pt>
                <c:pt idx="9">
                  <c:v>Total</c:v>
                </c:pt>
              </c:strCache>
            </c:strRef>
          </c:cat>
          <c:val>
            <c:numRef>
              <c:f>'July 28th Sales Report'!$K$31:$K$40</c:f>
              <c:numCache>
                <c:formatCode>0%</c:formatCode>
                <c:ptCount val="10"/>
                <c:pt idx="0">
                  <c:v>0.05</c:v>
                </c:pt>
                <c:pt idx="1">
                  <c:v>-0.04</c:v>
                </c:pt>
                <c:pt idx="2">
                  <c:v>0.02</c:v>
                </c:pt>
                <c:pt idx="3">
                  <c:v>-0.03</c:v>
                </c:pt>
                <c:pt idx="4">
                  <c:v>-0.04</c:v>
                </c:pt>
                <c:pt idx="5">
                  <c:v>0.09</c:v>
                </c:pt>
                <c:pt idx="6">
                  <c:v>0.09</c:v>
                </c:pt>
                <c:pt idx="7">
                  <c:v>7.0000000000000007E-2</c:v>
                </c:pt>
                <c:pt idx="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C-1444-A4F6-6CDA92E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15600"/>
        <c:axId val="450415208"/>
      </c:lineChart>
      <c:catAx>
        <c:axId val="447566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5992"/>
        <c:crosses val="autoZero"/>
        <c:auto val="1"/>
        <c:lblAlgn val="ctr"/>
        <c:lblOffset val="100"/>
        <c:noMultiLvlLbl val="0"/>
      </c:catAx>
      <c:valAx>
        <c:axId val="4504159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7566224"/>
        <c:crosses val="autoZero"/>
        <c:crossBetween val="between"/>
      </c:valAx>
      <c:catAx>
        <c:axId val="45041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15208"/>
        <c:crosses val="autoZero"/>
        <c:auto val="1"/>
        <c:lblAlgn val="ctr"/>
        <c:lblOffset val="100"/>
        <c:noMultiLvlLbl val="0"/>
      </c:catAx>
      <c:valAx>
        <c:axId val="4504152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56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Report'!$J$19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Report'!$J$20:$J$28</c:f>
              <c:numCache>
                <c:formatCode>_(* #,##0_);_(* \(#,##0\);_(* \-??_);_(@_)</c:formatCode>
                <c:ptCount val="9"/>
                <c:pt idx="0">
                  <c:v>46000</c:v>
                </c:pt>
                <c:pt idx="1">
                  <c:v>1307800</c:v>
                </c:pt>
                <c:pt idx="2">
                  <c:v>5300</c:v>
                </c:pt>
                <c:pt idx="3">
                  <c:v>1325335</c:v>
                </c:pt>
                <c:pt idx="4">
                  <c:v>75000</c:v>
                </c:pt>
                <c:pt idx="5">
                  <c:v>1264775</c:v>
                </c:pt>
                <c:pt idx="6">
                  <c:v>932630</c:v>
                </c:pt>
                <c:pt idx="7">
                  <c:v>35630</c:v>
                </c:pt>
                <c:pt idx="8">
                  <c:v>4992470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2-804B-8382-5CA8AC71BC75}"/>
            </c:ext>
          </c:extLst>
        </c:ser>
        <c:ser>
          <c:idx val="1"/>
          <c:order val="1"/>
          <c:tx>
            <c:strRef>
              <c:f>'July 28th Sales Report'!$K$19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Report'!$K$20:$K$28</c:f>
              <c:numCache>
                <c:formatCode>0%</c:formatCode>
                <c:ptCount val="9"/>
                <c:pt idx="0">
                  <c:v>9.2138760974026877E-3</c:v>
                </c:pt>
                <c:pt idx="1">
                  <c:v>0.26195450348224425</c:v>
                </c:pt>
                <c:pt idx="2">
                  <c:v>1.0615987677442228E-3</c:v>
                </c:pt>
                <c:pt idx="3">
                  <c:v>0.26546679299024328</c:v>
                </c:pt>
                <c:pt idx="4">
                  <c:v>1.502262407185221E-2</c:v>
                </c:pt>
                <c:pt idx="5">
                  <c:v>0.25333652480635838</c:v>
                </c:pt>
                <c:pt idx="6">
                  <c:v>0.18680733184175369</c:v>
                </c:pt>
                <c:pt idx="7">
                  <c:v>7.1367479424012566E-3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2-804B-8382-5CA8AC71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14032"/>
        <c:axId val="450414816"/>
      </c:barChart>
      <c:lineChart>
        <c:grouping val="standard"/>
        <c:varyColors val="0"/>
        <c:ser>
          <c:idx val="2"/>
          <c:order val="2"/>
          <c:tx>
            <c:strRef>
              <c:f>'July 28th Sales Report'!$L$19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Report'!$L$20:$L$28</c:f>
              <c:numCache>
                <c:formatCode>0%</c:formatCode>
                <c:ptCount val="9"/>
                <c:pt idx="0">
                  <c:v>5.1799999999999999E-2</c:v>
                </c:pt>
                <c:pt idx="1">
                  <c:v>-4.48E-2</c:v>
                </c:pt>
                <c:pt idx="2">
                  <c:v>1.89E-2</c:v>
                </c:pt>
                <c:pt idx="3">
                  <c:v>-3.1699999999999999E-2</c:v>
                </c:pt>
                <c:pt idx="4">
                  <c:v>-0.04</c:v>
                </c:pt>
                <c:pt idx="5">
                  <c:v>8.2000000000000003E-2</c:v>
                </c:pt>
                <c:pt idx="6">
                  <c:v>9.2799999999999994E-2</c:v>
                </c:pt>
                <c:pt idx="7">
                  <c:v>4.6899999999999997E-2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2-804B-8382-5CA8AC71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13248"/>
        <c:axId val="450413640"/>
      </c:lineChart>
      <c:catAx>
        <c:axId val="450414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4816"/>
        <c:crosses val="autoZero"/>
        <c:auto val="1"/>
        <c:lblAlgn val="ctr"/>
        <c:lblOffset val="100"/>
        <c:noMultiLvlLbl val="0"/>
      </c:catAx>
      <c:valAx>
        <c:axId val="4504148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4032"/>
        <c:crosses val="autoZero"/>
        <c:crossBetween val="between"/>
      </c:valAx>
      <c:catAx>
        <c:axId val="45041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13640"/>
        <c:crosses val="autoZero"/>
        <c:auto val="1"/>
        <c:lblAlgn val="ctr"/>
        <c:lblOffset val="100"/>
        <c:noMultiLvlLbl val="0"/>
      </c:catAx>
      <c:valAx>
        <c:axId val="4504136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32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Report'!$J$2:$J$17</c:f>
              <c:numCache>
                <c:formatCode>General</c:formatCode>
                <c:ptCount val="16"/>
                <c:pt idx="0">
                  <c:v>86</c:v>
                </c:pt>
                <c:pt idx="1">
                  <c:v>34</c:v>
                </c:pt>
                <c:pt idx="2">
                  <c:v>552</c:v>
                </c:pt>
                <c:pt idx="3">
                  <c:v>10</c:v>
                </c:pt>
                <c:pt idx="4">
                  <c:v>3</c:v>
                </c:pt>
                <c:pt idx="5">
                  <c:v>29</c:v>
                </c:pt>
                <c:pt idx="6">
                  <c:v>17</c:v>
                </c:pt>
                <c:pt idx="7">
                  <c:v>2</c:v>
                </c:pt>
                <c:pt idx="8">
                  <c:v>14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1-BC40-A6FC-70C72B2A0A76}"/>
            </c:ext>
          </c:extLst>
        </c:ser>
        <c:ser>
          <c:idx val="1"/>
          <c:order val="1"/>
          <c:tx>
            <c:strRef>
              <c:f>'July 28th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Report'!$K$2:$K$17</c:f>
              <c:numCache>
                <c:formatCode>_(* #,##0_);_(* \(#,##0\);_(* \-??_);_(@_)</c:formatCode>
                <c:ptCount val="16"/>
                <c:pt idx="0">
                  <c:v>802270</c:v>
                </c:pt>
                <c:pt idx="1">
                  <c:v>312800</c:v>
                </c:pt>
                <c:pt idx="2">
                  <c:v>2775060</c:v>
                </c:pt>
                <c:pt idx="3">
                  <c:v>80200</c:v>
                </c:pt>
                <c:pt idx="4">
                  <c:v>85335</c:v>
                </c:pt>
                <c:pt idx="5">
                  <c:v>386715</c:v>
                </c:pt>
                <c:pt idx="6">
                  <c:v>150960</c:v>
                </c:pt>
                <c:pt idx="7">
                  <c:v>42885</c:v>
                </c:pt>
                <c:pt idx="8">
                  <c:v>166740</c:v>
                </c:pt>
                <c:pt idx="9">
                  <c:v>13200</c:v>
                </c:pt>
                <c:pt idx="10">
                  <c:v>57075</c:v>
                </c:pt>
                <c:pt idx="11">
                  <c:v>34440</c:v>
                </c:pt>
                <c:pt idx="12">
                  <c:v>43725</c:v>
                </c:pt>
                <c:pt idx="13">
                  <c:v>26920</c:v>
                </c:pt>
                <c:pt idx="14">
                  <c:v>14145</c:v>
                </c:pt>
                <c:pt idx="15">
                  <c:v>4992470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1-BC40-A6FC-70C72B2A0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0704"/>
        <c:axId val="450402664"/>
      </c:barChart>
      <c:lineChart>
        <c:grouping val="standard"/>
        <c:varyColors val="0"/>
        <c:ser>
          <c:idx val="2"/>
          <c:order val="2"/>
          <c:tx>
            <c:strRef>
              <c:f>'July 28th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Report'!$L$2:$L$17</c:f>
              <c:numCache>
                <c:formatCode>0%</c:formatCode>
                <c:ptCount val="16"/>
                <c:pt idx="0">
                  <c:v>0.16069600818833163</c:v>
                </c:pt>
                <c:pt idx="1">
                  <c:v>6.2654357462338287E-2</c:v>
                </c:pt>
                <c:pt idx="2">
                  <c:v>0.55584910875778926</c:v>
                </c:pt>
                <c:pt idx="3">
                  <c:v>1.6064192674167296E-2</c:v>
                </c:pt>
                <c:pt idx="4">
                  <c:v>1.7092741668953443E-2</c:v>
                </c:pt>
                <c:pt idx="5">
                  <c:v>7.7459654239284359E-2</c:v>
                </c:pt>
                <c:pt idx="6">
                  <c:v>3.0237537731824127E-2</c:v>
                </c:pt>
                <c:pt idx="7">
                  <c:v>8.5899364442850925E-3</c:v>
                </c:pt>
                <c:pt idx="8">
                  <c:v>3.3398297836541829E-2</c:v>
                </c:pt>
                <c:pt idx="9">
                  <c:v>2.6439818366459887E-3</c:v>
                </c:pt>
                <c:pt idx="10">
                  <c:v>1.1432216918679532E-2</c:v>
                </c:pt>
                <c:pt idx="11">
                  <c:v>6.8983889737945347E-3</c:v>
                </c:pt>
                <c:pt idx="12">
                  <c:v>8.7581898338898387E-3</c:v>
                </c:pt>
                <c:pt idx="13">
                  <c:v>5.3921205335234861E-3</c:v>
                </c:pt>
                <c:pt idx="14">
                  <c:v>2.8332668999513267E-3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1-BC40-A6FC-70C72B2A0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06584"/>
        <c:axId val="450403448"/>
      </c:lineChart>
      <c:catAx>
        <c:axId val="450400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2664"/>
        <c:crosses val="autoZero"/>
        <c:auto val="1"/>
        <c:lblAlgn val="ctr"/>
        <c:lblOffset val="100"/>
        <c:noMultiLvlLbl val="0"/>
      </c:catAx>
      <c:valAx>
        <c:axId val="4504026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0704"/>
        <c:crosses val="autoZero"/>
        <c:crossBetween val="between"/>
      </c:valAx>
      <c:catAx>
        <c:axId val="450406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03448"/>
        <c:crosses val="autoZero"/>
        <c:auto val="1"/>
        <c:lblAlgn val="ctr"/>
        <c:lblOffset val="100"/>
        <c:noMultiLvlLbl val="0"/>
      </c:catAx>
      <c:valAx>
        <c:axId val="4504034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65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Report'!$J$2:$J$17</c:f>
              <c:numCache>
                <c:formatCode>General</c:formatCode>
                <c:ptCount val="16"/>
                <c:pt idx="0">
                  <c:v>142</c:v>
                </c:pt>
                <c:pt idx="1">
                  <c:v>140</c:v>
                </c:pt>
                <c:pt idx="2">
                  <c:v>30</c:v>
                </c:pt>
                <c:pt idx="3">
                  <c:v>97</c:v>
                </c:pt>
                <c:pt idx="4">
                  <c:v>97</c:v>
                </c:pt>
                <c:pt idx="5">
                  <c:v>152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17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150</c:v>
                </c:pt>
                <c:pt idx="15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3-B74F-AEB2-C8EE24D9F77B}"/>
            </c:ext>
          </c:extLst>
        </c:ser>
        <c:ser>
          <c:idx val="1"/>
          <c:order val="1"/>
          <c:tx>
            <c:strRef>
              <c:f>'29th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Report'!$K$2:$K$17</c:f>
              <c:numCache>
                <c:formatCode>_(* #,##0_);_(* \(#,##0\);_(* \-??_);_(@_)</c:formatCode>
                <c:ptCount val="16"/>
                <c:pt idx="0">
                  <c:v>1208400</c:v>
                </c:pt>
                <c:pt idx="1">
                  <c:v>1134000</c:v>
                </c:pt>
                <c:pt idx="2">
                  <c:v>434250</c:v>
                </c:pt>
                <c:pt idx="3">
                  <c:v>1309500</c:v>
                </c:pt>
                <c:pt idx="4">
                  <c:v>1509425</c:v>
                </c:pt>
                <c:pt idx="5">
                  <c:v>2599200</c:v>
                </c:pt>
                <c:pt idx="6">
                  <c:v>107425</c:v>
                </c:pt>
                <c:pt idx="7">
                  <c:v>93150</c:v>
                </c:pt>
                <c:pt idx="8">
                  <c:v>14430</c:v>
                </c:pt>
                <c:pt idx="9">
                  <c:v>156400</c:v>
                </c:pt>
                <c:pt idx="10">
                  <c:v>26670</c:v>
                </c:pt>
                <c:pt idx="11">
                  <c:v>21695</c:v>
                </c:pt>
                <c:pt idx="12">
                  <c:v>14430</c:v>
                </c:pt>
                <c:pt idx="13">
                  <c:v>13460</c:v>
                </c:pt>
                <c:pt idx="14">
                  <c:v>750000</c:v>
                </c:pt>
                <c:pt idx="15">
                  <c:v>9392435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3-B74F-AEB2-C8EE24D9F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8936"/>
        <c:axId val="450407368"/>
      </c:barChart>
      <c:lineChart>
        <c:grouping val="standard"/>
        <c:varyColors val="0"/>
        <c:ser>
          <c:idx val="2"/>
          <c:order val="2"/>
          <c:tx>
            <c:strRef>
              <c:f>'29th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Report'!$L$2:$L$17</c:f>
              <c:numCache>
                <c:formatCode>0%</c:formatCode>
                <c:ptCount val="16"/>
                <c:pt idx="0">
                  <c:v>0.12865673278548109</c:v>
                </c:pt>
                <c:pt idx="1">
                  <c:v>0.12073546423265107</c:v>
                </c:pt>
                <c:pt idx="2">
                  <c:v>4.6234017057344555E-2</c:v>
                </c:pt>
                <c:pt idx="3">
                  <c:v>0.13942071464960898</c:v>
                </c:pt>
                <c:pt idx="4">
                  <c:v>0.16070646216875603</c:v>
                </c:pt>
                <c:pt idx="5">
                  <c:v>0.27673334976499703</c:v>
                </c:pt>
                <c:pt idx="6">
                  <c:v>1.1437396159781782E-2</c:v>
                </c:pt>
                <c:pt idx="7">
                  <c:v>9.9175559905391938E-3</c:v>
                </c:pt>
                <c:pt idx="8">
                  <c:v>1.5363428120609831E-3</c:v>
                </c:pt>
                <c:pt idx="9">
                  <c:v>1.6651698947078155E-2</c:v>
                </c:pt>
                <c:pt idx="10">
                  <c:v>2.8395192513975343E-3</c:v>
                </c:pt>
                <c:pt idx="11">
                  <c:v>2.3098376512586992E-3</c:v>
                </c:pt>
                <c:pt idx="12">
                  <c:v>1.5363428120609831E-3</c:v>
                </c:pt>
                <c:pt idx="13">
                  <c:v>1.4330682086168283E-3</c:v>
                </c:pt>
                <c:pt idx="14">
                  <c:v>7.9851497508367106E-2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3-B74F-AEB2-C8EE24D9F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09720"/>
        <c:axId val="450410112"/>
      </c:lineChart>
      <c:catAx>
        <c:axId val="450408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7368"/>
        <c:crosses val="autoZero"/>
        <c:auto val="1"/>
        <c:lblAlgn val="ctr"/>
        <c:lblOffset val="100"/>
        <c:noMultiLvlLbl val="0"/>
      </c:catAx>
      <c:valAx>
        <c:axId val="4504073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8936"/>
        <c:crosses val="autoZero"/>
        <c:crossBetween val="between"/>
      </c:valAx>
      <c:catAx>
        <c:axId val="450409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10112"/>
        <c:crosses val="autoZero"/>
        <c:auto val="1"/>
        <c:lblAlgn val="ctr"/>
        <c:lblOffset val="100"/>
        <c:noMultiLvlLbl val="0"/>
      </c:catAx>
      <c:valAx>
        <c:axId val="45041011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97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Report'!$J$19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Report'!$I$20:$I$25</c:f>
              <c:strCache>
                <c:ptCount val="6"/>
                <c:pt idx="0">
                  <c:v>WURAOLA</c:v>
                </c:pt>
                <c:pt idx="1">
                  <c:v>ATW</c:v>
                </c:pt>
                <c:pt idx="2">
                  <c:v>Jeff SR</c:v>
                </c:pt>
                <c:pt idx="3">
                  <c:v>Ameh Mathew</c:v>
                </c:pt>
                <c:pt idx="4">
                  <c:v>Eniola Marketer</c:v>
                </c:pt>
                <c:pt idx="5">
                  <c:v>Total</c:v>
                </c:pt>
              </c:strCache>
            </c:strRef>
          </c:cat>
          <c:val>
            <c:numRef>
              <c:f>'29th Sales Report'!$J$20:$J$25</c:f>
              <c:numCache>
                <c:formatCode>_(* #,##0_);_(* \(#,##0\);_(* \-??_);_(@_)</c:formatCode>
                <c:ptCount val="6"/>
                <c:pt idx="0">
                  <c:v>8126030</c:v>
                </c:pt>
                <c:pt idx="1">
                  <c:v>199480</c:v>
                </c:pt>
                <c:pt idx="2">
                  <c:v>63470</c:v>
                </c:pt>
                <c:pt idx="3">
                  <c:v>253455</c:v>
                </c:pt>
                <c:pt idx="4">
                  <c:v>750000</c:v>
                </c:pt>
                <c:pt idx="5">
                  <c:v>9392435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D-AC44-BA90-1DBF3E29FD6D}"/>
            </c:ext>
          </c:extLst>
        </c:ser>
        <c:ser>
          <c:idx val="1"/>
          <c:order val="1"/>
          <c:tx>
            <c:strRef>
              <c:f>'29th Sales Report'!$K$19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Report'!$I$20:$I$25</c:f>
              <c:strCache>
                <c:ptCount val="6"/>
                <c:pt idx="0">
                  <c:v>WURAOLA</c:v>
                </c:pt>
                <c:pt idx="1">
                  <c:v>ATW</c:v>
                </c:pt>
                <c:pt idx="2">
                  <c:v>Jeff SR</c:v>
                </c:pt>
                <c:pt idx="3">
                  <c:v>Ameh Mathew</c:v>
                </c:pt>
                <c:pt idx="4">
                  <c:v>Eniola Marketer</c:v>
                </c:pt>
                <c:pt idx="5">
                  <c:v>Total</c:v>
                </c:pt>
              </c:strCache>
            </c:strRef>
          </c:cat>
          <c:val>
            <c:numRef>
              <c:f>'29th Sales Report'!$K$20:$K$25</c:f>
              <c:numCache>
                <c:formatCode>0%</c:formatCode>
                <c:ptCount val="6"/>
                <c:pt idx="0">
                  <c:v>0.86516755239722176</c:v>
                </c:pt>
                <c:pt idx="1">
                  <c:v>2.1238368963958761E-2</c:v>
                </c:pt>
                <c:pt idx="2">
                  <c:v>6.7575660624747472E-3</c:v>
                </c:pt>
                <c:pt idx="3">
                  <c:v>2.698501506797758E-2</c:v>
                </c:pt>
                <c:pt idx="4">
                  <c:v>7.9851497508367106E-2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ED-AC44-BA90-1DBF3E29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10504"/>
        <c:axId val="450406976"/>
      </c:barChart>
      <c:lineChart>
        <c:grouping val="standard"/>
        <c:varyColors val="0"/>
        <c:ser>
          <c:idx val="2"/>
          <c:order val="2"/>
          <c:tx>
            <c:strRef>
              <c:f>'29th Sales Report'!$L$19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Report'!$I$20:$I$25</c:f>
              <c:strCache>
                <c:ptCount val="6"/>
                <c:pt idx="0">
                  <c:v>WURAOLA</c:v>
                </c:pt>
                <c:pt idx="1">
                  <c:v>ATW</c:v>
                </c:pt>
                <c:pt idx="2">
                  <c:v>Jeff SR</c:v>
                </c:pt>
                <c:pt idx="3">
                  <c:v>Ameh Mathew</c:v>
                </c:pt>
                <c:pt idx="4">
                  <c:v>Eniola Marketer</c:v>
                </c:pt>
                <c:pt idx="5">
                  <c:v>Total</c:v>
                </c:pt>
              </c:strCache>
            </c:strRef>
          </c:cat>
          <c:val>
            <c:numRef>
              <c:f>'29th Sales Report'!$L$20:$L$25</c:f>
              <c:numCache>
                <c:formatCode>0%</c:formatCode>
                <c:ptCount val="6"/>
                <c:pt idx="0">
                  <c:v>5.7000000000000002E-3</c:v>
                </c:pt>
                <c:pt idx="1">
                  <c:v>9.2600000000000002E-2</c:v>
                </c:pt>
                <c:pt idx="2">
                  <c:v>4.2299999999999997E-2</c:v>
                </c:pt>
                <c:pt idx="3">
                  <c:v>3.6700000000000003E-2</c:v>
                </c:pt>
                <c:pt idx="4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D-AC44-BA90-1DBF3E29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01488"/>
        <c:axId val="450412072"/>
      </c:lineChart>
      <c:catAx>
        <c:axId val="450410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6976"/>
        <c:crosses val="autoZero"/>
        <c:auto val="1"/>
        <c:lblAlgn val="ctr"/>
        <c:lblOffset val="100"/>
        <c:noMultiLvlLbl val="0"/>
      </c:catAx>
      <c:valAx>
        <c:axId val="4504069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0504"/>
        <c:crosses val="autoZero"/>
        <c:crossBetween val="between"/>
      </c:valAx>
      <c:catAx>
        <c:axId val="450401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12072"/>
        <c:crosses val="autoZero"/>
        <c:auto val="1"/>
        <c:lblAlgn val="ctr"/>
        <c:lblOffset val="100"/>
        <c:noMultiLvlLbl val="0"/>
      </c:catAx>
      <c:valAx>
        <c:axId val="4504120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14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Report'!$J$27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Report'!$I$28:$I$33</c:f>
              <c:strCache>
                <c:ptCount val="6"/>
                <c:pt idx="0">
                  <c:v>ann-INV417</c:v>
                </c:pt>
                <c:pt idx="1">
                  <c:v>ann-INV418</c:v>
                </c:pt>
                <c:pt idx="2">
                  <c:v>ann-INV419</c:v>
                </c:pt>
                <c:pt idx="3">
                  <c:v>ann-INV420</c:v>
                </c:pt>
                <c:pt idx="4">
                  <c:v>ann-INV421</c:v>
                </c:pt>
                <c:pt idx="5">
                  <c:v>Total</c:v>
                </c:pt>
              </c:strCache>
            </c:strRef>
          </c:cat>
          <c:val>
            <c:numRef>
              <c:f>'29th Sales Report'!$J$28:$J$33</c:f>
              <c:numCache>
                <c:formatCode>_(* #,##0_);_(* \(#,##0\);_(* \-??_);_(@_)</c:formatCode>
                <c:ptCount val="6"/>
                <c:pt idx="0">
                  <c:v>8698030</c:v>
                </c:pt>
                <c:pt idx="1">
                  <c:v>218480</c:v>
                </c:pt>
                <c:pt idx="2">
                  <c:v>63470</c:v>
                </c:pt>
                <c:pt idx="3">
                  <c:v>282255</c:v>
                </c:pt>
                <c:pt idx="4">
                  <c:v>750000</c:v>
                </c:pt>
                <c:pt idx="5">
                  <c:v>10012235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3-0646-A13B-FF4AA0612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7760"/>
        <c:axId val="450408152"/>
      </c:barChart>
      <c:lineChart>
        <c:grouping val="standard"/>
        <c:varyColors val="0"/>
        <c:ser>
          <c:idx val="1"/>
          <c:order val="1"/>
          <c:tx>
            <c:strRef>
              <c:f>'29th Sales Report'!$K$27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Report'!$I$28:$I$33</c:f>
              <c:strCache>
                <c:ptCount val="6"/>
                <c:pt idx="0">
                  <c:v>ann-INV417</c:v>
                </c:pt>
                <c:pt idx="1">
                  <c:v>ann-INV418</c:v>
                </c:pt>
                <c:pt idx="2">
                  <c:v>ann-INV419</c:v>
                </c:pt>
                <c:pt idx="3">
                  <c:v>ann-INV420</c:v>
                </c:pt>
                <c:pt idx="4">
                  <c:v>ann-INV421</c:v>
                </c:pt>
                <c:pt idx="5">
                  <c:v>Total</c:v>
                </c:pt>
              </c:strCache>
            </c:strRef>
          </c:cat>
          <c:val>
            <c:numRef>
              <c:f>'29th Sales Report'!$K$28:$K$33</c:f>
              <c:numCache>
                <c:formatCode>0%</c:formatCode>
                <c:ptCount val="6"/>
                <c:pt idx="0">
                  <c:v>0.01</c:v>
                </c:pt>
                <c:pt idx="1">
                  <c:v>0.09</c:v>
                </c:pt>
                <c:pt idx="2">
                  <c:v>0.04</c:v>
                </c:pt>
                <c:pt idx="3">
                  <c:v>0.04</c:v>
                </c:pt>
                <c:pt idx="4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3-0646-A13B-FF4AA0612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08544"/>
        <c:axId val="450409328"/>
      </c:lineChart>
      <c:catAx>
        <c:axId val="450407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8152"/>
        <c:crosses val="autoZero"/>
        <c:auto val="1"/>
        <c:lblAlgn val="ctr"/>
        <c:lblOffset val="100"/>
        <c:noMultiLvlLbl val="0"/>
      </c:catAx>
      <c:valAx>
        <c:axId val="4504081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7760"/>
        <c:crosses val="autoZero"/>
        <c:crossBetween val="between"/>
      </c:valAx>
      <c:catAx>
        <c:axId val="45040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09328"/>
        <c:crosses val="autoZero"/>
        <c:auto val="1"/>
        <c:lblAlgn val="ctr"/>
        <c:lblOffset val="100"/>
        <c:noMultiLvlLbl val="0"/>
      </c:catAx>
      <c:valAx>
        <c:axId val="4504093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85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Report'!$J$2:$J$15</c:f>
              <c:numCache>
                <c:formatCode>General</c:formatCode>
                <c:ptCount val="14"/>
                <c:pt idx="0">
                  <c:v>1255</c:v>
                </c:pt>
                <c:pt idx="1">
                  <c:v>8</c:v>
                </c:pt>
                <c:pt idx="2">
                  <c:v>11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E-5947-B541-2346C47DF1F2}"/>
            </c:ext>
          </c:extLst>
        </c:ser>
        <c:ser>
          <c:idx val="1"/>
          <c:order val="1"/>
          <c:tx>
            <c:strRef>
              <c:f>'30th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Report'!$K$2:$K$15</c:f>
              <c:numCache>
                <c:formatCode>_(* #,##0_);_(* \(#,##0\);_(* \-??_);_(@_)</c:formatCode>
                <c:ptCount val="14"/>
                <c:pt idx="0">
                  <c:v>6213300</c:v>
                </c:pt>
                <c:pt idx="1">
                  <c:v>107295</c:v>
                </c:pt>
                <c:pt idx="2">
                  <c:v>101200</c:v>
                </c:pt>
                <c:pt idx="3">
                  <c:v>35520</c:v>
                </c:pt>
                <c:pt idx="4">
                  <c:v>48255</c:v>
                </c:pt>
                <c:pt idx="5">
                  <c:v>42800</c:v>
                </c:pt>
                <c:pt idx="6">
                  <c:v>15525</c:v>
                </c:pt>
                <c:pt idx="7">
                  <c:v>30945</c:v>
                </c:pt>
                <c:pt idx="8">
                  <c:v>344410</c:v>
                </c:pt>
                <c:pt idx="9">
                  <c:v>9500</c:v>
                </c:pt>
                <c:pt idx="10">
                  <c:v>31310</c:v>
                </c:pt>
                <c:pt idx="11">
                  <c:v>9345</c:v>
                </c:pt>
                <c:pt idx="12">
                  <c:v>18300</c:v>
                </c:pt>
                <c:pt idx="13">
                  <c:v>7007705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E-5947-B541-2346C47D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5800"/>
        <c:axId val="450411288"/>
      </c:barChart>
      <c:lineChart>
        <c:grouping val="standard"/>
        <c:varyColors val="0"/>
        <c:ser>
          <c:idx val="2"/>
          <c:order val="2"/>
          <c:tx>
            <c:strRef>
              <c:f>'30th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Report'!$L$2:$L$15</c:f>
              <c:numCache>
                <c:formatCode>0%</c:formatCode>
                <c:ptCount val="14"/>
                <c:pt idx="0">
                  <c:v>0.88663835021594084</c:v>
                </c:pt>
                <c:pt idx="1">
                  <c:v>1.5311004101913536E-2</c:v>
                </c:pt>
                <c:pt idx="2">
                  <c:v>1.4441247170079221E-2</c:v>
                </c:pt>
                <c:pt idx="3">
                  <c:v>5.0687065166127856E-3</c:v>
                </c:pt>
                <c:pt idx="4">
                  <c:v>6.885991918894988E-3</c:v>
                </c:pt>
                <c:pt idx="5">
                  <c:v>6.1075630324050455E-3</c:v>
                </c:pt>
                <c:pt idx="6">
                  <c:v>2.2154185999553348E-3</c:v>
                </c:pt>
                <c:pt idx="7">
                  <c:v>4.415853692471358E-3</c:v>
                </c:pt>
                <c:pt idx="8">
                  <c:v>4.9147331401650042E-2</c:v>
                </c:pt>
                <c:pt idx="9">
                  <c:v>1.3556506730805591E-3</c:v>
                </c:pt>
                <c:pt idx="10">
                  <c:v>4.467939218331822E-3</c:v>
                </c:pt>
                <c:pt idx="11">
                  <c:v>1.3335321620987185E-3</c:v>
                </c:pt>
                <c:pt idx="12">
                  <c:v>2.6114112965657087E-3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0E-5947-B541-2346C47D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11680"/>
        <c:axId val="450412464"/>
      </c:lineChart>
      <c:catAx>
        <c:axId val="450405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1288"/>
        <c:crosses val="autoZero"/>
        <c:auto val="1"/>
        <c:lblAlgn val="ctr"/>
        <c:lblOffset val="100"/>
        <c:noMultiLvlLbl val="0"/>
      </c:catAx>
      <c:valAx>
        <c:axId val="4504112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5800"/>
        <c:crosses val="autoZero"/>
        <c:crossBetween val="between"/>
      </c:valAx>
      <c:catAx>
        <c:axId val="450411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12464"/>
        <c:crosses val="autoZero"/>
        <c:auto val="1"/>
        <c:lblAlgn val="ctr"/>
        <c:lblOffset val="100"/>
        <c:noMultiLvlLbl val="0"/>
      </c:catAx>
      <c:valAx>
        <c:axId val="4504124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1168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Report'!$I$18:$I$24</c:f>
              <c:strCache>
                <c:ptCount val="7"/>
                <c:pt idx="0">
                  <c:v>FINO STORES</c:v>
                </c:pt>
                <c:pt idx="1">
                  <c:v>Ameh Mathew</c:v>
                </c:pt>
                <c:pt idx="2">
                  <c:v>Mrs Oladejo</c:v>
                </c:pt>
                <c:pt idx="3">
                  <c:v>Staff Debit</c:v>
                </c:pt>
                <c:pt idx="4">
                  <c:v>Mr Olayinka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'30th Sales Report'!$J$18:$J$24</c:f>
              <c:numCache>
                <c:formatCode>_(* #,##0_);_(* \(#,##0\);_(* \-??_);_(@_)</c:formatCode>
                <c:ptCount val="7"/>
                <c:pt idx="0">
                  <c:v>6138000</c:v>
                </c:pt>
                <c:pt idx="1">
                  <c:v>800785</c:v>
                </c:pt>
                <c:pt idx="2">
                  <c:v>35975</c:v>
                </c:pt>
                <c:pt idx="3">
                  <c:v>9345</c:v>
                </c:pt>
                <c:pt idx="4">
                  <c:v>18300</c:v>
                </c:pt>
                <c:pt idx="5">
                  <c:v>5300</c:v>
                </c:pt>
                <c:pt idx="6">
                  <c:v>7007705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6-4F49-8AAB-2168E1CCC121}"/>
            </c:ext>
          </c:extLst>
        </c:ser>
        <c:ser>
          <c:idx val="1"/>
          <c:order val="1"/>
          <c:tx>
            <c:strRef>
              <c:f>'30th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Report'!$I$18:$I$24</c:f>
              <c:strCache>
                <c:ptCount val="7"/>
                <c:pt idx="0">
                  <c:v>FINO STORES</c:v>
                </c:pt>
                <c:pt idx="1">
                  <c:v>Ameh Mathew</c:v>
                </c:pt>
                <c:pt idx="2">
                  <c:v>Mrs Oladejo</c:v>
                </c:pt>
                <c:pt idx="3">
                  <c:v>Staff Debit</c:v>
                </c:pt>
                <c:pt idx="4">
                  <c:v>Mr Olayinka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'30th Sales Report'!$K$18:$K$24</c:f>
              <c:numCache>
                <c:formatCode>0%</c:formatCode>
                <c:ptCount val="7"/>
                <c:pt idx="0">
                  <c:v>0.87589303488089176</c:v>
                </c:pt>
                <c:pt idx="1">
                  <c:v>0.11427207623608585</c:v>
                </c:pt>
                <c:pt idx="2">
                  <c:v>5.1336350488498019E-3</c:v>
                </c:pt>
                <c:pt idx="3">
                  <c:v>1.3335321620987185E-3</c:v>
                </c:pt>
                <c:pt idx="4">
                  <c:v>2.6114112965657087E-3</c:v>
                </c:pt>
                <c:pt idx="5">
                  <c:v>7.5631037550810145E-4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6-4F49-8AAB-2168E1CC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0312"/>
        <c:axId val="450403056"/>
      </c:barChart>
      <c:lineChart>
        <c:grouping val="standard"/>
        <c:varyColors val="0"/>
        <c:ser>
          <c:idx val="2"/>
          <c:order val="2"/>
          <c:tx>
            <c:strRef>
              <c:f>'30th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Report'!$I$18:$I$24</c:f>
              <c:strCache>
                <c:ptCount val="7"/>
                <c:pt idx="0">
                  <c:v>FINO STORES</c:v>
                </c:pt>
                <c:pt idx="1">
                  <c:v>Ameh Mathew</c:v>
                </c:pt>
                <c:pt idx="2">
                  <c:v>Mrs Oladejo</c:v>
                </c:pt>
                <c:pt idx="3">
                  <c:v>Staff Debit</c:v>
                </c:pt>
                <c:pt idx="4">
                  <c:v>Mr Olayinka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'30th Sales Report'!$L$18:$L$24</c:f>
              <c:numCache>
                <c:formatCode>0%</c:formatCode>
                <c:ptCount val="7"/>
                <c:pt idx="0">
                  <c:v>-5.0500000000000003E-2</c:v>
                </c:pt>
                <c:pt idx="1">
                  <c:v>4.2999999999999997E-2</c:v>
                </c:pt>
                <c:pt idx="2">
                  <c:v>9.0499999999999997E-2</c:v>
                </c:pt>
                <c:pt idx="3">
                  <c:v>4.0099999999999997E-2</c:v>
                </c:pt>
                <c:pt idx="4">
                  <c:v>6.2799999999999995E-2</c:v>
                </c:pt>
                <c:pt idx="5">
                  <c:v>1.89E-2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86-4F49-8AAB-2168E1CC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403840"/>
        <c:axId val="450402272"/>
      </c:lineChart>
      <c:catAx>
        <c:axId val="450400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3056"/>
        <c:crosses val="autoZero"/>
        <c:auto val="1"/>
        <c:lblAlgn val="ctr"/>
        <c:lblOffset val="100"/>
        <c:noMultiLvlLbl val="0"/>
      </c:catAx>
      <c:valAx>
        <c:axId val="4504030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0312"/>
        <c:crosses val="autoZero"/>
        <c:crossBetween val="between"/>
      </c:valAx>
      <c:catAx>
        <c:axId val="450403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402272"/>
        <c:crosses val="autoZero"/>
        <c:auto val="1"/>
        <c:lblAlgn val="ctr"/>
        <c:lblOffset val="100"/>
        <c:noMultiLvlLbl val="0"/>
      </c:catAx>
      <c:valAx>
        <c:axId val="4504022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38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Report'!$I$27:$I$36</c:f>
              <c:strCache>
                <c:ptCount val="10"/>
                <c:pt idx="0">
                  <c:v>ann-INV422</c:v>
                </c:pt>
                <c:pt idx="1">
                  <c:v>ann-INV423</c:v>
                </c:pt>
                <c:pt idx="2">
                  <c:v>ann-INV424</c:v>
                </c:pt>
                <c:pt idx="3">
                  <c:v>ann-INV425</c:v>
                </c:pt>
                <c:pt idx="4">
                  <c:v>ann-INV426</c:v>
                </c:pt>
                <c:pt idx="5">
                  <c:v>ann-INV427</c:v>
                </c:pt>
                <c:pt idx="6">
                  <c:v>ann-INV428</c:v>
                </c:pt>
                <c:pt idx="7">
                  <c:v>ann-INV429</c:v>
                </c:pt>
                <c:pt idx="8">
                  <c:v>ann-INV430</c:v>
                </c:pt>
                <c:pt idx="9">
                  <c:v>Total</c:v>
                </c:pt>
              </c:strCache>
            </c:strRef>
          </c:cat>
          <c:val>
            <c:numRef>
              <c:f>'30th Sales Report'!$J$27:$J$36</c:f>
              <c:numCache>
                <c:formatCode>_(* #,##0_);_(* \(#,##0\);_(* \-??_);_(@_)</c:formatCode>
                <c:ptCount val="10"/>
                <c:pt idx="0">
                  <c:v>6138000</c:v>
                </c:pt>
                <c:pt idx="1">
                  <c:v>692765</c:v>
                </c:pt>
                <c:pt idx="2">
                  <c:v>9500</c:v>
                </c:pt>
                <c:pt idx="3">
                  <c:v>165620</c:v>
                </c:pt>
                <c:pt idx="4">
                  <c:v>9345</c:v>
                </c:pt>
                <c:pt idx="5">
                  <c:v>13950</c:v>
                </c:pt>
                <c:pt idx="6">
                  <c:v>12525</c:v>
                </c:pt>
                <c:pt idx="7">
                  <c:v>18300</c:v>
                </c:pt>
                <c:pt idx="8">
                  <c:v>5300</c:v>
                </c:pt>
                <c:pt idx="9">
                  <c:v>7065305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1-194E-BD0F-FC202885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05016"/>
        <c:axId val="450405408"/>
      </c:barChart>
      <c:lineChart>
        <c:grouping val="standard"/>
        <c:varyColors val="0"/>
        <c:ser>
          <c:idx val="1"/>
          <c:order val="1"/>
          <c:tx>
            <c:strRef>
              <c:f>'30th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Report'!$I$27:$I$36</c:f>
              <c:strCache>
                <c:ptCount val="10"/>
                <c:pt idx="0">
                  <c:v>ann-INV422</c:v>
                </c:pt>
                <c:pt idx="1">
                  <c:v>ann-INV423</c:v>
                </c:pt>
                <c:pt idx="2">
                  <c:v>ann-INV424</c:v>
                </c:pt>
                <c:pt idx="3">
                  <c:v>ann-INV425</c:v>
                </c:pt>
                <c:pt idx="4">
                  <c:v>ann-INV426</c:v>
                </c:pt>
                <c:pt idx="5">
                  <c:v>ann-INV427</c:v>
                </c:pt>
                <c:pt idx="6">
                  <c:v>ann-INV428</c:v>
                </c:pt>
                <c:pt idx="7">
                  <c:v>ann-INV429</c:v>
                </c:pt>
                <c:pt idx="8">
                  <c:v>ann-INV430</c:v>
                </c:pt>
                <c:pt idx="9">
                  <c:v>Total</c:v>
                </c:pt>
              </c:strCache>
            </c:strRef>
          </c:cat>
          <c:val>
            <c:numRef>
              <c:f>'30th Sales Report'!$K$27:$K$36</c:f>
              <c:numCache>
                <c:formatCode>0%</c:formatCode>
                <c:ptCount val="10"/>
                <c:pt idx="0">
                  <c:v>-0.05</c:v>
                </c:pt>
                <c:pt idx="1">
                  <c:v>0.05</c:v>
                </c:pt>
                <c:pt idx="2">
                  <c:v>0.09</c:v>
                </c:pt>
                <c:pt idx="3">
                  <c:v>0</c:v>
                </c:pt>
                <c:pt idx="4">
                  <c:v>0.04</c:v>
                </c:pt>
                <c:pt idx="5">
                  <c:v>0.09</c:v>
                </c:pt>
                <c:pt idx="6">
                  <c:v>0.1</c:v>
                </c:pt>
                <c:pt idx="7">
                  <c:v>0.06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1-194E-BD0F-FC202885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350648"/>
        <c:axId val="451354176"/>
      </c:lineChart>
      <c:catAx>
        <c:axId val="450405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5408"/>
        <c:crosses val="autoZero"/>
        <c:auto val="1"/>
        <c:lblAlgn val="ctr"/>
        <c:lblOffset val="100"/>
        <c:noMultiLvlLbl val="0"/>
      </c:catAx>
      <c:valAx>
        <c:axId val="4504054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405016"/>
        <c:crosses val="autoZero"/>
        <c:crossBetween val="between"/>
      </c:valAx>
      <c:catAx>
        <c:axId val="451350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354176"/>
        <c:crosses val="autoZero"/>
        <c:auto val="1"/>
        <c:lblAlgn val="ctr"/>
        <c:lblOffset val="100"/>
        <c:noMultiLvlLbl val="0"/>
      </c:catAx>
      <c:valAx>
        <c:axId val="4513541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506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'!$J$2:$J$13</c:f>
              <c:numCache>
                <c:formatCode>General</c:formatCode>
                <c:ptCount val="12"/>
                <c:pt idx="0">
                  <c:v>19</c:v>
                </c:pt>
                <c:pt idx="1">
                  <c:v>42</c:v>
                </c:pt>
                <c:pt idx="2">
                  <c:v>10</c:v>
                </c:pt>
                <c:pt idx="3">
                  <c:v>194</c:v>
                </c:pt>
                <c:pt idx="4">
                  <c:v>1</c:v>
                </c:pt>
                <c:pt idx="5">
                  <c:v>8</c:v>
                </c:pt>
                <c:pt idx="6">
                  <c:v>5</c:v>
                </c:pt>
                <c:pt idx="7">
                  <c:v>13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6-7044-8E8C-89067F7A75DD}"/>
            </c:ext>
          </c:extLst>
        </c:ser>
        <c:ser>
          <c:idx val="1"/>
          <c:order val="1"/>
          <c:tx>
            <c:strRef>
              <c:f>'31st Sales Report 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'!$K$2:$K$13</c:f>
              <c:numCache>
                <c:formatCode>_(* #,##0_);_(* \(#,##0\);_(* \-??_);_(@_)</c:formatCode>
                <c:ptCount val="12"/>
                <c:pt idx="0">
                  <c:v>171700</c:v>
                </c:pt>
                <c:pt idx="1">
                  <c:v>722800</c:v>
                </c:pt>
                <c:pt idx="2">
                  <c:v>156550</c:v>
                </c:pt>
                <c:pt idx="3">
                  <c:v>970300</c:v>
                </c:pt>
                <c:pt idx="4">
                  <c:v>9000</c:v>
                </c:pt>
                <c:pt idx="5">
                  <c:v>176670</c:v>
                </c:pt>
                <c:pt idx="6">
                  <c:v>66675</c:v>
                </c:pt>
                <c:pt idx="7">
                  <c:v>119600</c:v>
                </c:pt>
                <c:pt idx="8">
                  <c:v>71040</c:v>
                </c:pt>
                <c:pt idx="9">
                  <c:v>21170</c:v>
                </c:pt>
                <c:pt idx="10">
                  <c:v>12885</c:v>
                </c:pt>
                <c:pt idx="11">
                  <c:v>2498390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6-7044-8E8C-89067F7A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4376"/>
        <c:axId val="451344768"/>
      </c:barChart>
      <c:lineChart>
        <c:grouping val="standard"/>
        <c:varyColors val="0"/>
        <c:ser>
          <c:idx val="2"/>
          <c:order val="2"/>
          <c:tx>
            <c:strRef>
              <c:f>'31st Sales Report 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'!$L$2:$L$13</c:f>
              <c:numCache>
                <c:formatCode>0%</c:formatCode>
                <c:ptCount val="12"/>
                <c:pt idx="0">
                  <c:v>6.8724258422424037E-2</c:v>
                </c:pt>
                <c:pt idx="1">
                  <c:v>0.28930631326574313</c:v>
                </c:pt>
                <c:pt idx="2">
                  <c:v>6.2660353267504271E-2</c:v>
                </c:pt>
                <c:pt idx="3">
                  <c:v>0.38837011035106611</c:v>
                </c:pt>
                <c:pt idx="4">
                  <c:v>3.6023198940117436E-3</c:v>
                </c:pt>
                <c:pt idx="5">
                  <c:v>7.071353951945053E-2</c:v>
                </c:pt>
                <c:pt idx="6">
                  <c:v>2.6687186548136999E-2</c:v>
                </c:pt>
                <c:pt idx="7">
                  <c:v>4.787082881375606E-2</c:v>
                </c:pt>
                <c:pt idx="8">
                  <c:v>2.8434311696732696E-2</c:v>
                </c:pt>
                <c:pt idx="9">
                  <c:v>8.4734569062476228E-3</c:v>
                </c:pt>
                <c:pt idx="10">
                  <c:v>5.1573213149268132E-3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A6-7044-8E8C-89067F7A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351040"/>
        <c:axId val="451353392"/>
      </c:lineChart>
      <c:catAx>
        <c:axId val="451344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4768"/>
        <c:crosses val="autoZero"/>
        <c:auto val="1"/>
        <c:lblAlgn val="ctr"/>
        <c:lblOffset val="100"/>
        <c:noMultiLvlLbl val="0"/>
      </c:catAx>
      <c:valAx>
        <c:axId val="451344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4376"/>
        <c:crosses val="autoZero"/>
        <c:crossBetween val="between"/>
      </c:valAx>
      <c:catAx>
        <c:axId val="451351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353392"/>
        <c:crosses val="autoZero"/>
        <c:auto val="1"/>
        <c:lblAlgn val="ctr"/>
        <c:lblOffset val="100"/>
        <c:noMultiLvlLbl val="0"/>
      </c:catAx>
      <c:valAx>
        <c:axId val="4513533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510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'!$J$15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'!$I$16:$I$24</c:f>
              <c:strCache>
                <c:ptCount val="9"/>
                <c:pt idx="0">
                  <c:v>Remilekun</c:v>
                </c:pt>
                <c:pt idx="1">
                  <c:v>Rita SR</c:v>
                </c:pt>
                <c:pt idx="2">
                  <c:v>Eniola Marketer</c:v>
                </c:pt>
                <c:pt idx="3">
                  <c:v>Ameh Mathew</c:v>
                </c:pt>
                <c:pt idx="4">
                  <c:v>Stella SR</c:v>
                </c:pt>
                <c:pt idx="5">
                  <c:v>MRS IK.</c:v>
                </c:pt>
                <c:pt idx="6">
                  <c:v>Tmoney NB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'31st Sales Report '!$J$16:$J$24</c:f>
              <c:numCache>
                <c:formatCode>_(* #,##0_);_(* \(#,##0\);_(* \-??_);_(@_)</c:formatCode>
                <c:ptCount val="9"/>
                <c:pt idx="0">
                  <c:v>9500</c:v>
                </c:pt>
                <c:pt idx="1">
                  <c:v>953000</c:v>
                </c:pt>
                <c:pt idx="2">
                  <c:v>750000</c:v>
                </c:pt>
                <c:pt idx="3">
                  <c:v>470315</c:v>
                </c:pt>
                <c:pt idx="4">
                  <c:v>150000</c:v>
                </c:pt>
                <c:pt idx="5">
                  <c:v>23500</c:v>
                </c:pt>
                <c:pt idx="6">
                  <c:v>137075</c:v>
                </c:pt>
                <c:pt idx="7">
                  <c:v>5000</c:v>
                </c:pt>
                <c:pt idx="8">
                  <c:v>2498390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2-AE4F-9E59-0FC0DA3CEA2D}"/>
            </c:ext>
          </c:extLst>
        </c:ser>
        <c:ser>
          <c:idx val="1"/>
          <c:order val="1"/>
          <c:tx>
            <c:strRef>
              <c:f>'31st Sales Report '!$K$15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'!$I$16:$I$24</c:f>
              <c:strCache>
                <c:ptCount val="9"/>
                <c:pt idx="0">
                  <c:v>Remilekun</c:v>
                </c:pt>
                <c:pt idx="1">
                  <c:v>Rita SR</c:v>
                </c:pt>
                <c:pt idx="2">
                  <c:v>Eniola Marketer</c:v>
                </c:pt>
                <c:pt idx="3">
                  <c:v>Ameh Mathew</c:v>
                </c:pt>
                <c:pt idx="4">
                  <c:v>Stella SR</c:v>
                </c:pt>
                <c:pt idx="5">
                  <c:v>MRS IK.</c:v>
                </c:pt>
                <c:pt idx="6">
                  <c:v>Tmoney NB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'31st Sales Report '!$K$16:$K$24</c:f>
              <c:numCache>
                <c:formatCode>0%</c:formatCode>
                <c:ptCount val="9"/>
                <c:pt idx="0">
                  <c:v>3.8024487770123958E-3</c:v>
                </c:pt>
                <c:pt idx="1">
                  <c:v>0.38144565099924349</c:v>
                </c:pt>
                <c:pt idx="2">
                  <c:v>0.30019332450097863</c:v>
                </c:pt>
                <c:pt idx="3">
                  <c:v>0.18824723121690368</c:v>
                </c:pt>
                <c:pt idx="4">
                  <c:v>6.0038664900195729E-2</c:v>
                </c:pt>
                <c:pt idx="5">
                  <c:v>9.4060575010306638E-3</c:v>
                </c:pt>
                <c:pt idx="6">
                  <c:v>5.4865333274628864E-2</c:v>
                </c:pt>
                <c:pt idx="7">
                  <c:v>2.0012888300065244E-3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2-AE4F-9E59-0FC0DA3CE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8296"/>
        <c:axId val="451346728"/>
      </c:barChart>
      <c:lineChart>
        <c:grouping val="standard"/>
        <c:varyColors val="0"/>
        <c:ser>
          <c:idx val="2"/>
          <c:order val="2"/>
          <c:tx>
            <c:strRef>
              <c:f>'31st Sales Report '!$L$15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'!$I$16:$I$24</c:f>
              <c:strCache>
                <c:ptCount val="9"/>
                <c:pt idx="0">
                  <c:v>Remilekun</c:v>
                </c:pt>
                <c:pt idx="1">
                  <c:v>Rita SR</c:v>
                </c:pt>
                <c:pt idx="2">
                  <c:v>Eniola Marketer</c:v>
                </c:pt>
                <c:pt idx="3">
                  <c:v>Ameh Mathew</c:v>
                </c:pt>
                <c:pt idx="4">
                  <c:v>Stella SR</c:v>
                </c:pt>
                <c:pt idx="5">
                  <c:v>MRS IK.</c:v>
                </c:pt>
                <c:pt idx="6">
                  <c:v>Tmoney NB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'31st Sales Report '!$L$16:$L$24</c:f>
              <c:numCache>
                <c:formatCode>0%</c:formatCode>
                <c:ptCount val="9"/>
                <c:pt idx="0">
                  <c:v>8.8700000000000001E-2</c:v>
                </c:pt>
                <c:pt idx="1">
                  <c:v>5.7000000000000002E-3</c:v>
                </c:pt>
                <c:pt idx="2">
                  <c:v>-0.04</c:v>
                </c:pt>
                <c:pt idx="3">
                  <c:v>5.91E-2</c:v>
                </c:pt>
                <c:pt idx="4">
                  <c:v>-0.04</c:v>
                </c:pt>
                <c:pt idx="5">
                  <c:v>6.4899999999999999E-2</c:v>
                </c:pt>
                <c:pt idx="6">
                  <c:v>4.0599999999999997E-2</c:v>
                </c:pt>
                <c:pt idx="7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2-AE4F-9E59-0FC0DA3CE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348688"/>
        <c:axId val="451353784"/>
      </c:lineChart>
      <c:catAx>
        <c:axId val="451348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6728"/>
        <c:crosses val="autoZero"/>
        <c:auto val="1"/>
        <c:lblAlgn val="ctr"/>
        <c:lblOffset val="100"/>
        <c:noMultiLvlLbl val="0"/>
      </c:catAx>
      <c:valAx>
        <c:axId val="451346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8296"/>
        <c:crosses val="autoZero"/>
        <c:crossBetween val="between"/>
      </c:valAx>
      <c:catAx>
        <c:axId val="451348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353784"/>
        <c:crosses val="autoZero"/>
        <c:auto val="1"/>
        <c:lblAlgn val="ctr"/>
        <c:lblOffset val="100"/>
        <c:noMultiLvlLbl val="0"/>
      </c:catAx>
      <c:valAx>
        <c:axId val="4513537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86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'!$I$27:$I$37</c:f>
              <c:strCache>
                <c:ptCount val="11"/>
                <c:pt idx="0">
                  <c:v>ann-INV431</c:v>
                </c:pt>
                <c:pt idx="1">
                  <c:v>ann-INV432</c:v>
                </c:pt>
                <c:pt idx="2">
                  <c:v>ann-INV433</c:v>
                </c:pt>
                <c:pt idx="3">
                  <c:v>ann-INV434</c:v>
                </c:pt>
                <c:pt idx="4">
                  <c:v>ann-INV435</c:v>
                </c:pt>
                <c:pt idx="5">
                  <c:v>ann-INV436</c:v>
                </c:pt>
                <c:pt idx="6">
                  <c:v>ann-INV437</c:v>
                </c:pt>
                <c:pt idx="7">
                  <c:v>ann-INV438</c:v>
                </c:pt>
                <c:pt idx="8">
                  <c:v>ann-INV439</c:v>
                </c:pt>
                <c:pt idx="9">
                  <c:v>ann-INV440</c:v>
                </c:pt>
                <c:pt idx="10">
                  <c:v>Total</c:v>
                </c:pt>
              </c:strCache>
            </c:strRef>
          </c:cat>
          <c:val>
            <c:numRef>
              <c:f>'31st Sales Report '!$J$27:$J$37</c:f>
              <c:numCache>
                <c:formatCode>_(* #,##0_);_(* \(#,##0\);_(* \-??_);_(@_)</c:formatCode>
                <c:ptCount val="11"/>
                <c:pt idx="0">
                  <c:v>9500</c:v>
                </c:pt>
                <c:pt idx="1">
                  <c:v>500550</c:v>
                </c:pt>
                <c:pt idx="2">
                  <c:v>750000</c:v>
                </c:pt>
                <c:pt idx="3">
                  <c:v>60000</c:v>
                </c:pt>
                <c:pt idx="4">
                  <c:v>150000</c:v>
                </c:pt>
                <c:pt idx="5">
                  <c:v>23500</c:v>
                </c:pt>
                <c:pt idx="6">
                  <c:v>452450</c:v>
                </c:pt>
                <c:pt idx="7">
                  <c:v>488715</c:v>
                </c:pt>
                <c:pt idx="8">
                  <c:v>137075</c:v>
                </c:pt>
                <c:pt idx="9">
                  <c:v>5000</c:v>
                </c:pt>
                <c:pt idx="10">
                  <c:v>2576790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E-FA45-AE25-1681FE37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5552"/>
        <c:axId val="451342808"/>
      </c:barChart>
      <c:lineChart>
        <c:grouping val="standard"/>
        <c:varyColors val="0"/>
        <c:ser>
          <c:idx val="1"/>
          <c:order val="1"/>
          <c:tx>
            <c:strRef>
              <c:f>'31st Sales Report 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'!$I$27:$I$37</c:f>
              <c:strCache>
                <c:ptCount val="11"/>
                <c:pt idx="0">
                  <c:v>ann-INV431</c:v>
                </c:pt>
                <c:pt idx="1">
                  <c:v>ann-INV432</c:v>
                </c:pt>
                <c:pt idx="2">
                  <c:v>ann-INV433</c:v>
                </c:pt>
                <c:pt idx="3">
                  <c:v>ann-INV434</c:v>
                </c:pt>
                <c:pt idx="4">
                  <c:v>ann-INV435</c:v>
                </c:pt>
                <c:pt idx="5">
                  <c:v>ann-INV436</c:v>
                </c:pt>
                <c:pt idx="6">
                  <c:v>ann-INV437</c:v>
                </c:pt>
                <c:pt idx="7">
                  <c:v>ann-INV438</c:v>
                </c:pt>
                <c:pt idx="8">
                  <c:v>ann-INV439</c:v>
                </c:pt>
                <c:pt idx="9">
                  <c:v>ann-INV440</c:v>
                </c:pt>
                <c:pt idx="10">
                  <c:v>Total</c:v>
                </c:pt>
              </c:strCache>
            </c:strRef>
          </c:cat>
          <c:val>
            <c:numRef>
              <c:f>'31st Sales Report '!$K$27:$K$37</c:f>
              <c:numCache>
                <c:formatCode>0%</c:formatCode>
                <c:ptCount val="11"/>
                <c:pt idx="0">
                  <c:v>0.09</c:v>
                </c:pt>
                <c:pt idx="1">
                  <c:v>0.01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0.06</c:v>
                </c:pt>
                <c:pt idx="6">
                  <c:v>0.01</c:v>
                </c:pt>
                <c:pt idx="7">
                  <c:v>7.0000000000000007E-2</c:v>
                </c:pt>
                <c:pt idx="8">
                  <c:v>0.04</c:v>
                </c:pt>
                <c:pt idx="9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E-FA45-AE25-1681FE37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345944"/>
        <c:axId val="451354568"/>
      </c:lineChart>
      <c:catAx>
        <c:axId val="451345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2808"/>
        <c:crosses val="autoZero"/>
        <c:auto val="1"/>
        <c:lblAlgn val="ctr"/>
        <c:lblOffset val="100"/>
        <c:noMultiLvlLbl val="0"/>
      </c:catAx>
      <c:valAx>
        <c:axId val="4513428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5552"/>
        <c:crosses val="autoZero"/>
        <c:crossBetween val="between"/>
      </c:valAx>
      <c:catAx>
        <c:axId val="451345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354568"/>
        <c:crosses val="autoZero"/>
        <c:auto val="1"/>
        <c:lblAlgn val="ctr"/>
        <c:lblOffset val="100"/>
        <c:noMultiLvlLbl val="0"/>
      </c:catAx>
      <c:valAx>
        <c:axId val="4513545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3459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 /><Relationship Id="rId2" Type="http://schemas.openxmlformats.org/officeDocument/2006/relationships/chart" Target="../charts/chart5.xml" /><Relationship Id="rId1" Type="http://schemas.openxmlformats.org/officeDocument/2006/relationships/chart" Target="../charts/chart4.xml" /><Relationship Id="rId4" Type="http://schemas.openxmlformats.org/officeDocument/2006/relationships/chart" Target="../charts/chart7.xml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 /><Relationship Id="rId2" Type="http://schemas.openxmlformats.org/officeDocument/2006/relationships/chart" Target="../charts/chart9.xml" /><Relationship Id="rId1" Type="http://schemas.openxmlformats.org/officeDocument/2006/relationships/chart" Target="../charts/chart8.xml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 /><Relationship Id="rId2" Type="http://schemas.openxmlformats.org/officeDocument/2006/relationships/chart" Target="../charts/chart12.xml" /><Relationship Id="rId1" Type="http://schemas.openxmlformats.org/officeDocument/2006/relationships/chart" Target="../charts/chart11.xml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 /><Relationship Id="rId2" Type="http://schemas.openxmlformats.org/officeDocument/2006/relationships/chart" Target="../charts/chart15.xml" /><Relationship Id="rId1" Type="http://schemas.openxmlformats.org/officeDocument/2006/relationships/chart" Target="../charts/chart14.xml" 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 /><Relationship Id="rId2" Type="http://schemas.openxmlformats.org/officeDocument/2006/relationships/chart" Target="../charts/chart18.xml" /><Relationship Id="rId1" Type="http://schemas.openxmlformats.org/officeDocument/2006/relationships/chart" Target="../charts/chart17.xml" 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 /><Relationship Id="rId2" Type="http://schemas.openxmlformats.org/officeDocument/2006/relationships/chart" Target="../charts/chart21.xml" /><Relationship Id="rId1" Type="http://schemas.openxmlformats.org/officeDocument/2006/relationships/chart" Target="../charts/chart20.xml" 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 /><Relationship Id="rId2" Type="http://schemas.openxmlformats.org/officeDocument/2006/relationships/chart" Target="../charts/chart24.xml" /><Relationship Id="rId1" Type="http://schemas.openxmlformats.org/officeDocument/2006/relationships/chart" Target="../charts/chart23.xml" 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 /><Relationship Id="rId2" Type="http://schemas.openxmlformats.org/officeDocument/2006/relationships/chart" Target="../charts/chart27.xml" /><Relationship Id="rId1" Type="http://schemas.openxmlformats.org/officeDocument/2006/relationships/chart" Target="../charts/chart26.xml" 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 /><Relationship Id="rId2" Type="http://schemas.openxmlformats.org/officeDocument/2006/relationships/chart" Target="../charts/chart30.xml" /><Relationship Id="rId1" Type="http://schemas.openxmlformats.org/officeDocument/2006/relationships/chart" Target="../charts/chart29.xml" 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 /><Relationship Id="rId2" Type="http://schemas.openxmlformats.org/officeDocument/2006/relationships/chart" Target="../charts/chart33.xml" /><Relationship Id="rId1" Type="http://schemas.openxmlformats.org/officeDocument/2006/relationships/chart" Target="../charts/chart32.xml" 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 /><Relationship Id="rId2" Type="http://schemas.openxmlformats.org/officeDocument/2006/relationships/chart" Target="../charts/chart36.xml" /><Relationship Id="rId1" Type="http://schemas.openxmlformats.org/officeDocument/2006/relationships/chart" Target="../charts/chart35.xml" 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 /><Relationship Id="rId2" Type="http://schemas.openxmlformats.org/officeDocument/2006/relationships/chart" Target="../charts/chart39.xml" /><Relationship Id="rId1" Type="http://schemas.openxmlformats.org/officeDocument/2006/relationships/chart" Target="../charts/chart38.xml" 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 /><Relationship Id="rId2" Type="http://schemas.openxmlformats.org/officeDocument/2006/relationships/chart" Target="../charts/chart42.xml" /><Relationship Id="rId1" Type="http://schemas.openxmlformats.org/officeDocument/2006/relationships/chart" Target="../charts/chart41.xml" 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 /><Relationship Id="rId2" Type="http://schemas.openxmlformats.org/officeDocument/2006/relationships/chart" Target="../charts/chart45.xml" /><Relationship Id="rId1" Type="http://schemas.openxmlformats.org/officeDocument/2006/relationships/chart" Target="../charts/chart44.xml" 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 /><Relationship Id="rId2" Type="http://schemas.openxmlformats.org/officeDocument/2006/relationships/chart" Target="../charts/chart48.xml" /><Relationship Id="rId1" Type="http://schemas.openxmlformats.org/officeDocument/2006/relationships/chart" Target="../charts/chart47.xml" 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 /><Relationship Id="rId2" Type="http://schemas.openxmlformats.org/officeDocument/2006/relationships/chart" Target="../charts/chart51.xml" /><Relationship Id="rId1" Type="http://schemas.openxmlformats.org/officeDocument/2006/relationships/chart" Target="../charts/chart50.xml" 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 /><Relationship Id="rId2" Type="http://schemas.openxmlformats.org/officeDocument/2006/relationships/chart" Target="../charts/chart54.xml" /><Relationship Id="rId1" Type="http://schemas.openxmlformats.org/officeDocument/2006/relationships/chart" Target="../charts/chart53.xml" 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 /><Relationship Id="rId2" Type="http://schemas.openxmlformats.org/officeDocument/2006/relationships/chart" Target="../charts/chart57.xml" /><Relationship Id="rId1" Type="http://schemas.openxmlformats.org/officeDocument/2006/relationships/chart" Target="../charts/chart56.xml" 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 /><Relationship Id="rId2" Type="http://schemas.openxmlformats.org/officeDocument/2006/relationships/chart" Target="../charts/chart60.xml" /><Relationship Id="rId1" Type="http://schemas.openxmlformats.org/officeDocument/2006/relationships/chart" Target="../charts/chart59.xml" 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 /><Relationship Id="rId2" Type="http://schemas.openxmlformats.org/officeDocument/2006/relationships/chart" Target="../charts/chart63.xml" /><Relationship Id="rId1" Type="http://schemas.openxmlformats.org/officeDocument/2006/relationships/chart" Target="../charts/chart62.xml" 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 /><Relationship Id="rId2" Type="http://schemas.openxmlformats.org/officeDocument/2006/relationships/chart" Target="../charts/chart66.xml" /><Relationship Id="rId1" Type="http://schemas.openxmlformats.org/officeDocument/2006/relationships/chart" Target="../charts/chart65.xml" 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 /><Relationship Id="rId2" Type="http://schemas.openxmlformats.org/officeDocument/2006/relationships/chart" Target="../charts/chart69.xml" /><Relationship Id="rId1" Type="http://schemas.openxmlformats.org/officeDocument/2006/relationships/chart" Target="../charts/chart68.xml" 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 /><Relationship Id="rId2" Type="http://schemas.openxmlformats.org/officeDocument/2006/relationships/chart" Target="../charts/chart72.xml" /><Relationship Id="rId1" Type="http://schemas.openxmlformats.org/officeDocument/2006/relationships/chart" Target="../charts/chart71.xml" 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 /><Relationship Id="rId2" Type="http://schemas.openxmlformats.org/officeDocument/2006/relationships/chart" Target="../charts/chart75.xml" /><Relationship Id="rId1" Type="http://schemas.openxmlformats.org/officeDocument/2006/relationships/chart" Target="../charts/chart74.xml" 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 /><Relationship Id="rId2" Type="http://schemas.openxmlformats.org/officeDocument/2006/relationships/chart" Target="../charts/chart78.xml" /><Relationship Id="rId1" Type="http://schemas.openxmlformats.org/officeDocument/2006/relationships/chart" Target="../charts/chart77.xml" 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 /><Relationship Id="rId2" Type="http://schemas.openxmlformats.org/officeDocument/2006/relationships/chart" Target="../charts/chart81.xml" /><Relationship Id="rId1" Type="http://schemas.openxmlformats.org/officeDocument/2006/relationships/chart" Target="../charts/chart80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513360</xdr:colOff>
      <xdr:row>2</xdr:row>
      <xdr:rowOff>182520</xdr:rowOff>
    </xdr:from>
    <xdr:to>
      <xdr:col>24</xdr:col>
      <xdr:colOff>166680</xdr:colOff>
      <xdr:row>15</xdr:row>
      <xdr:rowOff>118440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526680</xdr:colOff>
      <xdr:row>16</xdr:row>
      <xdr:rowOff>164160</xdr:rowOff>
    </xdr:from>
    <xdr:to>
      <xdr:col>24</xdr:col>
      <xdr:colOff>195480</xdr:colOff>
      <xdr:row>29</xdr:row>
      <xdr:rowOff>88920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555480</xdr:colOff>
      <xdr:row>30</xdr:row>
      <xdr:rowOff>157680</xdr:rowOff>
    </xdr:from>
    <xdr:to>
      <xdr:col>24</xdr:col>
      <xdr:colOff>182520</xdr:colOff>
      <xdr:row>45</xdr:row>
      <xdr:rowOff>136080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513360</xdr:colOff>
      <xdr:row>2</xdr:row>
      <xdr:rowOff>182520</xdr:rowOff>
    </xdr:from>
    <xdr:to>
      <xdr:col>24</xdr:col>
      <xdr:colOff>166680</xdr:colOff>
      <xdr:row>15</xdr:row>
      <xdr:rowOff>118440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526680</xdr:colOff>
      <xdr:row>16</xdr:row>
      <xdr:rowOff>164160</xdr:rowOff>
    </xdr:from>
    <xdr:to>
      <xdr:col>24</xdr:col>
      <xdr:colOff>195480</xdr:colOff>
      <xdr:row>29</xdr:row>
      <xdr:rowOff>88920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543240</xdr:colOff>
      <xdr:row>32</xdr:row>
      <xdr:rowOff>17640</xdr:rowOff>
    </xdr:from>
    <xdr:to>
      <xdr:col>24</xdr:col>
      <xdr:colOff>180000</xdr:colOff>
      <xdr:row>46</xdr:row>
      <xdr:rowOff>14040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531720</xdr:colOff>
      <xdr:row>47</xdr:row>
      <xdr:rowOff>142200</xdr:rowOff>
    </xdr:from>
    <xdr:to>
      <xdr:col>24</xdr:col>
      <xdr:colOff>168480</xdr:colOff>
      <xdr:row>60</xdr:row>
      <xdr:rowOff>82080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513360</xdr:colOff>
      <xdr:row>2</xdr:row>
      <xdr:rowOff>182520</xdr:rowOff>
    </xdr:from>
    <xdr:to>
      <xdr:col>24</xdr:col>
      <xdr:colOff>166680</xdr:colOff>
      <xdr:row>15</xdr:row>
      <xdr:rowOff>118440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498600</xdr:colOff>
      <xdr:row>16</xdr:row>
      <xdr:rowOff>205560</xdr:rowOff>
    </xdr:from>
    <xdr:to>
      <xdr:col>24</xdr:col>
      <xdr:colOff>123480</xdr:colOff>
      <xdr:row>29</xdr:row>
      <xdr:rowOff>104400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571320</xdr:colOff>
      <xdr:row>31</xdr:row>
      <xdr:rowOff>151200</xdr:rowOff>
    </xdr:from>
    <xdr:to>
      <xdr:col>24</xdr:col>
      <xdr:colOff>200880</xdr:colOff>
      <xdr:row>44</xdr:row>
      <xdr:rowOff>158040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513360</xdr:colOff>
      <xdr:row>2</xdr:row>
      <xdr:rowOff>182520</xdr:rowOff>
    </xdr:from>
    <xdr:to>
      <xdr:col>24</xdr:col>
      <xdr:colOff>166680</xdr:colOff>
      <xdr:row>15</xdr:row>
      <xdr:rowOff>118440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526680</xdr:colOff>
      <xdr:row>16</xdr:row>
      <xdr:rowOff>164160</xdr:rowOff>
    </xdr:from>
    <xdr:to>
      <xdr:col>24</xdr:col>
      <xdr:colOff>195480</xdr:colOff>
      <xdr:row>29</xdr:row>
      <xdr:rowOff>88920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558000</xdr:colOff>
      <xdr:row>31</xdr:row>
      <xdr:rowOff>26640</xdr:rowOff>
    </xdr:from>
    <xdr:to>
      <xdr:col>24</xdr:col>
      <xdr:colOff>223200</xdr:colOff>
      <xdr:row>43</xdr:row>
      <xdr:rowOff>92160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1079640</xdr:colOff>
      <xdr:row>16</xdr:row>
      <xdr:rowOff>175680</xdr:rowOff>
    </xdr:from>
    <xdr:to>
      <xdr:col>23</xdr:col>
      <xdr:colOff>355680</xdr:colOff>
      <xdr:row>30</xdr:row>
      <xdr:rowOff>162720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1065960</xdr:colOff>
      <xdr:row>31</xdr:row>
      <xdr:rowOff>68760</xdr:rowOff>
    </xdr:from>
    <xdr:to>
      <xdr:col>23</xdr:col>
      <xdr:colOff>342000</xdr:colOff>
      <xdr:row>46</xdr:row>
      <xdr:rowOff>2520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46080</xdr:colOff>
      <xdr:row>0</xdr:row>
      <xdr:rowOff>216000</xdr:rowOff>
    </xdr:from>
    <xdr:to>
      <xdr:col>23</xdr:col>
      <xdr:colOff>390600</xdr:colOff>
      <xdr:row>15</xdr:row>
      <xdr:rowOff>111240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233280</xdr:colOff>
      <xdr:row>4</xdr:row>
      <xdr:rowOff>61200</xdr:rowOff>
    </xdr:from>
    <xdr:to>
      <xdr:col>20</xdr:col>
      <xdr:colOff>575280</xdr:colOff>
      <xdr:row>18</xdr:row>
      <xdr:rowOff>86760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258120</xdr:colOff>
      <xdr:row>20</xdr:row>
      <xdr:rowOff>11160</xdr:rowOff>
    </xdr:from>
    <xdr:to>
      <xdr:col>20</xdr:col>
      <xdr:colOff>606960</xdr:colOff>
      <xdr:row>34</xdr:row>
      <xdr:rowOff>36720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241560</xdr:colOff>
      <xdr:row>35</xdr:row>
      <xdr:rowOff>86400</xdr:rowOff>
    </xdr:from>
    <xdr:to>
      <xdr:col>20</xdr:col>
      <xdr:colOff>583560</xdr:colOff>
      <xdr:row>50</xdr:row>
      <xdr:rowOff>70200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0</xdr:rowOff>
    </xdr:from>
    <xdr:to>
      <xdr:col>24</xdr:col>
      <xdr:colOff>506880</xdr:colOff>
      <xdr:row>16</xdr:row>
      <xdr:rowOff>32040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16</xdr:row>
      <xdr:rowOff>0</xdr:rowOff>
    </xdr:from>
    <xdr:to>
      <xdr:col>24</xdr:col>
      <xdr:colOff>506880</xdr:colOff>
      <xdr:row>29</xdr:row>
      <xdr:rowOff>88920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30</xdr:row>
      <xdr:rowOff>0</xdr:rowOff>
    </xdr:from>
    <xdr:to>
      <xdr:col>24</xdr:col>
      <xdr:colOff>506880</xdr:colOff>
      <xdr:row>43</xdr:row>
      <xdr:rowOff>89280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20880</xdr:colOff>
      <xdr:row>5</xdr:row>
      <xdr:rowOff>160560</xdr:rowOff>
    </xdr:from>
    <xdr:to>
      <xdr:col>24</xdr:col>
      <xdr:colOff>354240</xdr:colOff>
      <xdr:row>19</xdr:row>
      <xdr:rowOff>146880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1080</xdr:colOff>
      <xdr:row>21</xdr:row>
      <xdr:rowOff>107640</xdr:rowOff>
    </xdr:from>
    <xdr:to>
      <xdr:col>24</xdr:col>
      <xdr:colOff>334440</xdr:colOff>
      <xdr:row>35</xdr:row>
      <xdr:rowOff>37440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20880</xdr:colOff>
      <xdr:row>36</xdr:row>
      <xdr:rowOff>84600</xdr:rowOff>
    </xdr:from>
    <xdr:to>
      <xdr:col>24</xdr:col>
      <xdr:colOff>354240</xdr:colOff>
      <xdr:row>50</xdr:row>
      <xdr:rowOff>47880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220680</xdr:colOff>
      <xdr:row>4</xdr:row>
      <xdr:rowOff>31320</xdr:rowOff>
    </xdr:from>
    <xdr:to>
      <xdr:col>23</xdr:col>
      <xdr:colOff>572760</xdr:colOff>
      <xdr:row>18</xdr:row>
      <xdr:rowOff>54720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250200</xdr:colOff>
      <xdr:row>19</xdr:row>
      <xdr:rowOff>51120</xdr:rowOff>
    </xdr:from>
    <xdr:to>
      <xdr:col>23</xdr:col>
      <xdr:colOff>594720</xdr:colOff>
      <xdr:row>33</xdr:row>
      <xdr:rowOff>126720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273600</xdr:colOff>
      <xdr:row>35</xdr:row>
      <xdr:rowOff>82800</xdr:rowOff>
    </xdr:from>
    <xdr:to>
      <xdr:col>24</xdr:col>
      <xdr:colOff>14400</xdr:colOff>
      <xdr:row>50</xdr:row>
      <xdr:rowOff>119160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206280</xdr:colOff>
      <xdr:row>4</xdr:row>
      <xdr:rowOff>98280</xdr:rowOff>
    </xdr:from>
    <xdr:to>
      <xdr:col>23</xdr:col>
      <xdr:colOff>553320</xdr:colOff>
      <xdr:row>19</xdr:row>
      <xdr:rowOff>77040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193680</xdr:colOff>
      <xdr:row>19</xdr:row>
      <xdr:rowOff>282600</xdr:rowOff>
    </xdr:from>
    <xdr:to>
      <xdr:col>23</xdr:col>
      <xdr:colOff>540720</xdr:colOff>
      <xdr:row>33</xdr:row>
      <xdr:rowOff>166320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200160</xdr:colOff>
      <xdr:row>35</xdr:row>
      <xdr:rowOff>66600</xdr:rowOff>
    </xdr:from>
    <xdr:to>
      <xdr:col>23</xdr:col>
      <xdr:colOff>547200</xdr:colOff>
      <xdr:row>50</xdr:row>
      <xdr:rowOff>45360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587520</xdr:colOff>
      <xdr:row>2</xdr:row>
      <xdr:rowOff>155520</xdr:rowOff>
    </xdr:from>
    <xdr:to>
      <xdr:col>24</xdr:col>
      <xdr:colOff>331200</xdr:colOff>
      <xdr:row>17</xdr:row>
      <xdr:rowOff>134280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593640</xdr:colOff>
      <xdr:row>19</xdr:row>
      <xdr:rowOff>28440</xdr:rowOff>
    </xdr:from>
    <xdr:to>
      <xdr:col>24</xdr:col>
      <xdr:colOff>337320</xdr:colOff>
      <xdr:row>32</xdr:row>
      <xdr:rowOff>96120</xdr:rowOff>
    </xdr:to>
    <xdr:graphicFrame macro="">
      <xdr:nvGraphicFramePr>
        <xdr:cNvPr id="32" name="Chart 2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15840</xdr:colOff>
      <xdr:row>33</xdr:row>
      <xdr:rowOff>85680</xdr:rowOff>
    </xdr:from>
    <xdr:to>
      <xdr:col>24</xdr:col>
      <xdr:colOff>362880</xdr:colOff>
      <xdr:row>48</xdr:row>
      <xdr:rowOff>64440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168120</xdr:colOff>
      <xdr:row>2</xdr:row>
      <xdr:rowOff>1080</xdr:rowOff>
    </xdr:from>
    <xdr:to>
      <xdr:col>23</xdr:col>
      <xdr:colOff>515160</xdr:colOff>
      <xdr:row>16</xdr:row>
      <xdr:rowOff>48600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168120</xdr:colOff>
      <xdr:row>17</xdr:row>
      <xdr:rowOff>115560</xdr:rowOff>
    </xdr:from>
    <xdr:to>
      <xdr:col>23</xdr:col>
      <xdr:colOff>515160</xdr:colOff>
      <xdr:row>31</xdr:row>
      <xdr:rowOff>72720</xdr:rowOff>
    </xdr:to>
    <xdr:graphicFrame macro="">
      <xdr:nvGraphicFramePr>
        <xdr:cNvPr id="35" name="Chart 2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162000</xdr:colOff>
      <xdr:row>32</xdr:row>
      <xdr:rowOff>173160</xdr:rowOff>
    </xdr:from>
    <xdr:to>
      <xdr:col>23</xdr:col>
      <xdr:colOff>509040</xdr:colOff>
      <xdr:row>47</xdr:row>
      <xdr:rowOff>15840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355320</xdr:colOff>
      <xdr:row>2</xdr:row>
      <xdr:rowOff>128880</xdr:rowOff>
    </xdr:from>
    <xdr:to>
      <xdr:col>24</xdr:col>
      <xdr:colOff>144000</xdr:colOff>
      <xdr:row>16</xdr:row>
      <xdr:rowOff>133920</xdr:rowOff>
    </xdr:to>
    <xdr:graphicFrame macro="">
      <xdr:nvGraphicFramePr>
        <xdr:cNvPr id="37" name="Chart 1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372240</xdr:colOff>
      <xdr:row>18</xdr:row>
      <xdr:rowOff>94680</xdr:rowOff>
    </xdr:from>
    <xdr:to>
      <xdr:col>24</xdr:col>
      <xdr:colOff>160920</xdr:colOff>
      <xdr:row>32</xdr:row>
      <xdr:rowOff>1080</xdr:rowOff>
    </xdr:to>
    <xdr:graphicFrame macro="">
      <xdr:nvGraphicFramePr>
        <xdr:cNvPr id="38" name="Chart 2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409680</xdr:colOff>
      <xdr:row>33</xdr:row>
      <xdr:rowOff>12240</xdr:rowOff>
    </xdr:from>
    <xdr:to>
      <xdr:col>24</xdr:col>
      <xdr:colOff>198360</xdr:colOff>
      <xdr:row>47</xdr:row>
      <xdr:rowOff>1440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517680</xdr:colOff>
      <xdr:row>2</xdr:row>
      <xdr:rowOff>104760</xdr:rowOff>
    </xdr:from>
    <xdr:to>
      <xdr:col>25</xdr:col>
      <xdr:colOff>262080</xdr:colOff>
      <xdr:row>16</xdr:row>
      <xdr:rowOff>179640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511200</xdr:colOff>
      <xdr:row>17</xdr:row>
      <xdr:rowOff>3240</xdr:rowOff>
    </xdr:from>
    <xdr:to>
      <xdr:col>25</xdr:col>
      <xdr:colOff>255600</xdr:colOff>
      <xdr:row>30</xdr:row>
      <xdr:rowOff>141480</xdr:rowOff>
    </xdr:to>
    <xdr:graphicFrame macro="">
      <xdr:nvGraphicFramePr>
        <xdr:cNvPr id="41" name="Chart 2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549360</xdr:colOff>
      <xdr:row>32</xdr:row>
      <xdr:rowOff>47520</xdr:rowOff>
    </xdr:from>
    <xdr:to>
      <xdr:col>25</xdr:col>
      <xdr:colOff>293760</xdr:colOff>
      <xdr:row>46</xdr:row>
      <xdr:rowOff>179280</xdr:rowOff>
    </xdr:to>
    <xdr:graphicFrame macro="">
      <xdr:nvGraphicFramePr>
        <xdr:cNvPr id="42" name="Chart 3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140040</xdr:colOff>
      <xdr:row>3</xdr:row>
      <xdr:rowOff>2520</xdr:rowOff>
    </xdr:from>
    <xdr:to>
      <xdr:col>23</xdr:col>
      <xdr:colOff>474120</xdr:colOff>
      <xdr:row>17</xdr:row>
      <xdr:rowOff>105120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119880</xdr:colOff>
      <xdr:row>18</xdr:row>
      <xdr:rowOff>121680</xdr:rowOff>
    </xdr:from>
    <xdr:to>
      <xdr:col>23</xdr:col>
      <xdr:colOff>453960</xdr:colOff>
      <xdr:row>31</xdr:row>
      <xdr:rowOff>273960</xdr:rowOff>
    </xdr:to>
    <xdr:graphicFrame macro="">
      <xdr:nvGraphicFramePr>
        <xdr:cNvPr id="44" name="Chart 2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140040</xdr:colOff>
      <xdr:row>33</xdr:row>
      <xdr:rowOff>82080</xdr:rowOff>
    </xdr:from>
    <xdr:to>
      <xdr:col>23</xdr:col>
      <xdr:colOff>474120</xdr:colOff>
      <xdr:row>48</xdr:row>
      <xdr:rowOff>3960</xdr:rowOff>
    </xdr:to>
    <xdr:graphicFrame macro="">
      <xdr:nvGraphicFramePr>
        <xdr:cNvPr id="45" name="Chart 3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382320</xdr:colOff>
      <xdr:row>4</xdr:row>
      <xdr:rowOff>173160</xdr:rowOff>
    </xdr:from>
    <xdr:to>
      <xdr:col>24</xdr:col>
      <xdr:colOff>165960</xdr:colOff>
      <xdr:row>18</xdr:row>
      <xdr:rowOff>179640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370080</xdr:colOff>
      <xdr:row>20</xdr:row>
      <xdr:rowOff>75600</xdr:rowOff>
    </xdr:from>
    <xdr:to>
      <xdr:col>24</xdr:col>
      <xdr:colOff>153720</xdr:colOff>
      <xdr:row>33</xdr:row>
      <xdr:rowOff>142920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406800</xdr:colOff>
      <xdr:row>35</xdr:row>
      <xdr:rowOff>14400</xdr:rowOff>
    </xdr:from>
    <xdr:to>
      <xdr:col>24</xdr:col>
      <xdr:colOff>190440</xdr:colOff>
      <xdr:row>49</xdr:row>
      <xdr:rowOff>20880</xdr:rowOff>
    </xdr:to>
    <xdr:graphicFrame macro="">
      <xdr:nvGraphicFramePr>
        <xdr:cNvPr id="48" name="Chart 3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61560</xdr:colOff>
      <xdr:row>2</xdr:row>
      <xdr:rowOff>184680</xdr:rowOff>
    </xdr:from>
    <xdr:to>
      <xdr:col>23</xdr:col>
      <xdr:colOff>405720</xdr:colOff>
      <xdr:row>17</xdr:row>
      <xdr:rowOff>115920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51120</xdr:colOff>
      <xdr:row>19</xdr:row>
      <xdr:rowOff>142920</xdr:rowOff>
    </xdr:from>
    <xdr:to>
      <xdr:col>23</xdr:col>
      <xdr:colOff>395280</xdr:colOff>
      <xdr:row>33</xdr:row>
      <xdr:rowOff>126000</xdr:rowOff>
    </xdr:to>
    <xdr:graphicFrame macro="">
      <xdr:nvGraphicFramePr>
        <xdr:cNvPr id="50" name="Chart 2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40680</xdr:colOff>
      <xdr:row>35</xdr:row>
      <xdr:rowOff>7560</xdr:rowOff>
    </xdr:from>
    <xdr:to>
      <xdr:col>23</xdr:col>
      <xdr:colOff>384840</xdr:colOff>
      <xdr:row>49</xdr:row>
      <xdr:rowOff>126000</xdr:rowOff>
    </xdr:to>
    <xdr:graphicFrame macro="">
      <xdr:nvGraphicFramePr>
        <xdr:cNvPr id="51" name="Chart 3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35280</xdr:colOff>
      <xdr:row>3</xdr:row>
      <xdr:rowOff>134280</xdr:rowOff>
    </xdr:from>
    <xdr:to>
      <xdr:col>23</xdr:col>
      <xdr:colOff>401040</xdr:colOff>
      <xdr:row>18</xdr:row>
      <xdr:rowOff>44280</xdr:rowOff>
    </xdr:to>
    <xdr:graphicFrame macro="">
      <xdr:nvGraphicFramePr>
        <xdr:cNvPr id="52" name="Chart 1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26640</xdr:colOff>
      <xdr:row>19</xdr:row>
      <xdr:rowOff>160200</xdr:rowOff>
    </xdr:from>
    <xdr:to>
      <xdr:col>23</xdr:col>
      <xdr:colOff>392400</xdr:colOff>
      <xdr:row>32</xdr:row>
      <xdr:rowOff>173160</xdr:rowOff>
    </xdr:to>
    <xdr:graphicFrame macro="">
      <xdr:nvGraphicFramePr>
        <xdr:cNvPr id="53" name="Chart 2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26640</xdr:colOff>
      <xdr:row>33</xdr:row>
      <xdr:rowOff>142920</xdr:rowOff>
    </xdr:from>
    <xdr:to>
      <xdr:col>23</xdr:col>
      <xdr:colOff>392400</xdr:colOff>
      <xdr:row>48</xdr:row>
      <xdr:rowOff>95760</xdr:rowOff>
    </xdr:to>
    <xdr:graphicFrame macro="">
      <xdr:nvGraphicFramePr>
        <xdr:cNvPr id="54" name="Chart 3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247680</xdr:colOff>
      <xdr:row>2</xdr:row>
      <xdr:rowOff>153720</xdr:rowOff>
    </xdr:from>
    <xdr:to>
      <xdr:col>25</xdr:col>
      <xdr:colOff>37080</xdr:colOff>
      <xdr:row>16</xdr:row>
      <xdr:rowOff>280800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185400</xdr:colOff>
      <xdr:row>17</xdr:row>
      <xdr:rowOff>153720</xdr:rowOff>
    </xdr:from>
    <xdr:to>
      <xdr:col>24</xdr:col>
      <xdr:colOff>572400</xdr:colOff>
      <xdr:row>31</xdr:row>
      <xdr:rowOff>143640</xdr:rowOff>
    </xdr:to>
    <xdr:graphicFrame macro="">
      <xdr:nvGraphicFramePr>
        <xdr:cNvPr id="56" name="Chart 2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198000</xdr:colOff>
      <xdr:row>32</xdr:row>
      <xdr:rowOff>153720</xdr:rowOff>
    </xdr:from>
    <xdr:to>
      <xdr:col>24</xdr:col>
      <xdr:colOff>585000</xdr:colOff>
      <xdr:row>47</xdr:row>
      <xdr:rowOff>93960</xdr:rowOff>
    </xdr:to>
    <xdr:graphicFrame macro="">
      <xdr:nvGraphicFramePr>
        <xdr:cNvPr id="57" name="Chart 3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225360</xdr:colOff>
      <xdr:row>3</xdr:row>
      <xdr:rowOff>155520</xdr:rowOff>
    </xdr:from>
    <xdr:to>
      <xdr:col>23</xdr:col>
      <xdr:colOff>554040</xdr:colOff>
      <xdr:row>17</xdr:row>
      <xdr:rowOff>90720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235080</xdr:colOff>
      <xdr:row>18</xdr:row>
      <xdr:rowOff>95400</xdr:rowOff>
    </xdr:from>
    <xdr:to>
      <xdr:col>23</xdr:col>
      <xdr:colOff>538560</xdr:colOff>
      <xdr:row>32</xdr:row>
      <xdr:rowOff>30600</xdr:rowOff>
    </xdr:to>
    <xdr:graphicFrame macro="">
      <xdr:nvGraphicFramePr>
        <xdr:cNvPr id="59" name="Chart 2">
          <a:extLst>
            <a:ext uri="{FF2B5EF4-FFF2-40B4-BE49-F238E27FC236}">
              <a16:creationId xmlns:a16="http://schemas.microsoft.com/office/drawing/2014/main" id="{00000000-0008-0000-1A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235080</xdr:colOff>
      <xdr:row>33</xdr:row>
      <xdr:rowOff>184320</xdr:rowOff>
    </xdr:from>
    <xdr:to>
      <xdr:col>23</xdr:col>
      <xdr:colOff>538560</xdr:colOff>
      <xdr:row>48</xdr:row>
      <xdr:rowOff>68760</xdr:rowOff>
    </xdr:to>
    <xdr:graphicFrame macro="">
      <xdr:nvGraphicFramePr>
        <xdr:cNvPr id="60" name="Chart 3">
          <a:extLst>
            <a:ext uri="{FF2B5EF4-FFF2-40B4-BE49-F238E27FC236}">
              <a16:creationId xmlns:a16="http://schemas.microsoft.com/office/drawing/2014/main" id="{00000000-0008-0000-1A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30600</xdr:colOff>
      <xdr:row>4</xdr:row>
      <xdr:rowOff>42120</xdr:rowOff>
    </xdr:from>
    <xdr:to>
      <xdr:col>23</xdr:col>
      <xdr:colOff>364680</xdr:colOff>
      <xdr:row>18</xdr:row>
      <xdr:rowOff>5760</xdr:rowOff>
    </xdr:to>
    <xdr:graphicFrame macro="">
      <xdr:nvGraphicFramePr>
        <xdr:cNvPr id="61" name="Chart 1">
          <a:extLst>
            <a:ext uri="{FF2B5EF4-FFF2-40B4-BE49-F238E27FC236}">
              <a16:creationId xmlns:a16="http://schemas.microsoft.com/office/drawing/2014/main" id="{00000000-0008-0000-1B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50760</xdr:colOff>
      <xdr:row>20</xdr:row>
      <xdr:rowOff>2520</xdr:rowOff>
    </xdr:from>
    <xdr:to>
      <xdr:col>23</xdr:col>
      <xdr:colOff>384840</xdr:colOff>
      <xdr:row>33</xdr:row>
      <xdr:rowOff>154800</xdr:rowOff>
    </xdr:to>
    <xdr:graphicFrame macro="">
      <xdr:nvGraphicFramePr>
        <xdr:cNvPr id="62" name="Chart 2"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80280</xdr:colOff>
      <xdr:row>35</xdr:row>
      <xdr:rowOff>32400</xdr:rowOff>
    </xdr:from>
    <xdr:to>
      <xdr:col>23</xdr:col>
      <xdr:colOff>414360</xdr:colOff>
      <xdr:row>49</xdr:row>
      <xdr:rowOff>135000</xdr:rowOff>
    </xdr:to>
    <xdr:graphicFrame macro="">
      <xdr:nvGraphicFramePr>
        <xdr:cNvPr id="63" name="Chart 3"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240840</xdr:colOff>
      <xdr:row>3</xdr:row>
      <xdr:rowOff>15840</xdr:rowOff>
    </xdr:from>
    <xdr:to>
      <xdr:col>24</xdr:col>
      <xdr:colOff>9720</xdr:colOff>
      <xdr:row>17</xdr:row>
      <xdr:rowOff>78480</xdr:rowOff>
    </xdr:to>
    <xdr:graphicFrame macro="">
      <xdr:nvGraphicFramePr>
        <xdr:cNvPr id="64" name="Chart 1">
          <a:extLst>
            <a:ext uri="{FF2B5EF4-FFF2-40B4-BE49-F238E27FC236}">
              <a16:creationId xmlns:a16="http://schemas.microsoft.com/office/drawing/2014/main" id="{00000000-0008-0000-1C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240840</xdr:colOff>
      <xdr:row>17</xdr:row>
      <xdr:rowOff>302760</xdr:rowOff>
    </xdr:from>
    <xdr:to>
      <xdr:col>24</xdr:col>
      <xdr:colOff>9720</xdr:colOff>
      <xdr:row>32</xdr:row>
      <xdr:rowOff>43560</xdr:rowOff>
    </xdr:to>
    <xdr:graphicFrame macro="">
      <xdr:nvGraphicFramePr>
        <xdr:cNvPr id="65" name="Chart 2">
          <a:extLst>
            <a:ext uri="{FF2B5EF4-FFF2-40B4-BE49-F238E27FC236}">
              <a16:creationId xmlns:a16="http://schemas.microsoft.com/office/drawing/2014/main" id="{00000000-0008-0000-1C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232200</xdr:colOff>
      <xdr:row>33</xdr:row>
      <xdr:rowOff>15840</xdr:rowOff>
    </xdr:from>
    <xdr:to>
      <xdr:col>24</xdr:col>
      <xdr:colOff>1080</xdr:colOff>
      <xdr:row>47</xdr:row>
      <xdr:rowOff>78480</xdr:rowOff>
    </xdr:to>
    <xdr:graphicFrame macro="">
      <xdr:nvGraphicFramePr>
        <xdr:cNvPr id="66" name="Chart 3">
          <a:extLst>
            <a:ext uri="{FF2B5EF4-FFF2-40B4-BE49-F238E27FC236}">
              <a16:creationId xmlns:a16="http://schemas.microsoft.com/office/drawing/2014/main" id="{00000000-0008-0000-1C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3240</xdr:colOff>
      <xdr:row>1</xdr:row>
      <xdr:rowOff>182520</xdr:rowOff>
    </xdr:from>
    <xdr:to>
      <xdr:col>27</xdr:col>
      <xdr:colOff>362880</xdr:colOff>
      <xdr:row>15</xdr:row>
      <xdr:rowOff>272880</xdr:rowOff>
    </xdr:to>
    <xdr:graphicFrame macro="">
      <xdr:nvGraphicFramePr>
        <xdr:cNvPr id="67" name="Chart 1">
          <a:extLst>
            <a:ext uri="{FF2B5EF4-FFF2-40B4-BE49-F238E27FC236}">
              <a16:creationId xmlns:a16="http://schemas.microsoft.com/office/drawing/2014/main" id="{00000000-0008-0000-1E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3240</xdr:colOff>
      <xdr:row>16</xdr:row>
      <xdr:rowOff>182520</xdr:rowOff>
    </xdr:from>
    <xdr:to>
      <xdr:col>27</xdr:col>
      <xdr:colOff>362880</xdr:colOff>
      <xdr:row>31</xdr:row>
      <xdr:rowOff>83520</xdr:rowOff>
    </xdr:to>
    <xdr:graphicFrame macro="">
      <xdr:nvGraphicFramePr>
        <xdr:cNvPr id="68" name="Chart 2">
          <a:extLst>
            <a:ext uri="{FF2B5EF4-FFF2-40B4-BE49-F238E27FC236}">
              <a16:creationId xmlns:a16="http://schemas.microsoft.com/office/drawing/2014/main" id="{00000000-0008-0000-1E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14400</xdr:colOff>
      <xdr:row>31</xdr:row>
      <xdr:rowOff>316080</xdr:rowOff>
    </xdr:from>
    <xdr:to>
      <xdr:col>27</xdr:col>
      <xdr:colOff>374040</xdr:colOff>
      <xdr:row>46</xdr:row>
      <xdr:rowOff>83520</xdr:rowOff>
    </xdr:to>
    <xdr:graphicFrame macro="">
      <xdr:nvGraphicFramePr>
        <xdr:cNvPr id="69" name="Chart 3">
          <a:extLst>
            <a:ext uri="{FF2B5EF4-FFF2-40B4-BE49-F238E27FC236}">
              <a16:creationId xmlns:a16="http://schemas.microsoft.com/office/drawing/2014/main" id="{00000000-0008-0000-1E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104760</xdr:colOff>
      <xdr:row>33</xdr:row>
      <xdr:rowOff>117360</xdr:rowOff>
    </xdr:from>
    <xdr:to>
      <xdr:col>23</xdr:col>
      <xdr:colOff>452520</xdr:colOff>
      <xdr:row>48</xdr:row>
      <xdr:rowOff>96840</xdr:rowOff>
    </xdr:to>
    <xdr:graphicFrame macro="">
      <xdr:nvGraphicFramePr>
        <xdr:cNvPr id="70" name="Chart 1">
          <a:extLst>
            <a:ext uri="{FF2B5EF4-FFF2-40B4-BE49-F238E27FC236}">
              <a16:creationId xmlns:a16="http://schemas.microsoft.com/office/drawing/2014/main" id="{00000000-0008-0000-1F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66600</xdr:colOff>
      <xdr:row>18</xdr:row>
      <xdr:rowOff>162000</xdr:rowOff>
    </xdr:from>
    <xdr:to>
      <xdr:col>23</xdr:col>
      <xdr:colOff>414360</xdr:colOff>
      <xdr:row>32</xdr:row>
      <xdr:rowOff>46440</xdr:rowOff>
    </xdr:to>
    <xdr:graphicFrame macro="">
      <xdr:nvGraphicFramePr>
        <xdr:cNvPr id="71" name="Chart 2">
          <a:extLst>
            <a:ext uri="{FF2B5EF4-FFF2-40B4-BE49-F238E27FC236}">
              <a16:creationId xmlns:a16="http://schemas.microsoft.com/office/drawing/2014/main" id="{00000000-0008-0000-1F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47520</xdr:colOff>
      <xdr:row>2</xdr:row>
      <xdr:rowOff>162000</xdr:rowOff>
    </xdr:from>
    <xdr:to>
      <xdr:col>23</xdr:col>
      <xdr:colOff>395280</xdr:colOff>
      <xdr:row>17</xdr:row>
      <xdr:rowOff>141480</xdr:rowOff>
    </xdr:to>
    <xdr:graphicFrame macro="">
      <xdr:nvGraphicFramePr>
        <xdr:cNvPr id="72" name="Chart 3">
          <a:extLst>
            <a:ext uri="{FF2B5EF4-FFF2-40B4-BE49-F238E27FC236}">
              <a16:creationId xmlns:a16="http://schemas.microsoft.com/office/drawing/2014/main" id="{00000000-0008-0000-1F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598680</xdr:colOff>
      <xdr:row>1</xdr:row>
      <xdr:rowOff>162000</xdr:rowOff>
    </xdr:from>
    <xdr:to>
      <xdr:col>24</xdr:col>
      <xdr:colOff>306000</xdr:colOff>
      <xdr:row>16</xdr:row>
      <xdr:rowOff>67320</xdr:rowOff>
    </xdr:to>
    <xdr:graphicFrame macro="">
      <xdr:nvGraphicFramePr>
        <xdr:cNvPr id="73" name="Chart 1">
          <a:extLst>
            <a:ext uri="{FF2B5EF4-FFF2-40B4-BE49-F238E27FC236}">
              <a16:creationId xmlns:a16="http://schemas.microsoft.com/office/drawing/2014/main" id="{00000000-0008-0000-2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585000</xdr:colOff>
      <xdr:row>18</xdr:row>
      <xdr:rowOff>67320</xdr:rowOff>
    </xdr:from>
    <xdr:to>
      <xdr:col>24</xdr:col>
      <xdr:colOff>292320</xdr:colOff>
      <xdr:row>31</xdr:row>
      <xdr:rowOff>80640</xdr:rowOff>
    </xdr:to>
    <xdr:graphicFrame macro="">
      <xdr:nvGraphicFramePr>
        <xdr:cNvPr id="74" name="Chart 2">
          <a:extLst>
            <a:ext uri="{FF2B5EF4-FFF2-40B4-BE49-F238E27FC236}">
              <a16:creationId xmlns:a16="http://schemas.microsoft.com/office/drawing/2014/main" id="{00000000-0008-0000-2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17640</xdr:colOff>
      <xdr:row>33</xdr:row>
      <xdr:rowOff>67320</xdr:rowOff>
    </xdr:from>
    <xdr:to>
      <xdr:col>24</xdr:col>
      <xdr:colOff>333000</xdr:colOff>
      <xdr:row>47</xdr:row>
      <xdr:rowOff>161640</xdr:rowOff>
    </xdr:to>
    <xdr:graphicFrame macro="">
      <xdr:nvGraphicFramePr>
        <xdr:cNvPr id="75" name="Chart 3">
          <a:extLst>
            <a:ext uri="{FF2B5EF4-FFF2-40B4-BE49-F238E27FC236}">
              <a16:creationId xmlns:a16="http://schemas.microsoft.com/office/drawing/2014/main" id="{00000000-0008-0000-2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380160</xdr:colOff>
      <xdr:row>3</xdr:row>
      <xdr:rowOff>4320</xdr:rowOff>
    </xdr:from>
    <xdr:to>
      <xdr:col>24</xdr:col>
      <xdr:colOff>113400</xdr:colOff>
      <xdr:row>17</xdr:row>
      <xdr:rowOff>65520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00000000-0008-0000-21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360000</xdr:colOff>
      <xdr:row>18</xdr:row>
      <xdr:rowOff>14400</xdr:rowOff>
    </xdr:from>
    <xdr:to>
      <xdr:col>24</xdr:col>
      <xdr:colOff>93240</xdr:colOff>
      <xdr:row>32</xdr:row>
      <xdr:rowOff>75600</xdr:rowOff>
    </xdr:to>
    <xdr:graphicFrame macro="">
      <xdr:nvGraphicFramePr>
        <xdr:cNvPr id="77" name="Chart 2">
          <a:extLst>
            <a:ext uri="{FF2B5EF4-FFF2-40B4-BE49-F238E27FC236}">
              <a16:creationId xmlns:a16="http://schemas.microsoft.com/office/drawing/2014/main" id="{00000000-0008-0000-21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360000</xdr:colOff>
      <xdr:row>33</xdr:row>
      <xdr:rowOff>135360</xdr:rowOff>
    </xdr:from>
    <xdr:to>
      <xdr:col>24</xdr:col>
      <xdr:colOff>93240</xdr:colOff>
      <xdr:row>48</xdr:row>
      <xdr:rowOff>156240</xdr:rowOff>
    </xdr:to>
    <xdr:graphicFrame macro="">
      <xdr:nvGraphicFramePr>
        <xdr:cNvPr id="78" name="Chart 3">
          <a:extLst>
            <a:ext uri="{FF2B5EF4-FFF2-40B4-BE49-F238E27FC236}">
              <a16:creationId xmlns:a16="http://schemas.microsoft.com/office/drawing/2014/main" id="{00000000-0008-0000-21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370800</xdr:colOff>
      <xdr:row>2</xdr:row>
      <xdr:rowOff>171360</xdr:rowOff>
    </xdr:from>
    <xdr:to>
      <xdr:col>24</xdr:col>
      <xdr:colOff>129600</xdr:colOff>
      <xdr:row>16</xdr:row>
      <xdr:rowOff>128880</xdr:rowOff>
    </xdr:to>
    <xdr:graphicFrame macro="">
      <xdr:nvGraphicFramePr>
        <xdr:cNvPr id="79" name="Chart 1">
          <a:extLst>
            <a:ext uri="{FF2B5EF4-FFF2-40B4-BE49-F238E27FC236}">
              <a16:creationId xmlns:a16="http://schemas.microsoft.com/office/drawing/2014/main" id="{00000000-0008-0000-22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348840</xdr:colOff>
      <xdr:row>18</xdr:row>
      <xdr:rowOff>37800</xdr:rowOff>
    </xdr:from>
    <xdr:to>
      <xdr:col>24</xdr:col>
      <xdr:colOff>107640</xdr:colOff>
      <xdr:row>32</xdr:row>
      <xdr:rowOff>3960</xdr:rowOff>
    </xdr:to>
    <xdr:graphicFrame macro="">
      <xdr:nvGraphicFramePr>
        <xdr:cNvPr id="80" name="Chart 2">
          <a:extLst>
            <a:ext uri="{FF2B5EF4-FFF2-40B4-BE49-F238E27FC236}">
              <a16:creationId xmlns:a16="http://schemas.microsoft.com/office/drawing/2014/main" id="{00000000-0008-0000-22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348840</xdr:colOff>
      <xdr:row>33</xdr:row>
      <xdr:rowOff>1440</xdr:rowOff>
    </xdr:from>
    <xdr:to>
      <xdr:col>24</xdr:col>
      <xdr:colOff>107640</xdr:colOff>
      <xdr:row>47</xdr:row>
      <xdr:rowOff>84240</xdr:rowOff>
    </xdr:to>
    <xdr:graphicFrame macro="">
      <xdr:nvGraphicFramePr>
        <xdr:cNvPr id="81" name="Chart 3">
          <a:extLst>
            <a:ext uri="{FF2B5EF4-FFF2-40B4-BE49-F238E27FC236}">
              <a16:creationId xmlns:a16="http://schemas.microsoft.com/office/drawing/2014/main" id="{00000000-0008-0000-22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252" TargetMode="External" /><Relationship Id="rId117" Type="http://schemas.openxmlformats.org/officeDocument/2006/relationships/hyperlink" Target="bk://v_id/?1552" TargetMode="External" /><Relationship Id="rId21" Type="http://schemas.openxmlformats.org/officeDocument/2006/relationships/hyperlink" Target="bk://v_id/?1242" TargetMode="External" /><Relationship Id="rId42" Type="http://schemas.openxmlformats.org/officeDocument/2006/relationships/hyperlink" Target="bk://v_id/?1306" TargetMode="External" /><Relationship Id="rId47" Type="http://schemas.openxmlformats.org/officeDocument/2006/relationships/hyperlink" Target="bk://v_id/?1319" TargetMode="External" /><Relationship Id="rId63" Type="http://schemas.openxmlformats.org/officeDocument/2006/relationships/hyperlink" Target="bk://v_id/?1371" TargetMode="External" /><Relationship Id="rId68" Type="http://schemas.openxmlformats.org/officeDocument/2006/relationships/hyperlink" Target="bk://v_id/?1393" TargetMode="External" /><Relationship Id="rId84" Type="http://schemas.openxmlformats.org/officeDocument/2006/relationships/hyperlink" Target="bk://v_id/?1445" TargetMode="External" /><Relationship Id="rId89" Type="http://schemas.openxmlformats.org/officeDocument/2006/relationships/hyperlink" Target="bk://v_id/?1451" TargetMode="External" /><Relationship Id="rId112" Type="http://schemas.openxmlformats.org/officeDocument/2006/relationships/hyperlink" Target="bk://v_id/?1516" TargetMode="External" /><Relationship Id="rId133" Type="http://schemas.openxmlformats.org/officeDocument/2006/relationships/hyperlink" Target="bk://v_id/?1590" TargetMode="External" /><Relationship Id="rId138" Type="http://schemas.openxmlformats.org/officeDocument/2006/relationships/hyperlink" Target="bk://v_id/?1619" TargetMode="External" /><Relationship Id="rId16" Type="http://schemas.openxmlformats.org/officeDocument/2006/relationships/hyperlink" Target="bk://v_id/?1226" TargetMode="External" /><Relationship Id="rId107" Type="http://schemas.openxmlformats.org/officeDocument/2006/relationships/hyperlink" Target="bk://v_id/?1506" TargetMode="External" /><Relationship Id="rId11" Type="http://schemas.openxmlformats.org/officeDocument/2006/relationships/hyperlink" Target="bk://v_id/?1221" TargetMode="External" /><Relationship Id="rId32" Type="http://schemas.openxmlformats.org/officeDocument/2006/relationships/hyperlink" Target="bk://v_id/?1268" TargetMode="External" /><Relationship Id="rId37" Type="http://schemas.openxmlformats.org/officeDocument/2006/relationships/hyperlink" Target="bk://v_id/?1277" TargetMode="External" /><Relationship Id="rId53" Type="http://schemas.openxmlformats.org/officeDocument/2006/relationships/hyperlink" Target="bk://v_id/?1344" TargetMode="External" /><Relationship Id="rId58" Type="http://schemas.openxmlformats.org/officeDocument/2006/relationships/hyperlink" Target="bk://v_id/?1357" TargetMode="External" /><Relationship Id="rId74" Type="http://schemas.openxmlformats.org/officeDocument/2006/relationships/hyperlink" Target="bk://v_id/?1404" TargetMode="External" /><Relationship Id="rId79" Type="http://schemas.openxmlformats.org/officeDocument/2006/relationships/hyperlink" Target="bk://v_id/?1417" TargetMode="External" /><Relationship Id="rId102" Type="http://schemas.openxmlformats.org/officeDocument/2006/relationships/hyperlink" Target="bk://v_id/?1491" TargetMode="External" /><Relationship Id="rId123" Type="http://schemas.openxmlformats.org/officeDocument/2006/relationships/hyperlink" Target="bk://v_id/?1573" TargetMode="External" /><Relationship Id="rId128" Type="http://schemas.openxmlformats.org/officeDocument/2006/relationships/hyperlink" Target="bk://v_id/?1578" TargetMode="External" /><Relationship Id="rId5" Type="http://schemas.openxmlformats.org/officeDocument/2006/relationships/hyperlink" Target="bk://v_id/?1212" TargetMode="External" /><Relationship Id="rId90" Type="http://schemas.openxmlformats.org/officeDocument/2006/relationships/hyperlink" Target="bk://v_id/?1452" TargetMode="External" /><Relationship Id="rId95" Type="http://schemas.openxmlformats.org/officeDocument/2006/relationships/hyperlink" Target="bk://v_id/?1465" TargetMode="External" /><Relationship Id="rId22" Type="http://schemas.openxmlformats.org/officeDocument/2006/relationships/hyperlink" Target="bk://v_id/?1243" TargetMode="External" /><Relationship Id="rId27" Type="http://schemas.openxmlformats.org/officeDocument/2006/relationships/hyperlink" Target="bk://v_id/?1253" TargetMode="External" /><Relationship Id="rId43" Type="http://schemas.openxmlformats.org/officeDocument/2006/relationships/hyperlink" Target="bk://v_id/?1310" TargetMode="External" /><Relationship Id="rId48" Type="http://schemas.openxmlformats.org/officeDocument/2006/relationships/hyperlink" Target="bk://v_id/?1320" TargetMode="External" /><Relationship Id="rId64" Type="http://schemas.openxmlformats.org/officeDocument/2006/relationships/hyperlink" Target="bk://v_id/?1374" TargetMode="External" /><Relationship Id="rId69" Type="http://schemas.openxmlformats.org/officeDocument/2006/relationships/hyperlink" Target="bk://v_id/?1394" TargetMode="External" /><Relationship Id="rId113" Type="http://schemas.openxmlformats.org/officeDocument/2006/relationships/hyperlink" Target="bk://v_id/?1522" TargetMode="External" /><Relationship Id="rId118" Type="http://schemas.openxmlformats.org/officeDocument/2006/relationships/hyperlink" Target="bk://v_id/?1553" TargetMode="External" /><Relationship Id="rId134" Type="http://schemas.openxmlformats.org/officeDocument/2006/relationships/hyperlink" Target="bk://v_id/?1591" TargetMode="External" /><Relationship Id="rId139" Type="http://schemas.openxmlformats.org/officeDocument/2006/relationships/hyperlink" Target="bk://v_id/?1621" TargetMode="External" /><Relationship Id="rId8" Type="http://schemas.openxmlformats.org/officeDocument/2006/relationships/hyperlink" Target="bk://v_id/?1217" TargetMode="External" /><Relationship Id="rId51" Type="http://schemas.openxmlformats.org/officeDocument/2006/relationships/hyperlink" Target="bk://v_id/?1338" TargetMode="External" /><Relationship Id="rId72" Type="http://schemas.openxmlformats.org/officeDocument/2006/relationships/hyperlink" Target="bk://v_id/?1399" TargetMode="External" /><Relationship Id="rId80" Type="http://schemas.openxmlformats.org/officeDocument/2006/relationships/hyperlink" Target="bk://v_id/?1420" TargetMode="External" /><Relationship Id="rId85" Type="http://schemas.openxmlformats.org/officeDocument/2006/relationships/hyperlink" Target="bk://v_id/?1447" TargetMode="External" /><Relationship Id="rId93" Type="http://schemas.openxmlformats.org/officeDocument/2006/relationships/hyperlink" Target="bk://v_id/?1455" TargetMode="External" /><Relationship Id="rId98" Type="http://schemas.openxmlformats.org/officeDocument/2006/relationships/hyperlink" Target="bk://v_id/?1477" TargetMode="External" /><Relationship Id="rId121" Type="http://schemas.openxmlformats.org/officeDocument/2006/relationships/hyperlink" Target="bk://v_id/?1562" TargetMode="External" /><Relationship Id="rId3" Type="http://schemas.openxmlformats.org/officeDocument/2006/relationships/hyperlink" Target="bk://v_id/?1207" TargetMode="External" /><Relationship Id="rId12" Type="http://schemas.openxmlformats.org/officeDocument/2006/relationships/hyperlink" Target="bk://v_id/?1222" TargetMode="External" /><Relationship Id="rId17" Type="http://schemas.openxmlformats.org/officeDocument/2006/relationships/hyperlink" Target="bk://v_id/?1227" TargetMode="External" /><Relationship Id="rId25" Type="http://schemas.openxmlformats.org/officeDocument/2006/relationships/hyperlink" Target="bk://v_id/?1248" TargetMode="External" /><Relationship Id="rId33" Type="http://schemas.openxmlformats.org/officeDocument/2006/relationships/hyperlink" Target="bk://v_id/?1269" TargetMode="External" /><Relationship Id="rId38" Type="http://schemas.openxmlformats.org/officeDocument/2006/relationships/hyperlink" Target="bk://v_id/?1283" TargetMode="External" /><Relationship Id="rId46" Type="http://schemas.openxmlformats.org/officeDocument/2006/relationships/hyperlink" Target="bk://v_id/?1315" TargetMode="External" /><Relationship Id="rId59" Type="http://schemas.openxmlformats.org/officeDocument/2006/relationships/hyperlink" Target="bk://v_id/?1358" TargetMode="External" /><Relationship Id="rId67" Type="http://schemas.openxmlformats.org/officeDocument/2006/relationships/hyperlink" Target="bk://v_id/?1392" TargetMode="External" /><Relationship Id="rId103" Type="http://schemas.openxmlformats.org/officeDocument/2006/relationships/hyperlink" Target="bk://v_id/?1492" TargetMode="External" /><Relationship Id="rId108" Type="http://schemas.openxmlformats.org/officeDocument/2006/relationships/hyperlink" Target="bk://v_id/?1512" TargetMode="External" /><Relationship Id="rId116" Type="http://schemas.openxmlformats.org/officeDocument/2006/relationships/hyperlink" Target="bk://v_id/?1551" TargetMode="External" /><Relationship Id="rId124" Type="http://schemas.openxmlformats.org/officeDocument/2006/relationships/hyperlink" Target="bk://v_id/?1574" TargetMode="External" /><Relationship Id="rId129" Type="http://schemas.openxmlformats.org/officeDocument/2006/relationships/hyperlink" Target="bk://v_id/?1579" TargetMode="External" /><Relationship Id="rId137" Type="http://schemas.openxmlformats.org/officeDocument/2006/relationships/hyperlink" Target="bk://v_id/?1613" TargetMode="External" /><Relationship Id="rId20" Type="http://schemas.openxmlformats.org/officeDocument/2006/relationships/hyperlink" Target="bk://v_id/?1241" TargetMode="External" /><Relationship Id="rId41" Type="http://schemas.openxmlformats.org/officeDocument/2006/relationships/hyperlink" Target="bk://v_id/?1305" TargetMode="External" /><Relationship Id="rId54" Type="http://schemas.openxmlformats.org/officeDocument/2006/relationships/hyperlink" Target="bk://v_id/?1345" TargetMode="External" /><Relationship Id="rId62" Type="http://schemas.openxmlformats.org/officeDocument/2006/relationships/hyperlink" Target="bk://v_id/?1370" TargetMode="External" /><Relationship Id="rId70" Type="http://schemas.openxmlformats.org/officeDocument/2006/relationships/hyperlink" Target="bk://v_id/?1395" TargetMode="External" /><Relationship Id="rId75" Type="http://schemas.openxmlformats.org/officeDocument/2006/relationships/hyperlink" Target="bk://v_id/?1405" TargetMode="External" /><Relationship Id="rId83" Type="http://schemas.openxmlformats.org/officeDocument/2006/relationships/hyperlink" Target="bk://v_id/?1429" TargetMode="External" /><Relationship Id="rId88" Type="http://schemas.openxmlformats.org/officeDocument/2006/relationships/hyperlink" Target="bk://v_id/?1450" TargetMode="External" /><Relationship Id="rId91" Type="http://schemas.openxmlformats.org/officeDocument/2006/relationships/hyperlink" Target="bk://v_id/?1453" TargetMode="External" /><Relationship Id="rId96" Type="http://schemas.openxmlformats.org/officeDocument/2006/relationships/hyperlink" Target="bk://v_id/?1468" TargetMode="External" /><Relationship Id="rId111" Type="http://schemas.openxmlformats.org/officeDocument/2006/relationships/hyperlink" Target="bk://v_id/?1515" TargetMode="External" /><Relationship Id="rId132" Type="http://schemas.openxmlformats.org/officeDocument/2006/relationships/hyperlink" Target="bk://v_id/?1589" TargetMode="External" /><Relationship Id="rId140" Type="http://schemas.openxmlformats.org/officeDocument/2006/relationships/hyperlink" Target="bk://v_id/?1627" TargetMode="External" /><Relationship Id="rId1" Type="http://schemas.openxmlformats.org/officeDocument/2006/relationships/hyperlink" Target="bk://v_id/?1203" TargetMode="External" /><Relationship Id="rId6" Type="http://schemas.openxmlformats.org/officeDocument/2006/relationships/hyperlink" Target="bk://v_id/?1213" TargetMode="External" /><Relationship Id="rId15" Type="http://schemas.openxmlformats.org/officeDocument/2006/relationships/hyperlink" Target="bk://v_id/?1225" TargetMode="External" /><Relationship Id="rId23" Type="http://schemas.openxmlformats.org/officeDocument/2006/relationships/hyperlink" Target="bk://v_id/?1246" TargetMode="External" /><Relationship Id="rId28" Type="http://schemas.openxmlformats.org/officeDocument/2006/relationships/hyperlink" Target="bk://v_id/?1254" TargetMode="External" /><Relationship Id="rId36" Type="http://schemas.openxmlformats.org/officeDocument/2006/relationships/hyperlink" Target="bk://v_id/?1276" TargetMode="External" /><Relationship Id="rId49" Type="http://schemas.openxmlformats.org/officeDocument/2006/relationships/hyperlink" Target="bk://v_id/?1321" TargetMode="External" /><Relationship Id="rId57" Type="http://schemas.openxmlformats.org/officeDocument/2006/relationships/hyperlink" Target="bk://v_id/?1354" TargetMode="External" /><Relationship Id="rId106" Type="http://schemas.openxmlformats.org/officeDocument/2006/relationships/hyperlink" Target="bk://v_id/?1505" TargetMode="External" /><Relationship Id="rId114" Type="http://schemas.openxmlformats.org/officeDocument/2006/relationships/hyperlink" Target="bk://v_id/?1524" TargetMode="External" /><Relationship Id="rId119" Type="http://schemas.openxmlformats.org/officeDocument/2006/relationships/hyperlink" Target="bk://v_id/?1554" TargetMode="External" /><Relationship Id="rId127" Type="http://schemas.openxmlformats.org/officeDocument/2006/relationships/hyperlink" Target="bk://v_id/?1577" TargetMode="External" /><Relationship Id="rId10" Type="http://schemas.openxmlformats.org/officeDocument/2006/relationships/hyperlink" Target="bk://v_id/?1220" TargetMode="External" /><Relationship Id="rId31" Type="http://schemas.openxmlformats.org/officeDocument/2006/relationships/hyperlink" Target="bk://v_id/?1267" TargetMode="External" /><Relationship Id="rId44" Type="http://schemas.openxmlformats.org/officeDocument/2006/relationships/hyperlink" Target="bk://v_id/?1313" TargetMode="External" /><Relationship Id="rId52" Type="http://schemas.openxmlformats.org/officeDocument/2006/relationships/hyperlink" Target="bk://v_id/?1339" TargetMode="External" /><Relationship Id="rId60" Type="http://schemas.openxmlformats.org/officeDocument/2006/relationships/hyperlink" Target="bk://v_id/?1359" TargetMode="External" /><Relationship Id="rId65" Type="http://schemas.openxmlformats.org/officeDocument/2006/relationships/hyperlink" Target="bk://v_id/?1375" TargetMode="External" /><Relationship Id="rId73" Type="http://schemas.openxmlformats.org/officeDocument/2006/relationships/hyperlink" Target="bk://v_id/?1401" TargetMode="External" /><Relationship Id="rId78" Type="http://schemas.openxmlformats.org/officeDocument/2006/relationships/hyperlink" Target="bk://v_id/?1411" TargetMode="External" /><Relationship Id="rId81" Type="http://schemas.openxmlformats.org/officeDocument/2006/relationships/hyperlink" Target="bk://v_id/?1421" TargetMode="External" /><Relationship Id="rId86" Type="http://schemas.openxmlformats.org/officeDocument/2006/relationships/hyperlink" Target="bk://v_id/?1448" TargetMode="External" /><Relationship Id="rId94" Type="http://schemas.openxmlformats.org/officeDocument/2006/relationships/hyperlink" Target="bk://v_id/?1456" TargetMode="External" /><Relationship Id="rId99" Type="http://schemas.openxmlformats.org/officeDocument/2006/relationships/hyperlink" Target="bk://v_id/?1478" TargetMode="External" /><Relationship Id="rId101" Type="http://schemas.openxmlformats.org/officeDocument/2006/relationships/hyperlink" Target="bk://v_id/?1490" TargetMode="External" /><Relationship Id="rId122" Type="http://schemas.openxmlformats.org/officeDocument/2006/relationships/hyperlink" Target="bk://v_id/?1563" TargetMode="External" /><Relationship Id="rId130" Type="http://schemas.openxmlformats.org/officeDocument/2006/relationships/hyperlink" Target="bk://v_id/?1586" TargetMode="External" /><Relationship Id="rId135" Type="http://schemas.openxmlformats.org/officeDocument/2006/relationships/hyperlink" Target="bk://v_id/?1592" TargetMode="External" /><Relationship Id="rId4" Type="http://schemas.openxmlformats.org/officeDocument/2006/relationships/hyperlink" Target="bk://v_id/?1211" TargetMode="External" /><Relationship Id="rId9" Type="http://schemas.openxmlformats.org/officeDocument/2006/relationships/hyperlink" Target="bk://v_id/?1218" TargetMode="External" /><Relationship Id="rId13" Type="http://schemas.openxmlformats.org/officeDocument/2006/relationships/hyperlink" Target="bk://v_id/?1223" TargetMode="External" /><Relationship Id="rId18" Type="http://schemas.openxmlformats.org/officeDocument/2006/relationships/hyperlink" Target="bk://v_id/?1239" TargetMode="External" /><Relationship Id="rId39" Type="http://schemas.openxmlformats.org/officeDocument/2006/relationships/hyperlink" Target="bk://v_id/?1284" TargetMode="External" /><Relationship Id="rId109" Type="http://schemas.openxmlformats.org/officeDocument/2006/relationships/hyperlink" Target="bk://v_id/?1513" TargetMode="External" /><Relationship Id="rId34" Type="http://schemas.openxmlformats.org/officeDocument/2006/relationships/hyperlink" Target="bk://v_id/?1270" TargetMode="External" /><Relationship Id="rId50" Type="http://schemas.openxmlformats.org/officeDocument/2006/relationships/hyperlink" Target="bk://v_id/?1322" TargetMode="External" /><Relationship Id="rId55" Type="http://schemas.openxmlformats.org/officeDocument/2006/relationships/hyperlink" Target="bk://v_id/?1351" TargetMode="External" /><Relationship Id="rId76" Type="http://schemas.openxmlformats.org/officeDocument/2006/relationships/hyperlink" Target="bk://v_id/?1409" TargetMode="External" /><Relationship Id="rId97" Type="http://schemas.openxmlformats.org/officeDocument/2006/relationships/hyperlink" Target="bk://v_id/?1476" TargetMode="External" /><Relationship Id="rId104" Type="http://schemas.openxmlformats.org/officeDocument/2006/relationships/hyperlink" Target="bk://v_id/?1498" TargetMode="External" /><Relationship Id="rId120" Type="http://schemas.openxmlformats.org/officeDocument/2006/relationships/hyperlink" Target="bk://v_id/?1559" TargetMode="External" /><Relationship Id="rId125" Type="http://schemas.openxmlformats.org/officeDocument/2006/relationships/hyperlink" Target="bk://v_id/?1575" TargetMode="External" /><Relationship Id="rId7" Type="http://schemas.openxmlformats.org/officeDocument/2006/relationships/hyperlink" Target="bk://v_id/?1214" TargetMode="External" /><Relationship Id="rId71" Type="http://schemas.openxmlformats.org/officeDocument/2006/relationships/hyperlink" Target="bk://v_id/?1397" TargetMode="External" /><Relationship Id="rId92" Type="http://schemas.openxmlformats.org/officeDocument/2006/relationships/hyperlink" Target="bk://v_id/?1454" TargetMode="External" /><Relationship Id="rId2" Type="http://schemas.openxmlformats.org/officeDocument/2006/relationships/hyperlink" Target="bk://v_id/?1206" TargetMode="External" /><Relationship Id="rId29" Type="http://schemas.openxmlformats.org/officeDocument/2006/relationships/hyperlink" Target="bk://v_id/?1255" TargetMode="External" /><Relationship Id="rId24" Type="http://schemas.openxmlformats.org/officeDocument/2006/relationships/hyperlink" Target="bk://v_id/?1247" TargetMode="External" /><Relationship Id="rId40" Type="http://schemas.openxmlformats.org/officeDocument/2006/relationships/hyperlink" Target="bk://v_id/?1304" TargetMode="External" /><Relationship Id="rId45" Type="http://schemas.openxmlformats.org/officeDocument/2006/relationships/hyperlink" Target="bk://v_id/?1314" TargetMode="External" /><Relationship Id="rId66" Type="http://schemas.openxmlformats.org/officeDocument/2006/relationships/hyperlink" Target="bk://v_id/?1383" TargetMode="External" /><Relationship Id="rId87" Type="http://schemas.openxmlformats.org/officeDocument/2006/relationships/hyperlink" Target="bk://v_id/?1449" TargetMode="External" /><Relationship Id="rId110" Type="http://schemas.openxmlformats.org/officeDocument/2006/relationships/hyperlink" Target="bk://v_id/?1514" TargetMode="External" /><Relationship Id="rId115" Type="http://schemas.openxmlformats.org/officeDocument/2006/relationships/hyperlink" Target="bk://v_id/?1526" TargetMode="External" /><Relationship Id="rId131" Type="http://schemas.openxmlformats.org/officeDocument/2006/relationships/hyperlink" Target="bk://v_id/?1588" TargetMode="External" /><Relationship Id="rId136" Type="http://schemas.openxmlformats.org/officeDocument/2006/relationships/hyperlink" Target="bk://v_id/?1609" TargetMode="External" /><Relationship Id="rId61" Type="http://schemas.openxmlformats.org/officeDocument/2006/relationships/hyperlink" Target="bk://v_id/?1366" TargetMode="External" /><Relationship Id="rId82" Type="http://schemas.openxmlformats.org/officeDocument/2006/relationships/hyperlink" Target="bk://v_id/?1425" TargetMode="External" /><Relationship Id="rId19" Type="http://schemas.openxmlformats.org/officeDocument/2006/relationships/hyperlink" Target="bk://v_id/?1240" TargetMode="External" /><Relationship Id="rId14" Type="http://schemas.openxmlformats.org/officeDocument/2006/relationships/hyperlink" Target="bk://v_id/?1224" TargetMode="External" /><Relationship Id="rId30" Type="http://schemas.openxmlformats.org/officeDocument/2006/relationships/hyperlink" Target="bk://v_id/?1256" TargetMode="External" /><Relationship Id="rId35" Type="http://schemas.openxmlformats.org/officeDocument/2006/relationships/hyperlink" Target="bk://v_id/?1275" TargetMode="External" /><Relationship Id="rId56" Type="http://schemas.openxmlformats.org/officeDocument/2006/relationships/hyperlink" Target="bk://v_id/?1353" TargetMode="External" /><Relationship Id="rId77" Type="http://schemas.openxmlformats.org/officeDocument/2006/relationships/hyperlink" Target="bk://v_id/?1410" TargetMode="External" /><Relationship Id="rId100" Type="http://schemas.openxmlformats.org/officeDocument/2006/relationships/hyperlink" Target="bk://v_id/?1479" TargetMode="External" /><Relationship Id="rId105" Type="http://schemas.openxmlformats.org/officeDocument/2006/relationships/hyperlink" Target="bk://v_id/?1499" TargetMode="External" /><Relationship Id="rId126" Type="http://schemas.openxmlformats.org/officeDocument/2006/relationships/hyperlink" Target="bk://v_id/?1576" TargetMode="External" 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695" TargetMode="External" /><Relationship Id="rId117" Type="http://schemas.openxmlformats.org/officeDocument/2006/relationships/hyperlink" Target="bk://v_id/?1916" TargetMode="External" /><Relationship Id="rId21" Type="http://schemas.openxmlformats.org/officeDocument/2006/relationships/hyperlink" Target="bk://v_id/?1677" TargetMode="External" /><Relationship Id="rId42" Type="http://schemas.openxmlformats.org/officeDocument/2006/relationships/hyperlink" Target="bk://v_id/?1723" TargetMode="External" /><Relationship Id="rId47" Type="http://schemas.openxmlformats.org/officeDocument/2006/relationships/hyperlink" Target="bk://v_id/?1744" TargetMode="External" /><Relationship Id="rId63" Type="http://schemas.openxmlformats.org/officeDocument/2006/relationships/hyperlink" Target="bk://v_id/?1783" TargetMode="External" /><Relationship Id="rId68" Type="http://schemas.openxmlformats.org/officeDocument/2006/relationships/hyperlink" Target="bk://v_id/?1797" TargetMode="External" /><Relationship Id="rId84" Type="http://schemas.openxmlformats.org/officeDocument/2006/relationships/hyperlink" Target="bk://v_id/?1836" TargetMode="External" /><Relationship Id="rId89" Type="http://schemas.openxmlformats.org/officeDocument/2006/relationships/hyperlink" Target="bk://v_id/?1849" TargetMode="External" /><Relationship Id="rId112" Type="http://schemas.openxmlformats.org/officeDocument/2006/relationships/hyperlink" Target="bk://v_id/?1906" TargetMode="External" /><Relationship Id="rId133" Type="http://schemas.openxmlformats.org/officeDocument/2006/relationships/hyperlink" Target="bk://v_id/?1971" TargetMode="External" /><Relationship Id="rId138" Type="http://schemas.openxmlformats.org/officeDocument/2006/relationships/hyperlink" Target="bk://v_id/?1996" TargetMode="External" /><Relationship Id="rId154" Type="http://schemas.openxmlformats.org/officeDocument/2006/relationships/hyperlink" Target="bk://v_id/?2058" TargetMode="External" /><Relationship Id="rId159" Type="http://schemas.openxmlformats.org/officeDocument/2006/relationships/hyperlink" Target="bk://v_id/?2069" TargetMode="External" /><Relationship Id="rId16" Type="http://schemas.openxmlformats.org/officeDocument/2006/relationships/hyperlink" Target="bk://v_id/?1656" TargetMode="External" /><Relationship Id="rId107" Type="http://schemas.openxmlformats.org/officeDocument/2006/relationships/hyperlink" Target="bk://v_id/?1890" TargetMode="External" /><Relationship Id="rId11" Type="http://schemas.openxmlformats.org/officeDocument/2006/relationships/hyperlink" Target="bk://v_id/?1651" TargetMode="External" /><Relationship Id="rId32" Type="http://schemas.openxmlformats.org/officeDocument/2006/relationships/hyperlink" Target="bk://v_id/?1701" TargetMode="External" /><Relationship Id="rId37" Type="http://schemas.openxmlformats.org/officeDocument/2006/relationships/hyperlink" Target="bk://v_id/?1718" TargetMode="External" /><Relationship Id="rId53" Type="http://schemas.openxmlformats.org/officeDocument/2006/relationships/hyperlink" Target="bk://v_id/?1757" TargetMode="External" /><Relationship Id="rId58" Type="http://schemas.openxmlformats.org/officeDocument/2006/relationships/hyperlink" Target="bk://v_id/?1778" TargetMode="External" /><Relationship Id="rId74" Type="http://schemas.openxmlformats.org/officeDocument/2006/relationships/hyperlink" Target="bk://v_id/?1817" TargetMode="External" /><Relationship Id="rId79" Type="http://schemas.openxmlformats.org/officeDocument/2006/relationships/hyperlink" Target="bk://v_id/?1831" TargetMode="External" /><Relationship Id="rId102" Type="http://schemas.openxmlformats.org/officeDocument/2006/relationships/hyperlink" Target="bk://v_id/?1884" TargetMode="External" /><Relationship Id="rId123" Type="http://schemas.openxmlformats.org/officeDocument/2006/relationships/hyperlink" Target="bk://v_id/?1926" TargetMode="External" /><Relationship Id="rId128" Type="http://schemas.openxmlformats.org/officeDocument/2006/relationships/hyperlink" Target="bk://v_id/?1954" TargetMode="External" /><Relationship Id="rId144" Type="http://schemas.openxmlformats.org/officeDocument/2006/relationships/hyperlink" Target="bk://v_id/?2024" TargetMode="External" /><Relationship Id="rId149" Type="http://schemas.openxmlformats.org/officeDocument/2006/relationships/hyperlink" Target="bk://v_id/?2029" TargetMode="External" /><Relationship Id="rId5" Type="http://schemas.openxmlformats.org/officeDocument/2006/relationships/hyperlink" Target="bk://v_id/?1634" TargetMode="External" /><Relationship Id="rId90" Type="http://schemas.openxmlformats.org/officeDocument/2006/relationships/hyperlink" Target="bk://v_id/?1850" TargetMode="External" /><Relationship Id="rId95" Type="http://schemas.openxmlformats.org/officeDocument/2006/relationships/hyperlink" Target="bk://v_id/?1862" TargetMode="External" /><Relationship Id="rId160" Type="http://schemas.openxmlformats.org/officeDocument/2006/relationships/hyperlink" Target="bk://v_id/?2070" TargetMode="External" /><Relationship Id="rId22" Type="http://schemas.openxmlformats.org/officeDocument/2006/relationships/hyperlink" Target="bk://v_id/?1687" TargetMode="External" /><Relationship Id="rId27" Type="http://schemas.openxmlformats.org/officeDocument/2006/relationships/hyperlink" Target="bk://v_id/?1696" TargetMode="External" /><Relationship Id="rId43" Type="http://schemas.openxmlformats.org/officeDocument/2006/relationships/hyperlink" Target="bk://v_id/?1724" TargetMode="External" /><Relationship Id="rId48" Type="http://schemas.openxmlformats.org/officeDocument/2006/relationships/hyperlink" Target="bk://v_id/?1747" TargetMode="External" /><Relationship Id="rId64" Type="http://schemas.openxmlformats.org/officeDocument/2006/relationships/hyperlink" Target="bk://v_id/?1784" TargetMode="External" /><Relationship Id="rId69" Type="http://schemas.openxmlformats.org/officeDocument/2006/relationships/hyperlink" Target="bk://v_id/?1809" TargetMode="External" /><Relationship Id="rId113" Type="http://schemas.openxmlformats.org/officeDocument/2006/relationships/hyperlink" Target="bk://v_id/?1911" TargetMode="External" /><Relationship Id="rId118" Type="http://schemas.openxmlformats.org/officeDocument/2006/relationships/hyperlink" Target="bk://v_id/?1917" TargetMode="External" /><Relationship Id="rId134" Type="http://schemas.openxmlformats.org/officeDocument/2006/relationships/hyperlink" Target="bk://v_id/?1972" TargetMode="External" /><Relationship Id="rId139" Type="http://schemas.openxmlformats.org/officeDocument/2006/relationships/hyperlink" Target="bk://v_id/?2003" TargetMode="External" /><Relationship Id="rId80" Type="http://schemas.openxmlformats.org/officeDocument/2006/relationships/hyperlink" Target="bk://v_id/?1832" TargetMode="External" /><Relationship Id="rId85" Type="http://schemas.openxmlformats.org/officeDocument/2006/relationships/hyperlink" Target="bk://v_id/?1837" TargetMode="External" /><Relationship Id="rId150" Type="http://schemas.openxmlformats.org/officeDocument/2006/relationships/hyperlink" Target="bk://v_id/?2030" TargetMode="External" /><Relationship Id="rId155" Type="http://schemas.openxmlformats.org/officeDocument/2006/relationships/hyperlink" Target="bk://v_id/?2059" TargetMode="External" /><Relationship Id="rId12" Type="http://schemas.openxmlformats.org/officeDocument/2006/relationships/hyperlink" Target="bk://v_id/?1652" TargetMode="External" /><Relationship Id="rId17" Type="http://schemas.openxmlformats.org/officeDocument/2006/relationships/hyperlink" Target="bk://v_id/?1657" TargetMode="External" /><Relationship Id="rId33" Type="http://schemas.openxmlformats.org/officeDocument/2006/relationships/hyperlink" Target="bk://v_id/?1702" TargetMode="External" /><Relationship Id="rId38" Type="http://schemas.openxmlformats.org/officeDocument/2006/relationships/hyperlink" Target="bk://v_id/?1719" TargetMode="External" /><Relationship Id="rId59" Type="http://schemas.openxmlformats.org/officeDocument/2006/relationships/hyperlink" Target="bk://v_id/?1779" TargetMode="External" /><Relationship Id="rId103" Type="http://schemas.openxmlformats.org/officeDocument/2006/relationships/hyperlink" Target="bk://v_id/?1886" TargetMode="External" /><Relationship Id="rId108" Type="http://schemas.openxmlformats.org/officeDocument/2006/relationships/hyperlink" Target="bk://v_id/?1891" TargetMode="External" /><Relationship Id="rId124" Type="http://schemas.openxmlformats.org/officeDocument/2006/relationships/hyperlink" Target="bk://v_id/?1928" TargetMode="External" /><Relationship Id="rId129" Type="http://schemas.openxmlformats.org/officeDocument/2006/relationships/hyperlink" Target="bk://v_id/?1955" TargetMode="External" /><Relationship Id="rId20" Type="http://schemas.openxmlformats.org/officeDocument/2006/relationships/hyperlink" Target="bk://v_id/?1660" TargetMode="External" /><Relationship Id="rId41" Type="http://schemas.openxmlformats.org/officeDocument/2006/relationships/hyperlink" Target="bk://v_id/?1722" TargetMode="External" /><Relationship Id="rId54" Type="http://schemas.openxmlformats.org/officeDocument/2006/relationships/hyperlink" Target="bk://v_id/?1758" TargetMode="External" /><Relationship Id="rId62" Type="http://schemas.openxmlformats.org/officeDocument/2006/relationships/hyperlink" Target="bk://v_id/?1782" TargetMode="External" /><Relationship Id="rId70" Type="http://schemas.openxmlformats.org/officeDocument/2006/relationships/hyperlink" Target="bk://v_id/?1810" TargetMode="External" /><Relationship Id="rId75" Type="http://schemas.openxmlformats.org/officeDocument/2006/relationships/hyperlink" Target="bk://v_id/?1819" TargetMode="External" /><Relationship Id="rId83" Type="http://schemas.openxmlformats.org/officeDocument/2006/relationships/hyperlink" Target="bk://v_id/?1835" TargetMode="External" /><Relationship Id="rId88" Type="http://schemas.openxmlformats.org/officeDocument/2006/relationships/hyperlink" Target="bk://v_id/?1848" TargetMode="External" /><Relationship Id="rId91" Type="http://schemas.openxmlformats.org/officeDocument/2006/relationships/hyperlink" Target="bk://v_id/?1851" TargetMode="External" /><Relationship Id="rId96" Type="http://schemas.openxmlformats.org/officeDocument/2006/relationships/hyperlink" Target="bk://v_id/?1863" TargetMode="External" /><Relationship Id="rId111" Type="http://schemas.openxmlformats.org/officeDocument/2006/relationships/hyperlink" Target="bk://v_id/?1905" TargetMode="External" /><Relationship Id="rId132" Type="http://schemas.openxmlformats.org/officeDocument/2006/relationships/hyperlink" Target="bk://v_id/?1970" TargetMode="External" /><Relationship Id="rId140" Type="http://schemas.openxmlformats.org/officeDocument/2006/relationships/hyperlink" Target="bk://v_id/?2004" TargetMode="External" /><Relationship Id="rId145" Type="http://schemas.openxmlformats.org/officeDocument/2006/relationships/hyperlink" Target="bk://v_id/?2025" TargetMode="External" /><Relationship Id="rId153" Type="http://schemas.openxmlformats.org/officeDocument/2006/relationships/hyperlink" Target="bk://v_id/?2047" TargetMode="External" /><Relationship Id="rId1" Type="http://schemas.openxmlformats.org/officeDocument/2006/relationships/hyperlink" Target="bk://v_id/?1630" TargetMode="External" /><Relationship Id="rId6" Type="http://schemas.openxmlformats.org/officeDocument/2006/relationships/hyperlink" Target="bk://v_id/?1642" TargetMode="External" /><Relationship Id="rId15" Type="http://schemas.openxmlformats.org/officeDocument/2006/relationships/hyperlink" Target="bk://v_id/?1655" TargetMode="External" /><Relationship Id="rId23" Type="http://schemas.openxmlformats.org/officeDocument/2006/relationships/hyperlink" Target="bk://v_id/?1688" TargetMode="External" /><Relationship Id="rId28" Type="http://schemas.openxmlformats.org/officeDocument/2006/relationships/hyperlink" Target="bk://v_id/?1697" TargetMode="External" /><Relationship Id="rId36" Type="http://schemas.openxmlformats.org/officeDocument/2006/relationships/hyperlink" Target="bk://v_id/?1717" TargetMode="External" /><Relationship Id="rId49" Type="http://schemas.openxmlformats.org/officeDocument/2006/relationships/hyperlink" Target="bk://v_id/?1748" TargetMode="External" /><Relationship Id="rId57" Type="http://schemas.openxmlformats.org/officeDocument/2006/relationships/hyperlink" Target="bk://v_id/?1761" TargetMode="External" /><Relationship Id="rId106" Type="http://schemas.openxmlformats.org/officeDocument/2006/relationships/hyperlink" Target="bk://v_id/?1889" TargetMode="External" /><Relationship Id="rId114" Type="http://schemas.openxmlformats.org/officeDocument/2006/relationships/hyperlink" Target="bk://v_id/?1913" TargetMode="External" /><Relationship Id="rId119" Type="http://schemas.openxmlformats.org/officeDocument/2006/relationships/hyperlink" Target="bk://v_id/?1921" TargetMode="External" /><Relationship Id="rId127" Type="http://schemas.openxmlformats.org/officeDocument/2006/relationships/hyperlink" Target="bk://v_id/?1934" TargetMode="External" /><Relationship Id="rId10" Type="http://schemas.openxmlformats.org/officeDocument/2006/relationships/hyperlink" Target="bk://v_id/?1648" TargetMode="External" /><Relationship Id="rId31" Type="http://schemas.openxmlformats.org/officeDocument/2006/relationships/hyperlink" Target="bk://v_id/?1700" TargetMode="External" /><Relationship Id="rId44" Type="http://schemas.openxmlformats.org/officeDocument/2006/relationships/hyperlink" Target="bk://v_id/?1725" TargetMode="External" /><Relationship Id="rId52" Type="http://schemas.openxmlformats.org/officeDocument/2006/relationships/hyperlink" Target="bk://v_id/?1756" TargetMode="External" /><Relationship Id="rId60" Type="http://schemas.openxmlformats.org/officeDocument/2006/relationships/hyperlink" Target="bk://v_id/?1780" TargetMode="External" /><Relationship Id="rId65" Type="http://schemas.openxmlformats.org/officeDocument/2006/relationships/hyperlink" Target="bk://v_id/?1785" TargetMode="External" /><Relationship Id="rId73" Type="http://schemas.openxmlformats.org/officeDocument/2006/relationships/hyperlink" Target="bk://v_id/?1816" TargetMode="External" /><Relationship Id="rId78" Type="http://schemas.openxmlformats.org/officeDocument/2006/relationships/hyperlink" Target="bk://v_id/?1830" TargetMode="External" /><Relationship Id="rId81" Type="http://schemas.openxmlformats.org/officeDocument/2006/relationships/hyperlink" Target="bk://v_id/?1833" TargetMode="External" /><Relationship Id="rId86" Type="http://schemas.openxmlformats.org/officeDocument/2006/relationships/hyperlink" Target="bk://v_id/?1846" TargetMode="External" /><Relationship Id="rId94" Type="http://schemas.openxmlformats.org/officeDocument/2006/relationships/hyperlink" Target="bk://v_id/?1861" TargetMode="External" /><Relationship Id="rId99" Type="http://schemas.openxmlformats.org/officeDocument/2006/relationships/hyperlink" Target="bk://v_id/?1877" TargetMode="External" /><Relationship Id="rId101" Type="http://schemas.openxmlformats.org/officeDocument/2006/relationships/hyperlink" Target="bk://v_id/?1879" TargetMode="External" /><Relationship Id="rId122" Type="http://schemas.openxmlformats.org/officeDocument/2006/relationships/hyperlink" Target="bk://v_id/?1925" TargetMode="External" /><Relationship Id="rId130" Type="http://schemas.openxmlformats.org/officeDocument/2006/relationships/hyperlink" Target="bk://v_id/?1956" TargetMode="External" /><Relationship Id="rId135" Type="http://schemas.openxmlformats.org/officeDocument/2006/relationships/hyperlink" Target="bk://v_id/?1973" TargetMode="External" /><Relationship Id="rId143" Type="http://schemas.openxmlformats.org/officeDocument/2006/relationships/hyperlink" Target="bk://v_id/?2023" TargetMode="External" /><Relationship Id="rId148" Type="http://schemas.openxmlformats.org/officeDocument/2006/relationships/hyperlink" Target="bk://v_id/?2028" TargetMode="External" /><Relationship Id="rId151" Type="http://schemas.openxmlformats.org/officeDocument/2006/relationships/hyperlink" Target="bk://v_id/?2045" TargetMode="External" /><Relationship Id="rId156" Type="http://schemas.openxmlformats.org/officeDocument/2006/relationships/hyperlink" Target="bk://v_id/?2060" TargetMode="External" /><Relationship Id="rId4" Type="http://schemas.openxmlformats.org/officeDocument/2006/relationships/hyperlink" Target="bk://v_id/?1633" TargetMode="External" /><Relationship Id="rId9" Type="http://schemas.openxmlformats.org/officeDocument/2006/relationships/hyperlink" Target="bk://v_id/?1647" TargetMode="External" /><Relationship Id="rId13" Type="http://schemas.openxmlformats.org/officeDocument/2006/relationships/hyperlink" Target="bk://v_id/?1653" TargetMode="External" /><Relationship Id="rId18" Type="http://schemas.openxmlformats.org/officeDocument/2006/relationships/hyperlink" Target="bk://v_id/?1658" TargetMode="External" /><Relationship Id="rId39" Type="http://schemas.openxmlformats.org/officeDocument/2006/relationships/hyperlink" Target="bk://v_id/?1720" TargetMode="External" /><Relationship Id="rId109" Type="http://schemas.openxmlformats.org/officeDocument/2006/relationships/hyperlink" Target="bk://v_id/?1892" TargetMode="External" /><Relationship Id="rId34" Type="http://schemas.openxmlformats.org/officeDocument/2006/relationships/hyperlink" Target="bk://v_id/?1703" TargetMode="External" /><Relationship Id="rId50" Type="http://schemas.openxmlformats.org/officeDocument/2006/relationships/hyperlink" Target="bk://v_id/?1754" TargetMode="External" /><Relationship Id="rId55" Type="http://schemas.openxmlformats.org/officeDocument/2006/relationships/hyperlink" Target="bk://v_id/?1759" TargetMode="External" /><Relationship Id="rId76" Type="http://schemas.openxmlformats.org/officeDocument/2006/relationships/hyperlink" Target="bk://v_id/?1823" TargetMode="External" /><Relationship Id="rId97" Type="http://schemas.openxmlformats.org/officeDocument/2006/relationships/hyperlink" Target="bk://v_id/?1872" TargetMode="External" /><Relationship Id="rId104" Type="http://schemas.openxmlformats.org/officeDocument/2006/relationships/hyperlink" Target="bk://v_id/?1887" TargetMode="External" /><Relationship Id="rId120" Type="http://schemas.openxmlformats.org/officeDocument/2006/relationships/hyperlink" Target="bk://v_id/?1922" TargetMode="External" /><Relationship Id="rId125" Type="http://schemas.openxmlformats.org/officeDocument/2006/relationships/hyperlink" Target="bk://v_id/?1929" TargetMode="External" /><Relationship Id="rId141" Type="http://schemas.openxmlformats.org/officeDocument/2006/relationships/hyperlink" Target="bk://v_id/?2010" TargetMode="External" /><Relationship Id="rId146" Type="http://schemas.openxmlformats.org/officeDocument/2006/relationships/hyperlink" Target="bk://v_id/?2026" TargetMode="External" /><Relationship Id="rId7" Type="http://schemas.openxmlformats.org/officeDocument/2006/relationships/hyperlink" Target="bk://v_id/?1645" TargetMode="External" /><Relationship Id="rId71" Type="http://schemas.openxmlformats.org/officeDocument/2006/relationships/hyperlink" Target="bk://v_id/?1811" TargetMode="External" /><Relationship Id="rId92" Type="http://schemas.openxmlformats.org/officeDocument/2006/relationships/hyperlink" Target="bk://v_id/?1859" TargetMode="External" /><Relationship Id="rId2" Type="http://schemas.openxmlformats.org/officeDocument/2006/relationships/hyperlink" Target="bk://v_id/?1631" TargetMode="External" /><Relationship Id="rId29" Type="http://schemas.openxmlformats.org/officeDocument/2006/relationships/hyperlink" Target="bk://v_id/?1698" TargetMode="External" /><Relationship Id="rId24" Type="http://schemas.openxmlformats.org/officeDocument/2006/relationships/hyperlink" Target="bk://v_id/?1689" TargetMode="External" /><Relationship Id="rId40" Type="http://schemas.openxmlformats.org/officeDocument/2006/relationships/hyperlink" Target="bk://v_id/?1721" TargetMode="External" /><Relationship Id="rId45" Type="http://schemas.openxmlformats.org/officeDocument/2006/relationships/hyperlink" Target="bk://v_id/?1736" TargetMode="External" /><Relationship Id="rId66" Type="http://schemas.openxmlformats.org/officeDocument/2006/relationships/hyperlink" Target="bk://v_id/?1786" TargetMode="External" /><Relationship Id="rId87" Type="http://schemas.openxmlformats.org/officeDocument/2006/relationships/hyperlink" Target="bk://v_id/?1847" TargetMode="External" /><Relationship Id="rId110" Type="http://schemas.openxmlformats.org/officeDocument/2006/relationships/hyperlink" Target="bk://v_id/?1903" TargetMode="External" /><Relationship Id="rId115" Type="http://schemas.openxmlformats.org/officeDocument/2006/relationships/hyperlink" Target="bk://v_id/?1914" TargetMode="External" /><Relationship Id="rId131" Type="http://schemas.openxmlformats.org/officeDocument/2006/relationships/hyperlink" Target="bk://v_id/?1966" TargetMode="External" /><Relationship Id="rId136" Type="http://schemas.openxmlformats.org/officeDocument/2006/relationships/hyperlink" Target="bk://v_id/?1987" TargetMode="External" /><Relationship Id="rId157" Type="http://schemas.openxmlformats.org/officeDocument/2006/relationships/hyperlink" Target="bk://v_id/?2061" TargetMode="External" /><Relationship Id="rId61" Type="http://schemas.openxmlformats.org/officeDocument/2006/relationships/hyperlink" Target="bk://v_id/?1781" TargetMode="External" /><Relationship Id="rId82" Type="http://schemas.openxmlformats.org/officeDocument/2006/relationships/hyperlink" Target="bk://v_id/?1834" TargetMode="External" /><Relationship Id="rId152" Type="http://schemas.openxmlformats.org/officeDocument/2006/relationships/hyperlink" Target="bk://v_id/?2046" TargetMode="External" /><Relationship Id="rId19" Type="http://schemas.openxmlformats.org/officeDocument/2006/relationships/hyperlink" Target="bk://v_id/?1659" TargetMode="External" /><Relationship Id="rId14" Type="http://schemas.openxmlformats.org/officeDocument/2006/relationships/hyperlink" Target="bk://v_id/?1654" TargetMode="External" /><Relationship Id="rId30" Type="http://schemas.openxmlformats.org/officeDocument/2006/relationships/hyperlink" Target="bk://v_id/?1699" TargetMode="External" /><Relationship Id="rId35" Type="http://schemas.openxmlformats.org/officeDocument/2006/relationships/hyperlink" Target="bk://v_id/?1704" TargetMode="External" /><Relationship Id="rId56" Type="http://schemas.openxmlformats.org/officeDocument/2006/relationships/hyperlink" Target="bk://v_id/?1760" TargetMode="External" /><Relationship Id="rId77" Type="http://schemas.openxmlformats.org/officeDocument/2006/relationships/hyperlink" Target="bk://v_id/?1824" TargetMode="External" /><Relationship Id="rId100" Type="http://schemas.openxmlformats.org/officeDocument/2006/relationships/hyperlink" Target="bk://v_id/?1878" TargetMode="External" /><Relationship Id="rId105" Type="http://schemas.openxmlformats.org/officeDocument/2006/relationships/hyperlink" Target="bk://v_id/?1888" TargetMode="External" /><Relationship Id="rId126" Type="http://schemas.openxmlformats.org/officeDocument/2006/relationships/hyperlink" Target="bk://v_id/?1930" TargetMode="External" /><Relationship Id="rId147" Type="http://schemas.openxmlformats.org/officeDocument/2006/relationships/hyperlink" Target="bk://v_id/?2027" TargetMode="External" /><Relationship Id="rId8" Type="http://schemas.openxmlformats.org/officeDocument/2006/relationships/hyperlink" Target="bk://v_id/?1646" TargetMode="External" /><Relationship Id="rId51" Type="http://schemas.openxmlformats.org/officeDocument/2006/relationships/hyperlink" Target="bk://v_id/?1755" TargetMode="External" /><Relationship Id="rId72" Type="http://schemas.openxmlformats.org/officeDocument/2006/relationships/hyperlink" Target="bk://v_id/?1815" TargetMode="External" /><Relationship Id="rId93" Type="http://schemas.openxmlformats.org/officeDocument/2006/relationships/hyperlink" Target="bk://v_id/?1860" TargetMode="External" /><Relationship Id="rId98" Type="http://schemas.openxmlformats.org/officeDocument/2006/relationships/hyperlink" Target="bk://v_id/?1875" TargetMode="External" /><Relationship Id="rId121" Type="http://schemas.openxmlformats.org/officeDocument/2006/relationships/hyperlink" Target="bk://v_id/?1923" TargetMode="External" /><Relationship Id="rId142" Type="http://schemas.openxmlformats.org/officeDocument/2006/relationships/hyperlink" Target="bk://v_id/?2022" TargetMode="External" /><Relationship Id="rId3" Type="http://schemas.openxmlformats.org/officeDocument/2006/relationships/hyperlink" Target="bk://v_id/?1632" TargetMode="External" /><Relationship Id="rId25" Type="http://schemas.openxmlformats.org/officeDocument/2006/relationships/hyperlink" Target="bk://v_id/?1693" TargetMode="External" /><Relationship Id="rId46" Type="http://schemas.openxmlformats.org/officeDocument/2006/relationships/hyperlink" Target="bk://v_id/?1737" TargetMode="External" /><Relationship Id="rId67" Type="http://schemas.openxmlformats.org/officeDocument/2006/relationships/hyperlink" Target="bk://v_id/?1796" TargetMode="External" /><Relationship Id="rId116" Type="http://schemas.openxmlformats.org/officeDocument/2006/relationships/hyperlink" Target="bk://v_id/?1915" TargetMode="External" /><Relationship Id="rId137" Type="http://schemas.openxmlformats.org/officeDocument/2006/relationships/hyperlink" Target="bk://v_id/?1995" TargetMode="External" /><Relationship Id="rId158" Type="http://schemas.openxmlformats.org/officeDocument/2006/relationships/hyperlink" Target="bk://v_id/?2062" TargetMode="External" 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bk://item/?CLIMAX%20CAN" TargetMode="External" /><Relationship Id="rId18" Type="http://schemas.openxmlformats.org/officeDocument/2006/relationships/hyperlink" Target="bk://item/?Heineken%20Sleek%20Can" TargetMode="External" /><Relationship Id="rId26" Type="http://schemas.openxmlformats.org/officeDocument/2006/relationships/hyperlink" Target="bk://item/?33%20Export%2060cl" TargetMode="External" /><Relationship Id="rId39" Type="http://schemas.openxmlformats.org/officeDocument/2006/relationships/hyperlink" Target="bk://item/?Tiger%20Bottle" TargetMode="External" /><Relationship Id="rId3" Type="http://schemas.openxmlformats.org/officeDocument/2006/relationships/hyperlink" Target="bk://item/?Medium%20Stout" TargetMode="External" /><Relationship Id="rId21" Type="http://schemas.openxmlformats.org/officeDocument/2006/relationships/hyperlink" Target="bk://item/?ACE%20BITTERS" TargetMode="External" /><Relationship Id="rId34" Type="http://schemas.openxmlformats.org/officeDocument/2006/relationships/hyperlink" Target="bk://item/?Legend%20Bottle%2060cl" TargetMode="External" /><Relationship Id="rId42" Type="http://schemas.openxmlformats.org/officeDocument/2006/relationships/hyperlink" Target="bk://item/?Desperados%20Bottle" TargetMode="External" /><Relationship Id="rId47" Type="http://schemas.openxmlformats.org/officeDocument/2006/relationships/hyperlink" Target="bk://item/?Empties%20Premium" TargetMode="External" /><Relationship Id="rId50" Type="http://schemas.openxmlformats.org/officeDocument/2006/relationships/hyperlink" Target="bk://item/?NB%20Empties" TargetMode="External" /><Relationship Id="rId7" Type="http://schemas.openxmlformats.org/officeDocument/2006/relationships/hyperlink" Target="bk://item/?TROPHY%20CAN" TargetMode="External" /><Relationship Id="rId12" Type="http://schemas.openxmlformats.org/officeDocument/2006/relationships/hyperlink" Target="bk://item/?Amstel%20Can" TargetMode="External" /><Relationship Id="rId17" Type="http://schemas.openxmlformats.org/officeDocument/2006/relationships/hyperlink" Target="bk://item/?Heineken%20Can%2050cl" TargetMode="External" /><Relationship Id="rId25" Type="http://schemas.openxmlformats.org/officeDocument/2006/relationships/hyperlink" Target="bk://item/?Maltina%20Pet%2050cl" TargetMode="External" /><Relationship Id="rId33" Type="http://schemas.openxmlformats.org/officeDocument/2006/relationships/hyperlink" Target="bk://item/?Legend%2045cl" TargetMode="External" /><Relationship Id="rId38" Type="http://schemas.openxmlformats.org/officeDocument/2006/relationships/hyperlink" Target="bk://item/?Star%20Radler%2045cl" TargetMode="External" /><Relationship Id="rId46" Type="http://schemas.openxmlformats.org/officeDocument/2006/relationships/hyperlink" Target="bk://item/?Chamdor%2075cl" TargetMode="External" /><Relationship Id="rId2" Type="http://schemas.openxmlformats.org/officeDocument/2006/relationships/hyperlink" Target="bk://item/?Big%20Stout" TargetMode="External" /><Relationship Id="rId16" Type="http://schemas.openxmlformats.org/officeDocument/2006/relationships/hyperlink" Target="bk://item/?Goldberg%20Can%2050cl" TargetMode="External" /><Relationship Id="rId20" Type="http://schemas.openxmlformats.org/officeDocument/2006/relationships/hyperlink" Target="bk://item/?Maltina%20Can" TargetMode="External" /><Relationship Id="rId29" Type="http://schemas.openxmlformats.org/officeDocument/2006/relationships/hyperlink" Target="bk://item/?Goldberg%2060cl" TargetMode="External" /><Relationship Id="rId41" Type="http://schemas.openxmlformats.org/officeDocument/2006/relationships/hyperlink" Target="bk://item/?Williams%20Bottle%2060cl" TargetMode="External" /><Relationship Id="rId1" Type="http://schemas.openxmlformats.org/officeDocument/2006/relationships/hyperlink" Target="bk://item/?Malta%20Gns%20Can." TargetMode="External" /><Relationship Id="rId6" Type="http://schemas.openxmlformats.org/officeDocument/2006/relationships/hyperlink" Target="bk://item/?Smirnoff%20Ice." TargetMode="External" /><Relationship Id="rId11" Type="http://schemas.openxmlformats.org/officeDocument/2006/relationships/hyperlink" Target="bk://item/?33%20Export%20Can" TargetMode="External" /><Relationship Id="rId24" Type="http://schemas.openxmlformats.org/officeDocument/2006/relationships/hyperlink" Target="bk://item/?Maltina%20Pet%2033cl" TargetMode="External" /><Relationship Id="rId32" Type="http://schemas.openxmlformats.org/officeDocument/2006/relationships/hyperlink" Target="bk://item/?Gulder%20Bottle" TargetMode="External" /><Relationship Id="rId37" Type="http://schemas.openxmlformats.org/officeDocument/2006/relationships/hyperlink" Target="bk://item/?Star%20Bottle%2060cl" TargetMode="External" /><Relationship Id="rId40" Type="http://schemas.openxmlformats.org/officeDocument/2006/relationships/hyperlink" Target="bk://item/?Turbo%20King%20Bottle%2060cl" TargetMode="External" /><Relationship Id="rId45" Type="http://schemas.openxmlformats.org/officeDocument/2006/relationships/hyperlink" Target="bk://item/?4th%20Street%20wine" TargetMode="External" /><Relationship Id="rId5" Type="http://schemas.openxmlformats.org/officeDocument/2006/relationships/hyperlink" Target="bk://item/?Small%20Guinness%20Stout" TargetMode="External" /><Relationship Id="rId15" Type="http://schemas.openxmlformats.org/officeDocument/2006/relationships/hyperlink" Target="bk://item/?Fayrouz%20Can" TargetMode="External" /><Relationship Id="rId23" Type="http://schemas.openxmlformats.org/officeDocument/2006/relationships/hyperlink" Target="bk://item/?Maltina%20Pet%2025cl" TargetMode="External" /><Relationship Id="rId28" Type="http://schemas.openxmlformats.org/officeDocument/2006/relationships/hyperlink" Target="bk://item/?Fayrouz%20Bottle" TargetMode="External" /><Relationship Id="rId36" Type="http://schemas.openxmlformats.org/officeDocument/2006/relationships/hyperlink" Target="bk://item/?STK%2033cl" TargetMode="External" /><Relationship Id="rId49" Type="http://schemas.openxmlformats.org/officeDocument/2006/relationships/hyperlink" Target="bk://item/?IB%20Empties" TargetMode="External" /><Relationship Id="rId10" Type="http://schemas.openxmlformats.org/officeDocument/2006/relationships/hyperlink" Target="bk://item/?Trophy" TargetMode="External" /><Relationship Id="rId19" Type="http://schemas.openxmlformats.org/officeDocument/2006/relationships/hyperlink" Target="bk://item/?Legend%20Can%2044cl" TargetMode="External" /><Relationship Id="rId31" Type="http://schemas.openxmlformats.org/officeDocument/2006/relationships/hyperlink" Target="bk://item/?Goldberg%20Black%20Promo" TargetMode="External" /><Relationship Id="rId44" Type="http://schemas.openxmlformats.org/officeDocument/2006/relationships/hyperlink" Target="bk://item/?Heineken%20Bottle%2060cl" TargetMode="External" /><Relationship Id="rId4" Type="http://schemas.openxmlformats.org/officeDocument/2006/relationships/hyperlink" Target="bk://item/?ORIJIN%20BT" TargetMode="External" /><Relationship Id="rId9" Type="http://schemas.openxmlformats.org/officeDocument/2006/relationships/hyperlink" Target="bk://item/?Castle%20Lite" TargetMode="External" /><Relationship Id="rId14" Type="http://schemas.openxmlformats.org/officeDocument/2006/relationships/hyperlink" Target="bk://item/?Desperados%20Can" TargetMode="External" /><Relationship Id="rId22" Type="http://schemas.openxmlformats.org/officeDocument/2006/relationships/hyperlink" Target="bk://item/?Fayrouz%20Pet" TargetMode="External" /><Relationship Id="rId27" Type="http://schemas.openxmlformats.org/officeDocument/2006/relationships/hyperlink" Target="bk://item/?Amstel%20Bottle" TargetMode="External" /><Relationship Id="rId30" Type="http://schemas.openxmlformats.org/officeDocument/2006/relationships/hyperlink" Target="bk://item/?Goldberg%20Black%2045cl" TargetMode="External" /><Relationship Id="rId35" Type="http://schemas.openxmlformats.org/officeDocument/2006/relationships/hyperlink" Target="bk://item/?Maltina%20Bottle" TargetMode="External" /><Relationship Id="rId43" Type="http://schemas.openxmlformats.org/officeDocument/2006/relationships/hyperlink" Target="bk://item/?Heineken%20Bottle%2045cl" TargetMode="External" /><Relationship Id="rId48" Type="http://schemas.openxmlformats.org/officeDocument/2006/relationships/hyperlink" Target="bk://item/?GNS%20EMPTIES" TargetMode="External" /><Relationship Id="rId8" Type="http://schemas.openxmlformats.org/officeDocument/2006/relationships/hyperlink" Target="bk://item/?Budweiser" TargetMode="External" /><Relationship Id="rId51" Type="http://schemas.openxmlformats.org/officeDocument/2006/relationships/hyperlink" Target="bk://item/?NB%20Loose%20Crate" TargetMode="External" 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415" TargetMode="External" /><Relationship Id="rId21" Type="http://schemas.openxmlformats.org/officeDocument/2006/relationships/hyperlink" Target="bk://v_id/?1378" TargetMode="External" /><Relationship Id="rId42" Type="http://schemas.openxmlformats.org/officeDocument/2006/relationships/hyperlink" Target="bk://v_id/?1487" TargetMode="External" /><Relationship Id="rId47" Type="http://schemas.openxmlformats.org/officeDocument/2006/relationships/hyperlink" Target="bk://v_id/?1497" TargetMode="External" /><Relationship Id="rId63" Type="http://schemas.openxmlformats.org/officeDocument/2006/relationships/hyperlink" Target="bk://v_id/?1680" TargetMode="External" /><Relationship Id="rId68" Type="http://schemas.openxmlformats.org/officeDocument/2006/relationships/hyperlink" Target="bk://v_id/?1712" TargetMode="External" /><Relationship Id="rId84" Type="http://schemas.openxmlformats.org/officeDocument/2006/relationships/hyperlink" Target="bk://v_id/?1826" TargetMode="External" /><Relationship Id="rId89" Type="http://schemas.openxmlformats.org/officeDocument/2006/relationships/hyperlink" Target="bk://v_id/?1869" TargetMode="External" /><Relationship Id="rId112" Type="http://schemas.openxmlformats.org/officeDocument/2006/relationships/hyperlink" Target="bk://v_id/?2042" TargetMode="External" /><Relationship Id="rId16" Type="http://schemas.openxmlformats.org/officeDocument/2006/relationships/hyperlink" Target="bk://v_id/?1352" TargetMode="External" /><Relationship Id="rId107" Type="http://schemas.openxmlformats.org/officeDocument/2006/relationships/hyperlink" Target="bk://v_id/?2008" TargetMode="External" /><Relationship Id="rId11" Type="http://schemas.openxmlformats.org/officeDocument/2006/relationships/hyperlink" Target="bk://v_id/?1293" TargetMode="External" /><Relationship Id="rId24" Type="http://schemas.openxmlformats.org/officeDocument/2006/relationships/hyperlink" Target="bk://v_id/?1406" TargetMode="External" /><Relationship Id="rId32" Type="http://schemas.openxmlformats.org/officeDocument/2006/relationships/hyperlink" Target="bk://v_id/?1444" TargetMode="External" /><Relationship Id="rId37" Type="http://schemas.openxmlformats.org/officeDocument/2006/relationships/hyperlink" Target="bk://v_id/?1466" TargetMode="External" /><Relationship Id="rId40" Type="http://schemas.openxmlformats.org/officeDocument/2006/relationships/hyperlink" Target="bk://v_id/?1485" TargetMode="External" /><Relationship Id="rId45" Type="http://schemas.openxmlformats.org/officeDocument/2006/relationships/hyperlink" Target="bk://v_id/?1495" TargetMode="External" /><Relationship Id="rId53" Type="http://schemas.openxmlformats.org/officeDocument/2006/relationships/hyperlink" Target="bk://v_id/?1536" TargetMode="External" /><Relationship Id="rId58" Type="http://schemas.openxmlformats.org/officeDocument/2006/relationships/hyperlink" Target="bk://v_id/?1597" TargetMode="External" /><Relationship Id="rId66" Type="http://schemas.openxmlformats.org/officeDocument/2006/relationships/hyperlink" Target="bk://v_id/?1709" TargetMode="External" /><Relationship Id="rId74" Type="http://schemas.openxmlformats.org/officeDocument/2006/relationships/hyperlink" Target="bk://v_id/?1735" TargetMode="External" /><Relationship Id="rId79" Type="http://schemas.openxmlformats.org/officeDocument/2006/relationships/hyperlink" Target="bk://v_id/?1771" TargetMode="External" /><Relationship Id="rId87" Type="http://schemas.openxmlformats.org/officeDocument/2006/relationships/hyperlink" Target="bk://v_id/?1855" TargetMode="External" /><Relationship Id="rId102" Type="http://schemas.openxmlformats.org/officeDocument/2006/relationships/hyperlink" Target="bk://v_id/?1984" TargetMode="External" /><Relationship Id="rId110" Type="http://schemas.openxmlformats.org/officeDocument/2006/relationships/hyperlink" Target="bk://v_id/?2040" TargetMode="External" /><Relationship Id="rId115" Type="http://schemas.openxmlformats.org/officeDocument/2006/relationships/hyperlink" Target="bk://v_id/?2089" TargetMode="External" /><Relationship Id="rId5" Type="http://schemas.openxmlformats.org/officeDocument/2006/relationships/hyperlink" Target="bk://v_id/?1251" TargetMode="External" /><Relationship Id="rId61" Type="http://schemas.openxmlformats.org/officeDocument/2006/relationships/hyperlink" Target="bk://v_id/?1668" TargetMode="External" /><Relationship Id="rId82" Type="http://schemas.openxmlformats.org/officeDocument/2006/relationships/hyperlink" Target="bk://v_id/?1795" TargetMode="External" /><Relationship Id="rId90" Type="http://schemas.openxmlformats.org/officeDocument/2006/relationships/hyperlink" Target="bk://v_id/?1882" TargetMode="External" /><Relationship Id="rId95" Type="http://schemas.openxmlformats.org/officeDocument/2006/relationships/hyperlink" Target="bk://v_id/?1944" TargetMode="External" /><Relationship Id="rId19" Type="http://schemas.openxmlformats.org/officeDocument/2006/relationships/hyperlink" Target="bk://v_id/?1362" TargetMode="External" /><Relationship Id="rId14" Type="http://schemas.openxmlformats.org/officeDocument/2006/relationships/hyperlink" Target="bk://v_id/?1326" TargetMode="External" /><Relationship Id="rId22" Type="http://schemas.openxmlformats.org/officeDocument/2006/relationships/hyperlink" Target="bk://v_id/?1379" TargetMode="External" /><Relationship Id="rId27" Type="http://schemas.openxmlformats.org/officeDocument/2006/relationships/hyperlink" Target="bk://v_id/?1416" TargetMode="External" /><Relationship Id="rId30" Type="http://schemas.openxmlformats.org/officeDocument/2006/relationships/hyperlink" Target="bk://v_id/?1433" TargetMode="External" /><Relationship Id="rId35" Type="http://schemas.openxmlformats.org/officeDocument/2006/relationships/hyperlink" Target="bk://v_id/?1462" TargetMode="External" /><Relationship Id="rId43" Type="http://schemas.openxmlformats.org/officeDocument/2006/relationships/hyperlink" Target="bk://v_id/?1488" TargetMode="External" /><Relationship Id="rId48" Type="http://schemas.openxmlformats.org/officeDocument/2006/relationships/hyperlink" Target="bk://v_id/?1511" TargetMode="External" /><Relationship Id="rId56" Type="http://schemas.openxmlformats.org/officeDocument/2006/relationships/hyperlink" Target="bk://v_id/?1569" TargetMode="External" /><Relationship Id="rId64" Type="http://schemas.openxmlformats.org/officeDocument/2006/relationships/hyperlink" Target="bk://v_id/?1681" TargetMode="External" /><Relationship Id="rId69" Type="http://schemas.openxmlformats.org/officeDocument/2006/relationships/hyperlink" Target="bk://v_id/?1713" TargetMode="External" /><Relationship Id="rId77" Type="http://schemas.openxmlformats.org/officeDocument/2006/relationships/hyperlink" Target="bk://v_id/?1769" TargetMode="External" /><Relationship Id="rId100" Type="http://schemas.openxmlformats.org/officeDocument/2006/relationships/hyperlink" Target="bk://v_id/?1982" TargetMode="External" /><Relationship Id="rId105" Type="http://schemas.openxmlformats.org/officeDocument/2006/relationships/hyperlink" Target="bk://v_id/?2001" TargetMode="External" /><Relationship Id="rId113" Type="http://schemas.openxmlformats.org/officeDocument/2006/relationships/hyperlink" Target="bk://v_id/?2043" TargetMode="External" /><Relationship Id="rId8" Type="http://schemas.openxmlformats.org/officeDocument/2006/relationships/hyperlink" Target="bk://v_id/?1262" TargetMode="External" /><Relationship Id="rId51" Type="http://schemas.openxmlformats.org/officeDocument/2006/relationships/hyperlink" Target="bk://v_id/?1533" TargetMode="External" /><Relationship Id="rId72" Type="http://schemas.openxmlformats.org/officeDocument/2006/relationships/hyperlink" Target="bk://v_id/?1733" TargetMode="External" /><Relationship Id="rId80" Type="http://schemas.openxmlformats.org/officeDocument/2006/relationships/hyperlink" Target="bk://v_id/?1773" TargetMode="External" /><Relationship Id="rId85" Type="http://schemas.openxmlformats.org/officeDocument/2006/relationships/hyperlink" Target="bk://v_id/?1829" TargetMode="External" /><Relationship Id="rId93" Type="http://schemas.openxmlformats.org/officeDocument/2006/relationships/hyperlink" Target="bk://v_id/?1942" TargetMode="External" /><Relationship Id="rId98" Type="http://schemas.openxmlformats.org/officeDocument/2006/relationships/hyperlink" Target="bk://v_id/?1963" TargetMode="External" /><Relationship Id="rId3" Type="http://schemas.openxmlformats.org/officeDocument/2006/relationships/hyperlink" Target="bk://v_id/?1233" TargetMode="External" /><Relationship Id="rId12" Type="http://schemas.openxmlformats.org/officeDocument/2006/relationships/hyperlink" Target="bk://v_id/?1294" TargetMode="External" /><Relationship Id="rId17" Type="http://schemas.openxmlformats.org/officeDocument/2006/relationships/hyperlink" Target="bk://v_id/?1356" TargetMode="External" /><Relationship Id="rId25" Type="http://schemas.openxmlformats.org/officeDocument/2006/relationships/hyperlink" Target="bk://v_id/?1413" TargetMode="External" /><Relationship Id="rId33" Type="http://schemas.openxmlformats.org/officeDocument/2006/relationships/hyperlink" Target="bk://v_id/?1460" TargetMode="External" /><Relationship Id="rId38" Type="http://schemas.openxmlformats.org/officeDocument/2006/relationships/hyperlink" Target="bk://v_id/?1467" TargetMode="External" /><Relationship Id="rId46" Type="http://schemas.openxmlformats.org/officeDocument/2006/relationships/hyperlink" Target="bk://v_id/?1496" TargetMode="External" /><Relationship Id="rId59" Type="http://schemas.openxmlformats.org/officeDocument/2006/relationships/hyperlink" Target="bk://v_id/?1604" TargetMode="External" /><Relationship Id="rId67" Type="http://schemas.openxmlformats.org/officeDocument/2006/relationships/hyperlink" Target="bk://v_id/?1711" TargetMode="External" /><Relationship Id="rId103" Type="http://schemas.openxmlformats.org/officeDocument/2006/relationships/hyperlink" Target="bk://v_id/?1992" TargetMode="External" /><Relationship Id="rId108" Type="http://schemas.openxmlformats.org/officeDocument/2006/relationships/hyperlink" Target="bk://v_id/?2017" TargetMode="External" /><Relationship Id="rId116" Type="http://schemas.openxmlformats.org/officeDocument/2006/relationships/hyperlink" Target="bk://v_id/?2090" TargetMode="External" /><Relationship Id="rId20" Type="http://schemas.openxmlformats.org/officeDocument/2006/relationships/hyperlink" Target="bk://v_id/?1363" TargetMode="External" /><Relationship Id="rId41" Type="http://schemas.openxmlformats.org/officeDocument/2006/relationships/hyperlink" Target="bk://v_id/?1486" TargetMode="External" /><Relationship Id="rId54" Type="http://schemas.openxmlformats.org/officeDocument/2006/relationships/hyperlink" Target="bk://v_id/?1567" TargetMode="External" /><Relationship Id="rId62" Type="http://schemas.openxmlformats.org/officeDocument/2006/relationships/hyperlink" Target="bk://v_id/?1671" TargetMode="External" /><Relationship Id="rId70" Type="http://schemas.openxmlformats.org/officeDocument/2006/relationships/hyperlink" Target="bk://v_id/?1714" TargetMode="External" /><Relationship Id="rId75" Type="http://schemas.openxmlformats.org/officeDocument/2006/relationships/hyperlink" Target="bk://v_id/?1741" TargetMode="External" /><Relationship Id="rId83" Type="http://schemas.openxmlformats.org/officeDocument/2006/relationships/hyperlink" Target="bk://v_id/?1820" TargetMode="External" /><Relationship Id="rId88" Type="http://schemas.openxmlformats.org/officeDocument/2006/relationships/hyperlink" Target="bk://v_id/?1856" TargetMode="External" /><Relationship Id="rId91" Type="http://schemas.openxmlformats.org/officeDocument/2006/relationships/hyperlink" Target="bk://v_id/?1900" TargetMode="External" /><Relationship Id="rId96" Type="http://schemas.openxmlformats.org/officeDocument/2006/relationships/hyperlink" Target="bk://v_id/?1951" TargetMode="External" /><Relationship Id="rId111" Type="http://schemas.openxmlformats.org/officeDocument/2006/relationships/hyperlink" Target="bk://v_id/?2041" TargetMode="External" /><Relationship Id="rId1" Type="http://schemas.openxmlformats.org/officeDocument/2006/relationships/hyperlink" Target="bk://v_id/?1216" TargetMode="External" /><Relationship Id="rId6" Type="http://schemas.openxmlformats.org/officeDocument/2006/relationships/hyperlink" Target="bk://v_id/?1260" TargetMode="External" /><Relationship Id="rId15" Type="http://schemas.openxmlformats.org/officeDocument/2006/relationships/hyperlink" Target="bk://v_id/?1327" TargetMode="External" /><Relationship Id="rId23" Type="http://schemas.openxmlformats.org/officeDocument/2006/relationships/hyperlink" Target="bk://v_id/?1400" TargetMode="External" /><Relationship Id="rId28" Type="http://schemas.openxmlformats.org/officeDocument/2006/relationships/hyperlink" Target="bk://v_id/?1428" TargetMode="External" /><Relationship Id="rId36" Type="http://schemas.openxmlformats.org/officeDocument/2006/relationships/hyperlink" Target="bk://v_id/?1464" TargetMode="External" /><Relationship Id="rId49" Type="http://schemas.openxmlformats.org/officeDocument/2006/relationships/hyperlink" Target="bk://v_id/?1520" TargetMode="External" /><Relationship Id="rId57" Type="http://schemas.openxmlformats.org/officeDocument/2006/relationships/hyperlink" Target="bk://v_id/?1570" TargetMode="External" /><Relationship Id="rId106" Type="http://schemas.openxmlformats.org/officeDocument/2006/relationships/hyperlink" Target="bk://v_id/?2007" TargetMode="External" /><Relationship Id="rId114" Type="http://schemas.openxmlformats.org/officeDocument/2006/relationships/hyperlink" Target="bk://v_id/?2055" TargetMode="External" /><Relationship Id="rId10" Type="http://schemas.openxmlformats.org/officeDocument/2006/relationships/hyperlink" Target="bk://v_id/?1281" TargetMode="External" /><Relationship Id="rId31" Type="http://schemas.openxmlformats.org/officeDocument/2006/relationships/hyperlink" Target="bk://v_id/?1434" TargetMode="External" /><Relationship Id="rId44" Type="http://schemas.openxmlformats.org/officeDocument/2006/relationships/hyperlink" Target="bk://v_id/?1489" TargetMode="External" /><Relationship Id="rId52" Type="http://schemas.openxmlformats.org/officeDocument/2006/relationships/hyperlink" Target="bk://v_id/?1534" TargetMode="External" /><Relationship Id="rId60" Type="http://schemas.openxmlformats.org/officeDocument/2006/relationships/hyperlink" Target="bk://v_id/?1608" TargetMode="External" /><Relationship Id="rId65" Type="http://schemas.openxmlformats.org/officeDocument/2006/relationships/hyperlink" Target="bk://v_id/?1682" TargetMode="External" /><Relationship Id="rId73" Type="http://schemas.openxmlformats.org/officeDocument/2006/relationships/hyperlink" Target="bk://v_id/?1734" TargetMode="External" /><Relationship Id="rId78" Type="http://schemas.openxmlformats.org/officeDocument/2006/relationships/hyperlink" Target="bk://v_id/?1770" TargetMode="External" /><Relationship Id="rId81" Type="http://schemas.openxmlformats.org/officeDocument/2006/relationships/hyperlink" Target="bk://v_id/?1794" TargetMode="External" /><Relationship Id="rId86" Type="http://schemas.openxmlformats.org/officeDocument/2006/relationships/hyperlink" Target="bk://v_id/?1845" TargetMode="External" /><Relationship Id="rId94" Type="http://schemas.openxmlformats.org/officeDocument/2006/relationships/hyperlink" Target="bk://v_id/?1943" TargetMode="External" /><Relationship Id="rId99" Type="http://schemas.openxmlformats.org/officeDocument/2006/relationships/hyperlink" Target="bk://v_id/?1981" TargetMode="External" /><Relationship Id="rId101" Type="http://schemas.openxmlformats.org/officeDocument/2006/relationships/hyperlink" Target="bk://v_id/?1983" TargetMode="External" /><Relationship Id="rId4" Type="http://schemas.openxmlformats.org/officeDocument/2006/relationships/hyperlink" Target="bk://v_id/?1234" TargetMode="External" /><Relationship Id="rId9" Type="http://schemas.openxmlformats.org/officeDocument/2006/relationships/hyperlink" Target="bk://v_id/?1274" TargetMode="External" /><Relationship Id="rId13" Type="http://schemas.openxmlformats.org/officeDocument/2006/relationships/hyperlink" Target="bk://v_id/?1318" TargetMode="External" /><Relationship Id="rId18" Type="http://schemas.openxmlformats.org/officeDocument/2006/relationships/hyperlink" Target="bk://v_id/?1361" TargetMode="External" /><Relationship Id="rId39" Type="http://schemas.openxmlformats.org/officeDocument/2006/relationships/hyperlink" Target="bk://v_id/?1472" TargetMode="External" /><Relationship Id="rId109" Type="http://schemas.openxmlformats.org/officeDocument/2006/relationships/hyperlink" Target="bk://v_id/?2018" TargetMode="External" /><Relationship Id="rId34" Type="http://schemas.openxmlformats.org/officeDocument/2006/relationships/hyperlink" Target="bk://v_id/?1461" TargetMode="External" /><Relationship Id="rId50" Type="http://schemas.openxmlformats.org/officeDocument/2006/relationships/hyperlink" Target="bk://v_id/?1532" TargetMode="External" /><Relationship Id="rId55" Type="http://schemas.openxmlformats.org/officeDocument/2006/relationships/hyperlink" Target="bk://v_id/?1568" TargetMode="External" /><Relationship Id="rId76" Type="http://schemas.openxmlformats.org/officeDocument/2006/relationships/hyperlink" Target="bk://v_id/?1768" TargetMode="External" /><Relationship Id="rId97" Type="http://schemas.openxmlformats.org/officeDocument/2006/relationships/hyperlink" Target="bk://v_id/?1962" TargetMode="External" /><Relationship Id="rId104" Type="http://schemas.openxmlformats.org/officeDocument/2006/relationships/hyperlink" Target="bk://v_id/?2000" TargetMode="External" /><Relationship Id="rId7" Type="http://schemas.openxmlformats.org/officeDocument/2006/relationships/hyperlink" Target="bk://v_id/?1261" TargetMode="External" /><Relationship Id="rId71" Type="http://schemas.openxmlformats.org/officeDocument/2006/relationships/hyperlink" Target="bk://v_id/?1732" TargetMode="External" /><Relationship Id="rId92" Type="http://schemas.openxmlformats.org/officeDocument/2006/relationships/hyperlink" Target="bk://v_id/?1901" TargetMode="External" /><Relationship Id="rId2" Type="http://schemas.openxmlformats.org/officeDocument/2006/relationships/hyperlink" Target="bk://v_id/?1232" TargetMode="External" /><Relationship Id="rId29" Type="http://schemas.openxmlformats.org/officeDocument/2006/relationships/hyperlink" Target="bk://v_id/?1432" TargetMode="External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206" TargetMode="External" /><Relationship Id="rId3" Type="http://schemas.openxmlformats.org/officeDocument/2006/relationships/hyperlink" Target="bk://v_id/?1206" TargetMode="External" /><Relationship Id="rId7" Type="http://schemas.openxmlformats.org/officeDocument/2006/relationships/hyperlink" Target="bk://v_id/?1203" TargetMode="External" /><Relationship Id="rId12" Type="http://schemas.openxmlformats.org/officeDocument/2006/relationships/comments" Target="../comments1.xml" /><Relationship Id="rId2" Type="http://schemas.openxmlformats.org/officeDocument/2006/relationships/hyperlink" Target="bk://v_id/?1203" TargetMode="External" /><Relationship Id="rId1" Type="http://schemas.openxmlformats.org/officeDocument/2006/relationships/hyperlink" Target="bk://v_id/?1203" TargetMode="External" /><Relationship Id="rId6" Type="http://schemas.openxmlformats.org/officeDocument/2006/relationships/hyperlink" Target="bk://v_id/?1207" TargetMode="External" /><Relationship Id="rId11" Type="http://schemas.openxmlformats.org/officeDocument/2006/relationships/vmlDrawing" Target="../drawings/vmlDrawing1.vml" /><Relationship Id="rId5" Type="http://schemas.openxmlformats.org/officeDocument/2006/relationships/hyperlink" Target="bk://v_id/?1207" TargetMode="External" /><Relationship Id="rId10" Type="http://schemas.openxmlformats.org/officeDocument/2006/relationships/drawing" Target="../drawings/drawing1.xml" /><Relationship Id="rId4" Type="http://schemas.openxmlformats.org/officeDocument/2006/relationships/hyperlink" Target="bk://v_id/?1207" TargetMode="External" /><Relationship Id="rId9" Type="http://schemas.openxmlformats.org/officeDocument/2006/relationships/hyperlink" Target="bk://v_id/?1207" TargetMode="Externa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211" TargetMode="External" /><Relationship Id="rId13" Type="http://schemas.openxmlformats.org/officeDocument/2006/relationships/hyperlink" Target="bk://v_id/?1214" TargetMode="External" /><Relationship Id="rId18" Type="http://schemas.openxmlformats.org/officeDocument/2006/relationships/hyperlink" Target="bk://v_id/?1220" TargetMode="External" /><Relationship Id="rId26" Type="http://schemas.openxmlformats.org/officeDocument/2006/relationships/hyperlink" Target="bk://v_id/?1225" TargetMode="External" /><Relationship Id="rId39" Type="http://schemas.openxmlformats.org/officeDocument/2006/relationships/hyperlink" Target="bk://v_id/?1222" TargetMode="External" /><Relationship Id="rId3" Type="http://schemas.openxmlformats.org/officeDocument/2006/relationships/hyperlink" Target="bk://v_id/?1211" TargetMode="External" /><Relationship Id="rId21" Type="http://schemas.openxmlformats.org/officeDocument/2006/relationships/hyperlink" Target="bk://v_id/?1221" TargetMode="External" /><Relationship Id="rId34" Type="http://schemas.openxmlformats.org/officeDocument/2006/relationships/hyperlink" Target="bk://v_id/?1221" TargetMode="External" /><Relationship Id="rId42" Type="http://schemas.openxmlformats.org/officeDocument/2006/relationships/vmlDrawing" Target="../drawings/vmlDrawing2.vml" /><Relationship Id="rId7" Type="http://schemas.openxmlformats.org/officeDocument/2006/relationships/hyperlink" Target="bk://v_id/?1211" TargetMode="External" /><Relationship Id="rId12" Type="http://schemas.openxmlformats.org/officeDocument/2006/relationships/hyperlink" Target="bk://v_id/?1214" TargetMode="External" /><Relationship Id="rId17" Type="http://schemas.openxmlformats.org/officeDocument/2006/relationships/hyperlink" Target="bk://v_id/?1220" TargetMode="External" /><Relationship Id="rId25" Type="http://schemas.openxmlformats.org/officeDocument/2006/relationships/hyperlink" Target="bk://v_id/?1223" TargetMode="External" /><Relationship Id="rId33" Type="http://schemas.openxmlformats.org/officeDocument/2006/relationships/hyperlink" Target="bk://v_id/?1214" TargetMode="External" /><Relationship Id="rId38" Type="http://schemas.openxmlformats.org/officeDocument/2006/relationships/hyperlink" Target="bk://v_id/?1222" TargetMode="External" /><Relationship Id="rId2" Type="http://schemas.openxmlformats.org/officeDocument/2006/relationships/hyperlink" Target="bk://v_id/?1211" TargetMode="External" /><Relationship Id="rId16" Type="http://schemas.openxmlformats.org/officeDocument/2006/relationships/hyperlink" Target="bk://v_id/?1220" TargetMode="External" /><Relationship Id="rId20" Type="http://schemas.openxmlformats.org/officeDocument/2006/relationships/hyperlink" Target="bk://v_id/?1221" TargetMode="External" /><Relationship Id="rId29" Type="http://schemas.openxmlformats.org/officeDocument/2006/relationships/hyperlink" Target="bk://v_id/?1225" TargetMode="External" /><Relationship Id="rId41" Type="http://schemas.openxmlformats.org/officeDocument/2006/relationships/drawing" Target="../drawings/drawing2.xml" /><Relationship Id="rId1" Type="http://schemas.openxmlformats.org/officeDocument/2006/relationships/hyperlink" Target="bk://v_id/?1211" TargetMode="External" /><Relationship Id="rId6" Type="http://schemas.openxmlformats.org/officeDocument/2006/relationships/hyperlink" Target="bk://v_id/?1211" TargetMode="External" /><Relationship Id="rId11" Type="http://schemas.openxmlformats.org/officeDocument/2006/relationships/hyperlink" Target="bk://v_id/?1213" TargetMode="External" /><Relationship Id="rId24" Type="http://schemas.openxmlformats.org/officeDocument/2006/relationships/hyperlink" Target="bk://v_id/?1223" TargetMode="External" /><Relationship Id="rId32" Type="http://schemas.openxmlformats.org/officeDocument/2006/relationships/hyperlink" Target="bk://v_id/?1213" TargetMode="External" /><Relationship Id="rId37" Type="http://schemas.openxmlformats.org/officeDocument/2006/relationships/hyperlink" Target="bk://v_id/?1222" TargetMode="External" /><Relationship Id="rId40" Type="http://schemas.openxmlformats.org/officeDocument/2006/relationships/hyperlink" Target="bk://v_id/?1222" TargetMode="External" /><Relationship Id="rId5" Type="http://schemas.openxmlformats.org/officeDocument/2006/relationships/hyperlink" Target="bk://v_id/?1211" TargetMode="External" /><Relationship Id="rId15" Type="http://schemas.openxmlformats.org/officeDocument/2006/relationships/hyperlink" Target="bk://v_id/?1214" TargetMode="External" /><Relationship Id="rId23" Type="http://schemas.openxmlformats.org/officeDocument/2006/relationships/hyperlink" Target="bk://v_id/?1223" TargetMode="External" /><Relationship Id="rId28" Type="http://schemas.openxmlformats.org/officeDocument/2006/relationships/hyperlink" Target="bk://v_id/?1225" TargetMode="External" /><Relationship Id="rId36" Type="http://schemas.openxmlformats.org/officeDocument/2006/relationships/hyperlink" Target="bk://v_id/?1222" TargetMode="External" /><Relationship Id="rId10" Type="http://schemas.openxmlformats.org/officeDocument/2006/relationships/hyperlink" Target="bk://v_id/?1211" TargetMode="External" /><Relationship Id="rId19" Type="http://schemas.openxmlformats.org/officeDocument/2006/relationships/hyperlink" Target="bk://v_id/?1220" TargetMode="External" /><Relationship Id="rId31" Type="http://schemas.openxmlformats.org/officeDocument/2006/relationships/hyperlink" Target="bk://v_id/?1212" TargetMode="External" /><Relationship Id="rId4" Type="http://schemas.openxmlformats.org/officeDocument/2006/relationships/hyperlink" Target="bk://v_id/?1211" TargetMode="External" /><Relationship Id="rId9" Type="http://schemas.openxmlformats.org/officeDocument/2006/relationships/hyperlink" Target="bk://v_id/?1211" TargetMode="External" /><Relationship Id="rId14" Type="http://schemas.openxmlformats.org/officeDocument/2006/relationships/hyperlink" Target="bk://v_id/?1214" TargetMode="External" /><Relationship Id="rId22" Type="http://schemas.openxmlformats.org/officeDocument/2006/relationships/hyperlink" Target="bk://v_id/?1221" TargetMode="External" /><Relationship Id="rId27" Type="http://schemas.openxmlformats.org/officeDocument/2006/relationships/hyperlink" Target="bk://v_id/?1225" TargetMode="External" /><Relationship Id="rId30" Type="http://schemas.openxmlformats.org/officeDocument/2006/relationships/hyperlink" Target="bk://v_id/?1211" TargetMode="External" /><Relationship Id="rId35" Type="http://schemas.openxmlformats.org/officeDocument/2006/relationships/hyperlink" Target="bk://v_id/?1222" TargetMode="External" /><Relationship Id="rId43" Type="http://schemas.openxmlformats.org/officeDocument/2006/relationships/comments" Target="../comments2.xm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241" TargetMode="External" /><Relationship Id="rId13" Type="http://schemas.openxmlformats.org/officeDocument/2006/relationships/hyperlink" Target="bk://v_id/?1247" TargetMode="External" /><Relationship Id="rId18" Type="http://schemas.openxmlformats.org/officeDocument/2006/relationships/hyperlink" Target="bk://v_id/?1252" TargetMode="External" /><Relationship Id="rId26" Type="http://schemas.openxmlformats.org/officeDocument/2006/relationships/hyperlink" Target="bk://v_id/?1239" TargetMode="External" /><Relationship Id="rId39" Type="http://schemas.openxmlformats.org/officeDocument/2006/relationships/hyperlink" Target="bk://v_id/?1256" TargetMode="External" /><Relationship Id="rId3" Type="http://schemas.openxmlformats.org/officeDocument/2006/relationships/hyperlink" Target="bk://v_id/?1241" TargetMode="External" /><Relationship Id="rId21" Type="http://schemas.openxmlformats.org/officeDocument/2006/relationships/hyperlink" Target="bk://v_id/?1255" TargetMode="External" /><Relationship Id="rId34" Type="http://schemas.openxmlformats.org/officeDocument/2006/relationships/hyperlink" Target="bk://v_id/?1248" TargetMode="External" /><Relationship Id="rId42" Type="http://schemas.openxmlformats.org/officeDocument/2006/relationships/comments" Target="../comments3.xml" /><Relationship Id="rId7" Type="http://schemas.openxmlformats.org/officeDocument/2006/relationships/hyperlink" Target="bk://v_id/?1241" TargetMode="External" /><Relationship Id="rId12" Type="http://schemas.openxmlformats.org/officeDocument/2006/relationships/hyperlink" Target="bk://v_id/?1246" TargetMode="External" /><Relationship Id="rId17" Type="http://schemas.openxmlformats.org/officeDocument/2006/relationships/hyperlink" Target="bk://v_id/?1252" TargetMode="External" /><Relationship Id="rId25" Type="http://schemas.openxmlformats.org/officeDocument/2006/relationships/hyperlink" Target="bk://v_id/?1239" TargetMode="External" /><Relationship Id="rId33" Type="http://schemas.openxmlformats.org/officeDocument/2006/relationships/hyperlink" Target="bk://v_id/?1247" TargetMode="External" /><Relationship Id="rId38" Type="http://schemas.openxmlformats.org/officeDocument/2006/relationships/hyperlink" Target="bk://v_id/?1253" TargetMode="External" /><Relationship Id="rId2" Type="http://schemas.openxmlformats.org/officeDocument/2006/relationships/hyperlink" Target="bk://v_id/?1241" TargetMode="External" /><Relationship Id="rId16" Type="http://schemas.openxmlformats.org/officeDocument/2006/relationships/hyperlink" Target="bk://v_id/?1252" TargetMode="External" /><Relationship Id="rId20" Type="http://schemas.openxmlformats.org/officeDocument/2006/relationships/hyperlink" Target="bk://v_id/?1255" TargetMode="External" /><Relationship Id="rId29" Type="http://schemas.openxmlformats.org/officeDocument/2006/relationships/hyperlink" Target="bk://v_id/?1240" TargetMode="External" /><Relationship Id="rId41" Type="http://schemas.openxmlformats.org/officeDocument/2006/relationships/vmlDrawing" Target="../drawings/vmlDrawing3.vml" /><Relationship Id="rId1" Type="http://schemas.openxmlformats.org/officeDocument/2006/relationships/hyperlink" Target="bk://v_id/?1207" TargetMode="External" /><Relationship Id="rId6" Type="http://schemas.openxmlformats.org/officeDocument/2006/relationships/hyperlink" Target="bk://v_id/?1241" TargetMode="External" /><Relationship Id="rId11" Type="http://schemas.openxmlformats.org/officeDocument/2006/relationships/hyperlink" Target="bk://v_id/?1242" TargetMode="External" /><Relationship Id="rId24" Type="http://schemas.openxmlformats.org/officeDocument/2006/relationships/hyperlink" Target="bk://v_id/?1256" TargetMode="External" /><Relationship Id="rId32" Type="http://schemas.openxmlformats.org/officeDocument/2006/relationships/hyperlink" Target="bk://v_id/?1243" TargetMode="External" /><Relationship Id="rId37" Type="http://schemas.openxmlformats.org/officeDocument/2006/relationships/hyperlink" Target="bk://v_id/?1252" TargetMode="External" /><Relationship Id="rId40" Type="http://schemas.openxmlformats.org/officeDocument/2006/relationships/drawing" Target="../drawings/drawing3.xml" /><Relationship Id="rId5" Type="http://schemas.openxmlformats.org/officeDocument/2006/relationships/hyperlink" Target="bk://v_id/?1241" TargetMode="External" /><Relationship Id="rId15" Type="http://schemas.openxmlformats.org/officeDocument/2006/relationships/hyperlink" Target="bk://v_id/?1252" TargetMode="External" /><Relationship Id="rId23" Type="http://schemas.openxmlformats.org/officeDocument/2006/relationships/hyperlink" Target="bk://v_id/?1253" TargetMode="External" /><Relationship Id="rId28" Type="http://schemas.openxmlformats.org/officeDocument/2006/relationships/hyperlink" Target="bk://v_id/?1239" TargetMode="External" /><Relationship Id="rId36" Type="http://schemas.openxmlformats.org/officeDocument/2006/relationships/hyperlink" Target="bk://v_id/?1255" TargetMode="External" /><Relationship Id="rId10" Type="http://schemas.openxmlformats.org/officeDocument/2006/relationships/hyperlink" Target="bk://v_id/?1243" TargetMode="External" /><Relationship Id="rId19" Type="http://schemas.openxmlformats.org/officeDocument/2006/relationships/hyperlink" Target="bk://v_id/?1252" TargetMode="External" /><Relationship Id="rId31" Type="http://schemas.openxmlformats.org/officeDocument/2006/relationships/hyperlink" Target="bk://v_id/?1242" TargetMode="External" /><Relationship Id="rId4" Type="http://schemas.openxmlformats.org/officeDocument/2006/relationships/hyperlink" Target="bk://v_id/?1241" TargetMode="External" /><Relationship Id="rId9" Type="http://schemas.openxmlformats.org/officeDocument/2006/relationships/hyperlink" Target="bk://v_id/?1241" TargetMode="External" /><Relationship Id="rId14" Type="http://schemas.openxmlformats.org/officeDocument/2006/relationships/hyperlink" Target="bk://v_id/?1248" TargetMode="External" /><Relationship Id="rId22" Type="http://schemas.openxmlformats.org/officeDocument/2006/relationships/hyperlink" Target="bk://v_id/?1255" TargetMode="External" /><Relationship Id="rId27" Type="http://schemas.openxmlformats.org/officeDocument/2006/relationships/hyperlink" Target="bk://v_id/?1239" TargetMode="External" /><Relationship Id="rId30" Type="http://schemas.openxmlformats.org/officeDocument/2006/relationships/hyperlink" Target="bk://v_id/?1241" TargetMode="External" /><Relationship Id="rId35" Type="http://schemas.openxmlformats.org/officeDocument/2006/relationships/hyperlink" Target="bk://v_id/?1246" TargetMode="External" 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270" TargetMode="External" /><Relationship Id="rId13" Type="http://schemas.openxmlformats.org/officeDocument/2006/relationships/hyperlink" Target="bk://v_id/?1277" TargetMode="External" /><Relationship Id="rId18" Type="http://schemas.openxmlformats.org/officeDocument/2006/relationships/hyperlink" Target="bk://v_id/?1267" TargetMode="External" /><Relationship Id="rId26" Type="http://schemas.openxmlformats.org/officeDocument/2006/relationships/drawing" Target="../drawings/drawing4.xml" /><Relationship Id="rId3" Type="http://schemas.openxmlformats.org/officeDocument/2006/relationships/hyperlink" Target="bk://v_id/?1269" TargetMode="External" /><Relationship Id="rId21" Type="http://schemas.openxmlformats.org/officeDocument/2006/relationships/hyperlink" Target="bk://v_id/?1267" TargetMode="External" /><Relationship Id="rId7" Type="http://schemas.openxmlformats.org/officeDocument/2006/relationships/hyperlink" Target="bk://v_id/?1270" TargetMode="External" /><Relationship Id="rId12" Type="http://schemas.openxmlformats.org/officeDocument/2006/relationships/hyperlink" Target="bk://v_id/?1277" TargetMode="External" /><Relationship Id="rId17" Type="http://schemas.openxmlformats.org/officeDocument/2006/relationships/hyperlink" Target="bk://v_id/?1267" TargetMode="External" /><Relationship Id="rId25" Type="http://schemas.openxmlformats.org/officeDocument/2006/relationships/hyperlink" Target="bk://v_id/?1267" TargetMode="External" /><Relationship Id="rId2" Type="http://schemas.openxmlformats.org/officeDocument/2006/relationships/hyperlink" Target="bk://v_id/?1267" TargetMode="External" /><Relationship Id="rId16" Type="http://schemas.openxmlformats.org/officeDocument/2006/relationships/hyperlink" Target="bk://v_id/?1284" TargetMode="External" /><Relationship Id="rId20" Type="http://schemas.openxmlformats.org/officeDocument/2006/relationships/hyperlink" Target="bk://v_id/?1267" TargetMode="External" /><Relationship Id="rId1" Type="http://schemas.openxmlformats.org/officeDocument/2006/relationships/hyperlink" Target="bk://v_id/?1267" TargetMode="External" /><Relationship Id="rId6" Type="http://schemas.openxmlformats.org/officeDocument/2006/relationships/hyperlink" Target="bk://v_id/?1270" TargetMode="External" /><Relationship Id="rId11" Type="http://schemas.openxmlformats.org/officeDocument/2006/relationships/hyperlink" Target="bk://v_id/?1277" TargetMode="External" /><Relationship Id="rId24" Type="http://schemas.openxmlformats.org/officeDocument/2006/relationships/hyperlink" Target="bk://v_id/?1267" TargetMode="External" /><Relationship Id="rId5" Type="http://schemas.openxmlformats.org/officeDocument/2006/relationships/hyperlink" Target="bk://v_id/?1270" TargetMode="External" /><Relationship Id="rId15" Type="http://schemas.openxmlformats.org/officeDocument/2006/relationships/hyperlink" Target="bk://v_id/?1284" TargetMode="External" /><Relationship Id="rId23" Type="http://schemas.openxmlformats.org/officeDocument/2006/relationships/hyperlink" Target="bk://v_id/?1267" TargetMode="External" /><Relationship Id="rId28" Type="http://schemas.openxmlformats.org/officeDocument/2006/relationships/comments" Target="../comments4.xml" /><Relationship Id="rId10" Type="http://schemas.openxmlformats.org/officeDocument/2006/relationships/hyperlink" Target="bk://v_id/?1275" TargetMode="External" /><Relationship Id="rId19" Type="http://schemas.openxmlformats.org/officeDocument/2006/relationships/hyperlink" Target="bk://v_id/?1267" TargetMode="External" /><Relationship Id="rId4" Type="http://schemas.openxmlformats.org/officeDocument/2006/relationships/hyperlink" Target="bk://v_id/?1269" TargetMode="External" /><Relationship Id="rId9" Type="http://schemas.openxmlformats.org/officeDocument/2006/relationships/hyperlink" Target="bk://v_id/?1275" TargetMode="External" /><Relationship Id="rId14" Type="http://schemas.openxmlformats.org/officeDocument/2006/relationships/hyperlink" Target="bk://v_id/?1283" TargetMode="External" /><Relationship Id="rId22" Type="http://schemas.openxmlformats.org/officeDocument/2006/relationships/hyperlink" Target="bk://v_id/?1267" TargetMode="External" /><Relationship Id="rId27" Type="http://schemas.openxmlformats.org/officeDocument/2006/relationships/vmlDrawing" Target="../drawings/vmlDrawing4.vml" 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310" TargetMode="External" /><Relationship Id="rId13" Type="http://schemas.openxmlformats.org/officeDocument/2006/relationships/hyperlink" Target="bk://v_id/?1314" TargetMode="External" /><Relationship Id="rId18" Type="http://schemas.openxmlformats.org/officeDocument/2006/relationships/hyperlink" Target="bk://v_id/?1319" TargetMode="External" /><Relationship Id="rId26" Type="http://schemas.openxmlformats.org/officeDocument/2006/relationships/hyperlink" Target="bk://v_id/?1322" TargetMode="External" /><Relationship Id="rId39" Type="http://schemas.openxmlformats.org/officeDocument/2006/relationships/hyperlink" Target="bk://v_id/?1319" TargetMode="External" /><Relationship Id="rId3" Type="http://schemas.openxmlformats.org/officeDocument/2006/relationships/hyperlink" Target="bk://v_id/?1305" TargetMode="External" /><Relationship Id="rId21" Type="http://schemas.openxmlformats.org/officeDocument/2006/relationships/hyperlink" Target="bk://v_id/?1321" TargetMode="External" /><Relationship Id="rId34" Type="http://schemas.openxmlformats.org/officeDocument/2006/relationships/hyperlink" Target="bk://v_id/?1304" TargetMode="External" /><Relationship Id="rId42" Type="http://schemas.openxmlformats.org/officeDocument/2006/relationships/hyperlink" Target="bk://v_id/?1338" TargetMode="External" /><Relationship Id="rId7" Type="http://schemas.openxmlformats.org/officeDocument/2006/relationships/hyperlink" Target="bk://v_id/?1310" TargetMode="External" /><Relationship Id="rId12" Type="http://schemas.openxmlformats.org/officeDocument/2006/relationships/hyperlink" Target="bk://v_id/?1313" TargetMode="External" /><Relationship Id="rId17" Type="http://schemas.openxmlformats.org/officeDocument/2006/relationships/hyperlink" Target="bk://v_id/?1319" TargetMode="External" /><Relationship Id="rId25" Type="http://schemas.openxmlformats.org/officeDocument/2006/relationships/hyperlink" Target="bk://v_id/?1322" TargetMode="External" /><Relationship Id="rId33" Type="http://schemas.openxmlformats.org/officeDocument/2006/relationships/hyperlink" Target="bk://v_id/?1304" TargetMode="External" /><Relationship Id="rId38" Type="http://schemas.openxmlformats.org/officeDocument/2006/relationships/hyperlink" Target="bk://v_id/?1319" TargetMode="External" /><Relationship Id="rId2" Type="http://schemas.openxmlformats.org/officeDocument/2006/relationships/hyperlink" Target="bk://v_id/?1304" TargetMode="External" /><Relationship Id="rId16" Type="http://schemas.openxmlformats.org/officeDocument/2006/relationships/hyperlink" Target="bk://v_id/?1319" TargetMode="External" /><Relationship Id="rId20" Type="http://schemas.openxmlformats.org/officeDocument/2006/relationships/hyperlink" Target="bk://v_id/?1320" TargetMode="External" /><Relationship Id="rId29" Type="http://schemas.openxmlformats.org/officeDocument/2006/relationships/hyperlink" Target="bk://v_id/?1338" TargetMode="External" /><Relationship Id="rId41" Type="http://schemas.openxmlformats.org/officeDocument/2006/relationships/hyperlink" Target="bk://v_id/?1322" TargetMode="External" /><Relationship Id="rId1" Type="http://schemas.openxmlformats.org/officeDocument/2006/relationships/hyperlink" Target="bk://v_id/?1304" TargetMode="External" /><Relationship Id="rId6" Type="http://schemas.openxmlformats.org/officeDocument/2006/relationships/hyperlink" Target="bk://v_id/?1310" TargetMode="External" /><Relationship Id="rId11" Type="http://schemas.openxmlformats.org/officeDocument/2006/relationships/hyperlink" Target="bk://v_id/?1313" TargetMode="External" /><Relationship Id="rId24" Type="http://schemas.openxmlformats.org/officeDocument/2006/relationships/hyperlink" Target="bk://v_id/?1322" TargetMode="External" /><Relationship Id="rId32" Type="http://schemas.openxmlformats.org/officeDocument/2006/relationships/hyperlink" Target="bk://v_id/?1304" TargetMode="External" /><Relationship Id="rId37" Type="http://schemas.openxmlformats.org/officeDocument/2006/relationships/hyperlink" Target="bk://v_id/?1304" TargetMode="External" /><Relationship Id="rId40" Type="http://schemas.openxmlformats.org/officeDocument/2006/relationships/hyperlink" Target="bk://v_id/?1319" TargetMode="External" /><Relationship Id="rId5" Type="http://schemas.openxmlformats.org/officeDocument/2006/relationships/hyperlink" Target="bk://v_id/?1310" TargetMode="External" /><Relationship Id="rId15" Type="http://schemas.openxmlformats.org/officeDocument/2006/relationships/hyperlink" Target="bk://v_id/?1319" TargetMode="External" /><Relationship Id="rId23" Type="http://schemas.openxmlformats.org/officeDocument/2006/relationships/hyperlink" Target="bk://v_id/?1322" TargetMode="External" /><Relationship Id="rId28" Type="http://schemas.openxmlformats.org/officeDocument/2006/relationships/hyperlink" Target="bk://v_id/?1338" TargetMode="External" /><Relationship Id="rId36" Type="http://schemas.openxmlformats.org/officeDocument/2006/relationships/hyperlink" Target="bk://v_id/?1304" TargetMode="External" /><Relationship Id="rId10" Type="http://schemas.openxmlformats.org/officeDocument/2006/relationships/hyperlink" Target="bk://v_id/?1313" TargetMode="External" /><Relationship Id="rId19" Type="http://schemas.openxmlformats.org/officeDocument/2006/relationships/hyperlink" Target="bk://v_id/?1320" TargetMode="External" /><Relationship Id="rId31" Type="http://schemas.openxmlformats.org/officeDocument/2006/relationships/hyperlink" Target="bk://v_id/?1304" TargetMode="External" /><Relationship Id="rId44" Type="http://schemas.openxmlformats.org/officeDocument/2006/relationships/drawing" Target="../drawings/drawing5.xml" /><Relationship Id="rId4" Type="http://schemas.openxmlformats.org/officeDocument/2006/relationships/hyperlink" Target="bk://v_id/?1306" TargetMode="External" /><Relationship Id="rId9" Type="http://schemas.openxmlformats.org/officeDocument/2006/relationships/hyperlink" Target="bk://v_id/?1313" TargetMode="External" /><Relationship Id="rId14" Type="http://schemas.openxmlformats.org/officeDocument/2006/relationships/hyperlink" Target="bk://v_id/?1315" TargetMode="External" /><Relationship Id="rId22" Type="http://schemas.openxmlformats.org/officeDocument/2006/relationships/hyperlink" Target="bk://v_id/?1321" TargetMode="External" /><Relationship Id="rId27" Type="http://schemas.openxmlformats.org/officeDocument/2006/relationships/hyperlink" Target="bk://v_id/?1338" TargetMode="External" /><Relationship Id="rId30" Type="http://schemas.openxmlformats.org/officeDocument/2006/relationships/hyperlink" Target="bk://v_id/?1339" TargetMode="External" /><Relationship Id="rId35" Type="http://schemas.openxmlformats.org/officeDocument/2006/relationships/hyperlink" Target="bk://v_id/?1304" TargetMode="External" /><Relationship Id="rId43" Type="http://schemas.openxmlformats.org/officeDocument/2006/relationships/hyperlink" Target="bk://v_id/?1338" TargetMode="External" 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359" TargetMode="External" /><Relationship Id="rId18" Type="http://schemas.openxmlformats.org/officeDocument/2006/relationships/hyperlink" Target="bk://v_id/?1359" TargetMode="External" /><Relationship Id="rId26" Type="http://schemas.openxmlformats.org/officeDocument/2006/relationships/hyperlink" Target="bk://v_id/?1371" TargetMode="External" /><Relationship Id="rId39" Type="http://schemas.openxmlformats.org/officeDocument/2006/relationships/hyperlink" Target="bk://v_id/?1351" TargetMode="External" /><Relationship Id="rId3" Type="http://schemas.openxmlformats.org/officeDocument/2006/relationships/hyperlink" Target="bk://v_id/?1345" TargetMode="External" /><Relationship Id="rId21" Type="http://schemas.openxmlformats.org/officeDocument/2006/relationships/hyperlink" Target="bk://v_id/?1366" TargetMode="External" /><Relationship Id="rId34" Type="http://schemas.openxmlformats.org/officeDocument/2006/relationships/hyperlink" Target="bk://v_id/?1371" TargetMode="External" /><Relationship Id="rId42" Type="http://schemas.openxmlformats.org/officeDocument/2006/relationships/hyperlink" Target="bk://v_id/?1353" TargetMode="External" /><Relationship Id="rId47" Type="http://schemas.openxmlformats.org/officeDocument/2006/relationships/hyperlink" Target="bk://v_id/?1353" TargetMode="External" /><Relationship Id="rId50" Type="http://schemas.openxmlformats.org/officeDocument/2006/relationships/hyperlink" Target="bk://v_id/?1353" TargetMode="External" /><Relationship Id="rId7" Type="http://schemas.openxmlformats.org/officeDocument/2006/relationships/hyperlink" Target="bk://v_id/?1354" TargetMode="External" /><Relationship Id="rId12" Type="http://schemas.openxmlformats.org/officeDocument/2006/relationships/hyperlink" Target="bk://v_id/?1359" TargetMode="External" /><Relationship Id="rId17" Type="http://schemas.openxmlformats.org/officeDocument/2006/relationships/hyperlink" Target="bk://v_id/?1359" TargetMode="External" /><Relationship Id="rId25" Type="http://schemas.openxmlformats.org/officeDocument/2006/relationships/hyperlink" Target="bk://v_id/?1370" TargetMode="External" /><Relationship Id="rId33" Type="http://schemas.openxmlformats.org/officeDocument/2006/relationships/hyperlink" Target="bk://v_id/?1371" TargetMode="External" /><Relationship Id="rId38" Type="http://schemas.openxmlformats.org/officeDocument/2006/relationships/hyperlink" Target="bk://v_id/?1375" TargetMode="External" /><Relationship Id="rId46" Type="http://schemas.openxmlformats.org/officeDocument/2006/relationships/hyperlink" Target="bk://v_id/?1353" TargetMode="External" /><Relationship Id="rId2" Type="http://schemas.openxmlformats.org/officeDocument/2006/relationships/hyperlink" Target="bk://v_id/?1344" TargetMode="External" /><Relationship Id="rId16" Type="http://schemas.openxmlformats.org/officeDocument/2006/relationships/hyperlink" Target="bk://v_id/?1359" TargetMode="External" /><Relationship Id="rId20" Type="http://schemas.openxmlformats.org/officeDocument/2006/relationships/hyperlink" Target="bk://v_id/?1359" TargetMode="External" /><Relationship Id="rId29" Type="http://schemas.openxmlformats.org/officeDocument/2006/relationships/hyperlink" Target="bk://v_id/?1371" TargetMode="External" /><Relationship Id="rId41" Type="http://schemas.openxmlformats.org/officeDocument/2006/relationships/hyperlink" Target="bk://v_id/?1353" TargetMode="External" /><Relationship Id="rId1" Type="http://schemas.openxmlformats.org/officeDocument/2006/relationships/hyperlink" Target="bk://v_id/?1344" TargetMode="External" /><Relationship Id="rId6" Type="http://schemas.openxmlformats.org/officeDocument/2006/relationships/hyperlink" Target="bk://v_id/?1354" TargetMode="External" /><Relationship Id="rId11" Type="http://schemas.openxmlformats.org/officeDocument/2006/relationships/hyperlink" Target="bk://v_id/?1358" TargetMode="External" /><Relationship Id="rId24" Type="http://schemas.openxmlformats.org/officeDocument/2006/relationships/hyperlink" Target="bk://v_id/?1370" TargetMode="External" /><Relationship Id="rId32" Type="http://schemas.openxmlformats.org/officeDocument/2006/relationships/hyperlink" Target="bk://v_id/?1371" TargetMode="External" /><Relationship Id="rId37" Type="http://schemas.openxmlformats.org/officeDocument/2006/relationships/hyperlink" Target="bk://v_id/?1345" TargetMode="External" /><Relationship Id="rId40" Type="http://schemas.openxmlformats.org/officeDocument/2006/relationships/hyperlink" Target="bk://v_id/?1383" TargetMode="External" /><Relationship Id="rId45" Type="http://schemas.openxmlformats.org/officeDocument/2006/relationships/hyperlink" Target="bk://v_id/?1353" TargetMode="External" /><Relationship Id="rId5" Type="http://schemas.openxmlformats.org/officeDocument/2006/relationships/hyperlink" Target="bk://v_id/?1353" TargetMode="External" /><Relationship Id="rId15" Type="http://schemas.openxmlformats.org/officeDocument/2006/relationships/hyperlink" Target="bk://v_id/?1359" TargetMode="External" /><Relationship Id="rId23" Type="http://schemas.openxmlformats.org/officeDocument/2006/relationships/hyperlink" Target="bk://v_id/?1370" TargetMode="External" /><Relationship Id="rId28" Type="http://schemas.openxmlformats.org/officeDocument/2006/relationships/hyperlink" Target="bk://v_id/?1371" TargetMode="External" /><Relationship Id="rId36" Type="http://schemas.openxmlformats.org/officeDocument/2006/relationships/hyperlink" Target="bk://v_id/?1374" TargetMode="External" /><Relationship Id="rId49" Type="http://schemas.openxmlformats.org/officeDocument/2006/relationships/hyperlink" Target="bk://v_id/?1353" TargetMode="External" /><Relationship Id="rId10" Type="http://schemas.openxmlformats.org/officeDocument/2006/relationships/hyperlink" Target="bk://v_id/?1357" TargetMode="External" /><Relationship Id="rId19" Type="http://schemas.openxmlformats.org/officeDocument/2006/relationships/hyperlink" Target="bk://v_id/?1359" TargetMode="External" /><Relationship Id="rId31" Type="http://schemas.openxmlformats.org/officeDocument/2006/relationships/hyperlink" Target="bk://v_id/?1371" TargetMode="External" /><Relationship Id="rId44" Type="http://schemas.openxmlformats.org/officeDocument/2006/relationships/hyperlink" Target="bk://v_id/?1353" TargetMode="External" /><Relationship Id="rId52" Type="http://schemas.openxmlformats.org/officeDocument/2006/relationships/drawing" Target="../drawings/drawing6.xml" /><Relationship Id="rId4" Type="http://schemas.openxmlformats.org/officeDocument/2006/relationships/hyperlink" Target="bk://v_id/?1351" TargetMode="External" /><Relationship Id="rId9" Type="http://schemas.openxmlformats.org/officeDocument/2006/relationships/hyperlink" Target="bk://v_id/?1357" TargetMode="External" /><Relationship Id="rId14" Type="http://schemas.openxmlformats.org/officeDocument/2006/relationships/hyperlink" Target="bk://v_id/?1359" TargetMode="External" /><Relationship Id="rId22" Type="http://schemas.openxmlformats.org/officeDocument/2006/relationships/hyperlink" Target="bk://v_id/?1366" TargetMode="External" /><Relationship Id="rId27" Type="http://schemas.openxmlformats.org/officeDocument/2006/relationships/hyperlink" Target="bk://v_id/?1371" TargetMode="External" /><Relationship Id="rId30" Type="http://schemas.openxmlformats.org/officeDocument/2006/relationships/hyperlink" Target="bk://v_id/?1371" TargetMode="External" /><Relationship Id="rId35" Type="http://schemas.openxmlformats.org/officeDocument/2006/relationships/hyperlink" Target="bk://v_id/?1344" TargetMode="External" /><Relationship Id="rId43" Type="http://schemas.openxmlformats.org/officeDocument/2006/relationships/hyperlink" Target="bk://v_id/?1353" TargetMode="External" /><Relationship Id="rId48" Type="http://schemas.openxmlformats.org/officeDocument/2006/relationships/hyperlink" Target="bk://v_id/?1353" TargetMode="External" /><Relationship Id="rId8" Type="http://schemas.openxmlformats.org/officeDocument/2006/relationships/hyperlink" Target="bk://v_id/?1354" TargetMode="External" /><Relationship Id="rId51" Type="http://schemas.openxmlformats.org/officeDocument/2006/relationships/hyperlink" Target="bk://v_id/?1353" TargetMode="Externa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449" TargetMode="External" /><Relationship Id="rId18" Type="http://schemas.openxmlformats.org/officeDocument/2006/relationships/hyperlink" Target="bk://v_id/?1451" TargetMode="External" /><Relationship Id="rId26" Type="http://schemas.openxmlformats.org/officeDocument/2006/relationships/hyperlink" Target="bk://v_id/?1453" TargetMode="External" /><Relationship Id="rId39" Type="http://schemas.openxmlformats.org/officeDocument/2006/relationships/hyperlink" Target="bk://v_id/?1447" TargetMode="External" /><Relationship Id="rId21" Type="http://schemas.openxmlformats.org/officeDocument/2006/relationships/hyperlink" Target="bk://v_id/?1451" TargetMode="External" /><Relationship Id="rId34" Type="http://schemas.openxmlformats.org/officeDocument/2006/relationships/hyperlink" Target="bk://v_id/?1455" TargetMode="External" /><Relationship Id="rId42" Type="http://schemas.openxmlformats.org/officeDocument/2006/relationships/hyperlink" Target="bk://v_id/?1455" TargetMode="External" /><Relationship Id="rId47" Type="http://schemas.openxmlformats.org/officeDocument/2006/relationships/hyperlink" Target="bk://v_id/?1447" TargetMode="External" /><Relationship Id="rId50" Type="http://schemas.openxmlformats.org/officeDocument/2006/relationships/hyperlink" Target="bk://v_id/?1465" TargetMode="External" /><Relationship Id="rId55" Type="http://schemas.openxmlformats.org/officeDocument/2006/relationships/hyperlink" Target="bk://v_id/?1447" TargetMode="External" /><Relationship Id="rId63" Type="http://schemas.openxmlformats.org/officeDocument/2006/relationships/drawing" Target="../drawings/drawing8.xml" /><Relationship Id="rId7" Type="http://schemas.openxmlformats.org/officeDocument/2006/relationships/hyperlink" Target="bk://v_id/?1449" TargetMode="External" /><Relationship Id="rId2" Type="http://schemas.openxmlformats.org/officeDocument/2006/relationships/hyperlink" Target="bk://v_id/?1447" TargetMode="External" /><Relationship Id="rId16" Type="http://schemas.openxmlformats.org/officeDocument/2006/relationships/hyperlink" Target="bk://v_id/?1450" TargetMode="External" /><Relationship Id="rId20" Type="http://schemas.openxmlformats.org/officeDocument/2006/relationships/hyperlink" Target="bk://v_id/?1451" TargetMode="External" /><Relationship Id="rId29" Type="http://schemas.openxmlformats.org/officeDocument/2006/relationships/hyperlink" Target="bk://v_id/?1454" TargetMode="External" /><Relationship Id="rId41" Type="http://schemas.openxmlformats.org/officeDocument/2006/relationships/hyperlink" Target="bk://v_id/?1447" TargetMode="External" /><Relationship Id="rId54" Type="http://schemas.openxmlformats.org/officeDocument/2006/relationships/hyperlink" Target="bk://v_id/?1465" TargetMode="External" /><Relationship Id="rId62" Type="http://schemas.openxmlformats.org/officeDocument/2006/relationships/hyperlink" Target="bk://v_id/?1468" TargetMode="External" /><Relationship Id="rId1" Type="http://schemas.openxmlformats.org/officeDocument/2006/relationships/hyperlink" Target="bk://v_id/?1447" TargetMode="External" /><Relationship Id="rId6" Type="http://schemas.openxmlformats.org/officeDocument/2006/relationships/hyperlink" Target="bk://v_id/?1449" TargetMode="External" /><Relationship Id="rId11" Type="http://schemas.openxmlformats.org/officeDocument/2006/relationships/hyperlink" Target="bk://v_id/?1449" TargetMode="External" /><Relationship Id="rId24" Type="http://schemas.openxmlformats.org/officeDocument/2006/relationships/hyperlink" Target="bk://v_id/?1452" TargetMode="External" /><Relationship Id="rId32" Type="http://schemas.openxmlformats.org/officeDocument/2006/relationships/hyperlink" Target="bk://v_id/?1455" TargetMode="External" /><Relationship Id="rId37" Type="http://schemas.openxmlformats.org/officeDocument/2006/relationships/hyperlink" Target="bk://v_id/?1455" TargetMode="External" /><Relationship Id="rId40" Type="http://schemas.openxmlformats.org/officeDocument/2006/relationships/hyperlink" Target="bk://v_id/?1455" TargetMode="External" /><Relationship Id="rId45" Type="http://schemas.openxmlformats.org/officeDocument/2006/relationships/hyperlink" Target="bk://v_id/?1447" TargetMode="External" /><Relationship Id="rId53" Type="http://schemas.openxmlformats.org/officeDocument/2006/relationships/hyperlink" Target="bk://v_id/?1447" TargetMode="External" /><Relationship Id="rId58" Type="http://schemas.openxmlformats.org/officeDocument/2006/relationships/hyperlink" Target="bk://v_id/?1468" TargetMode="External" /><Relationship Id="rId5" Type="http://schemas.openxmlformats.org/officeDocument/2006/relationships/hyperlink" Target="bk://v_id/?1449" TargetMode="External" /><Relationship Id="rId15" Type="http://schemas.openxmlformats.org/officeDocument/2006/relationships/hyperlink" Target="bk://v_id/?1450" TargetMode="External" /><Relationship Id="rId23" Type="http://schemas.openxmlformats.org/officeDocument/2006/relationships/hyperlink" Target="bk://v_id/?1452" TargetMode="External" /><Relationship Id="rId28" Type="http://schemas.openxmlformats.org/officeDocument/2006/relationships/hyperlink" Target="bk://v_id/?1454" TargetMode="External" /><Relationship Id="rId36" Type="http://schemas.openxmlformats.org/officeDocument/2006/relationships/hyperlink" Target="bk://v_id/?1455" TargetMode="External" /><Relationship Id="rId49" Type="http://schemas.openxmlformats.org/officeDocument/2006/relationships/hyperlink" Target="bk://v_id/?1447" TargetMode="External" /><Relationship Id="rId57" Type="http://schemas.openxmlformats.org/officeDocument/2006/relationships/hyperlink" Target="bk://v_id/?1447" TargetMode="External" /><Relationship Id="rId61" Type="http://schemas.openxmlformats.org/officeDocument/2006/relationships/hyperlink" Target="bk://v_id/?1447" TargetMode="External" /><Relationship Id="rId10" Type="http://schemas.openxmlformats.org/officeDocument/2006/relationships/hyperlink" Target="bk://v_id/?1449" TargetMode="External" /><Relationship Id="rId19" Type="http://schemas.openxmlformats.org/officeDocument/2006/relationships/hyperlink" Target="bk://v_id/?1451" TargetMode="External" /><Relationship Id="rId31" Type="http://schemas.openxmlformats.org/officeDocument/2006/relationships/hyperlink" Target="bk://v_id/?1455" TargetMode="External" /><Relationship Id="rId44" Type="http://schemas.openxmlformats.org/officeDocument/2006/relationships/hyperlink" Target="bk://v_id/?1456" TargetMode="External" /><Relationship Id="rId52" Type="http://schemas.openxmlformats.org/officeDocument/2006/relationships/hyperlink" Target="bk://v_id/?1465" TargetMode="External" /><Relationship Id="rId60" Type="http://schemas.openxmlformats.org/officeDocument/2006/relationships/hyperlink" Target="bk://v_id/?1468" TargetMode="External" /><Relationship Id="rId4" Type="http://schemas.openxmlformats.org/officeDocument/2006/relationships/hyperlink" Target="bk://v_id/?1449" TargetMode="External" /><Relationship Id="rId9" Type="http://schemas.openxmlformats.org/officeDocument/2006/relationships/hyperlink" Target="bk://v_id/?1449" TargetMode="External" /><Relationship Id="rId14" Type="http://schemas.openxmlformats.org/officeDocument/2006/relationships/hyperlink" Target="bk://v_id/?1450" TargetMode="External" /><Relationship Id="rId22" Type="http://schemas.openxmlformats.org/officeDocument/2006/relationships/hyperlink" Target="bk://v_id/?1452" TargetMode="External" /><Relationship Id="rId27" Type="http://schemas.openxmlformats.org/officeDocument/2006/relationships/hyperlink" Target="bk://v_id/?1454" TargetMode="External" /><Relationship Id="rId30" Type="http://schemas.openxmlformats.org/officeDocument/2006/relationships/hyperlink" Target="bk://v_id/?1455" TargetMode="External" /><Relationship Id="rId35" Type="http://schemas.openxmlformats.org/officeDocument/2006/relationships/hyperlink" Target="bk://v_id/?1455" TargetMode="External" /><Relationship Id="rId43" Type="http://schemas.openxmlformats.org/officeDocument/2006/relationships/hyperlink" Target="bk://v_id/?1447" TargetMode="External" /><Relationship Id="rId48" Type="http://schemas.openxmlformats.org/officeDocument/2006/relationships/hyperlink" Target="bk://v_id/?1465" TargetMode="External" /><Relationship Id="rId56" Type="http://schemas.openxmlformats.org/officeDocument/2006/relationships/hyperlink" Target="bk://v_id/?1465" TargetMode="External" /><Relationship Id="rId8" Type="http://schemas.openxmlformats.org/officeDocument/2006/relationships/hyperlink" Target="bk://v_id/?1449" TargetMode="External" /><Relationship Id="rId51" Type="http://schemas.openxmlformats.org/officeDocument/2006/relationships/hyperlink" Target="bk://v_id/?1447" TargetMode="External" /><Relationship Id="rId3" Type="http://schemas.openxmlformats.org/officeDocument/2006/relationships/hyperlink" Target="bk://v_id/?1449" TargetMode="External" /><Relationship Id="rId12" Type="http://schemas.openxmlformats.org/officeDocument/2006/relationships/hyperlink" Target="bk://v_id/?1449" TargetMode="External" /><Relationship Id="rId17" Type="http://schemas.openxmlformats.org/officeDocument/2006/relationships/hyperlink" Target="bk://v_id/?1450" TargetMode="External" /><Relationship Id="rId25" Type="http://schemas.openxmlformats.org/officeDocument/2006/relationships/hyperlink" Target="bk://v_id/?1453" TargetMode="External" /><Relationship Id="rId33" Type="http://schemas.openxmlformats.org/officeDocument/2006/relationships/hyperlink" Target="bk://v_id/?1455" TargetMode="External" /><Relationship Id="rId38" Type="http://schemas.openxmlformats.org/officeDocument/2006/relationships/hyperlink" Target="bk://v_id/?1455" TargetMode="External" /><Relationship Id="rId46" Type="http://schemas.openxmlformats.org/officeDocument/2006/relationships/hyperlink" Target="bk://v_id/?1465" TargetMode="External" /><Relationship Id="rId59" Type="http://schemas.openxmlformats.org/officeDocument/2006/relationships/hyperlink" Target="bk://v_id/?1447" TargetMode="External" 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479" TargetMode="External" /><Relationship Id="rId13" Type="http://schemas.openxmlformats.org/officeDocument/2006/relationships/hyperlink" Target="bk://v_id/?1476" TargetMode="External" /><Relationship Id="rId18" Type="http://schemas.openxmlformats.org/officeDocument/2006/relationships/hyperlink" Target="bk://v_id/?1491" TargetMode="External" /><Relationship Id="rId3" Type="http://schemas.openxmlformats.org/officeDocument/2006/relationships/hyperlink" Target="bk://v_id/?1476" TargetMode="External" /><Relationship Id="rId7" Type="http://schemas.openxmlformats.org/officeDocument/2006/relationships/hyperlink" Target="bk://v_id/?1479" TargetMode="External" /><Relationship Id="rId12" Type="http://schemas.openxmlformats.org/officeDocument/2006/relationships/hyperlink" Target="bk://v_id/?1492" TargetMode="External" /><Relationship Id="rId17" Type="http://schemas.openxmlformats.org/officeDocument/2006/relationships/hyperlink" Target="bk://v_id/?1476" TargetMode="External" /><Relationship Id="rId2" Type="http://schemas.openxmlformats.org/officeDocument/2006/relationships/hyperlink" Target="bk://v_id/?1476" TargetMode="External" /><Relationship Id="rId16" Type="http://schemas.openxmlformats.org/officeDocument/2006/relationships/hyperlink" Target="bk://v_id/?1476" TargetMode="External" /><Relationship Id="rId20" Type="http://schemas.openxmlformats.org/officeDocument/2006/relationships/drawing" Target="../drawings/drawing9.xml" /><Relationship Id="rId1" Type="http://schemas.openxmlformats.org/officeDocument/2006/relationships/hyperlink" Target="bk://v_id/?1476" TargetMode="External" /><Relationship Id="rId6" Type="http://schemas.openxmlformats.org/officeDocument/2006/relationships/hyperlink" Target="bk://v_id/?1479" TargetMode="External" /><Relationship Id="rId11" Type="http://schemas.openxmlformats.org/officeDocument/2006/relationships/hyperlink" Target="bk://v_id/?1491" TargetMode="External" /><Relationship Id="rId5" Type="http://schemas.openxmlformats.org/officeDocument/2006/relationships/hyperlink" Target="bk://v_id/?1479" TargetMode="External" /><Relationship Id="rId15" Type="http://schemas.openxmlformats.org/officeDocument/2006/relationships/hyperlink" Target="bk://v_id/?1476" TargetMode="External" /><Relationship Id="rId10" Type="http://schemas.openxmlformats.org/officeDocument/2006/relationships/hyperlink" Target="bk://v_id/?1490" TargetMode="External" /><Relationship Id="rId19" Type="http://schemas.openxmlformats.org/officeDocument/2006/relationships/hyperlink" Target="bk://v_id/?1492" TargetMode="External" /><Relationship Id="rId4" Type="http://schemas.openxmlformats.org/officeDocument/2006/relationships/hyperlink" Target="bk://v_id/?1476" TargetMode="External" /><Relationship Id="rId9" Type="http://schemas.openxmlformats.org/officeDocument/2006/relationships/hyperlink" Target="bk://v_id/?1490" TargetMode="External" /><Relationship Id="rId14" Type="http://schemas.openxmlformats.org/officeDocument/2006/relationships/hyperlink" Target="bk://v_id/?1476" TargetMode="External" 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514" TargetMode="External" /><Relationship Id="rId18" Type="http://schemas.openxmlformats.org/officeDocument/2006/relationships/hyperlink" Target="bk://v_id/?1514" TargetMode="External" /><Relationship Id="rId26" Type="http://schemas.openxmlformats.org/officeDocument/2006/relationships/hyperlink" Target="bk://v_id/?1522" TargetMode="External" /><Relationship Id="rId39" Type="http://schemas.openxmlformats.org/officeDocument/2006/relationships/hyperlink" Target="bk://v_id/?1524" TargetMode="External" /><Relationship Id="rId3" Type="http://schemas.openxmlformats.org/officeDocument/2006/relationships/hyperlink" Target="bk://v_id/?1498" TargetMode="External" /><Relationship Id="rId21" Type="http://schemas.openxmlformats.org/officeDocument/2006/relationships/hyperlink" Target="bk://v_id/?1515" TargetMode="External" /><Relationship Id="rId34" Type="http://schemas.openxmlformats.org/officeDocument/2006/relationships/hyperlink" Target="bk://v_id/?1498" TargetMode="External" /><Relationship Id="rId42" Type="http://schemas.openxmlformats.org/officeDocument/2006/relationships/hyperlink" Target="bk://v_id/?1512" TargetMode="External" /><Relationship Id="rId47" Type="http://schemas.openxmlformats.org/officeDocument/2006/relationships/hyperlink" Target="bk://v_id/?1516" TargetMode="External" /><Relationship Id="rId50" Type="http://schemas.openxmlformats.org/officeDocument/2006/relationships/hyperlink" Target="bk://v_id/?1516" TargetMode="External" /><Relationship Id="rId7" Type="http://schemas.openxmlformats.org/officeDocument/2006/relationships/hyperlink" Target="bk://v_id/?1512" TargetMode="External" /><Relationship Id="rId12" Type="http://schemas.openxmlformats.org/officeDocument/2006/relationships/hyperlink" Target="bk://v_id/?1514" TargetMode="External" /><Relationship Id="rId17" Type="http://schemas.openxmlformats.org/officeDocument/2006/relationships/hyperlink" Target="bk://v_id/?1514" TargetMode="External" /><Relationship Id="rId25" Type="http://schemas.openxmlformats.org/officeDocument/2006/relationships/hyperlink" Target="bk://v_id/?1522" TargetMode="External" /><Relationship Id="rId33" Type="http://schemas.openxmlformats.org/officeDocument/2006/relationships/hyperlink" Target="bk://v_id/?1524" TargetMode="External" /><Relationship Id="rId38" Type="http://schemas.openxmlformats.org/officeDocument/2006/relationships/hyperlink" Target="bk://v_id/?1505" TargetMode="External" /><Relationship Id="rId46" Type="http://schemas.openxmlformats.org/officeDocument/2006/relationships/hyperlink" Target="bk://v_id/?1513" TargetMode="External" /><Relationship Id="rId2" Type="http://schemas.openxmlformats.org/officeDocument/2006/relationships/hyperlink" Target="bk://v_id/?1498" TargetMode="External" /><Relationship Id="rId16" Type="http://schemas.openxmlformats.org/officeDocument/2006/relationships/hyperlink" Target="bk://v_id/?1514" TargetMode="External" /><Relationship Id="rId20" Type="http://schemas.openxmlformats.org/officeDocument/2006/relationships/hyperlink" Target="bk://v_id/?1515" TargetMode="External" /><Relationship Id="rId29" Type="http://schemas.openxmlformats.org/officeDocument/2006/relationships/hyperlink" Target="bk://v_id/?1524" TargetMode="External" /><Relationship Id="rId41" Type="http://schemas.openxmlformats.org/officeDocument/2006/relationships/hyperlink" Target="bk://v_id/?1524" TargetMode="External" /><Relationship Id="rId1" Type="http://schemas.openxmlformats.org/officeDocument/2006/relationships/hyperlink" Target="bk://v_id/?1498" TargetMode="External" /><Relationship Id="rId6" Type="http://schemas.openxmlformats.org/officeDocument/2006/relationships/hyperlink" Target="bk://v_id/?1506" TargetMode="External" /><Relationship Id="rId11" Type="http://schemas.openxmlformats.org/officeDocument/2006/relationships/hyperlink" Target="bk://v_id/?1514" TargetMode="External" /><Relationship Id="rId24" Type="http://schemas.openxmlformats.org/officeDocument/2006/relationships/hyperlink" Target="bk://v_id/?1522" TargetMode="External" /><Relationship Id="rId32" Type="http://schemas.openxmlformats.org/officeDocument/2006/relationships/hyperlink" Target="bk://v_id/?1524" TargetMode="External" /><Relationship Id="rId37" Type="http://schemas.openxmlformats.org/officeDocument/2006/relationships/hyperlink" Target="bk://v_id/?1524" TargetMode="External" /><Relationship Id="rId40" Type="http://schemas.openxmlformats.org/officeDocument/2006/relationships/hyperlink" Target="bk://v_id/?1505" TargetMode="External" /><Relationship Id="rId45" Type="http://schemas.openxmlformats.org/officeDocument/2006/relationships/hyperlink" Target="bk://v_id/?1513" TargetMode="External" /><Relationship Id="rId5" Type="http://schemas.openxmlformats.org/officeDocument/2006/relationships/hyperlink" Target="bk://v_id/?1505" TargetMode="External" /><Relationship Id="rId15" Type="http://schemas.openxmlformats.org/officeDocument/2006/relationships/hyperlink" Target="bk://v_id/?1514" TargetMode="External" /><Relationship Id="rId23" Type="http://schemas.openxmlformats.org/officeDocument/2006/relationships/hyperlink" Target="bk://v_id/?1522" TargetMode="External" /><Relationship Id="rId28" Type="http://schemas.openxmlformats.org/officeDocument/2006/relationships/hyperlink" Target="bk://v_id/?1524" TargetMode="External" /><Relationship Id="rId36" Type="http://schemas.openxmlformats.org/officeDocument/2006/relationships/hyperlink" Target="bk://v_id/?1499" TargetMode="External" /><Relationship Id="rId49" Type="http://schemas.openxmlformats.org/officeDocument/2006/relationships/hyperlink" Target="bk://v_id/?1516" TargetMode="External" /><Relationship Id="rId10" Type="http://schemas.openxmlformats.org/officeDocument/2006/relationships/hyperlink" Target="bk://v_id/?1513" TargetMode="External" /><Relationship Id="rId19" Type="http://schemas.openxmlformats.org/officeDocument/2006/relationships/hyperlink" Target="bk://v_id/?1514" TargetMode="External" /><Relationship Id="rId31" Type="http://schemas.openxmlformats.org/officeDocument/2006/relationships/hyperlink" Target="bk://v_id/?1524" TargetMode="External" /><Relationship Id="rId44" Type="http://schemas.openxmlformats.org/officeDocument/2006/relationships/hyperlink" Target="bk://v_id/?1513" TargetMode="External" /><Relationship Id="rId4" Type="http://schemas.openxmlformats.org/officeDocument/2006/relationships/hyperlink" Target="bk://v_id/?1499" TargetMode="External" /><Relationship Id="rId9" Type="http://schemas.openxmlformats.org/officeDocument/2006/relationships/hyperlink" Target="bk://v_id/?1513" TargetMode="External" /><Relationship Id="rId14" Type="http://schemas.openxmlformats.org/officeDocument/2006/relationships/hyperlink" Target="bk://v_id/?1514" TargetMode="External" /><Relationship Id="rId22" Type="http://schemas.openxmlformats.org/officeDocument/2006/relationships/hyperlink" Target="bk://v_id/?1516" TargetMode="External" /><Relationship Id="rId27" Type="http://schemas.openxmlformats.org/officeDocument/2006/relationships/hyperlink" Target="bk://v_id/?1522" TargetMode="External" /><Relationship Id="rId30" Type="http://schemas.openxmlformats.org/officeDocument/2006/relationships/hyperlink" Target="bk://v_id/?1524" TargetMode="External" /><Relationship Id="rId35" Type="http://schemas.openxmlformats.org/officeDocument/2006/relationships/hyperlink" Target="bk://v_id/?1524" TargetMode="External" /><Relationship Id="rId43" Type="http://schemas.openxmlformats.org/officeDocument/2006/relationships/hyperlink" Target="bk://v_id/?1524" TargetMode="External" /><Relationship Id="rId48" Type="http://schemas.openxmlformats.org/officeDocument/2006/relationships/hyperlink" Target="bk://v_id/?1516" TargetMode="External" /><Relationship Id="rId8" Type="http://schemas.openxmlformats.org/officeDocument/2006/relationships/hyperlink" Target="bk://v_id/?1513" TargetMode="External" /><Relationship Id="rId51" Type="http://schemas.openxmlformats.org/officeDocument/2006/relationships/drawing" Target="../drawings/drawing10.xml" 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551" TargetMode="External" /><Relationship Id="rId13" Type="http://schemas.openxmlformats.org/officeDocument/2006/relationships/hyperlink" Target="bk://v_id/?1554" TargetMode="External" /><Relationship Id="rId18" Type="http://schemas.openxmlformats.org/officeDocument/2006/relationships/hyperlink" Target="bk://v_id/?1562" TargetMode="External" /><Relationship Id="rId26" Type="http://schemas.openxmlformats.org/officeDocument/2006/relationships/hyperlink" Target="bk://v_id/?1551" TargetMode="External" /><Relationship Id="rId3" Type="http://schemas.openxmlformats.org/officeDocument/2006/relationships/hyperlink" Target="bk://v_id/?1551" TargetMode="External" /><Relationship Id="rId21" Type="http://schemas.openxmlformats.org/officeDocument/2006/relationships/hyperlink" Target="bk://v_id/?1551" TargetMode="External" /><Relationship Id="rId7" Type="http://schemas.openxmlformats.org/officeDocument/2006/relationships/hyperlink" Target="bk://v_id/?1551" TargetMode="External" /><Relationship Id="rId12" Type="http://schemas.openxmlformats.org/officeDocument/2006/relationships/hyperlink" Target="bk://v_id/?1551" TargetMode="External" /><Relationship Id="rId17" Type="http://schemas.openxmlformats.org/officeDocument/2006/relationships/hyperlink" Target="bk://v_id/?1562" TargetMode="External" /><Relationship Id="rId25" Type="http://schemas.openxmlformats.org/officeDocument/2006/relationships/hyperlink" Target="bk://v_id/?1551" TargetMode="External" /><Relationship Id="rId2" Type="http://schemas.openxmlformats.org/officeDocument/2006/relationships/hyperlink" Target="bk://v_id/?1551" TargetMode="External" /><Relationship Id="rId16" Type="http://schemas.openxmlformats.org/officeDocument/2006/relationships/hyperlink" Target="bk://v_id/?1562" TargetMode="External" /><Relationship Id="rId20" Type="http://schemas.openxmlformats.org/officeDocument/2006/relationships/hyperlink" Target="bk://v_id/?1563" TargetMode="External" /><Relationship Id="rId1" Type="http://schemas.openxmlformats.org/officeDocument/2006/relationships/hyperlink" Target="bk://v_id/?1551" TargetMode="External" /><Relationship Id="rId6" Type="http://schemas.openxmlformats.org/officeDocument/2006/relationships/hyperlink" Target="bk://v_id/?1551" TargetMode="External" /><Relationship Id="rId11" Type="http://schemas.openxmlformats.org/officeDocument/2006/relationships/hyperlink" Target="bk://v_id/?1551" TargetMode="External" /><Relationship Id="rId24" Type="http://schemas.openxmlformats.org/officeDocument/2006/relationships/hyperlink" Target="bk://v_id/?1551" TargetMode="External" /><Relationship Id="rId5" Type="http://schemas.openxmlformats.org/officeDocument/2006/relationships/hyperlink" Target="bk://v_id/?1551" TargetMode="External" /><Relationship Id="rId15" Type="http://schemas.openxmlformats.org/officeDocument/2006/relationships/hyperlink" Target="bk://v_id/?1559" TargetMode="External" /><Relationship Id="rId23" Type="http://schemas.openxmlformats.org/officeDocument/2006/relationships/hyperlink" Target="bk://v_id/?1551" TargetMode="External" /><Relationship Id="rId28" Type="http://schemas.openxmlformats.org/officeDocument/2006/relationships/drawing" Target="../drawings/drawing11.xml" /><Relationship Id="rId10" Type="http://schemas.openxmlformats.org/officeDocument/2006/relationships/hyperlink" Target="bk://v_id/?1551" TargetMode="External" /><Relationship Id="rId19" Type="http://schemas.openxmlformats.org/officeDocument/2006/relationships/hyperlink" Target="bk://v_id/?1562" TargetMode="External" /><Relationship Id="rId4" Type="http://schemas.openxmlformats.org/officeDocument/2006/relationships/hyperlink" Target="bk://v_id/?1551" TargetMode="External" /><Relationship Id="rId9" Type="http://schemas.openxmlformats.org/officeDocument/2006/relationships/hyperlink" Target="bk://v_id/?1551" TargetMode="External" /><Relationship Id="rId14" Type="http://schemas.openxmlformats.org/officeDocument/2006/relationships/hyperlink" Target="bk://v_id/?1559" TargetMode="External" /><Relationship Id="rId22" Type="http://schemas.openxmlformats.org/officeDocument/2006/relationships/hyperlink" Target="bk://v_id/?1551" TargetMode="External" /><Relationship Id="rId27" Type="http://schemas.openxmlformats.org/officeDocument/2006/relationships/hyperlink" Target="bk://v_id/?1551" TargetMode="External" 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573" TargetMode="External" /><Relationship Id="rId18" Type="http://schemas.openxmlformats.org/officeDocument/2006/relationships/hyperlink" Target="bk://v_id/?1573" TargetMode="External" /><Relationship Id="rId26" Type="http://schemas.openxmlformats.org/officeDocument/2006/relationships/hyperlink" Target="bk://v_id/?1588" TargetMode="External" /><Relationship Id="rId39" Type="http://schemas.openxmlformats.org/officeDocument/2006/relationships/hyperlink" Target="bk://v_id/?1591" TargetMode="External" /><Relationship Id="rId21" Type="http://schemas.openxmlformats.org/officeDocument/2006/relationships/hyperlink" Target="bk://v_id/?1573" TargetMode="External" /><Relationship Id="rId34" Type="http://schemas.openxmlformats.org/officeDocument/2006/relationships/hyperlink" Target="bk://v_id/?1589" TargetMode="External" /><Relationship Id="rId42" Type="http://schemas.openxmlformats.org/officeDocument/2006/relationships/hyperlink" Target="bk://v_id/?1591" TargetMode="External" /><Relationship Id="rId47" Type="http://schemas.openxmlformats.org/officeDocument/2006/relationships/hyperlink" Target="bk://v_id/?1573" TargetMode="External" /><Relationship Id="rId50" Type="http://schemas.openxmlformats.org/officeDocument/2006/relationships/hyperlink" Target="bk://v_id/?1592" TargetMode="External" /><Relationship Id="rId55" Type="http://schemas.openxmlformats.org/officeDocument/2006/relationships/hyperlink" Target="bk://v_id/?1589" TargetMode="External" /><Relationship Id="rId7" Type="http://schemas.openxmlformats.org/officeDocument/2006/relationships/hyperlink" Target="bk://v_id/?1573" TargetMode="External" /><Relationship Id="rId12" Type="http://schemas.openxmlformats.org/officeDocument/2006/relationships/hyperlink" Target="bk://v_id/?1573" TargetMode="External" /><Relationship Id="rId17" Type="http://schemas.openxmlformats.org/officeDocument/2006/relationships/hyperlink" Target="bk://v_id/?1573" TargetMode="External" /><Relationship Id="rId25" Type="http://schemas.openxmlformats.org/officeDocument/2006/relationships/hyperlink" Target="bk://v_id/?1588" TargetMode="External" /><Relationship Id="rId33" Type="http://schemas.openxmlformats.org/officeDocument/2006/relationships/hyperlink" Target="bk://v_id/?1589" TargetMode="External" /><Relationship Id="rId38" Type="http://schemas.openxmlformats.org/officeDocument/2006/relationships/hyperlink" Target="bk://v_id/?1590" TargetMode="External" /><Relationship Id="rId46" Type="http://schemas.openxmlformats.org/officeDocument/2006/relationships/hyperlink" Target="bk://v_id/?1592" TargetMode="External" /><Relationship Id="rId59" Type="http://schemas.openxmlformats.org/officeDocument/2006/relationships/drawing" Target="../drawings/drawing12.xml" /><Relationship Id="rId2" Type="http://schemas.openxmlformats.org/officeDocument/2006/relationships/hyperlink" Target="bk://v_id/?1573" TargetMode="External" /><Relationship Id="rId16" Type="http://schemas.openxmlformats.org/officeDocument/2006/relationships/hyperlink" Target="bk://v_id/?1573" TargetMode="External" /><Relationship Id="rId20" Type="http://schemas.openxmlformats.org/officeDocument/2006/relationships/hyperlink" Target="bk://v_id/?1573" TargetMode="External" /><Relationship Id="rId29" Type="http://schemas.openxmlformats.org/officeDocument/2006/relationships/hyperlink" Target="bk://v_id/?1589" TargetMode="External" /><Relationship Id="rId41" Type="http://schemas.openxmlformats.org/officeDocument/2006/relationships/hyperlink" Target="bk://v_id/?1573" TargetMode="External" /><Relationship Id="rId54" Type="http://schemas.openxmlformats.org/officeDocument/2006/relationships/hyperlink" Target="bk://v_id/?1588" TargetMode="External" /><Relationship Id="rId1" Type="http://schemas.openxmlformats.org/officeDocument/2006/relationships/hyperlink" Target="bk://v_id/?1573" TargetMode="External" /><Relationship Id="rId6" Type="http://schemas.openxmlformats.org/officeDocument/2006/relationships/hyperlink" Target="bk://v_id/?1573" TargetMode="External" /><Relationship Id="rId11" Type="http://schemas.openxmlformats.org/officeDocument/2006/relationships/hyperlink" Target="bk://v_id/?1573" TargetMode="External" /><Relationship Id="rId24" Type="http://schemas.openxmlformats.org/officeDocument/2006/relationships/hyperlink" Target="bk://v_id/?1588" TargetMode="External" /><Relationship Id="rId32" Type="http://schemas.openxmlformats.org/officeDocument/2006/relationships/hyperlink" Target="bk://v_id/?1589" TargetMode="External" /><Relationship Id="rId37" Type="http://schemas.openxmlformats.org/officeDocument/2006/relationships/hyperlink" Target="bk://v_id/?1590" TargetMode="External" /><Relationship Id="rId40" Type="http://schemas.openxmlformats.org/officeDocument/2006/relationships/hyperlink" Target="bk://v_id/?1591" TargetMode="External" /><Relationship Id="rId45" Type="http://schemas.openxmlformats.org/officeDocument/2006/relationships/hyperlink" Target="bk://v_id/?1573" TargetMode="External" /><Relationship Id="rId53" Type="http://schemas.openxmlformats.org/officeDocument/2006/relationships/hyperlink" Target="bk://v_id/?1573" TargetMode="External" /><Relationship Id="rId58" Type="http://schemas.openxmlformats.org/officeDocument/2006/relationships/hyperlink" Target="bk://v_id/?1592" TargetMode="External" /><Relationship Id="rId5" Type="http://schemas.openxmlformats.org/officeDocument/2006/relationships/hyperlink" Target="bk://v_id/?1573" TargetMode="External" /><Relationship Id="rId15" Type="http://schemas.openxmlformats.org/officeDocument/2006/relationships/hyperlink" Target="bk://v_id/?1573" TargetMode="External" /><Relationship Id="rId23" Type="http://schemas.openxmlformats.org/officeDocument/2006/relationships/hyperlink" Target="bk://v_id/?1588" TargetMode="External" /><Relationship Id="rId28" Type="http://schemas.openxmlformats.org/officeDocument/2006/relationships/hyperlink" Target="bk://v_id/?1589" TargetMode="External" /><Relationship Id="rId36" Type="http://schemas.openxmlformats.org/officeDocument/2006/relationships/hyperlink" Target="bk://v_id/?1590" TargetMode="External" /><Relationship Id="rId49" Type="http://schemas.openxmlformats.org/officeDocument/2006/relationships/hyperlink" Target="bk://v_id/?1573" TargetMode="External" /><Relationship Id="rId57" Type="http://schemas.openxmlformats.org/officeDocument/2006/relationships/hyperlink" Target="bk://v_id/?1590" TargetMode="External" /><Relationship Id="rId10" Type="http://schemas.openxmlformats.org/officeDocument/2006/relationships/hyperlink" Target="bk://v_id/?1573" TargetMode="External" /><Relationship Id="rId19" Type="http://schemas.openxmlformats.org/officeDocument/2006/relationships/hyperlink" Target="bk://v_id/?1573" TargetMode="External" /><Relationship Id="rId31" Type="http://schemas.openxmlformats.org/officeDocument/2006/relationships/hyperlink" Target="bk://v_id/?1589" TargetMode="External" /><Relationship Id="rId44" Type="http://schemas.openxmlformats.org/officeDocument/2006/relationships/hyperlink" Target="bk://v_id/?1591" TargetMode="External" /><Relationship Id="rId52" Type="http://schemas.openxmlformats.org/officeDocument/2006/relationships/hyperlink" Target="bk://v_id/?1573" TargetMode="External" /><Relationship Id="rId4" Type="http://schemas.openxmlformats.org/officeDocument/2006/relationships/hyperlink" Target="bk://v_id/?1573" TargetMode="External" /><Relationship Id="rId9" Type="http://schemas.openxmlformats.org/officeDocument/2006/relationships/hyperlink" Target="bk://v_id/?1573" TargetMode="External" /><Relationship Id="rId14" Type="http://schemas.openxmlformats.org/officeDocument/2006/relationships/hyperlink" Target="bk://v_id/?1573" TargetMode="External" /><Relationship Id="rId22" Type="http://schemas.openxmlformats.org/officeDocument/2006/relationships/hyperlink" Target="bk://v_id/?1573" TargetMode="External" /><Relationship Id="rId27" Type="http://schemas.openxmlformats.org/officeDocument/2006/relationships/hyperlink" Target="bk://v_id/?1588" TargetMode="External" /><Relationship Id="rId30" Type="http://schemas.openxmlformats.org/officeDocument/2006/relationships/hyperlink" Target="bk://v_id/?1589" TargetMode="External" /><Relationship Id="rId35" Type="http://schemas.openxmlformats.org/officeDocument/2006/relationships/hyperlink" Target="bk://v_id/?1589" TargetMode="External" /><Relationship Id="rId43" Type="http://schemas.openxmlformats.org/officeDocument/2006/relationships/hyperlink" Target="bk://v_id/?1573" TargetMode="External" /><Relationship Id="rId48" Type="http://schemas.openxmlformats.org/officeDocument/2006/relationships/hyperlink" Target="bk://v_id/?1592" TargetMode="External" /><Relationship Id="rId56" Type="http://schemas.openxmlformats.org/officeDocument/2006/relationships/hyperlink" Target="bk://v_id/?1590" TargetMode="External" /><Relationship Id="rId8" Type="http://schemas.openxmlformats.org/officeDocument/2006/relationships/hyperlink" Target="bk://v_id/?1573" TargetMode="External" /><Relationship Id="rId51" Type="http://schemas.openxmlformats.org/officeDocument/2006/relationships/hyperlink" Target="bk://v_id/?1573" TargetMode="External" /><Relationship Id="rId3" Type="http://schemas.openxmlformats.org/officeDocument/2006/relationships/hyperlink" Target="bk://v_id/?1573" TargetMode="External" 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609" TargetMode="External" /><Relationship Id="rId13" Type="http://schemas.openxmlformats.org/officeDocument/2006/relationships/hyperlink" Target="bk://v_id/?1609" TargetMode="External" /><Relationship Id="rId18" Type="http://schemas.openxmlformats.org/officeDocument/2006/relationships/hyperlink" Target="bk://v_id/?1609" TargetMode="External" /><Relationship Id="rId26" Type="http://schemas.openxmlformats.org/officeDocument/2006/relationships/hyperlink" Target="bk://v_id/?1613" TargetMode="External" /><Relationship Id="rId3" Type="http://schemas.openxmlformats.org/officeDocument/2006/relationships/hyperlink" Target="bk://v_id/?1609" TargetMode="External" /><Relationship Id="rId21" Type="http://schemas.openxmlformats.org/officeDocument/2006/relationships/hyperlink" Target="bk://v_id/?1613" TargetMode="External" /><Relationship Id="rId34" Type="http://schemas.openxmlformats.org/officeDocument/2006/relationships/hyperlink" Target="bk://v_id/?1613" TargetMode="External" /><Relationship Id="rId7" Type="http://schemas.openxmlformats.org/officeDocument/2006/relationships/hyperlink" Target="bk://v_id/?1609" TargetMode="External" /><Relationship Id="rId12" Type="http://schemas.openxmlformats.org/officeDocument/2006/relationships/hyperlink" Target="bk://v_id/?1609" TargetMode="External" /><Relationship Id="rId17" Type="http://schemas.openxmlformats.org/officeDocument/2006/relationships/hyperlink" Target="bk://v_id/?1609" TargetMode="External" /><Relationship Id="rId25" Type="http://schemas.openxmlformats.org/officeDocument/2006/relationships/hyperlink" Target="bk://v_id/?1613" TargetMode="External" /><Relationship Id="rId33" Type="http://schemas.openxmlformats.org/officeDocument/2006/relationships/hyperlink" Target="bk://v_id/?1613" TargetMode="External" /><Relationship Id="rId2" Type="http://schemas.openxmlformats.org/officeDocument/2006/relationships/hyperlink" Target="bk://v_id/?1609" TargetMode="External" /><Relationship Id="rId16" Type="http://schemas.openxmlformats.org/officeDocument/2006/relationships/hyperlink" Target="bk://v_id/?1609" TargetMode="External" /><Relationship Id="rId20" Type="http://schemas.openxmlformats.org/officeDocument/2006/relationships/hyperlink" Target="bk://v_id/?1613" TargetMode="External" /><Relationship Id="rId29" Type="http://schemas.openxmlformats.org/officeDocument/2006/relationships/hyperlink" Target="bk://v_id/?1627" TargetMode="External" /><Relationship Id="rId1" Type="http://schemas.openxmlformats.org/officeDocument/2006/relationships/hyperlink" Target="bk://v_id/?1609" TargetMode="External" /><Relationship Id="rId6" Type="http://schemas.openxmlformats.org/officeDocument/2006/relationships/hyperlink" Target="bk://v_id/?1609" TargetMode="External" /><Relationship Id="rId11" Type="http://schemas.openxmlformats.org/officeDocument/2006/relationships/hyperlink" Target="bk://v_id/?1609" TargetMode="External" /><Relationship Id="rId24" Type="http://schemas.openxmlformats.org/officeDocument/2006/relationships/hyperlink" Target="bk://v_id/?1613" TargetMode="External" /><Relationship Id="rId32" Type="http://schemas.openxmlformats.org/officeDocument/2006/relationships/hyperlink" Target="bk://v_id/?1609" TargetMode="External" /><Relationship Id="rId37" Type="http://schemas.openxmlformats.org/officeDocument/2006/relationships/drawing" Target="../drawings/drawing13.xml" /><Relationship Id="rId5" Type="http://schemas.openxmlformats.org/officeDocument/2006/relationships/hyperlink" Target="bk://v_id/?1609" TargetMode="External" /><Relationship Id="rId15" Type="http://schemas.openxmlformats.org/officeDocument/2006/relationships/hyperlink" Target="bk://v_id/?1609" TargetMode="External" /><Relationship Id="rId23" Type="http://schemas.openxmlformats.org/officeDocument/2006/relationships/hyperlink" Target="bk://v_id/?1613" TargetMode="External" /><Relationship Id="rId28" Type="http://schemas.openxmlformats.org/officeDocument/2006/relationships/hyperlink" Target="bk://v_id/?1627" TargetMode="External" /><Relationship Id="rId36" Type="http://schemas.openxmlformats.org/officeDocument/2006/relationships/hyperlink" Target="bk://v_id/?1613" TargetMode="External" /><Relationship Id="rId10" Type="http://schemas.openxmlformats.org/officeDocument/2006/relationships/hyperlink" Target="bk://v_id/?1609" TargetMode="External" /><Relationship Id="rId19" Type="http://schemas.openxmlformats.org/officeDocument/2006/relationships/hyperlink" Target="bk://v_id/?1609" TargetMode="External" /><Relationship Id="rId31" Type="http://schemas.openxmlformats.org/officeDocument/2006/relationships/hyperlink" Target="bk://v_id/?1627" TargetMode="External" /><Relationship Id="rId4" Type="http://schemas.openxmlformats.org/officeDocument/2006/relationships/hyperlink" Target="bk://v_id/?1609" TargetMode="External" /><Relationship Id="rId9" Type="http://schemas.openxmlformats.org/officeDocument/2006/relationships/hyperlink" Target="bk://v_id/?1609" TargetMode="External" /><Relationship Id="rId14" Type="http://schemas.openxmlformats.org/officeDocument/2006/relationships/hyperlink" Target="bk://v_id/?1609" TargetMode="External" /><Relationship Id="rId22" Type="http://schemas.openxmlformats.org/officeDocument/2006/relationships/hyperlink" Target="bk://v_id/?1613" TargetMode="External" /><Relationship Id="rId27" Type="http://schemas.openxmlformats.org/officeDocument/2006/relationships/hyperlink" Target="bk://v_id/?1613" TargetMode="External" /><Relationship Id="rId30" Type="http://schemas.openxmlformats.org/officeDocument/2006/relationships/hyperlink" Target="bk://v_id/?1627" TargetMode="External" /><Relationship Id="rId35" Type="http://schemas.openxmlformats.org/officeDocument/2006/relationships/hyperlink" Target="bk://v_id/?1613" TargetMode="External" 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630" TargetMode="External" /><Relationship Id="rId13" Type="http://schemas.openxmlformats.org/officeDocument/2006/relationships/hyperlink" Target="bk://v_id/?1630" TargetMode="External" /><Relationship Id="rId3" Type="http://schemas.openxmlformats.org/officeDocument/2006/relationships/hyperlink" Target="bk://v_id/?1630" TargetMode="External" /><Relationship Id="rId7" Type="http://schemas.openxmlformats.org/officeDocument/2006/relationships/hyperlink" Target="bk://v_id/?1630" TargetMode="External" /><Relationship Id="rId12" Type="http://schemas.openxmlformats.org/officeDocument/2006/relationships/hyperlink" Target="bk://v_id/?1630" TargetMode="External" /><Relationship Id="rId2" Type="http://schemas.openxmlformats.org/officeDocument/2006/relationships/hyperlink" Target="bk://v_id/?1630" TargetMode="External" /><Relationship Id="rId1" Type="http://schemas.openxmlformats.org/officeDocument/2006/relationships/hyperlink" Target="bk://v_id/?1630" TargetMode="External" /><Relationship Id="rId6" Type="http://schemas.openxmlformats.org/officeDocument/2006/relationships/hyperlink" Target="bk://v_id/?1630" TargetMode="External" /><Relationship Id="rId11" Type="http://schemas.openxmlformats.org/officeDocument/2006/relationships/hyperlink" Target="bk://v_id/?1630" TargetMode="External" /><Relationship Id="rId5" Type="http://schemas.openxmlformats.org/officeDocument/2006/relationships/hyperlink" Target="bk://v_id/?1630" TargetMode="External" /><Relationship Id="rId10" Type="http://schemas.openxmlformats.org/officeDocument/2006/relationships/hyperlink" Target="bk://v_id/?1630" TargetMode="External" /><Relationship Id="rId4" Type="http://schemas.openxmlformats.org/officeDocument/2006/relationships/hyperlink" Target="bk://v_id/?1630" TargetMode="External" /><Relationship Id="rId9" Type="http://schemas.openxmlformats.org/officeDocument/2006/relationships/hyperlink" Target="bk://v_id/?1630" TargetMode="External" /><Relationship Id="rId14" Type="http://schemas.openxmlformats.org/officeDocument/2006/relationships/drawing" Target="../drawings/drawing14.xml" 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654" TargetMode="External" /><Relationship Id="rId13" Type="http://schemas.openxmlformats.org/officeDocument/2006/relationships/hyperlink" Target="bk://v_id/?1654" TargetMode="External" /><Relationship Id="rId18" Type="http://schemas.openxmlformats.org/officeDocument/2006/relationships/hyperlink" Target="bk://v_id/?1656" TargetMode="External" /><Relationship Id="rId26" Type="http://schemas.openxmlformats.org/officeDocument/2006/relationships/hyperlink" Target="bk://v_id/?1658" TargetMode="External" /><Relationship Id="rId39" Type="http://schemas.openxmlformats.org/officeDocument/2006/relationships/hyperlink" Target="bk://v_id/?1656" TargetMode="External" /><Relationship Id="rId3" Type="http://schemas.openxmlformats.org/officeDocument/2006/relationships/hyperlink" Target="bk://v_id/?1652" TargetMode="External" /><Relationship Id="rId21" Type="http://schemas.openxmlformats.org/officeDocument/2006/relationships/hyperlink" Target="bk://v_id/?1656" TargetMode="External" /><Relationship Id="rId34" Type="http://schemas.openxmlformats.org/officeDocument/2006/relationships/hyperlink" Target="bk://v_id/?1652" TargetMode="External" /><Relationship Id="rId42" Type="http://schemas.openxmlformats.org/officeDocument/2006/relationships/hyperlink" Target="bk://v_id/?1656" TargetMode="External" /><Relationship Id="rId7" Type="http://schemas.openxmlformats.org/officeDocument/2006/relationships/hyperlink" Target="bk://v_id/?1654" TargetMode="External" /><Relationship Id="rId12" Type="http://schemas.openxmlformats.org/officeDocument/2006/relationships/hyperlink" Target="bk://v_id/?1654" TargetMode="External" /><Relationship Id="rId17" Type="http://schemas.openxmlformats.org/officeDocument/2006/relationships/hyperlink" Target="bk://v_id/?1656" TargetMode="External" /><Relationship Id="rId25" Type="http://schemas.openxmlformats.org/officeDocument/2006/relationships/hyperlink" Target="bk://v_id/?1657" TargetMode="External" /><Relationship Id="rId33" Type="http://schemas.openxmlformats.org/officeDocument/2006/relationships/hyperlink" Target="bk://v_id/?1652" TargetMode="External" /><Relationship Id="rId38" Type="http://schemas.openxmlformats.org/officeDocument/2006/relationships/hyperlink" Target="bk://v_id/?1656" TargetMode="External" /><Relationship Id="rId2" Type="http://schemas.openxmlformats.org/officeDocument/2006/relationships/hyperlink" Target="bk://v_id/?1651" TargetMode="External" /><Relationship Id="rId16" Type="http://schemas.openxmlformats.org/officeDocument/2006/relationships/hyperlink" Target="bk://v_id/?1656" TargetMode="External" /><Relationship Id="rId20" Type="http://schemas.openxmlformats.org/officeDocument/2006/relationships/hyperlink" Target="bk://v_id/?1656" TargetMode="External" /><Relationship Id="rId29" Type="http://schemas.openxmlformats.org/officeDocument/2006/relationships/hyperlink" Target="bk://v_id/?1658" TargetMode="External" /><Relationship Id="rId41" Type="http://schemas.openxmlformats.org/officeDocument/2006/relationships/hyperlink" Target="bk://v_id/?1656" TargetMode="External" /><Relationship Id="rId1" Type="http://schemas.openxmlformats.org/officeDocument/2006/relationships/hyperlink" Target="bk://v_id/?1651" TargetMode="External" /><Relationship Id="rId6" Type="http://schemas.openxmlformats.org/officeDocument/2006/relationships/hyperlink" Target="bk://v_id/?1654" TargetMode="External" /><Relationship Id="rId11" Type="http://schemas.openxmlformats.org/officeDocument/2006/relationships/hyperlink" Target="bk://v_id/?1654" TargetMode="External" /><Relationship Id="rId24" Type="http://schemas.openxmlformats.org/officeDocument/2006/relationships/hyperlink" Target="bk://v_id/?1656" TargetMode="External" /><Relationship Id="rId32" Type="http://schemas.openxmlformats.org/officeDocument/2006/relationships/hyperlink" Target="bk://v_id/?1651" TargetMode="External" /><Relationship Id="rId37" Type="http://schemas.openxmlformats.org/officeDocument/2006/relationships/hyperlink" Target="bk://v_id/?1656" TargetMode="External" /><Relationship Id="rId40" Type="http://schemas.openxmlformats.org/officeDocument/2006/relationships/hyperlink" Target="bk://v_id/?1656" TargetMode="External" /><Relationship Id="rId5" Type="http://schemas.openxmlformats.org/officeDocument/2006/relationships/hyperlink" Target="bk://v_id/?1654" TargetMode="External" /><Relationship Id="rId15" Type="http://schemas.openxmlformats.org/officeDocument/2006/relationships/hyperlink" Target="bk://v_id/?1656" TargetMode="External" /><Relationship Id="rId23" Type="http://schemas.openxmlformats.org/officeDocument/2006/relationships/hyperlink" Target="bk://v_id/?1656" TargetMode="External" /><Relationship Id="rId28" Type="http://schemas.openxmlformats.org/officeDocument/2006/relationships/hyperlink" Target="bk://v_id/?1658" TargetMode="External" /><Relationship Id="rId36" Type="http://schemas.openxmlformats.org/officeDocument/2006/relationships/hyperlink" Target="bk://v_id/?1654" TargetMode="External" /><Relationship Id="rId10" Type="http://schemas.openxmlformats.org/officeDocument/2006/relationships/hyperlink" Target="bk://v_id/?1654" TargetMode="External" /><Relationship Id="rId19" Type="http://schemas.openxmlformats.org/officeDocument/2006/relationships/hyperlink" Target="bk://v_id/?1656" TargetMode="External" /><Relationship Id="rId31" Type="http://schemas.openxmlformats.org/officeDocument/2006/relationships/hyperlink" Target="bk://v_id/?1658" TargetMode="External" /><Relationship Id="rId4" Type="http://schemas.openxmlformats.org/officeDocument/2006/relationships/hyperlink" Target="bk://v_id/?1652" TargetMode="External" /><Relationship Id="rId9" Type="http://schemas.openxmlformats.org/officeDocument/2006/relationships/hyperlink" Target="bk://v_id/?1654" TargetMode="External" /><Relationship Id="rId14" Type="http://schemas.openxmlformats.org/officeDocument/2006/relationships/hyperlink" Target="bk://v_id/?1654" TargetMode="External" /><Relationship Id="rId22" Type="http://schemas.openxmlformats.org/officeDocument/2006/relationships/hyperlink" Target="bk://v_id/?1656" TargetMode="External" /><Relationship Id="rId27" Type="http://schemas.openxmlformats.org/officeDocument/2006/relationships/hyperlink" Target="bk://v_id/?1658" TargetMode="External" /><Relationship Id="rId30" Type="http://schemas.openxmlformats.org/officeDocument/2006/relationships/hyperlink" Target="bk://v_id/?1658" TargetMode="External" /><Relationship Id="rId35" Type="http://schemas.openxmlformats.org/officeDocument/2006/relationships/hyperlink" Target="bk://v_id/?1654" TargetMode="External" /><Relationship Id="rId43" Type="http://schemas.openxmlformats.org/officeDocument/2006/relationships/drawing" Target="../drawings/drawing15.xml" 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697" TargetMode="External" /><Relationship Id="rId18" Type="http://schemas.openxmlformats.org/officeDocument/2006/relationships/hyperlink" Target="bk://v_id/?1698" TargetMode="External" /><Relationship Id="rId26" Type="http://schemas.openxmlformats.org/officeDocument/2006/relationships/hyperlink" Target="bk://v_id/?1699" TargetMode="External" /><Relationship Id="rId39" Type="http://schemas.openxmlformats.org/officeDocument/2006/relationships/hyperlink" Target="bk://v_id/?1704" TargetMode="External" /><Relationship Id="rId3" Type="http://schemas.openxmlformats.org/officeDocument/2006/relationships/hyperlink" Target="bk://v_id/?1687" TargetMode="External" /><Relationship Id="rId21" Type="http://schemas.openxmlformats.org/officeDocument/2006/relationships/hyperlink" Target="bk://v_id/?1698" TargetMode="External" /><Relationship Id="rId34" Type="http://schemas.openxmlformats.org/officeDocument/2006/relationships/hyperlink" Target="bk://v_id/?1702" TargetMode="External" /><Relationship Id="rId42" Type="http://schemas.openxmlformats.org/officeDocument/2006/relationships/hyperlink" Target="bk://v_id/?1695" TargetMode="External" /><Relationship Id="rId47" Type="http://schemas.openxmlformats.org/officeDocument/2006/relationships/hyperlink" Target="bk://v_id/?1700" TargetMode="External" /><Relationship Id="rId50" Type="http://schemas.openxmlformats.org/officeDocument/2006/relationships/hyperlink" Target="bk://v_id/?1703" TargetMode="External" /><Relationship Id="rId7" Type="http://schemas.openxmlformats.org/officeDocument/2006/relationships/hyperlink" Target="bk://v_id/?1687" TargetMode="External" /><Relationship Id="rId12" Type="http://schemas.openxmlformats.org/officeDocument/2006/relationships/hyperlink" Target="bk://v_id/?1696" TargetMode="External" /><Relationship Id="rId17" Type="http://schemas.openxmlformats.org/officeDocument/2006/relationships/hyperlink" Target="bk://v_id/?1698" TargetMode="External" /><Relationship Id="rId25" Type="http://schemas.openxmlformats.org/officeDocument/2006/relationships/hyperlink" Target="bk://v_id/?1699" TargetMode="External" /><Relationship Id="rId33" Type="http://schemas.openxmlformats.org/officeDocument/2006/relationships/hyperlink" Target="bk://v_id/?1702" TargetMode="External" /><Relationship Id="rId38" Type="http://schemas.openxmlformats.org/officeDocument/2006/relationships/hyperlink" Target="bk://v_id/?1687" TargetMode="External" /><Relationship Id="rId46" Type="http://schemas.openxmlformats.org/officeDocument/2006/relationships/hyperlink" Target="bk://v_id/?1699" TargetMode="External" /><Relationship Id="rId2" Type="http://schemas.openxmlformats.org/officeDocument/2006/relationships/hyperlink" Target="bk://v_id/?1687" TargetMode="External" /><Relationship Id="rId16" Type="http://schemas.openxmlformats.org/officeDocument/2006/relationships/hyperlink" Target="bk://v_id/?1698" TargetMode="External" /><Relationship Id="rId20" Type="http://schemas.openxmlformats.org/officeDocument/2006/relationships/hyperlink" Target="bk://v_id/?1698" TargetMode="External" /><Relationship Id="rId29" Type="http://schemas.openxmlformats.org/officeDocument/2006/relationships/hyperlink" Target="bk://v_id/?1699" TargetMode="External" /><Relationship Id="rId41" Type="http://schemas.openxmlformats.org/officeDocument/2006/relationships/hyperlink" Target="bk://v_id/?1717" TargetMode="External" /><Relationship Id="rId1" Type="http://schemas.openxmlformats.org/officeDocument/2006/relationships/hyperlink" Target="bk://v_id/?1687" TargetMode="External" /><Relationship Id="rId6" Type="http://schemas.openxmlformats.org/officeDocument/2006/relationships/hyperlink" Target="bk://v_id/?1687" TargetMode="External" /><Relationship Id="rId11" Type="http://schemas.openxmlformats.org/officeDocument/2006/relationships/hyperlink" Target="bk://v_id/?1696" TargetMode="External" /><Relationship Id="rId24" Type="http://schemas.openxmlformats.org/officeDocument/2006/relationships/hyperlink" Target="bk://v_id/?1698" TargetMode="External" /><Relationship Id="rId32" Type="http://schemas.openxmlformats.org/officeDocument/2006/relationships/hyperlink" Target="bk://v_id/?1700" TargetMode="External" /><Relationship Id="rId37" Type="http://schemas.openxmlformats.org/officeDocument/2006/relationships/hyperlink" Target="bk://v_id/?1703" TargetMode="External" /><Relationship Id="rId40" Type="http://schemas.openxmlformats.org/officeDocument/2006/relationships/hyperlink" Target="bk://v_id/?1687" TargetMode="External" /><Relationship Id="rId45" Type="http://schemas.openxmlformats.org/officeDocument/2006/relationships/hyperlink" Target="bk://v_id/?1698" TargetMode="External" /><Relationship Id="rId53" Type="http://schemas.openxmlformats.org/officeDocument/2006/relationships/drawing" Target="../drawings/drawing16.xml" /><Relationship Id="rId5" Type="http://schemas.openxmlformats.org/officeDocument/2006/relationships/hyperlink" Target="bk://v_id/?1687" TargetMode="External" /><Relationship Id="rId15" Type="http://schemas.openxmlformats.org/officeDocument/2006/relationships/hyperlink" Target="bk://v_id/?1698" TargetMode="External" /><Relationship Id="rId23" Type="http://schemas.openxmlformats.org/officeDocument/2006/relationships/hyperlink" Target="bk://v_id/?1698" TargetMode="External" /><Relationship Id="rId28" Type="http://schemas.openxmlformats.org/officeDocument/2006/relationships/hyperlink" Target="bk://v_id/?1699" TargetMode="External" /><Relationship Id="rId36" Type="http://schemas.openxmlformats.org/officeDocument/2006/relationships/hyperlink" Target="bk://v_id/?1687" TargetMode="External" /><Relationship Id="rId49" Type="http://schemas.openxmlformats.org/officeDocument/2006/relationships/hyperlink" Target="bk://v_id/?1702" TargetMode="External" /><Relationship Id="rId10" Type="http://schemas.openxmlformats.org/officeDocument/2006/relationships/hyperlink" Target="bk://v_id/?1695" TargetMode="External" /><Relationship Id="rId19" Type="http://schemas.openxmlformats.org/officeDocument/2006/relationships/hyperlink" Target="bk://v_id/?1698" TargetMode="External" /><Relationship Id="rId31" Type="http://schemas.openxmlformats.org/officeDocument/2006/relationships/hyperlink" Target="bk://v_id/?1700" TargetMode="External" /><Relationship Id="rId44" Type="http://schemas.openxmlformats.org/officeDocument/2006/relationships/hyperlink" Target="bk://v_id/?1697" TargetMode="External" /><Relationship Id="rId52" Type="http://schemas.openxmlformats.org/officeDocument/2006/relationships/hyperlink" Target="bk://v_id/?1717" TargetMode="External" /><Relationship Id="rId4" Type="http://schemas.openxmlformats.org/officeDocument/2006/relationships/hyperlink" Target="bk://v_id/?1687" TargetMode="External" /><Relationship Id="rId9" Type="http://schemas.openxmlformats.org/officeDocument/2006/relationships/hyperlink" Target="bk://v_id/?1687" TargetMode="External" /><Relationship Id="rId14" Type="http://schemas.openxmlformats.org/officeDocument/2006/relationships/hyperlink" Target="bk://v_id/?1698" TargetMode="External" /><Relationship Id="rId22" Type="http://schemas.openxmlformats.org/officeDocument/2006/relationships/hyperlink" Target="bk://v_id/?1698" TargetMode="External" /><Relationship Id="rId27" Type="http://schemas.openxmlformats.org/officeDocument/2006/relationships/hyperlink" Target="bk://v_id/?1699" TargetMode="External" /><Relationship Id="rId30" Type="http://schemas.openxmlformats.org/officeDocument/2006/relationships/hyperlink" Target="bk://v_id/?1700" TargetMode="External" /><Relationship Id="rId35" Type="http://schemas.openxmlformats.org/officeDocument/2006/relationships/hyperlink" Target="bk://v_id/?1702" TargetMode="External" /><Relationship Id="rId43" Type="http://schemas.openxmlformats.org/officeDocument/2006/relationships/hyperlink" Target="bk://v_id/?1696" TargetMode="External" /><Relationship Id="rId48" Type="http://schemas.openxmlformats.org/officeDocument/2006/relationships/hyperlink" Target="bk://v_id/?1700" TargetMode="External" /><Relationship Id="rId8" Type="http://schemas.openxmlformats.org/officeDocument/2006/relationships/hyperlink" Target="bk://v_id/?1687" TargetMode="External" /><Relationship Id="rId51" Type="http://schemas.openxmlformats.org/officeDocument/2006/relationships/hyperlink" Target="bk://v_id/?1704" TargetMode="External" 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722" TargetMode="External" /><Relationship Id="rId13" Type="http://schemas.openxmlformats.org/officeDocument/2006/relationships/hyperlink" Target="bk://v_id/?1723" TargetMode="External" /><Relationship Id="rId18" Type="http://schemas.openxmlformats.org/officeDocument/2006/relationships/hyperlink" Target="bk://v_id/?1724" TargetMode="External" /><Relationship Id="rId26" Type="http://schemas.openxmlformats.org/officeDocument/2006/relationships/hyperlink" Target="bk://v_id/?1744" TargetMode="External" /><Relationship Id="rId39" Type="http://schemas.openxmlformats.org/officeDocument/2006/relationships/hyperlink" Target="bk://v_id/?1744" TargetMode="External" /><Relationship Id="rId3" Type="http://schemas.openxmlformats.org/officeDocument/2006/relationships/hyperlink" Target="bk://v_id/?1719" TargetMode="External" /><Relationship Id="rId21" Type="http://schemas.openxmlformats.org/officeDocument/2006/relationships/hyperlink" Target="bk://v_id/?1724" TargetMode="External" /><Relationship Id="rId34" Type="http://schemas.openxmlformats.org/officeDocument/2006/relationships/hyperlink" Target="bk://v_id/?1744" TargetMode="External" /><Relationship Id="rId42" Type="http://schemas.openxmlformats.org/officeDocument/2006/relationships/hyperlink" Target="bk://v_id/?1722" TargetMode="External" /><Relationship Id="rId47" Type="http://schemas.openxmlformats.org/officeDocument/2006/relationships/hyperlink" Target="bk://v_id/?1736" TargetMode="External" /><Relationship Id="rId7" Type="http://schemas.openxmlformats.org/officeDocument/2006/relationships/hyperlink" Target="bk://v_id/?1721" TargetMode="External" /><Relationship Id="rId12" Type="http://schemas.openxmlformats.org/officeDocument/2006/relationships/hyperlink" Target="bk://v_id/?1722" TargetMode="External" /><Relationship Id="rId17" Type="http://schemas.openxmlformats.org/officeDocument/2006/relationships/hyperlink" Target="bk://v_id/?1724" TargetMode="External" /><Relationship Id="rId25" Type="http://schemas.openxmlformats.org/officeDocument/2006/relationships/hyperlink" Target="bk://v_id/?1744" TargetMode="External" /><Relationship Id="rId33" Type="http://schemas.openxmlformats.org/officeDocument/2006/relationships/hyperlink" Target="bk://v_id/?1744" TargetMode="External" /><Relationship Id="rId38" Type="http://schemas.openxmlformats.org/officeDocument/2006/relationships/hyperlink" Target="bk://v_id/?1719" TargetMode="External" /><Relationship Id="rId46" Type="http://schemas.openxmlformats.org/officeDocument/2006/relationships/hyperlink" Target="bk://v_id/?1736" TargetMode="External" /><Relationship Id="rId2" Type="http://schemas.openxmlformats.org/officeDocument/2006/relationships/hyperlink" Target="bk://v_id/?1718" TargetMode="External" /><Relationship Id="rId16" Type="http://schemas.openxmlformats.org/officeDocument/2006/relationships/hyperlink" Target="bk://v_id/?1724" TargetMode="External" /><Relationship Id="rId20" Type="http://schemas.openxmlformats.org/officeDocument/2006/relationships/hyperlink" Target="bk://v_id/?1724" TargetMode="External" /><Relationship Id="rId29" Type="http://schemas.openxmlformats.org/officeDocument/2006/relationships/hyperlink" Target="bk://v_id/?1744" TargetMode="External" /><Relationship Id="rId41" Type="http://schemas.openxmlformats.org/officeDocument/2006/relationships/hyperlink" Target="bk://v_id/?1721" TargetMode="External" /><Relationship Id="rId1" Type="http://schemas.openxmlformats.org/officeDocument/2006/relationships/hyperlink" Target="bk://v_id/?1718" TargetMode="External" /><Relationship Id="rId6" Type="http://schemas.openxmlformats.org/officeDocument/2006/relationships/hyperlink" Target="bk://v_id/?1721" TargetMode="External" /><Relationship Id="rId11" Type="http://schemas.openxmlformats.org/officeDocument/2006/relationships/hyperlink" Target="bk://v_id/?1722" TargetMode="External" /><Relationship Id="rId24" Type="http://schemas.openxmlformats.org/officeDocument/2006/relationships/hyperlink" Target="bk://v_id/?1737" TargetMode="External" /><Relationship Id="rId32" Type="http://schemas.openxmlformats.org/officeDocument/2006/relationships/hyperlink" Target="bk://v_id/?1744" TargetMode="External" /><Relationship Id="rId37" Type="http://schemas.openxmlformats.org/officeDocument/2006/relationships/hyperlink" Target="bk://v_id/?1744" TargetMode="External" /><Relationship Id="rId40" Type="http://schemas.openxmlformats.org/officeDocument/2006/relationships/hyperlink" Target="bk://v_id/?1720" TargetMode="External" /><Relationship Id="rId45" Type="http://schemas.openxmlformats.org/officeDocument/2006/relationships/hyperlink" Target="bk://v_id/?1736" TargetMode="External" /><Relationship Id="rId5" Type="http://schemas.openxmlformats.org/officeDocument/2006/relationships/hyperlink" Target="bk://v_id/?1720" TargetMode="External" /><Relationship Id="rId15" Type="http://schemas.openxmlformats.org/officeDocument/2006/relationships/hyperlink" Target="bk://v_id/?1723" TargetMode="External" /><Relationship Id="rId23" Type="http://schemas.openxmlformats.org/officeDocument/2006/relationships/hyperlink" Target="bk://v_id/?1736" TargetMode="External" /><Relationship Id="rId28" Type="http://schemas.openxmlformats.org/officeDocument/2006/relationships/hyperlink" Target="bk://v_id/?1744" TargetMode="External" /><Relationship Id="rId36" Type="http://schemas.openxmlformats.org/officeDocument/2006/relationships/hyperlink" Target="bk://v_id/?1718" TargetMode="External" /><Relationship Id="rId10" Type="http://schemas.openxmlformats.org/officeDocument/2006/relationships/hyperlink" Target="bk://v_id/?1722" TargetMode="External" /><Relationship Id="rId19" Type="http://schemas.openxmlformats.org/officeDocument/2006/relationships/hyperlink" Target="bk://v_id/?1724" TargetMode="External" /><Relationship Id="rId31" Type="http://schemas.openxmlformats.org/officeDocument/2006/relationships/hyperlink" Target="bk://v_id/?1744" TargetMode="External" /><Relationship Id="rId44" Type="http://schemas.openxmlformats.org/officeDocument/2006/relationships/hyperlink" Target="bk://v_id/?1724" TargetMode="External" /><Relationship Id="rId4" Type="http://schemas.openxmlformats.org/officeDocument/2006/relationships/hyperlink" Target="bk://v_id/?1720" TargetMode="External" /><Relationship Id="rId9" Type="http://schemas.openxmlformats.org/officeDocument/2006/relationships/hyperlink" Target="bk://v_id/?1722" TargetMode="External" /><Relationship Id="rId14" Type="http://schemas.openxmlformats.org/officeDocument/2006/relationships/hyperlink" Target="bk://v_id/?1723" TargetMode="External" /><Relationship Id="rId22" Type="http://schemas.openxmlformats.org/officeDocument/2006/relationships/hyperlink" Target="bk://v_id/?1724" TargetMode="External" /><Relationship Id="rId27" Type="http://schemas.openxmlformats.org/officeDocument/2006/relationships/hyperlink" Target="bk://v_id/?1744" TargetMode="External" /><Relationship Id="rId30" Type="http://schemas.openxmlformats.org/officeDocument/2006/relationships/hyperlink" Target="bk://v_id/?1744" TargetMode="External" /><Relationship Id="rId35" Type="http://schemas.openxmlformats.org/officeDocument/2006/relationships/hyperlink" Target="bk://v_id/?1744" TargetMode="External" /><Relationship Id="rId43" Type="http://schemas.openxmlformats.org/officeDocument/2006/relationships/hyperlink" Target="bk://v_id/?1723" TargetMode="External" /><Relationship Id="rId48" Type="http://schemas.openxmlformats.org/officeDocument/2006/relationships/drawing" Target="../drawings/drawing17.xml" 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754" TargetMode="External" /><Relationship Id="rId13" Type="http://schemas.openxmlformats.org/officeDocument/2006/relationships/hyperlink" Target="bk://v_id/?1754" TargetMode="External" /><Relationship Id="rId18" Type="http://schemas.openxmlformats.org/officeDocument/2006/relationships/hyperlink" Target="bk://v_id/?1756" TargetMode="External" /><Relationship Id="rId26" Type="http://schemas.openxmlformats.org/officeDocument/2006/relationships/hyperlink" Target="bk://v_id/?1758" TargetMode="External" /><Relationship Id="rId39" Type="http://schemas.openxmlformats.org/officeDocument/2006/relationships/hyperlink" Target="bk://v_id/?1759" TargetMode="External" /><Relationship Id="rId3" Type="http://schemas.openxmlformats.org/officeDocument/2006/relationships/hyperlink" Target="bk://v_id/?1747" TargetMode="External" /><Relationship Id="rId21" Type="http://schemas.openxmlformats.org/officeDocument/2006/relationships/hyperlink" Target="bk://v_id/?1757" TargetMode="External" /><Relationship Id="rId34" Type="http://schemas.openxmlformats.org/officeDocument/2006/relationships/hyperlink" Target="bk://v_id/?1754" TargetMode="External" /><Relationship Id="rId42" Type="http://schemas.openxmlformats.org/officeDocument/2006/relationships/drawing" Target="../drawings/drawing18.xml" /><Relationship Id="rId7" Type="http://schemas.openxmlformats.org/officeDocument/2006/relationships/hyperlink" Target="bk://v_id/?1754" TargetMode="External" /><Relationship Id="rId12" Type="http://schemas.openxmlformats.org/officeDocument/2006/relationships/hyperlink" Target="bk://v_id/?1754" TargetMode="External" /><Relationship Id="rId17" Type="http://schemas.openxmlformats.org/officeDocument/2006/relationships/hyperlink" Target="bk://v_id/?1756" TargetMode="External" /><Relationship Id="rId25" Type="http://schemas.openxmlformats.org/officeDocument/2006/relationships/hyperlink" Target="bk://v_id/?1758" TargetMode="External" /><Relationship Id="rId33" Type="http://schemas.openxmlformats.org/officeDocument/2006/relationships/hyperlink" Target="bk://v_id/?1747" TargetMode="External" /><Relationship Id="rId38" Type="http://schemas.openxmlformats.org/officeDocument/2006/relationships/hyperlink" Target="bk://v_id/?1758" TargetMode="External" /><Relationship Id="rId2" Type="http://schemas.openxmlformats.org/officeDocument/2006/relationships/hyperlink" Target="bk://v_id/?1747" TargetMode="External" /><Relationship Id="rId16" Type="http://schemas.openxmlformats.org/officeDocument/2006/relationships/hyperlink" Target="bk://v_id/?1756" TargetMode="External" /><Relationship Id="rId20" Type="http://schemas.openxmlformats.org/officeDocument/2006/relationships/hyperlink" Target="bk://v_id/?1757" TargetMode="External" /><Relationship Id="rId29" Type="http://schemas.openxmlformats.org/officeDocument/2006/relationships/hyperlink" Target="bk://v_id/?1760" TargetMode="External" /><Relationship Id="rId41" Type="http://schemas.openxmlformats.org/officeDocument/2006/relationships/hyperlink" Target="bk://v_id/?1761" TargetMode="External" /><Relationship Id="rId1" Type="http://schemas.openxmlformats.org/officeDocument/2006/relationships/hyperlink" Target="bk://v_id/?1747" TargetMode="External" /><Relationship Id="rId6" Type="http://schemas.openxmlformats.org/officeDocument/2006/relationships/hyperlink" Target="bk://v_id/?1747" TargetMode="External" /><Relationship Id="rId11" Type="http://schemas.openxmlformats.org/officeDocument/2006/relationships/hyperlink" Target="bk://v_id/?1754" TargetMode="External" /><Relationship Id="rId24" Type="http://schemas.openxmlformats.org/officeDocument/2006/relationships/hyperlink" Target="bk://v_id/?1757" TargetMode="External" /><Relationship Id="rId32" Type="http://schemas.openxmlformats.org/officeDocument/2006/relationships/hyperlink" Target="bk://v_id/?1747" TargetMode="External" /><Relationship Id="rId37" Type="http://schemas.openxmlformats.org/officeDocument/2006/relationships/hyperlink" Target="bk://v_id/?1757" TargetMode="External" /><Relationship Id="rId40" Type="http://schemas.openxmlformats.org/officeDocument/2006/relationships/hyperlink" Target="bk://v_id/?1760" TargetMode="External" /><Relationship Id="rId5" Type="http://schemas.openxmlformats.org/officeDocument/2006/relationships/hyperlink" Target="bk://v_id/?1747" TargetMode="External" /><Relationship Id="rId15" Type="http://schemas.openxmlformats.org/officeDocument/2006/relationships/hyperlink" Target="bk://v_id/?1754" TargetMode="External" /><Relationship Id="rId23" Type="http://schemas.openxmlformats.org/officeDocument/2006/relationships/hyperlink" Target="bk://v_id/?1757" TargetMode="External" /><Relationship Id="rId28" Type="http://schemas.openxmlformats.org/officeDocument/2006/relationships/hyperlink" Target="bk://v_id/?1759" TargetMode="External" /><Relationship Id="rId36" Type="http://schemas.openxmlformats.org/officeDocument/2006/relationships/hyperlink" Target="bk://v_id/?1756" TargetMode="External" /><Relationship Id="rId10" Type="http://schemas.openxmlformats.org/officeDocument/2006/relationships/hyperlink" Target="bk://v_id/?1754" TargetMode="External" /><Relationship Id="rId19" Type="http://schemas.openxmlformats.org/officeDocument/2006/relationships/hyperlink" Target="bk://v_id/?1756" TargetMode="External" /><Relationship Id="rId31" Type="http://schemas.openxmlformats.org/officeDocument/2006/relationships/hyperlink" Target="bk://v_id/?1761" TargetMode="External" /><Relationship Id="rId4" Type="http://schemas.openxmlformats.org/officeDocument/2006/relationships/hyperlink" Target="bk://v_id/?1747" TargetMode="External" /><Relationship Id="rId9" Type="http://schemas.openxmlformats.org/officeDocument/2006/relationships/hyperlink" Target="bk://v_id/?1754" TargetMode="External" /><Relationship Id="rId14" Type="http://schemas.openxmlformats.org/officeDocument/2006/relationships/hyperlink" Target="bk://v_id/?1754" TargetMode="External" /><Relationship Id="rId22" Type="http://schemas.openxmlformats.org/officeDocument/2006/relationships/hyperlink" Target="bk://v_id/?1757" TargetMode="External" /><Relationship Id="rId27" Type="http://schemas.openxmlformats.org/officeDocument/2006/relationships/hyperlink" Target="bk://v_id/?1758" TargetMode="External" /><Relationship Id="rId30" Type="http://schemas.openxmlformats.org/officeDocument/2006/relationships/hyperlink" Target="bk://v_id/?1760" TargetMode="External" /><Relationship Id="rId35" Type="http://schemas.openxmlformats.org/officeDocument/2006/relationships/hyperlink" Target="bk://v_id/?1754" TargetMode="External" 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782" TargetMode="External" /><Relationship Id="rId13" Type="http://schemas.openxmlformats.org/officeDocument/2006/relationships/hyperlink" Target="bk://v_id/?1785" TargetMode="External" /><Relationship Id="rId18" Type="http://schemas.openxmlformats.org/officeDocument/2006/relationships/hyperlink" Target="bk://v_id/?1796" TargetMode="External" /><Relationship Id="rId26" Type="http://schemas.openxmlformats.org/officeDocument/2006/relationships/hyperlink" Target="bk://v_id/?1780" TargetMode="External" /><Relationship Id="rId3" Type="http://schemas.openxmlformats.org/officeDocument/2006/relationships/hyperlink" Target="bk://v_id/?1778" TargetMode="External" /><Relationship Id="rId21" Type="http://schemas.openxmlformats.org/officeDocument/2006/relationships/hyperlink" Target="bk://v_id/?1796" TargetMode="External" /><Relationship Id="rId34" Type="http://schemas.openxmlformats.org/officeDocument/2006/relationships/hyperlink" Target="bk://v_id/?1786" TargetMode="External" /><Relationship Id="rId7" Type="http://schemas.openxmlformats.org/officeDocument/2006/relationships/hyperlink" Target="bk://v_id/?1781" TargetMode="External" /><Relationship Id="rId12" Type="http://schemas.openxmlformats.org/officeDocument/2006/relationships/hyperlink" Target="bk://v_id/?1785" TargetMode="External" /><Relationship Id="rId17" Type="http://schemas.openxmlformats.org/officeDocument/2006/relationships/hyperlink" Target="bk://v_id/?1796" TargetMode="External" /><Relationship Id="rId25" Type="http://schemas.openxmlformats.org/officeDocument/2006/relationships/hyperlink" Target="bk://v_id/?1779" TargetMode="External" /><Relationship Id="rId33" Type="http://schemas.openxmlformats.org/officeDocument/2006/relationships/hyperlink" Target="bk://v_id/?1786" TargetMode="External" /><Relationship Id="rId2" Type="http://schemas.openxmlformats.org/officeDocument/2006/relationships/hyperlink" Target="bk://v_id/?1778" TargetMode="External" /><Relationship Id="rId16" Type="http://schemas.openxmlformats.org/officeDocument/2006/relationships/hyperlink" Target="bk://v_id/?1786" TargetMode="External" /><Relationship Id="rId20" Type="http://schemas.openxmlformats.org/officeDocument/2006/relationships/hyperlink" Target="bk://v_id/?1796" TargetMode="External" /><Relationship Id="rId29" Type="http://schemas.openxmlformats.org/officeDocument/2006/relationships/hyperlink" Target="bk://v_id/?1783" TargetMode="External" /><Relationship Id="rId1" Type="http://schemas.openxmlformats.org/officeDocument/2006/relationships/hyperlink" Target="bk://v_id/?1778" TargetMode="External" /><Relationship Id="rId6" Type="http://schemas.openxmlformats.org/officeDocument/2006/relationships/hyperlink" Target="bk://v_id/?1780" TargetMode="External" /><Relationship Id="rId11" Type="http://schemas.openxmlformats.org/officeDocument/2006/relationships/hyperlink" Target="bk://v_id/?1784" TargetMode="External" /><Relationship Id="rId24" Type="http://schemas.openxmlformats.org/officeDocument/2006/relationships/hyperlink" Target="bk://v_id/?1778" TargetMode="External" /><Relationship Id="rId32" Type="http://schemas.openxmlformats.org/officeDocument/2006/relationships/hyperlink" Target="bk://v_id/?1786" TargetMode="External" /><Relationship Id="rId5" Type="http://schemas.openxmlformats.org/officeDocument/2006/relationships/hyperlink" Target="bk://v_id/?1779" TargetMode="External" /><Relationship Id="rId15" Type="http://schemas.openxmlformats.org/officeDocument/2006/relationships/hyperlink" Target="bk://v_id/?1785" TargetMode="External" /><Relationship Id="rId23" Type="http://schemas.openxmlformats.org/officeDocument/2006/relationships/hyperlink" Target="bk://v_id/?1797" TargetMode="External" /><Relationship Id="rId28" Type="http://schemas.openxmlformats.org/officeDocument/2006/relationships/hyperlink" Target="bk://v_id/?1782" TargetMode="External" /><Relationship Id="rId10" Type="http://schemas.openxmlformats.org/officeDocument/2006/relationships/hyperlink" Target="bk://v_id/?1783" TargetMode="External" /><Relationship Id="rId19" Type="http://schemas.openxmlformats.org/officeDocument/2006/relationships/hyperlink" Target="bk://v_id/?1796" TargetMode="External" /><Relationship Id="rId31" Type="http://schemas.openxmlformats.org/officeDocument/2006/relationships/hyperlink" Target="bk://v_id/?1785" TargetMode="External" /><Relationship Id="rId4" Type="http://schemas.openxmlformats.org/officeDocument/2006/relationships/hyperlink" Target="bk://v_id/?1778" TargetMode="External" /><Relationship Id="rId9" Type="http://schemas.openxmlformats.org/officeDocument/2006/relationships/hyperlink" Target="bk://v_id/?1783" TargetMode="External" /><Relationship Id="rId14" Type="http://schemas.openxmlformats.org/officeDocument/2006/relationships/hyperlink" Target="bk://v_id/?1785" TargetMode="External" /><Relationship Id="rId22" Type="http://schemas.openxmlformats.org/officeDocument/2006/relationships/hyperlink" Target="bk://v_id/?1797" TargetMode="External" /><Relationship Id="rId27" Type="http://schemas.openxmlformats.org/officeDocument/2006/relationships/hyperlink" Target="bk://v_id/?1781" TargetMode="External" /><Relationship Id="rId30" Type="http://schemas.openxmlformats.org/officeDocument/2006/relationships/hyperlink" Target="bk://v_id/?1784" TargetMode="External" /><Relationship Id="rId35" Type="http://schemas.openxmlformats.org/officeDocument/2006/relationships/drawing" Target="../drawings/drawing19.xml" 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816" TargetMode="External" /><Relationship Id="rId13" Type="http://schemas.openxmlformats.org/officeDocument/2006/relationships/hyperlink" Target="bk://v_id/?1816" TargetMode="External" /><Relationship Id="rId18" Type="http://schemas.openxmlformats.org/officeDocument/2006/relationships/hyperlink" Target="bk://v_id/?1816" TargetMode="External" /><Relationship Id="rId26" Type="http://schemas.openxmlformats.org/officeDocument/2006/relationships/hyperlink" Target="bk://v_id/?1815" TargetMode="External" /><Relationship Id="rId3" Type="http://schemas.openxmlformats.org/officeDocument/2006/relationships/hyperlink" Target="bk://v_id/?1809" TargetMode="External" /><Relationship Id="rId21" Type="http://schemas.openxmlformats.org/officeDocument/2006/relationships/hyperlink" Target="bk://v_id/?1816" TargetMode="External" /><Relationship Id="rId7" Type="http://schemas.openxmlformats.org/officeDocument/2006/relationships/hyperlink" Target="bk://v_id/?1816" TargetMode="External" /><Relationship Id="rId12" Type="http://schemas.openxmlformats.org/officeDocument/2006/relationships/hyperlink" Target="bk://v_id/?1816" TargetMode="External" /><Relationship Id="rId17" Type="http://schemas.openxmlformats.org/officeDocument/2006/relationships/hyperlink" Target="bk://v_id/?1816" TargetMode="External" /><Relationship Id="rId25" Type="http://schemas.openxmlformats.org/officeDocument/2006/relationships/hyperlink" Target="bk://v_id/?1809" TargetMode="External" /><Relationship Id="rId2" Type="http://schemas.openxmlformats.org/officeDocument/2006/relationships/hyperlink" Target="bk://v_id/?1809" TargetMode="External" /><Relationship Id="rId16" Type="http://schemas.openxmlformats.org/officeDocument/2006/relationships/hyperlink" Target="bk://v_id/?1816" TargetMode="External" /><Relationship Id="rId20" Type="http://schemas.openxmlformats.org/officeDocument/2006/relationships/hyperlink" Target="bk://v_id/?1816" TargetMode="External" /><Relationship Id="rId29" Type="http://schemas.openxmlformats.org/officeDocument/2006/relationships/hyperlink" Target="bk://v_id/?1816" TargetMode="External" /><Relationship Id="rId1" Type="http://schemas.openxmlformats.org/officeDocument/2006/relationships/hyperlink" Target="bk://v_id/?1809" TargetMode="External" /><Relationship Id="rId6" Type="http://schemas.openxmlformats.org/officeDocument/2006/relationships/hyperlink" Target="bk://v_id/?1816" TargetMode="External" /><Relationship Id="rId11" Type="http://schemas.openxmlformats.org/officeDocument/2006/relationships/hyperlink" Target="bk://v_id/?1816" TargetMode="External" /><Relationship Id="rId24" Type="http://schemas.openxmlformats.org/officeDocument/2006/relationships/hyperlink" Target="bk://v_id/?1809" TargetMode="External" /><Relationship Id="rId32" Type="http://schemas.openxmlformats.org/officeDocument/2006/relationships/drawing" Target="../drawings/drawing20.xml" /><Relationship Id="rId5" Type="http://schemas.openxmlformats.org/officeDocument/2006/relationships/hyperlink" Target="bk://v_id/?1816" TargetMode="External" /><Relationship Id="rId15" Type="http://schemas.openxmlformats.org/officeDocument/2006/relationships/hyperlink" Target="bk://v_id/?1816" TargetMode="External" /><Relationship Id="rId23" Type="http://schemas.openxmlformats.org/officeDocument/2006/relationships/hyperlink" Target="bk://v_id/?1809" TargetMode="External" /><Relationship Id="rId28" Type="http://schemas.openxmlformats.org/officeDocument/2006/relationships/hyperlink" Target="bk://v_id/?1816" TargetMode="External" /><Relationship Id="rId10" Type="http://schemas.openxmlformats.org/officeDocument/2006/relationships/hyperlink" Target="bk://v_id/?1816" TargetMode="External" /><Relationship Id="rId19" Type="http://schemas.openxmlformats.org/officeDocument/2006/relationships/hyperlink" Target="bk://v_id/?1816" TargetMode="External" /><Relationship Id="rId31" Type="http://schemas.openxmlformats.org/officeDocument/2006/relationships/hyperlink" Target="bk://v_id/?1816" TargetMode="External" /><Relationship Id="rId4" Type="http://schemas.openxmlformats.org/officeDocument/2006/relationships/hyperlink" Target="bk://v_id/?1815" TargetMode="External" /><Relationship Id="rId9" Type="http://schemas.openxmlformats.org/officeDocument/2006/relationships/hyperlink" Target="bk://v_id/?1816" TargetMode="External" /><Relationship Id="rId14" Type="http://schemas.openxmlformats.org/officeDocument/2006/relationships/hyperlink" Target="bk://v_id/?1816" TargetMode="External" /><Relationship Id="rId22" Type="http://schemas.openxmlformats.org/officeDocument/2006/relationships/hyperlink" Target="bk://v_id/?1816" TargetMode="External" /><Relationship Id="rId27" Type="http://schemas.openxmlformats.org/officeDocument/2006/relationships/hyperlink" Target="bk://v_id/?1816" TargetMode="External" /><Relationship Id="rId30" Type="http://schemas.openxmlformats.org/officeDocument/2006/relationships/hyperlink" Target="bk://v_id/?1816" TargetMode="External" 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834" TargetMode="External" /><Relationship Id="rId18" Type="http://schemas.openxmlformats.org/officeDocument/2006/relationships/hyperlink" Target="bk://v_id/?1836" TargetMode="External" /><Relationship Id="rId26" Type="http://schemas.openxmlformats.org/officeDocument/2006/relationships/hyperlink" Target="bk://v_id/?1846" TargetMode="External" /><Relationship Id="rId39" Type="http://schemas.openxmlformats.org/officeDocument/2006/relationships/hyperlink" Target="bk://v_id/?1835" TargetMode="External" /><Relationship Id="rId3" Type="http://schemas.openxmlformats.org/officeDocument/2006/relationships/hyperlink" Target="bk://v_id/?1831" TargetMode="External" /><Relationship Id="rId21" Type="http://schemas.openxmlformats.org/officeDocument/2006/relationships/hyperlink" Target="bk://v_id/?1837" TargetMode="External" /><Relationship Id="rId34" Type="http://schemas.openxmlformats.org/officeDocument/2006/relationships/hyperlink" Target="bk://v_id/?1847" TargetMode="External" /><Relationship Id="rId42" Type="http://schemas.openxmlformats.org/officeDocument/2006/relationships/hyperlink" Target="bk://v_id/?1848" TargetMode="External" /><Relationship Id="rId47" Type="http://schemas.openxmlformats.org/officeDocument/2006/relationships/hyperlink" Target="bk://v_id/?1846" TargetMode="External" /><Relationship Id="rId50" Type="http://schemas.openxmlformats.org/officeDocument/2006/relationships/drawing" Target="../drawings/drawing21.xml" /><Relationship Id="rId7" Type="http://schemas.openxmlformats.org/officeDocument/2006/relationships/hyperlink" Target="bk://v_id/?1833" TargetMode="External" /><Relationship Id="rId12" Type="http://schemas.openxmlformats.org/officeDocument/2006/relationships/hyperlink" Target="bk://v_id/?1833" TargetMode="External" /><Relationship Id="rId17" Type="http://schemas.openxmlformats.org/officeDocument/2006/relationships/hyperlink" Target="bk://v_id/?1836" TargetMode="External" /><Relationship Id="rId25" Type="http://schemas.openxmlformats.org/officeDocument/2006/relationships/hyperlink" Target="bk://v_id/?1846" TargetMode="External" /><Relationship Id="rId33" Type="http://schemas.openxmlformats.org/officeDocument/2006/relationships/hyperlink" Target="bk://v_id/?1830" TargetMode="External" /><Relationship Id="rId38" Type="http://schemas.openxmlformats.org/officeDocument/2006/relationships/hyperlink" Target="bk://v_id/?1848" TargetMode="External" /><Relationship Id="rId46" Type="http://schemas.openxmlformats.org/officeDocument/2006/relationships/hyperlink" Target="bk://v_id/?1846" TargetMode="External" /><Relationship Id="rId2" Type="http://schemas.openxmlformats.org/officeDocument/2006/relationships/hyperlink" Target="bk://v_id/?1830" TargetMode="External" /><Relationship Id="rId16" Type="http://schemas.openxmlformats.org/officeDocument/2006/relationships/hyperlink" Target="bk://v_id/?1836" TargetMode="External" /><Relationship Id="rId20" Type="http://schemas.openxmlformats.org/officeDocument/2006/relationships/hyperlink" Target="bk://v_id/?1836" TargetMode="External" /><Relationship Id="rId29" Type="http://schemas.openxmlformats.org/officeDocument/2006/relationships/hyperlink" Target="bk://v_id/?1830" TargetMode="External" /><Relationship Id="rId41" Type="http://schemas.openxmlformats.org/officeDocument/2006/relationships/hyperlink" Target="bk://v_id/?1836" TargetMode="External" /><Relationship Id="rId1" Type="http://schemas.openxmlformats.org/officeDocument/2006/relationships/hyperlink" Target="bk://v_id/?1830" TargetMode="External" /><Relationship Id="rId6" Type="http://schemas.openxmlformats.org/officeDocument/2006/relationships/hyperlink" Target="bk://v_id/?1833" TargetMode="External" /><Relationship Id="rId11" Type="http://schemas.openxmlformats.org/officeDocument/2006/relationships/hyperlink" Target="bk://v_id/?1833" TargetMode="External" /><Relationship Id="rId24" Type="http://schemas.openxmlformats.org/officeDocument/2006/relationships/hyperlink" Target="bk://v_id/?1846" TargetMode="External" /><Relationship Id="rId32" Type="http://schemas.openxmlformats.org/officeDocument/2006/relationships/hyperlink" Target="bk://v_id/?1847" TargetMode="External" /><Relationship Id="rId37" Type="http://schemas.openxmlformats.org/officeDocument/2006/relationships/hyperlink" Target="bk://v_id/?1834" TargetMode="External" /><Relationship Id="rId40" Type="http://schemas.openxmlformats.org/officeDocument/2006/relationships/hyperlink" Target="bk://v_id/?1848" TargetMode="External" /><Relationship Id="rId45" Type="http://schemas.openxmlformats.org/officeDocument/2006/relationships/hyperlink" Target="bk://v_id/?1846" TargetMode="External" /><Relationship Id="rId5" Type="http://schemas.openxmlformats.org/officeDocument/2006/relationships/hyperlink" Target="bk://v_id/?1833" TargetMode="External" /><Relationship Id="rId15" Type="http://schemas.openxmlformats.org/officeDocument/2006/relationships/hyperlink" Target="bk://v_id/?1835" TargetMode="External" /><Relationship Id="rId23" Type="http://schemas.openxmlformats.org/officeDocument/2006/relationships/hyperlink" Target="bk://v_id/?1846" TargetMode="External" /><Relationship Id="rId28" Type="http://schemas.openxmlformats.org/officeDocument/2006/relationships/hyperlink" Target="bk://v_id/?1847" TargetMode="External" /><Relationship Id="rId36" Type="http://schemas.openxmlformats.org/officeDocument/2006/relationships/hyperlink" Target="bk://v_id/?1847" TargetMode="External" /><Relationship Id="rId49" Type="http://schemas.openxmlformats.org/officeDocument/2006/relationships/hyperlink" Target="bk://v_id/?1846" TargetMode="External" /><Relationship Id="rId10" Type="http://schemas.openxmlformats.org/officeDocument/2006/relationships/hyperlink" Target="bk://v_id/?1833" TargetMode="External" /><Relationship Id="rId19" Type="http://schemas.openxmlformats.org/officeDocument/2006/relationships/hyperlink" Target="bk://v_id/?1836" TargetMode="External" /><Relationship Id="rId31" Type="http://schemas.openxmlformats.org/officeDocument/2006/relationships/hyperlink" Target="bk://v_id/?1830" TargetMode="External" /><Relationship Id="rId44" Type="http://schemas.openxmlformats.org/officeDocument/2006/relationships/hyperlink" Target="bk://v_id/?1848" TargetMode="External" /><Relationship Id="rId4" Type="http://schemas.openxmlformats.org/officeDocument/2006/relationships/hyperlink" Target="bk://v_id/?1832" TargetMode="External" /><Relationship Id="rId9" Type="http://schemas.openxmlformats.org/officeDocument/2006/relationships/hyperlink" Target="bk://v_id/?1833" TargetMode="External" /><Relationship Id="rId14" Type="http://schemas.openxmlformats.org/officeDocument/2006/relationships/hyperlink" Target="bk://v_id/?1834" TargetMode="External" /><Relationship Id="rId22" Type="http://schemas.openxmlformats.org/officeDocument/2006/relationships/hyperlink" Target="bk://v_id/?1846" TargetMode="External" /><Relationship Id="rId27" Type="http://schemas.openxmlformats.org/officeDocument/2006/relationships/hyperlink" Target="bk://v_id/?1846" TargetMode="External" /><Relationship Id="rId30" Type="http://schemas.openxmlformats.org/officeDocument/2006/relationships/hyperlink" Target="bk://v_id/?1847" TargetMode="External" /><Relationship Id="rId35" Type="http://schemas.openxmlformats.org/officeDocument/2006/relationships/hyperlink" Target="bk://v_id/?1833" TargetMode="External" /><Relationship Id="rId43" Type="http://schemas.openxmlformats.org/officeDocument/2006/relationships/hyperlink" Target="bk://v_id/?1837" TargetMode="External" /><Relationship Id="rId48" Type="http://schemas.openxmlformats.org/officeDocument/2006/relationships/hyperlink" Target="bk://v_id/?1846" TargetMode="External" /><Relationship Id="rId8" Type="http://schemas.openxmlformats.org/officeDocument/2006/relationships/hyperlink" Target="bk://v_id/?1833" TargetMode="External" 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860" TargetMode="External" /><Relationship Id="rId18" Type="http://schemas.openxmlformats.org/officeDocument/2006/relationships/hyperlink" Target="bk://v_id/?1884" TargetMode="External" /><Relationship Id="rId26" Type="http://schemas.openxmlformats.org/officeDocument/2006/relationships/hyperlink" Target="bk://v_id/?1886" TargetMode="External" /><Relationship Id="rId39" Type="http://schemas.openxmlformats.org/officeDocument/2006/relationships/hyperlink" Target="bk://v_id/?1859" TargetMode="External" /><Relationship Id="rId3" Type="http://schemas.openxmlformats.org/officeDocument/2006/relationships/hyperlink" Target="bk://v_id/?1860" TargetMode="External" /><Relationship Id="rId21" Type="http://schemas.openxmlformats.org/officeDocument/2006/relationships/hyperlink" Target="bk://v_id/?1884" TargetMode="External" /><Relationship Id="rId34" Type="http://schemas.openxmlformats.org/officeDocument/2006/relationships/hyperlink" Target="bk://v_id/?1859" TargetMode="External" /><Relationship Id="rId42" Type="http://schemas.openxmlformats.org/officeDocument/2006/relationships/hyperlink" Target="bk://v_id/?1859" TargetMode="External" /><Relationship Id="rId47" Type="http://schemas.openxmlformats.org/officeDocument/2006/relationships/hyperlink" Target="bk://v_id/?1886" TargetMode="External" /><Relationship Id="rId50" Type="http://schemas.openxmlformats.org/officeDocument/2006/relationships/hyperlink" Target="bk://v_id/?1890" TargetMode="External" /><Relationship Id="rId7" Type="http://schemas.openxmlformats.org/officeDocument/2006/relationships/hyperlink" Target="bk://v_id/?1860" TargetMode="External" /><Relationship Id="rId12" Type="http://schemas.openxmlformats.org/officeDocument/2006/relationships/hyperlink" Target="bk://v_id/?1860" TargetMode="External" /><Relationship Id="rId17" Type="http://schemas.openxmlformats.org/officeDocument/2006/relationships/hyperlink" Target="bk://v_id/?1884" TargetMode="External" /><Relationship Id="rId25" Type="http://schemas.openxmlformats.org/officeDocument/2006/relationships/hyperlink" Target="bk://v_id/?1886" TargetMode="External" /><Relationship Id="rId33" Type="http://schemas.openxmlformats.org/officeDocument/2006/relationships/hyperlink" Target="bk://v_id/?1892" TargetMode="External" /><Relationship Id="rId38" Type="http://schemas.openxmlformats.org/officeDocument/2006/relationships/hyperlink" Target="bk://v_id/?1859" TargetMode="External" /><Relationship Id="rId46" Type="http://schemas.openxmlformats.org/officeDocument/2006/relationships/hyperlink" Target="bk://v_id/?1886" TargetMode="External" /><Relationship Id="rId2" Type="http://schemas.openxmlformats.org/officeDocument/2006/relationships/hyperlink" Target="bk://v_id/?1859" TargetMode="External" /><Relationship Id="rId16" Type="http://schemas.openxmlformats.org/officeDocument/2006/relationships/hyperlink" Target="bk://v_id/?1860" TargetMode="External" /><Relationship Id="rId20" Type="http://schemas.openxmlformats.org/officeDocument/2006/relationships/hyperlink" Target="bk://v_id/?1884" TargetMode="External" /><Relationship Id="rId29" Type="http://schemas.openxmlformats.org/officeDocument/2006/relationships/hyperlink" Target="bk://v_id/?1890" TargetMode="External" /><Relationship Id="rId41" Type="http://schemas.openxmlformats.org/officeDocument/2006/relationships/hyperlink" Target="bk://v_id/?1859" TargetMode="External" /><Relationship Id="rId1" Type="http://schemas.openxmlformats.org/officeDocument/2006/relationships/hyperlink" Target="bk://v_id/?1859" TargetMode="External" /><Relationship Id="rId6" Type="http://schemas.openxmlformats.org/officeDocument/2006/relationships/hyperlink" Target="bk://v_id/?1860" TargetMode="External" /><Relationship Id="rId11" Type="http://schemas.openxmlformats.org/officeDocument/2006/relationships/hyperlink" Target="bk://v_id/?1860" TargetMode="External" /><Relationship Id="rId24" Type="http://schemas.openxmlformats.org/officeDocument/2006/relationships/hyperlink" Target="bk://v_id/?1886" TargetMode="External" /><Relationship Id="rId32" Type="http://schemas.openxmlformats.org/officeDocument/2006/relationships/hyperlink" Target="bk://v_id/?1892" TargetMode="External" /><Relationship Id="rId37" Type="http://schemas.openxmlformats.org/officeDocument/2006/relationships/hyperlink" Target="bk://v_id/?1859" TargetMode="External" /><Relationship Id="rId40" Type="http://schemas.openxmlformats.org/officeDocument/2006/relationships/hyperlink" Target="bk://v_id/?1859" TargetMode="External" /><Relationship Id="rId45" Type="http://schemas.openxmlformats.org/officeDocument/2006/relationships/hyperlink" Target="bk://v_id/?1886" TargetMode="External" /><Relationship Id="rId5" Type="http://schemas.openxmlformats.org/officeDocument/2006/relationships/hyperlink" Target="bk://v_id/?1860" TargetMode="External" /><Relationship Id="rId15" Type="http://schemas.openxmlformats.org/officeDocument/2006/relationships/hyperlink" Target="bk://v_id/?1860" TargetMode="External" /><Relationship Id="rId23" Type="http://schemas.openxmlformats.org/officeDocument/2006/relationships/hyperlink" Target="bk://v_id/?1886" TargetMode="External" /><Relationship Id="rId28" Type="http://schemas.openxmlformats.org/officeDocument/2006/relationships/hyperlink" Target="bk://v_id/?1886" TargetMode="External" /><Relationship Id="rId36" Type="http://schemas.openxmlformats.org/officeDocument/2006/relationships/hyperlink" Target="bk://v_id/?1859" TargetMode="External" /><Relationship Id="rId49" Type="http://schemas.openxmlformats.org/officeDocument/2006/relationships/hyperlink" Target="bk://v_id/?1890" TargetMode="External" /><Relationship Id="rId10" Type="http://schemas.openxmlformats.org/officeDocument/2006/relationships/hyperlink" Target="bk://v_id/?1860" TargetMode="External" /><Relationship Id="rId19" Type="http://schemas.openxmlformats.org/officeDocument/2006/relationships/hyperlink" Target="bk://v_id/?1884" TargetMode="External" /><Relationship Id="rId31" Type="http://schemas.openxmlformats.org/officeDocument/2006/relationships/hyperlink" Target="bk://v_id/?1892" TargetMode="External" /><Relationship Id="rId44" Type="http://schemas.openxmlformats.org/officeDocument/2006/relationships/hyperlink" Target="bk://v_id/?1884" TargetMode="External" /><Relationship Id="rId52" Type="http://schemas.openxmlformats.org/officeDocument/2006/relationships/drawing" Target="../drawings/drawing22.xml" /><Relationship Id="rId4" Type="http://schemas.openxmlformats.org/officeDocument/2006/relationships/hyperlink" Target="bk://v_id/?1860" TargetMode="External" /><Relationship Id="rId9" Type="http://schemas.openxmlformats.org/officeDocument/2006/relationships/hyperlink" Target="bk://v_id/?1860" TargetMode="External" /><Relationship Id="rId14" Type="http://schemas.openxmlformats.org/officeDocument/2006/relationships/hyperlink" Target="bk://v_id/?1860" TargetMode="External" /><Relationship Id="rId22" Type="http://schemas.openxmlformats.org/officeDocument/2006/relationships/hyperlink" Target="bk://v_id/?1884" TargetMode="External" /><Relationship Id="rId27" Type="http://schemas.openxmlformats.org/officeDocument/2006/relationships/hyperlink" Target="bk://v_id/?1886" TargetMode="External" /><Relationship Id="rId30" Type="http://schemas.openxmlformats.org/officeDocument/2006/relationships/hyperlink" Target="bk://v_id/?1890" TargetMode="External" /><Relationship Id="rId35" Type="http://schemas.openxmlformats.org/officeDocument/2006/relationships/hyperlink" Target="bk://v_id/?1859" TargetMode="External" /><Relationship Id="rId43" Type="http://schemas.openxmlformats.org/officeDocument/2006/relationships/hyperlink" Target="bk://v_id/?1859" TargetMode="External" /><Relationship Id="rId48" Type="http://schemas.openxmlformats.org/officeDocument/2006/relationships/hyperlink" Target="bk://v_id/?1886" TargetMode="External" /><Relationship Id="rId8" Type="http://schemas.openxmlformats.org/officeDocument/2006/relationships/hyperlink" Target="bk://v_id/?1860" TargetMode="External" /><Relationship Id="rId51" Type="http://schemas.openxmlformats.org/officeDocument/2006/relationships/hyperlink" Target="bk://v_id/?1892" TargetMode="External" 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bk://v_id/?1916" TargetMode="External" /><Relationship Id="rId18" Type="http://schemas.openxmlformats.org/officeDocument/2006/relationships/hyperlink" Target="bk://v_id/?1917" TargetMode="External" /><Relationship Id="rId26" Type="http://schemas.openxmlformats.org/officeDocument/2006/relationships/hyperlink" Target="bk://v_id/?1917" TargetMode="External" /><Relationship Id="rId39" Type="http://schemas.openxmlformats.org/officeDocument/2006/relationships/hyperlink" Target="bk://v_id/?1903" TargetMode="External" /><Relationship Id="rId3" Type="http://schemas.openxmlformats.org/officeDocument/2006/relationships/hyperlink" Target="bk://v_id/?1903" TargetMode="External" /><Relationship Id="rId21" Type="http://schemas.openxmlformats.org/officeDocument/2006/relationships/hyperlink" Target="bk://v_id/?1917" TargetMode="External" /><Relationship Id="rId34" Type="http://schemas.openxmlformats.org/officeDocument/2006/relationships/hyperlink" Target="bk://v_id/?1917" TargetMode="External" /><Relationship Id="rId42" Type="http://schemas.openxmlformats.org/officeDocument/2006/relationships/hyperlink" Target="bk://v_id/?1915" TargetMode="External" /><Relationship Id="rId47" Type="http://schemas.openxmlformats.org/officeDocument/2006/relationships/hyperlink" Target="bk://v_id/?1917" TargetMode="External" /><Relationship Id="rId50" Type="http://schemas.openxmlformats.org/officeDocument/2006/relationships/hyperlink" Target="bk://v_id/?1917" TargetMode="External" /><Relationship Id="rId7" Type="http://schemas.openxmlformats.org/officeDocument/2006/relationships/hyperlink" Target="bk://v_id/?1913" TargetMode="External" /><Relationship Id="rId12" Type="http://schemas.openxmlformats.org/officeDocument/2006/relationships/hyperlink" Target="bk://v_id/?1915" TargetMode="External" /><Relationship Id="rId17" Type="http://schemas.openxmlformats.org/officeDocument/2006/relationships/hyperlink" Target="bk://v_id/?1917" TargetMode="External" /><Relationship Id="rId25" Type="http://schemas.openxmlformats.org/officeDocument/2006/relationships/hyperlink" Target="bk://v_id/?1917" TargetMode="External" /><Relationship Id="rId33" Type="http://schemas.openxmlformats.org/officeDocument/2006/relationships/hyperlink" Target="bk://v_id/?1903" TargetMode="External" /><Relationship Id="rId38" Type="http://schemas.openxmlformats.org/officeDocument/2006/relationships/hyperlink" Target="bk://v_id/?1917" TargetMode="External" /><Relationship Id="rId46" Type="http://schemas.openxmlformats.org/officeDocument/2006/relationships/hyperlink" Target="bk://v_id/?1917" TargetMode="External" /><Relationship Id="rId2" Type="http://schemas.openxmlformats.org/officeDocument/2006/relationships/hyperlink" Target="bk://v_id/?1903" TargetMode="External" /><Relationship Id="rId16" Type="http://schemas.openxmlformats.org/officeDocument/2006/relationships/hyperlink" Target="bk://v_id/?1917" TargetMode="External" /><Relationship Id="rId20" Type="http://schemas.openxmlformats.org/officeDocument/2006/relationships/hyperlink" Target="bk://v_id/?1917" TargetMode="External" /><Relationship Id="rId29" Type="http://schemas.openxmlformats.org/officeDocument/2006/relationships/hyperlink" Target="bk://v_id/?1917" TargetMode="External" /><Relationship Id="rId41" Type="http://schemas.openxmlformats.org/officeDocument/2006/relationships/hyperlink" Target="bk://v_id/?1913" TargetMode="External" /><Relationship Id="rId54" Type="http://schemas.openxmlformats.org/officeDocument/2006/relationships/drawing" Target="../drawings/drawing23.xml" /><Relationship Id="rId1" Type="http://schemas.openxmlformats.org/officeDocument/2006/relationships/hyperlink" Target="bk://v_id/?1903" TargetMode="External" /><Relationship Id="rId6" Type="http://schemas.openxmlformats.org/officeDocument/2006/relationships/hyperlink" Target="bk://v_id/?1903" TargetMode="External" /><Relationship Id="rId11" Type="http://schemas.openxmlformats.org/officeDocument/2006/relationships/hyperlink" Target="bk://v_id/?1915" TargetMode="External" /><Relationship Id="rId24" Type="http://schemas.openxmlformats.org/officeDocument/2006/relationships/hyperlink" Target="bk://v_id/?1917" TargetMode="External" /><Relationship Id="rId32" Type="http://schemas.openxmlformats.org/officeDocument/2006/relationships/hyperlink" Target="bk://v_id/?1917" TargetMode="External" /><Relationship Id="rId37" Type="http://schemas.openxmlformats.org/officeDocument/2006/relationships/hyperlink" Target="bk://v_id/?1903" TargetMode="External" /><Relationship Id="rId40" Type="http://schemas.openxmlformats.org/officeDocument/2006/relationships/hyperlink" Target="bk://v_id/?1913" TargetMode="External" /><Relationship Id="rId45" Type="http://schemas.openxmlformats.org/officeDocument/2006/relationships/hyperlink" Target="bk://v_id/?1917" TargetMode="External" /><Relationship Id="rId53" Type="http://schemas.openxmlformats.org/officeDocument/2006/relationships/hyperlink" Target="bk://v_id/?1917" TargetMode="External" /><Relationship Id="rId5" Type="http://schemas.openxmlformats.org/officeDocument/2006/relationships/hyperlink" Target="bk://v_id/?1903" TargetMode="External" /><Relationship Id="rId15" Type="http://schemas.openxmlformats.org/officeDocument/2006/relationships/hyperlink" Target="bk://v_id/?1917" TargetMode="External" /><Relationship Id="rId23" Type="http://schemas.openxmlformats.org/officeDocument/2006/relationships/hyperlink" Target="bk://v_id/?1917" TargetMode="External" /><Relationship Id="rId28" Type="http://schemas.openxmlformats.org/officeDocument/2006/relationships/hyperlink" Target="bk://v_id/?1917" TargetMode="External" /><Relationship Id="rId36" Type="http://schemas.openxmlformats.org/officeDocument/2006/relationships/hyperlink" Target="bk://v_id/?1917" TargetMode="External" /><Relationship Id="rId49" Type="http://schemas.openxmlformats.org/officeDocument/2006/relationships/hyperlink" Target="bk://v_id/?1917" TargetMode="External" /><Relationship Id="rId10" Type="http://schemas.openxmlformats.org/officeDocument/2006/relationships/hyperlink" Target="bk://v_id/?1915" TargetMode="External" /><Relationship Id="rId19" Type="http://schemas.openxmlformats.org/officeDocument/2006/relationships/hyperlink" Target="bk://v_id/?1917" TargetMode="External" /><Relationship Id="rId31" Type="http://schemas.openxmlformats.org/officeDocument/2006/relationships/hyperlink" Target="bk://v_id/?1917" TargetMode="External" /><Relationship Id="rId44" Type="http://schemas.openxmlformats.org/officeDocument/2006/relationships/hyperlink" Target="bk://v_id/?1917" TargetMode="External" /><Relationship Id="rId52" Type="http://schemas.openxmlformats.org/officeDocument/2006/relationships/hyperlink" Target="bk://v_id/?1917" TargetMode="External" /><Relationship Id="rId4" Type="http://schemas.openxmlformats.org/officeDocument/2006/relationships/hyperlink" Target="bk://v_id/?1903" TargetMode="External" /><Relationship Id="rId9" Type="http://schemas.openxmlformats.org/officeDocument/2006/relationships/hyperlink" Target="bk://v_id/?1915" TargetMode="External" /><Relationship Id="rId14" Type="http://schemas.openxmlformats.org/officeDocument/2006/relationships/hyperlink" Target="bk://v_id/?1917" TargetMode="External" /><Relationship Id="rId22" Type="http://schemas.openxmlformats.org/officeDocument/2006/relationships/hyperlink" Target="bk://v_id/?1917" TargetMode="External" /><Relationship Id="rId27" Type="http://schemas.openxmlformats.org/officeDocument/2006/relationships/hyperlink" Target="bk://v_id/?1917" TargetMode="External" /><Relationship Id="rId30" Type="http://schemas.openxmlformats.org/officeDocument/2006/relationships/hyperlink" Target="bk://v_id/?1917" TargetMode="External" /><Relationship Id="rId35" Type="http://schemas.openxmlformats.org/officeDocument/2006/relationships/hyperlink" Target="bk://v_id/?1903" TargetMode="External" /><Relationship Id="rId43" Type="http://schemas.openxmlformats.org/officeDocument/2006/relationships/hyperlink" Target="bk://v_id/?1916" TargetMode="External" /><Relationship Id="rId48" Type="http://schemas.openxmlformats.org/officeDocument/2006/relationships/hyperlink" Target="bk://v_id/?1917" TargetMode="External" /><Relationship Id="rId8" Type="http://schemas.openxmlformats.org/officeDocument/2006/relationships/hyperlink" Target="bk://v_id/?1913" TargetMode="External" /><Relationship Id="rId51" Type="http://schemas.openxmlformats.org/officeDocument/2006/relationships/hyperlink" Target="bk://v_id/?1917" TargetMode="External" 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970" TargetMode="External" /><Relationship Id="rId13" Type="http://schemas.openxmlformats.org/officeDocument/2006/relationships/hyperlink" Target="bk://v_id/?1971" TargetMode="External" /><Relationship Id="rId18" Type="http://schemas.openxmlformats.org/officeDocument/2006/relationships/hyperlink" Target="bk://v_id/?1972" TargetMode="External" /><Relationship Id="rId26" Type="http://schemas.openxmlformats.org/officeDocument/2006/relationships/hyperlink" Target="bk://v_id/?1973" TargetMode="External" /><Relationship Id="rId39" Type="http://schemas.openxmlformats.org/officeDocument/2006/relationships/drawing" Target="../drawings/drawing24.xml" /><Relationship Id="rId3" Type="http://schemas.openxmlformats.org/officeDocument/2006/relationships/hyperlink" Target="bk://v_id/?1955" TargetMode="External" /><Relationship Id="rId21" Type="http://schemas.openxmlformats.org/officeDocument/2006/relationships/hyperlink" Target="bk://v_id/?1973" TargetMode="External" /><Relationship Id="rId34" Type="http://schemas.openxmlformats.org/officeDocument/2006/relationships/hyperlink" Target="bk://v_id/?1966" TargetMode="External" /><Relationship Id="rId7" Type="http://schemas.openxmlformats.org/officeDocument/2006/relationships/hyperlink" Target="bk://v_id/?1966" TargetMode="External" /><Relationship Id="rId12" Type="http://schemas.openxmlformats.org/officeDocument/2006/relationships/hyperlink" Target="bk://v_id/?1971" TargetMode="External" /><Relationship Id="rId17" Type="http://schemas.openxmlformats.org/officeDocument/2006/relationships/hyperlink" Target="bk://v_id/?1972" TargetMode="External" /><Relationship Id="rId25" Type="http://schemas.openxmlformats.org/officeDocument/2006/relationships/hyperlink" Target="bk://v_id/?1973" TargetMode="External" /><Relationship Id="rId33" Type="http://schemas.openxmlformats.org/officeDocument/2006/relationships/hyperlink" Target="bk://v_id/?1966" TargetMode="External" /><Relationship Id="rId38" Type="http://schemas.openxmlformats.org/officeDocument/2006/relationships/hyperlink" Target="bk://v_id/?1966" TargetMode="External" /><Relationship Id="rId2" Type="http://schemas.openxmlformats.org/officeDocument/2006/relationships/hyperlink" Target="bk://v_id/?1954" TargetMode="External" /><Relationship Id="rId16" Type="http://schemas.openxmlformats.org/officeDocument/2006/relationships/hyperlink" Target="bk://v_id/?1971" TargetMode="External" /><Relationship Id="rId20" Type="http://schemas.openxmlformats.org/officeDocument/2006/relationships/hyperlink" Target="bk://v_id/?1973" TargetMode="External" /><Relationship Id="rId29" Type="http://schemas.openxmlformats.org/officeDocument/2006/relationships/hyperlink" Target="bk://v_id/?1987" TargetMode="External" /><Relationship Id="rId1" Type="http://schemas.openxmlformats.org/officeDocument/2006/relationships/hyperlink" Target="bk://v_id/?1954" TargetMode="External" /><Relationship Id="rId6" Type="http://schemas.openxmlformats.org/officeDocument/2006/relationships/hyperlink" Target="bk://v_id/?1966" TargetMode="External" /><Relationship Id="rId11" Type="http://schemas.openxmlformats.org/officeDocument/2006/relationships/hyperlink" Target="bk://v_id/?1971" TargetMode="External" /><Relationship Id="rId24" Type="http://schemas.openxmlformats.org/officeDocument/2006/relationships/hyperlink" Target="bk://v_id/?1973" TargetMode="External" /><Relationship Id="rId32" Type="http://schemas.openxmlformats.org/officeDocument/2006/relationships/hyperlink" Target="bk://v_id/?1956" TargetMode="External" /><Relationship Id="rId37" Type="http://schemas.openxmlformats.org/officeDocument/2006/relationships/hyperlink" Target="bk://v_id/?1966" TargetMode="External" /><Relationship Id="rId5" Type="http://schemas.openxmlformats.org/officeDocument/2006/relationships/hyperlink" Target="bk://v_id/?1956" TargetMode="External" /><Relationship Id="rId15" Type="http://schemas.openxmlformats.org/officeDocument/2006/relationships/hyperlink" Target="bk://v_id/?1971" TargetMode="External" /><Relationship Id="rId23" Type="http://schemas.openxmlformats.org/officeDocument/2006/relationships/hyperlink" Target="bk://v_id/?1973" TargetMode="External" /><Relationship Id="rId28" Type="http://schemas.openxmlformats.org/officeDocument/2006/relationships/hyperlink" Target="bk://v_id/?1987" TargetMode="External" /><Relationship Id="rId36" Type="http://schemas.openxmlformats.org/officeDocument/2006/relationships/hyperlink" Target="bk://v_id/?1966" TargetMode="External" /><Relationship Id="rId10" Type="http://schemas.openxmlformats.org/officeDocument/2006/relationships/hyperlink" Target="bk://v_id/?1971" TargetMode="External" /><Relationship Id="rId19" Type="http://schemas.openxmlformats.org/officeDocument/2006/relationships/hyperlink" Target="bk://v_id/?1973" TargetMode="External" /><Relationship Id="rId31" Type="http://schemas.openxmlformats.org/officeDocument/2006/relationships/hyperlink" Target="bk://v_id/?1955" TargetMode="External" /><Relationship Id="rId4" Type="http://schemas.openxmlformats.org/officeDocument/2006/relationships/hyperlink" Target="bk://v_id/?1955" TargetMode="External" /><Relationship Id="rId9" Type="http://schemas.openxmlformats.org/officeDocument/2006/relationships/hyperlink" Target="bk://v_id/?1971" TargetMode="External" /><Relationship Id="rId14" Type="http://schemas.openxmlformats.org/officeDocument/2006/relationships/hyperlink" Target="bk://v_id/?1971" TargetMode="External" /><Relationship Id="rId22" Type="http://schemas.openxmlformats.org/officeDocument/2006/relationships/hyperlink" Target="bk://v_id/?1973" TargetMode="External" /><Relationship Id="rId27" Type="http://schemas.openxmlformats.org/officeDocument/2006/relationships/hyperlink" Target="bk://v_id/?1973" TargetMode="External" /><Relationship Id="rId30" Type="http://schemas.openxmlformats.org/officeDocument/2006/relationships/hyperlink" Target="bk://v_id/?1954" TargetMode="External" /><Relationship Id="rId35" Type="http://schemas.openxmlformats.org/officeDocument/2006/relationships/hyperlink" Target="bk://v_id/?1966" TargetMode="External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7"/>
  <sheetViews>
    <sheetView showGridLines="0" topLeftCell="A409" zoomScale="49" zoomScaleNormal="49" workbookViewId="0">
      <selection activeCell="C441" sqref="C441:C442"/>
    </sheetView>
  </sheetViews>
  <sheetFormatPr defaultColWidth="9.14453125" defaultRowHeight="21" x14ac:dyDescent="0.3"/>
  <cols>
    <col min="1" max="1" width="16.140625" style="1" customWidth="1"/>
    <col min="2" max="2" width="25.01953125" style="1" customWidth="1"/>
    <col min="3" max="3" width="13.5859375" style="1" customWidth="1"/>
    <col min="4" max="4" width="19.234375" style="1" customWidth="1"/>
    <col min="5" max="5" width="21.7890625" style="1" customWidth="1"/>
    <col min="6" max="6" width="19.7734375" style="1" customWidth="1"/>
    <col min="7" max="7" width="24.75" style="1" customWidth="1"/>
    <col min="8" max="8" width="17.21875" style="1" customWidth="1"/>
    <col min="9" max="9" width="15.87109375" style="1" customWidth="1"/>
    <col min="10" max="10" width="15.19921875" style="1" customWidth="1"/>
    <col min="11" max="11" width="10.4921875" style="1" customWidth="1"/>
    <col min="12" max="12" width="36.58984375" style="1" customWidth="1"/>
    <col min="13" max="16384" width="9.14453125" style="1"/>
  </cols>
  <sheetData>
    <row r="1" spans="1:12" ht="21" customHeight="1" x14ac:dyDescent="0.3">
      <c r="A1" s="2" t="s">
        <v>0</v>
      </c>
    </row>
    <row r="2" spans="1:12" ht="21" customHeight="1" x14ac:dyDescent="0.3">
      <c r="A2" s="2" t="s">
        <v>1</v>
      </c>
    </row>
    <row r="3" spans="1:12" ht="21" customHeight="1" x14ac:dyDescent="0.3">
      <c r="A3" s="1" t="s">
        <v>2</v>
      </c>
    </row>
    <row r="4" spans="1:12" ht="21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</row>
    <row r="5" spans="1:12" ht="21" customHeight="1" x14ac:dyDescent="0.3">
      <c r="A5" s="5">
        <v>46204</v>
      </c>
      <c r="B5" s="6" t="s">
        <v>15</v>
      </c>
      <c r="C5" s="7" t="s">
        <v>16</v>
      </c>
      <c r="D5" s="6"/>
      <c r="E5" s="8">
        <v>18500</v>
      </c>
      <c r="F5" s="8">
        <v>18500</v>
      </c>
      <c r="G5" s="9">
        <v>0</v>
      </c>
      <c r="H5" s="8">
        <v>18500</v>
      </c>
      <c r="I5" s="8">
        <v>16759</v>
      </c>
      <c r="J5" s="8">
        <v>1741</v>
      </c>
      <c r="K5" s="9">
        <v>9</v>
      </c>
      <c r="L5" s="6"/>
    </row>
    <row r="6" spans="1:12" ht="21" customHeight="1" x14ac:dyDescent="0.3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1:12" ht="21" customHeight="1" x14ac:dyDescent="0.3">
      <c r="A7" s="10"/>
      <c r="B7" s="11" t="s">
        <v>21</v>
      </c>
      <c r="C7" s="9">
        <v>1</v>
      </c>
      <c r="D7" s="12">
        <v>9000</v>
      </c>
      <c r="E7" s="8">
        <v>8122</v>
      </c>
      <c r="F7" s="13"/>
    </row>
    <row r="8" spans="1:12" ht="21" customHeight="1" x14ac:dyDescent="0.3">
      <c r="A8" s="10"/>
      <c r="B8" s="11" t="s">
        <v>22</v>
      </c>
      <c r="C8" s="9">
        <v>1</v>
      </c>
      <c r="D8" s="12">
        <v>9500</v>
      </c>
      <c r="E8" s="8">
        <v>8637</v>
      </c>
      <c r="F8" s="13"/>
    </row>
    <row r="9" spans="1:12" ht="21" customHeight="1" x14ac:dyDescent="0.3">
      <c r="A9" s="10"/>
      <c r="B9" s="14"/>
      <c r="C9" s="15"/>
      <c r="D9" s="15"/>
      <c r="E9" s="15"/>
      <c r="F9" s="14"/>
    </row>
    <row r="10" spans="1:12" ht="21" customHeight="1" x14ac:dyDescent="0.3">
      <c r="A10" s="16">
        <v>46204</v>
      </c>
      <c r="B10" s="6" t="s">
        <v>15</v>
      </c>
      <c r="C10" s="7" t="s">
        <v>23</v>
      </c>
      <c r="D10" s="6"/>
      <c r="E10" s="8">
        <v>5400</v>
      </c>
      <c r="F10" s="8">
        <v>5400</v>
      </c>
      <c r="G10" s="9">
        <v>0</v>
      </c>
      <c r="H10" s="8">
        <v>5400</v>
      </c>
      <c r="I10" s="8">
        <v>5200</v>
      </c>
      <c r="J10" s="9">
        <v>200</v>
      </c>
      <c r="K10" s="9">
        <v>4</v>
      </c>
      <c r="L10" s="6"/>
    </row>
    <row r="11" spans="1:12" ht="21" customHeight="1" x14ac:dyDescent="0.3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1:12" ht="21" customHeight="1" x14ac:dyDescent="0.3">
      <c r="A12" s="10"/>
      <c r="B12" s="11" t="s">
        <v>24</v>
      </c>
      <c r="C12" s="9">
        <v>1</v>
      </c>
      <c r="D12" s="12">
        <v>5400</v>
      </c>
      <c r="E12" s="8">
        <v>5200</v>
      </c>
      <c r="F12" s="13"/>
    </row>
    <row r="13" spans="1:12" ht="21" customHeight="1" x14ac:dyDescent="0.3">
      <c r="A13" s="10"/>
      <c r="B13" s="14"/>
      <c r="C13" s="15"/>
      <c r="D13" s="15"/>
      <c r="E13" s="15"/>
      <c r="F13" s="14"/>
    </row>
    <row r="14" spans="1:12" ht="21" customHeight="1" x14ac:dyDescent="0.3">
      <c r="A14" s="16">
        <v>46204</v>
      </c>
      <c r="B14" s="6" t="s">
        <v>25</v>
      </c>
      <c r="C14" s="7" t="s">
        <v>26</v>
      </c>
      <c r="D14" s="6"/>
      <c r="E14" s="8">
        <v>1533700</v>
      </c>
      <c r="F14" s="8">
        <v>1533700</v>
      </c>
      <c r="G14" s="9">
        <v>0</v>
      </c>
      <c r="H14" s="8">
        <v>1533700</v>
      </c>
      <c r="I14" s="8">
        <v>1579003</v>
      </c>
      <c r="J14" s="8">
        <v>-45303</v>
      </c>
      <c r="K14" s="9">
        <v>-3</v>
      </c>
      <c r="L14" s="6"/>
    </row>
    <row r="15" spans="1:12" ht="21" customHeight="1" x14ac:dyDescent="0.3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1:12" ht="21" customHeight="1" x14ac:dyDescent="0.3">
      <c r="A16" s="10"/>
      <c r="B16" s="11" t="s">
        <v>24</v>
      </c>
      <c r="C16" s="9">
        <v>200</v>
      </c>
      <c r="D16" s="12">
        <v>4950</v>
      </c>
      <c r="E16" s="8">
        <v>1040000</v>
      </c>
      <c r="F16" s="13"/>
    </row>
    <row r="17" spans="1:12" ht="21" customHeight="1" x14ac:dyDescent="0.3">
      <c r="A17" s="10"/>
      <c r="B17" s="11" t="s">
        <v>27</v>
      </c>
      <c r="C17" s="9">
        <v>35</v>
      </c>
      <c r="D17" s="12">
        <v>8020</v>
      </c>
      <c r="E17" s="8">
        <v>268975</v>
      </c>
      <c r="F17" s="13"/>
    </row>
    <row r="18" spans="1:12" ht="21" customHeight="1" x14ac:dyDescent="0.3">
      <c r="A18" s="10"/>
      <c r="B18" s="11" t="s">
        <v>28</v>
      </c>
      <c r="C18" s="9">
        <v>20</v>
      </c>
      <c r="D18" s="12">
        <v>13150</v>
      </c>
      <c r="E18" s="8">
        <v>270028</v>
      </c>
      <c r="F18" s="13"/>
      <c r="J18" s="17">
        <f>SUM(J5:J14)</f>
        <v>-43362</v>
      </c>
    </row>
    <row r="19" spans="1:12" ht="21" customHeight="1" x14ac:dyDescent="0.3">
      <c r="A19" s="10"/>
      <c r="B19" s="14"/>
      <c r="C19" s="15"/>
      <c r="D19" s="15"/>
      <c r="E19" s="15"/>
      <c r="F19" s="14"/>
    </row>
    <row r="20" spans="1:12" ht="21" customHeight="1" x14ac:dyDescent="0.3">
      <c r="A20" s="5">
        <v>46205</v>
      </c>
      <c r="B20" s="6" t="s">
        <v>29</v>
      </c>
      <c r="C20" s="7" t="s">
        <v>30</v>
      </c>
      <c r="D20" s="6"/>
      <c r="E20" s="8">
        <v>821130</v>
      </c>
      <c r="F20" s="8">
        <v>821130</v>
      </c>
      <c r="G20" s="9">
        <v>0</v>
      </c>
      <c r="H20" s="8">
        <v>821130</v>
      </c>
      <c r="I20" s="8">
        <v>811313</v>
      </c>
      <c r="J20" s="8">
        <v>9817</v>
      </c>
      <c r="K20" s="9">
        <v>1</v>
      </c>
      <c r="L20" s="6"/>
    </row>
    <row r="21" spans="1:12" ht="21" customHeight="1" x14ac:dyDescent="0.3">
      <c r="A21" s="10"/>
      <c r="B21" s="3" t="s">
        <v>17</v>
      </c>
      <c r="C21" s="4" t="s">
        <v>18</v>
      </c>
      <c r="D21" s="4" t="s">
        <v>19</v>
      </c>
      <c r="E21" s="4" t="s">
        <v>11</v>
      </c>
      <c r="F21" s="3" t="s">
        <v>20</v>
      </c>
    </row>
    <row r="22" spans="1:12" ht="21" customHeight="1" x14ac:dyDescent="0.3">
      <c r="A22" s="10"/>
      <c r="B22" s="11" t="s">
        <v>24</v>
      </c>
      <c r="C22" s="9">
        <v>40</v>
      </c>
      <c r="D22" s="12">
        <v>4900</v>
      </c>
      <c r="E22" s="8">
        <v>208000</v>
      </c>
      <c r="F22" s="13"/>
    </row>
    <row r="23" spans="1:12" ht="21" customHeight="1" x14ac:dyDescent="0.3">
      <c r="A23" s="10"/>
      <c r="B23" s="11" t="s">
        <v>31</v>
      </c>
      <c r="C23" s="9">
        <v>15</v>
      </c>
      <c r="D23" s="12">
        <v>17845</v>
      </c>
      <c r="E23" s="8">
        <v>256500</v>
      </c>
      <c r="F23" s="13"/>
    </row>
    <row r="24" spans="1:12" ht="21" customHeight="1" x14ac:dyDescent="0.3">
      <c r="A24" s="10"/>
      <c r="B24" s="11" t="s">
        <v>32</v>
      </c>
      <c r="C24" s="9">
        <v>3</v>
      </c>
      <c r="D24" s="12">
        <v>16145</v>
      </c>
      <c r="E24" s="8">
        <v>45746</v>
      </c>
      <c r="F24" s="13"/>
    </row>
    <row r="25" spans="1:12" ht="21" customHeight="1" x14ac:dyDescent="0.3">
      <c r="A25" s="10"/>
      <c r="B25" s="11" t="s">
        <v>33</v>
      </c>
      <c r="C25" s="9">
        <v>2</v>
      </c>
      <c r="D25" s="12">
        <v>16145</v>
      </c>
      <c r="E25" s="8">
        <v>31110</v>
      </c>
      <c r="F25" s="13"/>
    </row>
    <row r="26" spans="1:12" ht="21" customHeight="1" x14ac:dyDescent="0.3">
      <c r="A26" s="10"/>
      <c r="B26" s="11" t="s">
        <v>28</v>
      </c>
      <c r="C26" s="9">
        <v>5</v>
      </c>
      <c r="D26" s="12">
        <v>13200</v>
      </c>
      <c r="E26" s="8">
        <v>67507</v>
      </c>
      <c r="F26" s="13"/>
    </row>
    <row r="27" spans="1:12" ht="21" customHeight="1" x14ac:dyDescent="0.3">
      <c r="A27" s="10"/>
      <c r="B27" s="11" t="s">
        <v>34</v>
      </c>
      <c r="C27" s="9">
        <v>2</v>
      </c>
      <c r="D27" s="12">
        <v>22740</v>
      </c>
      <c r="E27" s="8">
        <v>43190</v>
      </c>
      <c r="F27" s="13"/>
    </row>
    <row r="28" spans="1:12" ht="21" customHeight="1" x14ac:dyDescent="0.3">
      <c r="A28" s="10"/>
      <c r="B28" s="11" t="s">
        <v>35</v>
      </c>
      <c r="C28" s="9">
        <v>2</v>
      </c>
      <c r="D28" s="12">
        <v>21170</v>
      </c>
      <c r="E28" s="8">
        <v>40810</v>
      </c>
      <c r="F28" s="13"/>
    </row>
    <row r="29" spans="1:12" ht="21" customHeight="1" x14ac:dyDescent="0.3">
      <c r="A29" s="10"/>
      <c r="B29" s="11" t="s">
        <v>36</v>
      </c>
      <c r="C29" s="9">
        <v>6</v>
      </c>
      <c r="D29" s="12">
        <v>15525</v>
      </c>
      <c r="E29" s="8">
        <v>89400</v>
      </c>
      <c r="F29" s="13"/>
    </row>
    <row r="30" spans="1:12" ht="21" customHeight="1" x14ac:dyDescent="0.3">
      <c r="A30" s="10"/>
      <c r="B30" s="11" t="s">
        <v>37</v>
      </c>
      <c r="C30" s="9">
        <v>2</v>
      </c>
      <c r="D30" s="12">
        <v>8880</v>
      </c>
      <c r="E30" s="8">
        <v>17050</v>
      </c>
      <c r="F30" s="13"/>
    </row>
    <row r="31" spans="1:12" ht="21" customHeight="1" x14ac:dyDescent="0.3">
      <c r="A31" s="10"/>
      <c r="B31" s="11" t="s">
        <v>38</v>
      </c>
      <c r="C31" s="9">
        <v>8</v>
      </c>
      <c r="D31" s="8">
        <v>1500</v>
      </c>
      <c r="E31" s="8">
        <v>12000</v>
      </c>
      <c r="F31" s="13"/>
    </row>
    <row r="32" spans="1:12" ht="21" customHeight="1" x14ac:dyDescent="0.3">
      <c r="A32" s="10"/>
      <c r="B32" s="14"/>
      <c r="C32" s="15"/>
      <c r="D32" s="15"/>
      <c r="E32" s="15"/>
      <c r="F32" s="14"/>
    </row>
    <row r="33" spans="1:12" ht="21" customHeight="1" x14ac:dyDescent="0.3">
      <c r="A33" s="16">
        <v>46205</v>
      </c>
      <c r="B33" s="6" t="s">
        <v>29</v>
      </c>
      <c r="C33" s="7" t="s">
        <v>39</v>
      </c>
      <c r="D33" s="6"/>
      <c r="E33" s="8">
        <v>256500</v>
      </c>
      <c r="F33" s="8">
        <v>256500</v>
      </c>
      <c r="G33" s="9">
        <v>0</v>
      </c>
      <c r="H33" s="8">
        <v>256500</v>
      </c>
      <c r="I33" s="8">
        <v>256500</v>
      </c>
      <c r="J33" s="9">
        <v>0</v>
      </c>
      <c r="K33" s="9">
        <v>0</v>
      </c>
      <c r="L33" s="6"/>
    </row>
    <row r="34" spans="1:12" ht="21" customHeight="1" x14ac:dyDescent="0.3">
      <c r="A34" s="10"/>
      <c r="B34" s="3" t="s">
        <v>17</v>
      </c>
      <c r="C34" s="4" t="s">
        <v>18</v>
      </c>
      <c r="D34" s="4" t="s">
        <v>19</v>
      </c>
      <c r="E34" s="4" t="s">
        <v>11</v>
      </c>
      <c r="F34" s="3" t="s">
        <v>20</v>
      </c>
    </row>
    <row r="35" spans="1:12" ht="21" customHeight="1" x14ac:dyDescent="0.3">
      <c r="A35" s="10"/>
      <c r="B35" s="11" t="s">
        <v>31</v>
      </c>
      <c r="C35" s="9">
        <v>15</v>
      </c>
      <c r="D35" s="12">
        <v>17100</v>
      </c>
      <c r="E35" s="8">
        <v>256500</v>
      </c>
      <c r="F35" s="13"/>
    </row>
    <row r="36" spans="1:12" ht="21" customHeight="1" x14ac:dyDescent="0.3">
      <c r="A36" s="10"/>
      <c r="B36" s="14"/>
      <c r="C36" s="15"/>
      <c r="D36" s="15"/>
      <c r="E36" s="15"/>
      <c r="F36" s="14"/>
    </row>
    <row r="37" spans="1:12" ht="21" customHeight="1" x14ac:dyDescent="0.3">
      <c r="A37" s="16">
        <v>46205</v>
      </c>
      <c r="B37" s="6" t="s">
        <v>40</v>
      </c>
      <c r="C37" s="7" t="s">
        <v>41</v>
      </c>
      <c r="D37" s="6"/>
      <c r="E37" s="8">
        <v>86000</v>
      </c>
      <c r="F37" s="8">
        <v>86000</v>
      </c>
      <c r="G37" s="9">
        <v>0</v>
      </c>
      <c r="H37" s="8">
        <v>86000</v>
      </c>
      <c r="I37" s="8">
        <v>86374</v>
      </c>
      <c r="J37" s="9">
        <v>-374</v>
      </c>
      <c r="K37" s="9">
        <v>0</v>
      </c>
      <c r="L37" s="6"/>
    </row>
    <row r="38" spans="1:12" ht="21" customHeight="1" x14ac:dyDescent="0.3">
      <c r="A38" s="10"/>
      <c r="B38" s="3" t="s">
        <v>17</v>
      </c>
      <c r="C38" s="4" t="s">
        <v>18</v>
      </c>
      <c r="D38" s="4" t="s">
        <v>19</v>
      </c>
      <c r="E38" s="4" t="s">
        <v>11</v>
      </c>
      <c r="F38" s="3" t="s">
        <v>20</v>
      </c>
    </row>
    <row r="39" spans="1:12" ht="21" customHeight="1" x14ac:dyDescent="0.3">
      <c r="A39" s="10"/>
      <c r="B39" s="11" t="s">
        <v>22</v>
      </c>
      <c r="C39" s="9">
        <v>10</v>
      </c>
      <c r="D39" s="12">
        <v>8600</v>
      </c>
      <c r="E39" s="8">
        <v>86374</v>
      </c>
      <c r="F39" s="13"/>
    </row>
    <row r="40" spans="1:12" ht="21" customHeight="1" x14ac:dyDescent="0.3">
      <c r="A40" s="10"/>
      <c r="B40" s="14"/>
      <c r="C40" s="15"/>
      <c r="D40" s="15"/>
      <c r="E40" s="15"/>
      <c r="F40" s="14"/>
    </row>
    <row r="41" spans="1:12" ht="21" customHeight="1" x14ac:dyDescent="0.3">
      <c r="A41" s="16">
        <v>46205</v>
      </c>
      <c r="B41" s="6" t="s">
        <v>29</v>
      </c>
      <c r="C41" s="7" t="s">
        <v>42</v>
      </c>
      <c r="D41" s="6"/>
      <c r="E41" s="8">
        <v>62070</v>
      </c>
      <c r="F41" s="8">
        <v>62070</v>
      </c>
      <c r="G41" s="9">
        <v>0</v>
      </c>
      <c r="H41" s="8">
        <v>62070</v>
      </c>
      <c r="I41" s="8">
        <v>59758</v>
      </c>
      <c r="J41" s="8">
        <v>2312</v>
      </c>
      <c r="K41" s="9">
        <v>4</v>
      </c>
      <c r="L41" s="6"/>
    </row>
    <row r="42" spans="1:12" ht="21" customHeight="1" x14ac:dyDescent="0.3">
      <c r="A42" s="10"/>
      <c r="B42" s="3" t="s">
        <v>17</v>
      </c>
      <c r="C42" s="4" t="s">
        <v>18</v>
      </c>
      <c r="D42" s="4" t="s">
        <v>19</v>
      </c>
      <c r="E42" s="4" t="s">
        <v>11</v>
      </c>
      <c r="F42" s="3" t="s">
        <v>20</v>
      </c>
    </row>
    <row r="43" spans="1:12" ht="21" customHeight="1" x14ac:dyDescent="0.3">
      <c r="A43" s="10"/>
      <c r="B43" s="11" t="s">
        <v>43</v>
      </c>
      <c r="C43" s="9">
        <v>1</v>
      </c>
      <c r="D43" s="12">
        <v>17700</v>
      </c>
      <c r="E43" s="8">
        <v>17150</v>
      </c>
      <c r="F43" s="13"/>
    </row>
    <row r="44" spans="1:12" ht="21" customHeight="1" x14ac:dyDescent="0.3">
      <c r="A44" s="10"/>
      <c r="B44" s="11" t="s">
        <v>21</v>
      </c>
      <c r="C44" s="9">
        <v>1</v>
      </c>
      <c r="D44" s="12">
        <v>8500</v>
      </c>
      <c r="E44" s="8">
        <v>8122</v>
      </c>
      <c r="F44" s="13"/>
    </row>
    <row r="45" spans="1:12" ht="21" customHeight="1" x14ac:dyDescent="0.3">
      <c r="A45" s="10"/>
      <c r="B45" s="11" t="s">
        <v>44</v>
      </c>
      <c r="C45" s="9">
        <v>1</v>
      </c>
      <c r="D45" s="12">
        <v>9200</v>
      </c>
      <c r="E45" s="8">
        <v>8990</v>
      </c>
      <c r="F45" s="13"/>
    </row>
    <row r="46" spans="1:12" ht="21" customHeight="1" x14ac:dyDescent="0.3">
      <c r="A46" s="10"/>
      <c r="B46" s="11" t="s">
        <v>45</v>
      </c>
      <c r="C46" s="9">
        <v>2</v>
      </c>
      <c r="D46" s="12">
        <v>13335</v>
      </c>
      <c r="E46" s="8">
        <v>25496</v>
      </c>
      <c r="F46" s="13"/>
    </row>
    <row r="47" spans="1:12" ht="21" customHeight="1" x14ac:dyDescent="0.3">
      <c r="A47" s="10"/>
      <c r="B47" s="14"/>
      <c r="C47" s="15"/>
      <c r="D47" s="15"/>
      <c r="E47" s="15"/>
      <c r="F47" s="14"/>
    </row>
    <row r="48" spans="1:12" ht="21" customHeight="1" x14ac:dyDescent="0.3">
      <c r="A48" s="16">
        <v>46205</v>
      </c>
      <c r="B48" s="6" t="s">
        <v>40</v>
      </c>
      <c r="C48" s="7" t="s">
        <v>46</v>
      </c>
      <c r="D48" s="6"/>
      <c r="E48" s="8">
        <v>15000</v>
      </c>
      <c r="F48" s="8">
        <v>15000</v>
      </c>
      <c r="G48" s="9">
        <v>0</v>
      </c>
      <c r="H48" s="8">
        <v>15000</v>
      </c>
      <c r="I48" s="8">
        <v>15000</v>
      </c>
      <c r="J48" s="9">
        <v>0</v>
      </c>
      <c r="K48" s="9">
        <v>0</v>
      </c>
      <c r="L48" s="6"/>
    </row>
    <row r="49" spans="1:12" ht="21" customHeight="1" x14ac:dyDescent="0.3">
      <c r="A49" s="10"/>
      <c r="B49" s="3" t="s">
        <v>17</v>
      </c>
      <c r="C49" s="4" t="s">
        <v>18</v>
      </c>
      <c r="D49" s="4" t="s">
        <v>19</v>
      </c>
      <c r="E49" s="4" t="s">
        <v>11</v>
      </c>
      <c r="F49" s="3" t="s">
        <v>20</v>
      </c>
    </row>
    <row r="50" spans="1:12" ht="21" customHeight="1" x14ac:dyDescent="0.3">
      <c r="A50" s="10"/>
      <c r="B50" s="11" t="s">
        <v>38</v>
      </c>
      <c r="C50" s="9">
        <v>10</v>
      </c>
      <c r="D50" s="8">
        <v>1500</v>
      </c>
      <c r="E50" s="8">
        <v>15000</v>
      </c>
      <c r="F50" s="13"/>
    </row>
    <row r="51" spans="1:12" ht="21" customHeight="1" x14ac:dyDescent="0.3">
      <c r="A51" s="10"/>
      <c r="B51" s="14"/>
      <c r="C51" s="15"/>
      <c r="D51" s="15"/>
      <c r="E51" s="15"/>
      <c r="F51" s="14"/>
    </row>
    <row r="52" spans="1:12" s="22" customFormat="1" ht="21" customHeight="1" x14ac:dyDescent="0.3">
      <c r="A52" s="5">
        <v>46205</v>
      </c>
      <c r="B52" s="18" t="s">
        <v>29</v>
      </c>
      <c r="C52" s="19" t="s">
        <v>47</v>
      </c>
      <c r="D52" s="18"/>
      <c r="E52" s="20">
        <v>11100</v>
      </c>
      <c r="F52" s="20">
        <v>11100</v>
      </c>
      <c r="G52" s="21">
        <v>0</v>
      </c>
      <c r="H52" s="20">
        <v>11100</v>
      </c>
      <c r="I52" s="20">
        <v>8109</v>
      </c>
      <c r="J52" s="20">
        <v>2991</v>
      </c>
      <c r="K52" s="21">
        <v>27</v>
      </c>
      <c r="L52" s="18"/>
    </row>
    <row r="53" spans="1:12" ht="21" customHeight="1" x14ac:dyDescent="0.3">
      <c r="A53" s="10"/>
      <c r="B53" s="3" t="s">
        <v>17</v>
      </c>
      <c r="C53" s="4" t="s">
        <v>18</v>
      </c>
      <c r="D53" s="4" t="s">
        <v>19</v>
      </c>
      <c r="E53" s="4" t="s">
        <v>11</v>
      </c>
      <c r="F53" s="3" t="s">
        <v>20</v>
      </c>
    </row>
    <row r="54" spans="1:12" ht="21" customHeight="1" x14ac:dyDescent="0.3">
      <c r="A54" s="10"/>
      <c r="B54" s="11" t="s">
        <v>38</v>
      </c>
      <c r="C54" s="9">
        <v>3</v>
      </c>
      <c r="D54" s="8">
        <v>1500</v>
      </c>
      <c r="E54" s="8">
        <v>4500</v>
      </c>
      <c r="F54" s="13"/>
    </row>
    <row r="55" spans="1:12" ht="21" customHeight="1" x14ac:dyDescent="0.3">
      <c r="A55" s="10"/>
      <c r="B55" s="11" t="s">
        <v>48</v>
      </c>
      <c r="C55" s="9">
        <v>1</v>
      </c>
      <c r="D55" s="8">
        <v>1600</v>
      </c>
      <c r="E55" s="8">
        <v>1600</v>
      </c>
      <c r="F55" s="13"/>
    </row>
    <row r="56" spans="1:12" ht="21" customHeight="1" x14ac:dyDescent="0.3">
      <c r="A56" s="10"/>
      <c r="B56" s="11" t="s">
        <v>49</v>
      </c>
      <c r="C56" s="9">
        <v>1</v>
      </c>
      <c r="D56" s="8">
        <v>5000</v>
      </c>
      <c r="E56" s="8">
        <v>2009</v>
      </c>
      <c r="F56" s="13"/>
    </row>
    <row r="57" spans="1:12" ht="21" customHeight="1" x14ac:dyDescent="0.3">
      <c r="A57" s="10"/>
      <c r="B57" s="14"/>
      <c r="C57" s="15"/>
      <c r="D57" s="15"/>
      <c r="E57" s="15"/>
      <c r="F57" s="14"/>
    </row>
    <row r="58" spans="1:12" ht="21" customHeight="1" x14ac:dyDescent="0.3">
      <c r="A58" s="16">
        <v>46205</v>
      </c>
      <c r="B58" s="6" t="s">
        <v>50</v>
      </c>
      <c r="C58" s="7" t="s">
        <v>51</v>
      </c>
      <c r="D58" s="6"/>
      <c r="E58" s="8">
        <v>1421000</v>
      </c>
      <c r="F58" s="8">
        <v>1421000</v>
      </c>
      <c r="G58" s="9">
        <v>0</v>
      </c>
      <c r="H58" s="8">
        <v>1421000</v>
      </c>
      <c r="I58" s="8">
        <v>1426855</v>
      </c>
      <c r="J58" s="8">
        <v>-5855</v>
      </c>
      <c r="K58" s="9">
        <v>0</v>
      </c>
      <c r="L58" s="6"/>
    </row>
    <row r="59" spans="1:12" ht="21" customHeight="1" x14ac:dyDescent="0.3">
      <c r="A59" s="10"/>
      <c r="B59" s="3" t="s">
        <v>17</v>
      </c>
      <c r="C59" s="4" t="s">
        <v>18</v>
      </c>
      <c r="D59" s="4" t="s">
        <v>19</v>
      </c>
      <c r="E59" s="4" t="s">
        <v>11</v>
      </c>
      <c r="F59" s="3" t="s">
        <v>20</v>
      </c>
    </row>
    <row r="60" spans="1:12" ht="21" customHeight="1" x14ac:dyDescent="0.3">
      <c r="A60" s="10"/>
      <c r="B60" s="11" t="s">
        <v>33</v>
      </c>
      <c r="C60" s="9">
        <v>25</v>
      </c>
      <c r="D60" s="12">
        <v>15655</v>
      </c>
      <c r="E60" s="8">
        <v>388875</v>
      </c>
      <c r="F60" s="13"/>
    </row>
    <row r="61" spans="1:12" ht="21" customHeight="1" x14ac:dyDescent="0.3">
      <c r="A61" s="10"/>
      <c r="B61" s="11" t="s">
        <v>32</v>
      </c>
      <c r="C61" s="9">
        <v>30</v>
      </c>
      <c r="D61" s="12">
        <v>15655</v>
      </c>
      <c r="E61" s="8">
        <v>457456</v>
      </c>
      <c r="F61" s="13"/>
    </row>
    <row r="62" spans="1:12" ht="21" customHeight="1" x14ac:dyDescent="0.3">
      <c r="A62" s="10"/>
      <c r="B62" s="11" t="s">
        <v>28</v>
      </c>
      <c r="C62" s="9">
        <v>35</v>
      </c>
      <c r="D62" s="12">
        <v>12900</v>
      </c>
      <c r="E62" s="8">
        <v>472549</v>
      </c>
      <c r="F62" s="13"/>
    </row>
    <row r="63" spans="1:12" ht="21" customHeight="1" x14ac:dyDescent="0.3">
      <c r="A63" s="10"/>
      <c r="B63" s="11" t="s">
        <v>34</v>
      </c>
      <c r="C63" s="9">
        <v>5</v>
      </c>
      <c r="D63" s="12">
        <v>21695</v>
      </c>
      <c r="E63" s="8">
        <v>107975</v>
      </c>
      <c r="F63" s="13"/>
    </row>
    <row r="64" spans="1:12" ht="21" customHeight="1" x14ac:dyDescent="0.3">
      <c r="A64" s="10"/>
      <c r="B64" s="14"/>
      <c r="C64" s="15"/>
      <c r="D64" s="15"/>
      <c r="E64" s="15"/>
      <c r="F64" s="14"/>
    </row>
    <row r="65" spans="1:12" ht="21" customHeight="1" x14ac:dyDescent="0.3">
      <c r="A65" s="16">
        <v>46205</v>
      </c>
      <c r="B65" s="6" t="s">
        <v>29</v>
      </c>
      <c r="C65" s="7" t="s">
        <v>52</v>
      </c>
      <c r="D65" s="6"/>
      <c r="E65" s="8">
        <v>56940</v>
      </c>
      <c r="F65" s="8">
        <v>56940</v>
      </c>
      <c r="G65" s="9">
        <v>0</v>
      </c>
      <c r="H65" s="8">
        <v>56940</v>
      </c>
      <c r="I65" s="8">
        <v>55795</v>
      </c>
      <c r="J65" s="8">
        <v>1145</v>
      </c>
      <c r="K65" s="9">
        <v>2</v>
      </c>
      <c r="L65" s="6"/>
    </row>
    <row r="66" spans="1:12" ht="21" customHeight="1" x14ac:dyDescent="0.3">
      <c r="A66" s="10"/>
      <c r="B66" s="3" t="s">
        <v>17</v>
      </c>
      <c r="C66" s="4" t="s">
        <v>18</v>
      </c>
      <c r="D66" s="4" t="s">
        <v>19</v>
      </c>
      <c r="E66" s="4" t="s">
        <v>11</v>
      </c>
      <c r="F66" s="3" t="s">
        <v>20</v>
      </c>
    </row>
    <row r="67" spans="1:12" ht="21" customHeight="1" x14ac:dyDescent="0.3">
      <c r="A67" s="10"/>
      <c r="B67" s="11" t="s">
        <v>31</v>
      </c>
      <c r="C67" s="9">
        <v>2</v>
      </c>
      <c r="D67" s="12">
        <v>17100</v>
      </c>
      <c r="E67" s="8">
        <v>34200</v>
      </c>
      <c r="F67" s="13"/>
    </row>
    <row r="68" spans="1:12" ht="21" customHeight="1" x14ac:dyDescent="0.3">
      <c r="A68" s="10"/>
      <c r="B68" s="11" t="s">
        <v>34</v>
      </c>
      <c r="C68" s="9">
        <v>1</v>
      </c>
      <c r="D68" s="12">
        <v>22740</v>
      </c>
      <c r="E68" s="8">
        <v>21595</v>
      </c>
      <c r="F68" s="13"/>
    </row>
    <row r="69" spans="1:12" ht="21" customHeight="1" x14ac:dyDescent="0.3">
      <c r="A69" s="10"/>
      <c r="B69" s="14"/>
      <c r="C69" s="15"/>
      <c r="D69" s="15"/>
      <c r="E69" s="15"/>
      <c r="F69" s="14"/>
    </row>
    <row r="70" spans="1:12" ht="21" customHeight="1" x14ac:dyDescent="0.3">
      <c r="A70" s="16">
        <v>46205</v>
      </c>
      <c r="B70" s="6" t="s">
        <v>40</v>
      </c>
      <c r="C70" s="7" t="s">
        <v>53</v>
      </c>
      <c r="D70" s="6"/>
      <c r="E70" s="8">
        <v>17200</v>
      </c>
      <c r="F70" s="8">
        <v>17200</v>
      </c>
      <c r="G70" s="9">
        <v>0</v>
      </c>
      <c r="H70" s="8">
        <v>17200</v>
      </c>
      <c r="I70" s="8">
        <v>17275</v>
      </c>
      <c r="J70" s="9">
        <v>-75</v>
      </c>
      <c r="K70" s="9">
        <v>0</v>
      </c>
      <c r="L70" s="6"/>
    </row>
    <row r="71" spans="1:12" ht="21" customHeight="1" x14ac:dyDescent="0.3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1:12" ht="21" customHeight="1" x14ac:dyDescent="0.3">
      <c r="A72" s="10"/>
      <c r="B72" s="11" t="s">
        <v>22</v>
      </c>
      <c r="C72" s="9">
        <v>2</v>
      </c>
      <c r="D72" s="12">
        <v>8600</v>
      </c>
      <c r="E72" s="8">
        <v>17275</v>
      </c>
      <c r="F72" s="13"/>
    </row>
    <row r="73" spans="1:12" ht="21" customHeight="1" x14ac:dyDescent="0.3">
      <c r="A73" s="10"/>
      <c r="B73" s="14"/>
      <c r="C73" s="15"/>
      <c r="D73" s="15"/>
      <c r="E73" s="15"/>
      <c r="F73" s="14"/>
    </row>
    <row r="74" spans="1:12" ht="21" customHeight="1" x14ac:dyDescent="0.3">
      <c r="A74" s="16">
        <v>46205</v>
      </c>
      <c r="B74" s="6" t="s">
        <v>29</v>
      </c>
      <c r="C74" s="7" t="s">
        <v>54</v>
      </c>
      <c r="D74" s="6"/>
      <c r="E74" s="8">
        <v>8880</v>
      </c>
      <c r="F74" s="8">
        <v>8880</v>
      </c>
      <c r="G74" s="9">
        <v>0</v>
      </c>
      <c r="H74" s="8">
        <v>8880</v>
      </c>
      <c r="I74" s="8">
        <v>8525</v>
      </c>
      <c r="J74" s="9">
        <v>355</v>
      </c>
      <c r="K74" s="9">
        <v>4</v>
      </c>
      <c r="L74" s="6"/>
    </row>
    <row r="75" spans="1:12" ht="21" customHeight="1" x14ac:dyDescent="0.3">
      <c r="A75" s="10"/>
      <c r="B75" s="3" t="s">
        <v>17</v>
      </c>
      <c r="C75" s="4" t="s">
        <v>18</v>
      </c>
      <c r="D75" s="4" t="s">
        <v>19</v>
      </c>
      <c r="E75" s="4" t="s">
        <v>11</v>
      </c>
      <c r="F75" s="3" t="s">
        <v>20</v>
      </c>
    </row>
    <row r="76" spans="1:12" ht="21" customHeight="1" x14ac:dyDescent="0.3">
      <c r="A76" s="10"/>
      <c r="B76" s="11" t="s">
        <v>37</v>
      </c>
      <c r="C76" s="9">
        <v>1</v>
      </c>
      <c r="D76" s="8">
        <v>8880</v>
      </c>
      <c r="E76" s="8">
        <v>8525</v>
      </c>
      <c r="F76" s="13"/>
    </row>
    <row r="77" spans="1:12" ht="21" customHeight="1" x14ac:dyDescent="0.3">
      <c r="A77" s="10"/>
      <c r="B77" s="14"/>
      <c r="C77" s="15"/>
      <c r="D77" s="15"/>
      <c r="E77" s="15"/>
      <c r="F77" s="14"/>
    </row>
    <row r="78" spans="1:12" ht="21" customHeight="1" x14ac:dyDescent="0.3">
      <c r="A78" s="16">
        <v>46205</v>
      </c>
      <c r="B78" s="6" t="s">
        <v>25</v>
      </c>
      <c r="C78" s="7" t="s">
        <v>55</v>
      </c>
      <c r="D78" s="6"/>
      <c r="E78" s="8">
        <v>1324235</v>
      </c>
      <c r="F78" s="8">
        <v>1324235</v>
      </c>
      <c r="G78" s="9">
        <v>0</v>
      </c>
      <c r="H78" s="8">
        <v>1324235</v>
      </c>
      <c r="I78" s="8">
        <v>1374250</v>
      </c>
      <c r="J78" s="8">
        <v>-50015</v>
      </c>
      <c r="K78" s="9">
        <v>-4</v>
      </c>
      <c r="L78" s="6"/>
    </row>
    <row r="79" spans="1:12" ht="21" customHeight="1" x14ac:dyDescent="0.3">
      <c r="A79" s="10"/>
      <c r="B79" s="3" t="s">
        <v>17</v>
      </c>
      <c r="C79" s="4" t="s">
        <v>18</v>
      </c>
      <c r="D79" s="4" t="s">
        <v>19</v>
      </c>
      <c r="E79" s="4" t="s">
        <v>11</v>
      </c>
      <c r="F79" s="3" t="s">
        <v>20</v>
      </c>
    </row>
    <row r="80" spans="1:12" ht="21" customHeight="1" x14ac:dyDescent="0.3">
      <c r="A80" s="10"/>
      <c r="B80" s="11" t="s">
        <v>24</v>
      </c>
      <c r="C80" s="9">
        <v>260</v>
      </c>
      <c r="D80" s="12">
        <v>5000</v>
      </c>
      <c r="E80" s="8">
        <v>1352000</v>
      </c>
      <c r="F80" s="13"/>
    </row>
    <row r="81" spans="1:12" ht="21" customHeight="1" x14ac:dyDescent="0.3">
      <c r="A81" s="10"/>
      <c r="B81" s="11" t="s">
        <v>56</v>
      </c>
      <c r="C81" s="9">
        <v>1</v>
      </c>
      <c r="D81" s="12">
        <v>24235</v>
      </c>
      <c r="E81" s="8">
        <v>22250</v>
      </c>
      <c r="F81" s="13"/>
    </row>
    <row r="82" spans="1:12" ht="21" customHeight="1" x14ac:dyDescent="0.3">
      <c r="A82" s="10"/>
      <c r="B82" s="14"/>
      <c r="C82" s="15"/>
      <c r="D82" s="15"/>
      <c r="E82" s="15"/>
      <c r="F82" s="14"/>
    </row>
    <row r="83" spans="1:12" ht="21" customHeight="1" x14ac:dyDescent="0.3">
      <c r="A83" s="16">
        <v>46205</v>
      </c>
      <c r="B83" s="6" t="s">
        <v>25</v>
      </c>
      <c r="C83" s="7" t="s">
        <v>57</v>
      </c>
      <c r="D83" s="6"/>
      <c r="E83" s="8">
        <v>40100</v>
      </c>
      <c r="F83" s="8">
        <v>40100</v>
      </c>
      <c r="G83" s="9">
        <v>0</v>
      </c>
      <c r="H83" s="8">
        <v>40100</v>
      </c>
      <c r="I83" s="8">
        <v>38425</v>
      </c>
      <c r="J83" s="8">
        <v>1675</v>
      </c>
      <c r="K83" s="9">
        <v>4</v>
      </c>
      <c r="L83" s="6"/>
    </row>
    <row r="84" spans="1:12" ht="21" customHeight="1" x14ac:dyDescent="0.3">
      <c r="A84" s="10"/>
      <c r="B84" s="3" t="s">
        <v>17</v>
      </c>
      <c r="C84" s="4" t="s">
        <v>18</v>
      </c>
      <c r="D84" s="4" t="s">
        <v>19</v>
      </c>
      <c r="E84" s="4" t="s">
        <v>11</v>
      </c>
      <c r="F84" s="3" t="s">
        <v>20</v>
      </c>
    </row>
    <row r="85" spans="1:12" ht="21" customHeight="1" x14ac:dyDescent="0.3">
      <c r="A85" s="10"/>
      <c r="B85" s="11" t="s">
        <v>27</v>
      </c>
      <c r="C85" s="9">
        <v>5</v>
      </c>
      <c r="D85" s="12">
        <v>8020</v>
      </c>
      <c r="E85" s="8">
        <v>38425</v>
      </c>
      <c r="F85" s="13"/>
    </row>
    <row r="86" spans="1:12" ht="21" customHeight="1" x14ac:dyDescent="0.3">
      <c r="A86" s="10"/>
      <c r="B86" s="14"/>
      <c r="C86" s="15"/>
      <c r="D86" s="15"/>
      <c r="E86" s="15"/>
      <c r="F86" s="14"/>
    </row>
    <row r="87" spans="1:12" ht="21" customHeight="1" x14ac:dyDescent="0.3">
      <c r="A87" s="16">
        <v>46205</v>
      </c>
      <c r="B87" s="6" t="s">
        <v>25</v>
      </c>
      <c r="C87" s="7" t="s">
        <v>58</v>
      </c>
      <c r="D87" s="6"/>
      <c r="E87" s="8">
        <v>80200</v>
      </c>
      <c r="F87" s="8">
        <v>80200</v>
      </c>
      <c r="G87" s="9">
        <v>0</v>
      </c>
      <c r="H87" s="8">
        <v>80200</v>
      </c>
      <c r="I87" s="8">
        <v>76850</v>
      </c>
      <c r="J87" s="8">
        <v>3350</v>
      </c>
      <c r="K87" s="9">
        <v>4</v>
      </c>
      <c r="L87" s="6"/>
    </row>
    <row r="88" spans="1:12" ht="21" customHeight="1" x14ac:dyDescent="0.3">
      <c r="A88" s="10"/>
      <c r="B88" s="3" t="s">
        <v>17</v>
      </c>
      <c r="C88" s="4" t="s">
        <v>18</v>
      </c>
      <c r="D88" s="4" t="s">
        <v>19</v>
      </c>
      <c r="E88" s="4" t="s">
        <v>11</v>
      </c>
      <c r="F88" s="3" t="s">
        <v>20</v>
      </c>
    </row>
    <row r="89" spans="1:12" ht="21" customHeight="1" x14ac:dyDescent="0.3">
      <c r="A89" s="10"/>
      <c r="B89" s="11" t="s">
        <v>27</v>
      </c>
      <c r="C89" s="9">
        <v>10</v>
      </c>
      <c r="D89" s="12">
        <v>8020</v>
      </c>
      <c r="E89" s="8">
        <v>76850</v>
      </c>
      <c r="F89" s="13"/>
    </row>
    <row r="90" spans="1:12" ht="21" customHeight="1" x14ac:dyDescent="0.3">
      <c r="A90" s="10"/>
      <c r="B90" s="14"/>
      <c r="C90" s="15"/>
      <c r="D90" s="15"/>
      <c r="E90" s="15"/>
      <c r="F90" s="14"/>
    </row>
    <row r="91" spans="1:12" ht="21" customHeight="1" x14ac:dyDescent="0.3">
      <c r="A91" s="16">
        <v>46205</v>
      </c>
      <c r="B91" s="6" t="s">
        <v>59</v>
      </c>
      <c r="C91" s="7" t="s">
        <v>60</v>
      </c>
      <c r="D91" s="6"/>
      <c r="E91" s="8">
        <v>67080</v>
      </c>
      <c r="F91" s="8">
        <v>67080</v>
      </c>
      <c r="G91" s="9">
        <v>0</v>
      </c>
      <c r="H91" s="8">
        <v>67080</v>
      </c>
      <c r="I91" s="8">
        <v>62850</v>
      </c>
      <c r="J91" s="8">
        <v>4230</v>
      </c>
      <c r="K91" s="9">
        <v>6</v>
      </c>
      <c r="L91" s="6"/>
    </row>
    <row r="92" spans="1:12" ht="21" customHeight="1" x14ac:dyDescent="0.3">
      <c r="A92" s="10"/>
      <c r="B92" s="3" t="s">
        <v>17</v>
      </c>
      <c r="C92" s="4" t="s">
        <v>18</v>
      </c>
      <c r="D92" s="4" t="s">
        <v>19</v>
      </c>
      <c r="E92" s="4" t="s">
        <v>11</v>
      </c>
      <c r="F92" s="3" t="s">
        <v>20</v>
      </c>
    </row>
    <row r="93" spans="1:12" ht="21" customHeight="1" x14ac:dyDescent="0.3">
      <c r="A93" s="10"/>
      <c r="B93" s="11" t="s">
        <v>61</v>
      </c>
      <c r="C93" s="9">
        <v>2</v>
      </c>
      <c r="D93" s="12">
        <v>12885</v>
      </c>
      <c r="E93" s="8">
        <v>24240</v>
      </c>
      <c r="F93" s="13"/>
    </row>
    <row r="94" spans="1:12" ht="21" customHeight="1" x14ac:dyDescent="0.3">
      <c r="A94" s="10"/>
      <c r="B94" s="11" t="s">
        <v>62</v>
      </c>
      <c r="C94" s="9">
        <v>2</v>
      </c>
      <c r="D94" s="12">
        <v>20655</v>
      </c>
      <c r="E94" s="8">
        <v>38610</v>
      </c>
      <c r="F94" s="13"/>
    </row>
    <row r="95" spans="1:12" ht="21" customHeight="1" x14ac:dyDescent="0.3">
      <c r="A95" s="10"/>
      <c r="B95" s="14"/>
      <c r="C95" s="15"/>
      <c r="D95" s="15"/>
      <c r="E95" s="15"/>
      <c r="F95" s="14"/>
      <c r="J95" s="17">
        <f>SUM(J20:J91)</f>
        <v>-30444</v>
      </c>
    </row>
    <row r="96" spans="1:12" ht="21" customHeight="1" x14ac:dyDescent="0.3">
      <c r="A96" s="23">
        <v>46206</v>
      </c>
      <c r="B96" s="6" t="s">
        <v>63</v>
      </c>
      <c r="C96" s="7" t="s">
        <v>64</v>
      </c>
      <c r="D96" s="6"/>
      <c r="E96" s="8">
        <v>4026260</v>
      </c>
      <c r="F96" s="8">
        <v>4026260</v>
      </c>
      <c r="G96" s="9">
        <v>0</v>
      </c>
      <c r="H96" s="8">
        <v>4026260</v>
      </c>
      <c r="I96" s="8">
        <v>3965433</v>
      </c>
      <c r="J96" s="8">
        <v>60827</v>
      </c>
      <c r="K96" s="9">
        <v>2</v>
      </c>
      <c r="L96" s="6"/>
    </row>
    <row r="97" spans="1:12" ht="21" customHeight="1" x14ac:dyDescent="0.3">
      <c r="A97" s="10"/>
      <c r="B97" s="3" t="s">
        <v>17</v>
      </c>
      <c r="C97" s="4" t="s">
        <v>18</v>
      </c>
      <c r="D97" s="4" t="s">
        <v>19</v>
      </c>
      <c r="E97" s="4" t="s">
        <v>11</v>
      </c>
      <c r="F97" s="3" t="s">
        <v>20</v>
      </c>
    </row>
    <row r="98" spans="1:12" ht="21" customHeight="1" x14ac:dyDescent="0.3">
      <c r="A98" s="10"/>
      <c r="B98" s="11" t="s">
        <v>22</v>
      </c>
      <c r="C98" s="9">
        <v>140</v>
      </c>
      <c r="D98" s="8">
        <v>8990</v>
      </c>
      <c r="E98" s="8">
        <v>1209241</v>
      </c>
      <c r="F98" s="13"/>
    </row>
    <row r="99" spans="1:12" ht="21" customHeight="1" x14ac:dyDescent="0.3">
      <c r="A99" s="10"/>
      <c r="B99" s="11" t="s">
        <v>45</v>
      </c>
      <c r="C99" s="9">
        <v>140</v>
      </c>
      <c r="D99" s="8">
        <v>12830</v>
      </c>
      <c r="E99" s="8">
        <v>1784732</v>
      </c>
      <c r="F99" s="13"/>
    </row>
    <row r="100" spans="1:12" ht="21" customHeight="1" x14ac:dyDescent="0.3">
      <c r="A100" s="10"/>
      <c r="B100" s="11" t="s">
        <v>65</v>
      </c>
      <c r="C100" s="9">
        <v>84</v>
      </c>
      <c r="D100" s="8">
        <v>11315</v>
      </c>
      <c r="E100" s="8">
        <v>950460</v>
      </c>
      <c r="F100" s="13"/>
    </row>
    <row r="101" spans="1:12" ht="21" customHeight="1" x14ac:dyDescent="0.3">
      <c r="A101" s="10"/>
      <c r="B101" s="11" t="s">
        <v>38</v>
      </c>
      <c r="C101" s="9">
        <v>14</v>
      </c>
      <c r="D101" s="8">
        <v>1500</v>
      </c>
      <c r="E101" s="8">
        <v>21000</v>
      </c>
      <c r="F101" s="13"/>
    </row>
    <row r="102" spans="1:12" ht="21" customHeight="1" x14ac:dyDescent="0.3">
      <c r="A102" s="10"/>
      <c r="B102" s="14"/>
      <c r="C102" s="15"/>
      <c r="D102" s="15"/>
      <c r="E102" s="15"/>
      <c r="F102" s="14"/>
    </row>
    <row r="103" spans="1:12" ht="21" customHeight="1" x14ac:dyDescent="0.3">
      <c r="A103" s="5">
        <v>46206</v>
      </c>
      <c r="B103" s="6" t="s">
        <v>66</v>
      </c>
      <c r="C103" s="7" t="s">
        <v>67</v>
      </c>
      <c r="D103" s="6"/>
      <c r="E103" s="8">
        <v>8796760</v>
      </c>
      <c r="F103" s="8">
        <v>2575760</v>
      </c>
      <c r="G103" s="8">
        <v>6221000</v>
      </c>
      <c r="H103" s="8">
        <v>8796760</v>
      </c>
      <c r="I103" s="8">
        <v>8663386</v>
      </c>
      <c r="J103" s="8">
        <v>133374</v>
      </c>
      <c r="K103" s="9">
        <v>2</v>
      </c>
      <c r="L103" s="6"/>
    </row>
    <row r="104" spans="1:12" ht="21" customHeight="1" x14ac:dyDescent="0.3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1:12" ht="21" customHeight="1" x14ac:dyDescent="0.3">
      <c r="A105" s="10"/>
      <c r="B105" s="11" t="s">
        <v>45</v>
      </c>
      <c r="C105" s="9">
        <v>280</v>
      </c>
      <c r="D105" s="12">
        <v>12930</v>
      </c>
      <c r="E105" s="8">
        <v>3569464</v>
      </c>
      <c r="F105" s="13"/>
    </row>
    <row r="106" spans="1:12" ht="21" customHeight="1" x14ac:dyDescent="0.3">
      <c r="A106" s="10"/>
      <c r="B106" s="11" t="s">
        <v>22</v>
      </c>
      <c r="C106" s="9">
        <v>210</v>
      </c>
      <c r="D106" s="12">
        <v>8990</v>
      </c>
      <c r="E106" s="8">
        <v>1813862</v>
      </c>
      <c r="F106" s="13"/>
    </row>
    <row r="107" spans="1:12" ht="21" customHeight="1" x14ac:dyDescent="0.3">
      <c r="A107" s="10"/>
      <c r="B107" s="11" t="s">
        <v>44</v>
      </c>
      <c r="C107" s="9">
        <v>140</v>
      </c>
      <c r="D107" s="12">
        <v>8990</v>
      </c>
      <c r="E107" s="8">
        <v>1258600</v>
      </c>
      <c r="F107" s="13"/>
    </row>
    <row r="108" spans="1:12" ht="21" customHeight="1" x14ac:dyDescent="0.3">
      <c r="A108" s="10"/>
      <c r="B108" s="11" t="s">
        <v>65</v>
      </c>
      <c r="C108" s="9">
        <v>84</v>
      </c>
      <c r="D108" s="12">
        <v>11415</v>
      </c>
      <c r="E108" s="8">
        <v>950460</v>
      </c>
      <c r="F108" s="13"/>
    </row>
    <row r="109" spans="1:12" ht="21" customHeight="1" x14ac:dyDescent="0.3">
      <c r="A109" s="10"/>
      <c r="B109" s="11" t="s">
        <v>38</v>
      </c>
      <c r="C109" s="9">
        <v>714</v>
      </c>
      <c r="D109" s="8">
        <v>1500</v>
      </c>
      <c r="E109" s="8">
        <v>1071000</v>
      </c>
      <c r="F109" s="13"/>
    </row>
    <row r="110" spans="1:12" ht="21" customHeight="1" x14ac:dyDescent="0.3">
      <c r="A110" s="10"/>
      <c r="B110" s="14"/>
      <c r="C110" s="15"/>
      <c r="D110" s="15"/>
      <c r="E110" s="15"/>
      <c r="F110" s="14"/>
    </row>
    <row r="111" spans="1:12" ht="21" customHeight="1" x14ac:dyDescent="0.3">
      <c r="A111" s="16">
        <v>46206</v>
      </c>
      <c r="B111" s="6" t="s">
        <v>29</v>
      </c>
      <c r="C111" s="7" t="s">
        <v>68</v>
      </c>
      <c r="D111" s="6"/>
      <c r="E111" s="8">
        <v>491680</v>
      </c>
      <c r="F111" s="8">
        <v>491680</v>
      </c>
      <c r="G111" s="9">
        <v>0</v>
      </c>
      <c r="H111" s="8">
        <v>491680</v>
      </c>
      <c r="I111" s="8">
        <v>475441</v>
      </c>
      <c r="J111" s="8">
        <v>16239</v>
      </c>
      <c r="K111" s="9">
        <v>3</v>
      </c>
      <c r="L111" s="6"/>
    </row>
    <row r="112" spans="1:12" ht="21" customHeight="1" x14ac:dyDescent="0.3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1:12" ht="21" customHeight="1" x14ac:dyDescent="0.3">
      <c r="A113" s="10"/>
      <c r="B113" s="11" t="s">
        <v>44</v>
      </c>
      <c r="C113" s="9">
        <v>15</v>
      </c>
      <c r="D113" s="12">
        <v>9200</v>
      </c>
      <c r="E113" s="8">
        <v>134850</v>
      </c>
      <c r="F113" s="13"/>
    </row>
    <row r="114" spans="1:12" ht="21" customHeight="1" x14ac:dyDescent="0.3">
      <c r="A114" s="10"/>
      <c r="B114" s="11" t="s">
        <v>45</v>
      </c>
      <c r="C114" s="9">
        <v>10</v>
      </c>
      <c r="D114" s="12">
        <v>13335</v>
      </c>
      <c r="E114" s="8">
        <v>127481</v>
      </c>
      <c r="F114" s="13"/>
    </row>
    <row r="115" spans="1:12" ht="21" customHeight="1" x14ac:dyDescent="0.3">
      <c r="A115" s="10"/>
      <c r="B115" s="11" t="s">
        <v>69</v>
      </c>
      <c r="C115" s="9">
        <v>1</v>
      </c>
      <c r="D115" s="12">
        <v>14450</v>
      </c>
      <c r="E115" s="8">
        <v>13780</v>
      </c>
      <c r="F115" s="13"/>
    </row>
    <row r="116" spans="1:12" ht="21" customHeight="1" x14ac:dyDescent="0.3">
      <c r="A116" s="10"/>
      <c r="B116" s="11" t="s">
        <v>70</v>
      </c>
      <c r="C116" s="9">
        <v>1</v>
      </c>
      <c r="D116" s="12">
        <v>13460</v>
      </c>
      <c r="E116" s="8">
        <v>12855</v>
      </c>
      <c r="F116" s="13"/>
    </row>
    <row r="117" spans="1:12" ht="21" customHeight="1" x14ac:dyDescent="0.3">
      <c r="A117" s="10"/>
      <c r="B117" s="11" t="s">
        <v>37</v>
      </c>
      <c r="C117" s="9">
        <v>5</v>
      </c>
      <c r="D117" s="12">
        <v>8880</v>
      </c>
      <c r="E117" s="8">
        <v>42625</v>
      </c>
      <c r="F117" s="13"/>
    </row>
    <row r="118" spans="1:12" ht="21" customHeight="1" x14ac:dyDescent="0.3">
      <c r="A118" s="10"/>
      <c r="B118" s="11" t="s">
        <v>36</v>
      </c>
      <c r="C118" s="9">
        <v>1</v>
      </c>
      <c r="D118" s="12">
        <v>15525</v>
      </c>
      <c r="E118" s="8">
        <v>14900</v>
      </c>
      <c r="F118" s="13"/>
    </row>
    <row r="119" spans="1:12" ht="21" customHeight="1" x14ac:dyDescent="0.3">
      <c r="A119" s="10"/>
      <c r="B119" s="11" t="s">
        <v>71</v>
      </c>
      <c r="C119" s="9">
        <v>1</v>
      </c>
      <c r="D119" s="12">
        <v>15945</v>
      </c>
      <c r="E119" s="8">
        <v>15375</v>
      </c>
      <c r="F119" s="13"/>
    </row>
    <row r="120" spans="1:12" ht="21" customHeight="1" x14ac:dyDescent="0.3">
      <c r="A120" s="10"/>
      <c r="B120" s="11" t="s">
        <v>65</v>
      </c>
      <c r="C120" s="9">
        <v>5</v>
      </c>
      <c r="D120" s="12">
        <v>11910</v>
      </c>
      <c r="E120" s="8">
        <v>56575</v>
      </c>
      <c r="F120" s="13"/>
    </row>
    <row r="121" spans="1:12" ht="21" customHeight="1" x14ac:dyDescent="0.3">
      <c r="A121" s="10"/>
      <c r="B121" s="11" t="s">
        <v>38</v>
      </c>
      <c r="C121" s="9">
        <v>38</v>
      </c>
      <c r="D121" s="8">
        <v>1500</v>
      </c>
      <c r="E121" s="8">
        <v>57000</v>
      </c>
      <c r="F121" s="13"/>
    </row>
    <row r="122" spans="1:12" ht="21" customHeight="1" x14ac:dyDescent="0.3">
      <c r="A122" s="10"/>
      <c r="B122" s="14"/>
      <c r="C122" s="15"/>
      <c r="D122" s="15"/>
      <c r="E122" s="15"/>
      <c r="F122" s="14"/>
    </row>
    <row r="123" spans="1:12" ht="21" customHeight="1" x14ac:dyDescent="0.3">
      <c r="A123" s="16">
        <v>46206</v>
      </c>
      <c r="B123" s="6" t="s">
        <v>40</v>
      </c>
      <c r="C123" s="7" t="s">
        <v>72</v>
      </c>
      <c r="D123" s="6"/>
      <c r="E123" s="8">
        <v>303000</v>
      </c>
      <c r="F123" s="8">
        <v>303000</v>
      </c>
      <c r="G123" s="9">
        <v>0</v>
      </c>
      <c r="H123" s="8">
        <v>303000</v>
      </c>
      <c r="I123" s="8">
        <v>304123</v>
      </c>
      <c r="J123" s="8">
        <v>-1123</v>
      </c>
      <c r="K123" s="9">
        <v>0</v>
      </c>
      <c r="L123" s="6"/>
    </row>
    <row r="124" spans="1:12" ht="21" customHeight="1" x14ac:dyDescent="0.3">
      <c r="A124" s="10"/>
      <c r="B124" s="3" t="s">
        <v>17</v>
      </c>
      <c r="C124" s="4" t="s">
        <v>18</v>
      </c>
      <c r="D124" s="4" t="s">
        <v>19</v>
      </c>
      <c r="E124" s="4" t="s">
        <v>11</v>
      </c>
      <c r="F124" s="3" t="s">
        <v>20</v>
      </c>
    </row>
    <row r="125" spans="1:12" ht="21" customHeight="1" x14ac:dyDescent="0.3">
      <c r="A125" s="10"/>
      <c r="B125" s="11" t="s">
        <v>22</v>
      </c>
      <c r="C125" s="9">
        <v>30</v>
      </c>
      <c r="D125" s="12">
        <v>8600</v>
      </c>
      <c r="E125" s="8">
        <v>259123</v>
      </c>
      <c r="F125" s="13"/>
    </row>
    <row r="126" spans="1:12" ht="21" customHeight="1" x14ac:dyDescent="0.3">
      <c r="A126" s="10"/>
      <c r="B126" s="11" t="s">
        <v>38</v>
      </c>
      <c r="C126" s="9">
        <v>30</v>
      </c>
      <c r="D126" s="8">
        <v>1500</v>
      </c>
      <c r="E126" s="8">
        <v>45000</v>
      </c>
      <c r="F126" s="13"/>
    </row>
    <row r="127" spans="1:12" ht="21" customHeight="1" x14ac:dyDescent="0.3">
      <c r="A127" s="10"/>
      <c r="B127" s="14"/>
      <c r="C127" s="15"/>
      <c r="D127" s="15"/>
      <c r="E127" s="15"/>
      <c r="F127" s="14"/>
    </row>
    <row r="128" spans="1:12" ht="21" customHeight="1" x14ac:dyDescent="0.3">
      <c r="A128" s="16">
        <v>46206</v>
      </c>
      <c r="B128" s="6" t="s">
        <v>29</v>
      </c>
      <c r="C128" s="7" t="s">
        <v>73</v>
      </c>
      <c r="D128" s="6"/>
      <c r="E128" s="8">
        <v>20655</v>
      </c>
      <c r="F128" s="8">
        <v>20655</v>
      </c>
      <c r="G128" s="9">
        <v>0</v>
      </c>
      <c r="H128" s="8">
        <v>20655</v>
      </c>
      <c r="I128" s="8">
        <v>19305</v>
      </c>
      <c r="J128" s="8">
        <v>1350</v>
      </c>
      <c r="K128" s="9">
        <v>7</v>
      </c>
      <c r="L128" s="6"/>
    </row>
    <row r="129" spans="1:12" ht="21" customHeight="1" x14ac:dyDescent="0.3">
      <c r="A129" s="10"/>
      <c r="B129" s="3" t="s">
        <v>17</v>
      </c>
      <c r="C129" s="4" t="s">
        <v>18</v>
      </c>
      <c r="D129" s="4" t="s">
        <v>19</v>
      </c>
      <c r="E129" s="4" t="s">
        <v>11</v>
      </c>
      <c r="F129" s="3" t="s">
        <v>20</v>
      </c>
    </row>
    <row r="130" spans="1:12" ht="21" customHeight="1" x14ac:dyDescent="0.3">
      <c r="A130" s="10"/>
      <c r="B130" s="11" t="s">
        <v>62</v>
      </c>
      <c r="C130" s="9">
        <v>1</v>
      </c>
      <c r="D130" s="12">
        <v>20655</v>
      </c>
      <c r="E130" s="8">
        <v>19305</v>
      </c>
      <c r="F130" s="13"/>
    </row>
    <row r="131" spans="1:12" ht="21" customHeight="1" x14ac:dyDescent="0.3">
      <c r="A131" s="10"/>
      <c r="B131" s="14"/>
      <c r="C131" s="15"/>
      <c r="D131" s="15"/>
      <c r="E131" s="15"/>
      <c r="F131" s="14"/>
    </row>
    <row r="132" spans="1:12" ht="21" customHeight="1" x14ac:dyDescent="0.3">
      <c r="A132" s="16">
        <v>46206</v>
      </c>
      <c r="B132" s="6" t="s">
        <v>25</v>
      </c>
      <c r="C132" s="7" t="s">
        <v>74</v>
      </c>
      <c r="D132" s="6"/>
      <c r="E132" s="8">
        <v>1000000</v>
      </c>
      <c r="F132" s="8">
        <v>1000000</v>
      </c>
      <c r="G132" s="9">
        <v>0</v>
      </c>
      <c r="H132" s="8">
        <v>1000000</v>
      </c>
      <c r="I132" s="8">
        <v>1040000</v>
      </c>
      <c r="J132" s="8">
        <v>-40000</v>
      </c>
      <c r="K132" s="9">
        <v>-4</v>
      </c>
      <c r="L132" s="6"/>
    </row>
    <row r="133" spans="1:12" ht="21" customHeight="1" x14ac:dyDescent="0.3">
      <c r="A133" s="10"/>
      <c r="B133" s="3" t="s">
        <v>17</v>
      </c>
      <c r="C133" s="4" t="s">
        <v>18</v>
      </c>
      <c r="D133" s="4" t="s">
        <v>19</v>
      </c>
      <c r="E133" s="4" t="s">
        <v>11</v>
      </c>
      <c r="F133" s="3" t="s">
        <v>20</v>
      </c>
    </row>
    <row r="134" spans="1:12" ht="21" customHeight="1" x14ac:dyDescent="0.3">
      <c r="A134" s="10"/>
      <c r="B134" s="11" t="s">
        <v>24</v>
      </c>
      <c r="C134" s="9">
        <v>200</v>
      </c>
      <c r="D134" s="12">
        <v>5000</v>
      </c>
      <c r="E134" s="8">
        <v>1040000</v>
      </c>
      <c r="F134" s="13"/>
    </row>
    <row r="135" spans="1:12" ht="21" customHeight="1" x14ac:dyDescent="0.3">
      <c r="A135" s="10"/>
      <c r="B135" s="14"/>
      <c r="C135" s="15"/>
      <c r="D135" s="15"/>
      <c r="E135" s="15"/>
      <c r="F135" s="14"/>
    </row>
    <row r="136" spans="1:12" ht="21" customHeight="1" x14ac:dyDescent="0.3">
      <c r="A136" s="16">
        <v>46206</v>
      </c>
      <c r="B136" s="6" t="s">
        <v>75</v>
      </c>
      <c r="C136" s="7" t="s">
        <v>76</v>
      </c>
      <c r="D136" s="6"/>
      <c r="E136" s="8">
        <v>428160</v>
      </c>
      <c r="F136" s="9">
        <v>0</v>
      </c>
      <c r="G136" s="8">
        <v>428160</v>
      </c>
      <c r="H136" s="8">
        <v>428160</v>
      </c>
      <c r="I136" s="8">
        <v>414360</v>
      </c>
      <c r="J136" s="8">
        <v>13800</v>
      </c>
      <c r="K136" s="9">
        <v>3</v>
      </c>
      <c r="L136" s="6"/>
    </row>
    <row r="137" spans="1:12" ht="21" customHeight="1" x14ac:dyDescent="0.3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1:12" ht="21" customHeight="1" x14ac:dyDescent="0.3">
      <c r="A138" s="10"/>
      <c r="B138" s="11" t="s">
        <v>77</v>
      </c>
      <c r="C138" s="9">
        <v>24</v>
      </c>
      <c r="D138" s="12">
        <v>17840</v>
      </c>
      <c r="E138" s="8">
        <v>414360</v>
      </c>
      <c r="F138" s="13"/>
    </row>
    <row r="139" spans="1:12" ht="21" customHeight="1" x14ac:dyDescent="0.3">
      <c r="A139" s="10"/>
      <c r="B139" s="14"/>
      <c r="C139" s="15"/>
      <c r="D139" s="15"/>
      <c r="E139" s="15"/>
      <c r="F139" s="14"/>
    </row>
    <row r="140" spans="1:12" ht="21" customHeight="1" x14ac:dyDescent="0.3">
      <c r="A140" s="16">
        <v>46206</v>
      </c>
      <c r="B140" s="6" t="s">
        <v>78</v>
      </c>
      <c r="C140" s="7" t="s">
        <v>79</v>
      </c>
      <c r="D140" s="6"/>
      <c r="E140" s="8">
        <v>216900</v>
      </c>
      <c r="F140" s="9">
        <v>0</v>
      </c>
      <c r="G140" s="8">
        <v>216900</v>
      </c>
      <c r="H140" s="8">
        <v>216900</v>
      </c>
      <c r="I140" s="8">
        <v>209400</v>
      </c>
      <c r="J140" s="8">
        <v>7500</v>
      </c>
      <c r="K140" s="9">
        <v>3</v>
      </c>
      <c r="L140" s="6"/>
    </row>
    <row r="141" spans="1:12" ht="21" customHeight="1" x14ac:dyDescent="0.3">
      <c r="A141" s="10"/>
      <c r="B141" s="3" t="s">
        <v>17</v>
      </c>
      <c r="C141" s="4" t="s">
        <v>18</v>
      </c>
      <c r="D141" s="4" t="s">
        <v>19</v>
      </c>
      <c r="E141" s="4" t="s">
        <v>11</v>
      </c>
      <c r="F141" s="3" t="s">
        <v>20</v>
      </c>
    </row>
    <row r="142" spans="1:12" ht="21" customHeight="1" x14ac:dyDescent="0.3">
      <c r="A142" s="10"/>
      <c r="B142" s="11" t="s">
        <v>80</v>
      </c>
      <c r="C142" s="9">
        <v>20</v>
      </c>
      <c r="D142" s="12">
        <v>9345</v>
      </c>
      <c r="E142" s="8">
        <v>179400</v>
      </c>
      <c r="F142" s="13"/>
    </row>
    <row r="143" spans="1:12" ht="21" customHeight="1" x14ac:dyDescent="0.3">
      <c r="A143" s="10"/>
      <c r="B143" s="11" t="s">
        <v>38</v>
      </c>
      <c r="C143" s="9">
        <v>20</v>
      </c>
      <c r="D143" s="8">
        <v>1500</v>
      </c>
      <c r="E143" s="8">
        <v>30000</v>
      </c>
      <c r="F143" s="13"/>
    </row>
    <row r="144" spans="1:12" ht="21" customHeight="1" x14ac:dyDescent="0.3">
      <c r="A144" s="10"/>
      <c r="B144" s="14"/>
      <c r="C144" s="15"/>
      <c r="D144" s="15"/>
      <c r="E144" s="15"/>
      <c r="F144" s="14"/>
    </row>
    <row r="145" spans="1:12" ht="21" customHeight="1" x14ac:dyDescent="0.3">
      <c r="A145" s="16">
        <v>46206</v>
      </c>
      <c r="B145" s="6" t="s">
        <v>81</v>
      </c>
      <c r="C145" s="7" t="s">
        <v>82</v>
      </c>
      <c r="D145" s="6"/>
      <c r="E145" s="8">
        <v>75000</v>
      </c>
      <c r="F145" s="8">
        <v>75000</v>
      </c>
      <c r="G145" s="9">
        <v>0</v>
      </c>
      <c r="H145" s="8">
        <v>75000</v>
      </c>
      <c r="I145" s="8">
        <v>70852</v>
      </c>
      <c r="J145" s="8">
        <v>4148</v>
      </c>
      <c r="K145" s="9">
        <v>6</v>
      </c>
      <c r="L145" s="6"/>
    </row>
    <row r="146" spans="1:12" ht="21" customHeight="1" x14ac:dyDescent="0.3">
      <c r="A146" s="10"/>
      <c r="B146" s="3" t="s">
        <v>17</v>
      </c>
      <c r="C146" s="4" t="s">
        <v>18</v>
      </c>
      <c r="D146" s="4" t="s">
        <v>19</v>
      </c>
      <c r="E146" s="4" t="s">
        <v>11</v>
      </c>
      <c r="F146" s="3" t="s">
        <v>20</v>
      </c>
    </row>
    <row r="147" spans="1:12" ht="21" customHeight="1" x14ac:dyDescent="0.3">
      <c r="A147" s="10"/>
      <c r="B147" s="11" t="s">
        <v>24</v>
      </c>
      <c r="C147" s="9">
        <v>2</v>
      </c>
      <c r="D147" s="12">
        <v>5400</v>
      </c>
      <c r="E147" s="8">
        <v>10400</v>
      </c>
      <c r="F147" s="13"/>
    </row>
    <row r="148" spans="1:12" ht="21" customHeight="1" x14ac:dyDescent="0.3">
      <c r="A148" s="10"/>
      <c r="B148" s="11" t="s">
        <v>43</v>
      </c>
      <c r="C148" s="9">
        <v>2</v>
      </c>
      <c r="D148" s="24">
        <v>18300</v>
      </c>
      <c r="E148" s="8">
        <v>34300</v>
      </c>
      <c r="F148" s="13"/>
    </row>
    <row r="149" spans="1:12" ht="21" customHeight="1" x14ac:dyDescent="0.3">
      <c r="A149" s="10"/>
      <c r="B149" s="11" t="s">
        <v>44</v>
      </c>
      <c r="C149" s="9">
        <v>1</v>
      </c>
      <c r="D149" s="12">
        <v>9200</v>
      </c>
      <c r="E149" s="8">
        <v>8990</v>
      </c>
      <c r="F149" s="13"/>
    </row>
    <row r="150" spans="1:12" ht="21" customHeight="1" x14ac:dyDescent="0.3">
      <c r="A150" s="10"/>
      <c r="B150" s="11" t="s">
        <v>37</v>
      </c>
      <c r="C150" s="9">
        <v>1</v>
      </c>
      <c r="D150" s="12">
        <v>9200</v>
      </c>
      <c r="E150" s="8">
        <v>8525</v>
      </c>
      <c r="F150" s="13"/>
    </row>
    <row r="151" spans="1:12" ht="21" customHeight="1" x14ac:dyDescent="0.3">
      <c r="A151" s="10"/>
      <c r="B151" s="11" t="s">
        <v>22</v>
      </c>
      <c r="C151" s="9">
        <v>1</v>
      </c>
      <c r="D151" s="12">
        <v>9200</v>
      </c>
      <c r="E151" s="8">
        <v>8637</v>
      </c>
      <c r="F151" s="13"/>
    </row>
    <row r="152" spans="1:12" ht="21" customHeight="1" x14ac:dyDescent="0.3">
      <c r="A152" s="10"/>
      <c r="B152" s="14"/>
      <c r="C152" s="15"/>
      <c r="D152" s="15"/>
      <c r="E152" s="15"/>
      <c r="F152" s="14"/>
    </row>
    <row r="153" spans="1:12" ht="21" customHeight="1" x14ac:dyDescent="0.3">
      <c r="A153" s="16">
        <v>46206</v>
      </c>
      <c r="B153" s="6" t="s">
        <v>50</v>
      </c>
      <c r="C153" s="7" t="s">
        <v>83</v>
      </c>
      <c r="D153" s="6"/>
      <c r="E153" s="8">
        <v>710000</v>
      </c>
      <c r="F153" s="8">
        <v>710000</v>
      </c>
      <c r="G153" s="9">
        <v>0</v>
      </c>
      <c r="H153" s="8">
        <v>710000</v>
      </c>
      <c r="I153" s="8">
        <v>684000</v>
      </c>
      <c r="J153" s="8">
        <v>26000</v>
      </c>
      <c r="K153" s="9">
        <v>4</v>
      </c>
      <c r="L153" s="6"/>
    </row>
    <row r="154" spans="1:12" ht="21" customHeight="1" x14ac:dyDescent="0.3">
      <c r="A154" s="10"/>
      <c r="B154" s="3" t="s">
        <v>17</v>
      </c>
      <c r="C154" s="4" t="s">
        <v>18</v>
      </c>
      <c r="D154" s="4" t="s">
        <v>19</v>
      </c>
      <c r="E154" s="4" t="s">
        <v>11</v>
      </c>
      <c r="F154" s="3" t="s">
        <v>20</v>
      </c>
    </row>
    <row r="155" spans="1:12" ht="21" customHeight="1" x14ac:dyDescent="0.3">
      <c r="A155" s="10"/>
      <c r="B155" s="11" t="s">
        <v>31</v>
      </c>
      <c r="C155" s="9">
        <v>40</v>
      </c>
      <c r="D155" s="12">
        <v>17750</v>
      </c>
      <c r="E155" s="8">
        <v>684000</v>
      </c>
      <c r="F155" s="13"/>
    </row>
    <row r="156" spans="1:12" ht="21" customHeight="1" x14ac:dyDescent="0.3">
      <c r="A156" s="10"/>
      <c r="B156" s="14"/>
      <c r="C156" s="15"/>
      <c r="D156" s="15"/>
      <c r="E156" s="15"/>
      <c r="F156" s="14"/>
    </row>
    <row r="157" spans="1:12" ht="21" customHeight="1" x14ac:dyDescent="0.3">
      <c r="A157" s="16">
        <v>46206</v>
      </c>
      <c r="B157" s="6" t="s">
        <v>75</v>
      </c>
      <c r="C157" s="7" t="s">
        <v>84</v>
      </c>
      <c r="D157" s="6"/>
      <c r="E157" s="8">
        <v>7500</v>
      </c>
      <c r="F157" s="9">
        <v>0</v>
      </c>
      <c r="G157" s="8">
        <v>7500</v>
      </c>
      <c r="H157" s="8">
        <v>7500</v>
      </c>
      <c r="I157" s="8">
        <v>7500</v>
      </c>
      <c r="J157" s="9">
        <v>0</v>
      </c>
      <c r="K157" s="9">
        <v>0</v>
      </c>
      <c r="L157" s="6"/>
    </row>
    <row r="158" spans="1:12" ht="21" customHeight="1" x14ac:dyDescent="0.3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1:12" ht="21" customHeight="1" x14ac:dyDescent="0.3">
      <c r="A159" s="10"/>
      <c r="B159" s="11" t="s">
        <v>38</v>
      </c>
      <c r="C159" s="9">
        <v>5</v>
      </c>
      <c r="D159" s="8">
        <v>1500</v>
      </c>
      <c r="E159" s="8">
        <v>7500</v>
      </c>
      <c r="F159" s="13"/>
    </row>
    <row r="160" spans="1:12" ht="21" customHeight="1" x14ac:dyDescent="0.3">
      <c r="A160" s="10"/>
      <c r="B160" s="14"/>
      <c r="C160" s="15"/>
      <c r="D160" s="15"/>
      <c r="E160" s="15"/>
      <c r="F160" s="14"/>
    </row>
    <row r="161" spans="1:12" ht="21" customHeight="1" x14ac:dyDescent="0.3">
      <c r="A161" s="16">
        <v>46206</v>
      </c>
      <c r="B161" s="6" t="s">
        <v>85</v>
      </c>
      <c r="C161" s="7" t="s">
        <v>86</v>
      </c>
      <c r="D161" s="6"/>
      <c r="E161" s="8">
        <v>89830</v>
      </c>
      <c r="F161" s="8">
        <v>89830</v>
      </c>
      <c r="G161" s="9">
        <v>0</v>
      </c>
      <c r="H161" s="8">
        <v>89830</v>
      </c>
      <c r="I161" s="8">
        <v>82513</v>
      </c>
      <c r="J161" s="8">
        <v>7317</v>
      </c>
      <c r="K161" s="9">
        <v>8</v>
      </c>
      <c r="L161" s="6"/>
    </row>
    <row r="162" spans="1:12" ht="21" customHeight="1" x14ac:dyDescent="0.3">
      <c r="A162" s="10"/>
      <c r="B162" s="3" t="s">
        <v>17</v>
      </c>
      <c r="C162" s="4" t="s">
        <v>18</v>
      </c>
      <c r="D162" s="4" t="s">
        <v>19</v>
      </c>
      <c r="E162" s="4" t="s">
        <v>11</v>
      </c>
      <c r="F162" s="3" t="s">
        <v>20</v>
      </c>
    </row>
    <row r="163" spans="1:12" ht="21" customHeight="1" x14ac:dyDescent="0.3">
      <c r="A163" s="10"/>
      <c r="B163" s="11" t="s">
        <v>87</v>
      </c>
      <c r="C163" s="9">
        <v>2</v>
      </c>
      <c r="D163" s="24">
        <v>22565</v>
      </c>
      <c r="E163" s="8">
        <v>40880</v>
      </c>
      <c r="F163" s="13"/>
    </row>
    <row r="164" spans="1:12" ht="21" customHeight="1" x14ac:dyDescent="0.3">
      <c r="A164" s="10"/>
      <c r="B164" s="11" t="s">
        <v>45</v>
      </c>
      <c r="C164" s="9">
        <v>2</v>
      </c>
      <c r="D164" s="12">
        <v>13950</v>
      </c>
      <c r="E164" s="8">
        <v>25496</v>
      </c>
      <c r="F164" s="13"/>
    </row>
    <row r="165" spans="1:12" ht="21" customHeight="1" x14ac:dyDescent="0.3">
      <c r="A165" s="10"/>
      <c r="B165" s="11" t="s">
        <v>22</v>
      </c>
      <c r="C165" s="9">
        <v>1</v>
      </c>
      <c r="D165" s="12">
        <v>9300</v>
      </c>
      <c r="E165" s="8">
        <v>8637</v>
      </c>
      <c r="F165" s="13"/>
    </row>
    <row r="166" spans="1:12" ht="21" customHeight="1" x14ac:dyDescent="0.3">
      <c r="A166" s="10"/>
      <c r="B166" s="11" t="s">
        <v>38</v>
      </c>
      <c r="C166" s="9">
        <v>5</v>
      </c>
      <c r="D166" s="8">
        <v>1500</v>
      </c>
      <c r="E166" s="8">
        <v>7500</v>
      </c>
      <c r="F166" s="13"/>
    </row>
    <row r="167" spans="1:12" ht="21" customHeight="1" x14ac:dyDescent="0.3">
      <c r="A167" s="10"/>
      <c r="B167" s="14"/>
      <c r="C167" s="15"/>
      <c r="D167" s="15"/>
      <c r="E167" s="15"/>
      <c r="F167" s="14"/>
    </row>
    <row r="168" spans="1:12" ht="21" customHeight="1" x14ac:dyDescent="0.3">
      <c r="A168" s="16">
        <v>46206</v>
      </c>
      <c r="B168" s="6" t="s">
        <v>50</v>
      </c>
      <c r="C168" s="7" t="s">
        <v>88</v>
      </c>
      <c r="D168" s="6"/>
      <c r="E168" s="8">
        <v>516000</v>
      </c>
      <c r="F168" s="8">
        <v>516000</v>
      </c>
      <c r="G168" s="9">
        <v>0</v>
      </c>
      <c r="H168" s="8">
        <v>516000</v>
      </c>
      <c r="I168" s="8">
        <v>513000</v>
      </c>
      <c r="J168" s="8">
        <v>3000</v>
      </c>
      <c r="K168" s="9">
        <v>1</v>
      </c>
      <c r="L168" s="6"/>
    </row>
    <row r="169" spans="1:12" ht="21" customHeight="1" x14ac:dyDescent="0.3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1:12" ht="21" customHeight="1" x14ac:dyDescent="0.3">
      <c r="A170" s="10"/>
      <c r="B170" s="11" t="s">
        <v>31</v>
      </c>
      <c r="C170" s="9">
        <v>30</v>
      </c>
      <c r="D170" s="12">
        <v>17200</v>
      </c>
      <c r="E170" s="8">
        <v>513000</v>
      </c>
      <c r="F170" s="13"/>
    </row>
    <row r="171" spans="1:12" ht="21" customHeight="1" x14ac:dyDescent="0.3">
      <c r="A171" s="10"/>
      <c r="B171" s="14"/>
      <c r="C171" s="15"/>
      <c r="D171" s="15"/>
      <c r="E171" s="15"/>
      <c r="F171" s="14"/>
    </row>
    <row r="172" spans="1:12" ht="21" customHeight="1" x14ac:dyDescent="0.3">
      <c r="A172" s="5">
        <v>46207</v>
      </c>
      <c r="B172" s="6" t="s">
        <v>15</v>
      </c>
      <c r="C172" s="7" t="s">
        <v>89</v>
      </c>
      <c r="D172" s="6"/>
      <c r="E172" s="8">
        <v>27000</v>
      </c>
      <c r="F172" s="8">
        <v>27000</v>
      </c>
      <c r="G172" s="9">
        <v>0</v>
      </c>
      <c r="H172" s="8">
        <v>27000</v>
      </c>
      <c r="I172" s="8">
        <v>24366</v>
      </c>
      <c r="J172" s="8">
        <v>2634</v>
      </c>
      <c r="K172" s="9">
        <v>10</v>
      </c>
      <c r="L172" s="6"/>
    </row>
    <row r="173" spans="1:12" ht="21" customHeight="1" x14ac:dyDescent="0.3">
      <c r="A173" s="10"/>
      <c r="B173" s="3" t="s">
        <v>17</v>
      </c>
      <c r="C173" s="4" t="s">
        <v>18</v>
      </c>
      <c r="D173" s="4" t="s">
        <v>19</v>
      </c>
      <c r="E173" s="4" t="s">
        <v>11</v>
      </c>
      <c r="F173" s="3" t="s">
        <v>20</v>
      </c>
    </row>
    <row r="174" spans="1:12" ht="21" customHeight="1" x14ac:dyDescent="0.3">
      <c r="A174" s="10"/>
      <c r="B174" s="11" t="s">
        <v>21</v>
      </c>
      <c r="C174" s="9">
        <v>3</v>
      </c>
      <c r="D174" s="12">
        <v>9000</v>
      </c>
      <c r="E174" s="8">
        <v>24366</v>
      </c>
      <c r="F174" s="13"/>
    </row>
    <row r="175" spans="1:12" ht="21" customHeight="1" x14ac:dyDescent="0.3">
      <c r="A175" s="10"/>
      <c r="B175" s="14"/>
      <c r="C175" s="15"/>
      <c r="D175" s="15"/>
      <c r="E175" s="15"/>
      <c r="F175" s="14"/>
    </row>
    <row r="176" spans="1:12" ht="21" customHeight="1" x14ac:dyDescent="0.3">
      <c r="A176" s="16">
        <v>46207</v>
      </c>
      <c r="B176" s="6" t="s">
        <v>15</v>
      </c>
      <c r="C176" s="7" t="s">
        <v>90</v>
      </c>
      <c r="D176" s="6"/>
      <c r="E176" s="8">
        <v>150000</v>
      </c>
      <c r="F176" s="8">
        <v>150000</v>
      </c>
      <c r="G176" s="9">
        <v>0</v>
      </c>
      <c r="H176" s="8">
        <v>150000</v>
      </c>
      <c r="I176" s="8">
        <v>156000</v>
      </c>
      <c r="J176" s="8">
        <v>-6000</v>
      </c>
      <c r="K176" s="9">
        <v>-4</v>
      </c>
      <c r="L176" s="6"/>
    </row>
    <row r="177" spans="1:12" ht="21" customHeight="1" x14ac:dyDescent="0.3">
      <c r="A177" s="10"/>
      <c r="B177" s="3" t="s">
        <v>17</v>
      </c>
      <c r="C177" s="4" t="s">
        <v>18</v>
      </c>
      <c r="D177" s="4" t="s">
        <v>19</v>
      </c>
      <c r="E177" s="4" t="s">
        <v>11</v>
      </c>
      <c r="F177" s="3" t="s">
        <v>20</v>
      </c>
    </row>
    <row r="178" spans="1:12" ht="21" customHeight="1" x14ac:dyDescent="0.3">
      <c r="A178" s="10"/>
      <c r="B178" s="11" t="s">
        <v>24</v>
      </c>
      <c r="C178" s="9">
        <v>30</v>
      </c>
      <c r="D178" s="12">
        <v>5000</v>
      </c>
      <c r="E178" s="8">
        <v>156000</v>
      </c>
      <c r="F178" s="13"/>
    </row>
    <row r="179" spans="1:12" ht="21" customHeight="1" x14ac:dyDescent="0.3">
      <c r="A179" s="10"/>
      <c r="B179" s="14"/>
      <c r="C179" s="15"/>
      <c r="D179" s="15"/>
      <c r="E179" s="15"/>
      <c r="F179" s="14"/>
    </row>
    <row r="180" spans="1:12" ht="21" customHeight="1" x14ac:dyDescent="0.3">
      <c r="A180" s="16">
        <v>46207</v>
      </c>
      <c r="B180" s="6" t="s">
        <v>50</v>
      </c>
      <c r="C180" s="7" t="s">
        <v>91</v>
      </c>
      <c r="D180" s="6"/>
      <c r="E180" s="8">
        <v>1326000</v>
      </c>
      <c r="F180" s="8">
        <v>485750</v>
      </c>
      <c r="G180" s="8">
        <v>840250</v>
      </c>
      <c r="H180" s="8">
        <v>1326000</v>
      </c>
      <c r="I180" s="8">
        <v>1375100</v>
      </c>
      <c r="J180" s="8">
        <v>-49100</v>
      </c>
      <c r="K180" s="9">
        <v>-4</v>
      </c>
      <c r="L180" s="6"/>
    </row>
    <row r="181" spans="1:12" ht="21" customHeight="1" x14ac:dyDescent="0.3">
      <c r="A181" s="10"/>
      <c r="B181" s="3" t="s">
        <v>17</v>
      </c>
      <c r="C181" s="4" t="s">
        <v>18</v>
      </c>
      <c r="D181" s="4" t="s">
        <v>19</v>
      </c>
      <c r="E181" s="4" t="s">
        <v>11</v>
      </c>
      <c r="F181" s="3" t="s">
        <v>20</v>
      </c>
    </row>
    <row r="182" spans="1:12" ht="21" customHeight="1" x14ac:dyDescent="0.3">
      <c r="A182" s="10"/>
      <c r="B182" s="11" t="s">
        <v>24</v>
      </c>
      <c r="C182" s="9">
        <v>248</v>
      </c>
      <c r="D182" s="12">
        <v>5000</v>
      </c>
      <c r="E182" s="8">
        <v>1289600</v>
      </c>
      <c r="F182" s="13"/>
    </row>
    <row r="183" spans="1:12" ht="21" customHeight="1" x14ac:dyDescent="0.3">
      <c r="A183" s="10"/>
      <c r="B183" s="11" t="s">
        <v>31</v>
      </c>
      <c r="C183" s="9">
        <v>5</v>
      </c>
      <c r="D183" s="12">
        <v>17200</v>
      </c>
      <c r="E183" s="8">
        <v>85500</v>
      </c>
      <c r="F183" s="13"/>
    </row>
    <row r="184" spans="1:12" ht="21" customHeight="1" x14ac:dyDescent="0.3">
      <c r="A184" s="10"/>
      <c r="B184" s="14"/>
      <c r="C184" s="15"/>
      <c r="D184" s="15"/>
      <c r="E184" s="15"/>
      <c r="F184" s="14"/>
    </row>
    <row r="185" spans="1:12" ht="21" customHeight="1" x14ac:dyDescent="0.3">
      <c r="A185" s="16">
        <v>46207</v>
      </c>
      <c r="B185" s="6" t="s">
        <v>50</v>
      </c>
      <c r="C185" s="7" t="s">
        <v>92</v>
      </c>
      <c r="D185" s="6"/>
      <c r="E185" s="8">
        <v>842250</v>
      </c>
      <c r="F185" s="8">
        <v>842250</v>
      </c>
      <c r="G185" s="9">
        <v>0</v>
      </c>
      <c r="H185" s="8">
        <v>842250</v>
      </c>
      <c r="I185" s="8">
        <v>857292</v>
      </c>
      <c r="J185" s="8">
        <v>-15042</v>
      </c>
      <c r="K185" s="9">
        <v>-2</v>
      </c>
      <c r="L185" s="6"/>
    </row>
    <row r="186" spans="1:12" ht="21" customHeight="1" x14ac:dyDescent="0.3">
      <c r="A186" s="10"/>
      <c r="B186" s="3" t="s">
        <v>17</v>
      </c>
      <c r="C186" s="4" t="s">
        <v>18</v>
      </c>
      <c r="D186" s="4" t="s">
        <v>19</v>
      </c>
      <c r="E186" s="4" t="s">
        <v>11</v>
      </c>
      <c r="F186" s="3" t="s">
        <v>20</v>
      </c>
    </row>
    <row r="187" spans="1:12" ht="21" customHeight="1" x14ac:dyDescent="0.3">
      <c r="A187" s="10"/>
      <c r="B187" s="11" t="s">
        <v>93</v>
      </c>
      <c r="C187" s="9">
        <v>5</v>
      </c>
      <c r="D187" s="12">
        <v>11230</v>
      </c>
      <c r="E187" s="8">
        <v>55650</v>
      </c>
      <c r="F187" s="13"/>
    </row>
    <row r="188" spans="1:12" ht="21" customHeight="1" x14ac:dyDescent="0.3">
      <c r="A188" s="10"/>
      <c r="B188" s="11" t="s">
        <v>31</v>
      </c>
      <c r="C188" s="9">
        <v>5</v>
      </c>
      <c r="D188" s="12">
        <v>17200</v>
      </c>
      <c r="E188" s="8">
        <v>85500</v>
      </c>
      <c r="F188" s="13"/>
    </row>
    <row r="189" spans="1:12" ht="21" customHeight="1" x14ac:dyDescent="0.3">
      <c r="A189" s="10"/>
      <c r="B189" s="11" t="s">
        <v>33</v>
      </c>
      <c r="C189" s="9">
        <v>20</v>
      </c>
      <c r="D189" s="12">
        <v>15655</v>
      </c>
      <c r="E189" s="8">
        <v>311100</v>
      </c>
      <c r="F189" s="13"/>
    </row>
    <row r="190" spans="1:12" ht="21" customHeight="1" x14ac:dyDescent="0.3">
      <c r="A190" s="10"/>
      <c r="B190" s="11" t="s">
        <v>28</v>
      </c>
      <c r="C190" s="9">
        <v>30</v>
      </c>
      <c r="D190" s="12">
        <v>12900</v>
      </c>
      <c r="E190" s="8">
        <v>405042</v>
      </c>
      <c r="F190" s="13"/>
    </row>
    <row r="191" spans="1:12" ht="21" customHeight="1" x14ac:dyDescent="0.3">
      <c r="A191" s="10"/>
      <c r="B191" s="14"/>
      <c r="C191" s="15"/>
      <c r="D191" s="15"/>
      <c r="E191" s="15"/>
      <c r="F191" s="14"/>
    </row>
    <row r="192" spans="1:12" ht="21" customHeight="1" x14ac:dyDescent="0.3">
      <c r="A192" s="16">
        <v>46207</v>
      </c>
      <c r="B192" s="6" t="s">
        <v>25</v>
      </c>
      <c r="C192" s="7" t="s">
        <v>94</v>
      </c>
      <c r="D192" s="6"/>
      <c r="E192" s="8">
        <v>495000</v>
      </c>
      <c r="F192" s="8">
        <v>495000</v>
      </c>
      <c r="G192" s="9">
        <v>0</v>
      </c>
      <c r="H192" s="8">
        <v>495000</v>
      </c>
      <c r="I192" s="8">
        <v>486094</v>
      </c>
      <c r="J192" s="8">
        <v>8906</v>
      </c>
      <c r="K192" s="9">
        <v>2</v>
      </c>
      <c r="L192" s="6"/>
    </row>
    <row r="193" spans="1:12" ht="21" customHeight="1" x14ac:dyDescent="0.3">
      <c r="A193" s="10"/>
      <c r="B193" s="3" t="s">
        <v>17</v>
      </c>
      <c r="C193" s="4" t="s">
        <v>18</v>
      </c>
      <c r="D193" s="4" t="s">
        <v>19</v>
      </c>
      <c r="E193" s="4" t="s">
        <v>11</v>
      </c>
      <c r="F193" s="3" t="s">
        <v>20</v>
      </c>
    </row>
    <row r="194" spans="1:12" ht="21" customHeight="1" x14ac:dyDescent="0.3">
      <c r="A194" s="10"/>
      <c r="B194" s="11" t="s">
        <v>21</v>
      </c>
      <c r="C194" s="9">
        <v>50</v>
      </c>
      <c r="D194" s="12">
        <v>8300</v>
      </c>
      <c r="E194" s="8">
        <v>406094</v>
      </c>
      <c r="F194" s="13"/>
    </row>
    <row r="195" spans="1:12" ht="21" customHeight="1" x14ac:dyDescent="0.3">
      <c r="A195" s="10"/>
      <c r="B195" s="11" t="s">
        <v>48</v>
      </c>
      <c r="C195" s="9">
        <v>50</v>
      </c>
      <c r="D195" s="8">
        <v>1600</v>
      </c>
      <c r="E195" s="8">
        <v>80000</v>
      </c>
      <c r="F195" s="13"/>
    </row>
    <row r="196" spans="1:12" ht="21" customHeight="1" x14ac:dyDescent="0.3">
      <c r="A196" s="10"/>
      <c r="B196" s="14"/>
      <c r="C196" s="15"/>
      <c r="D196" s="15"/>
      <c r="E196" s="15"/>
      <c r="F196" s="14"/>
    </row>
    <row r="197" spans="1:12" ht="21" customHeight="1" x14ac:dyDescent="0.3">
      <c r="A197" s="16">
        <v>46207</v>
      </c>
      <c r="B197" s="6" t="s">
        <v>95</v>
      </c>
      <c r="C197" s="7" t="s">
        <v>96</v>
      </c>
      <c r="D197" s="6"/>
      <c r="E197" s="8">
        <v>40380</v>
      </c>
      <c r="F197" s="8">
        <v>40380</v>
      </c>
      <c r="G197" s="9">
        <v>0</v>
      </c>
      <c r="H197" s="8">
        <v>40380</v>
      </c>
      <c r="I197" s="8">
        <v>38565</v>
      </c>
      <c r="J197" s="8">
        <v>1815</v>
      </c>
      <c r="K197" s="9">
        <v>4</v>
      </c>
      <c r="L197" s="6"/>
    </row>
    <row r="198" spans="1:12" ht="21" customHeight="1" x14ac:dyDescent="0.3">
      <c r="A198" s="10"/>
      <c r="B198" s="3" t="s">
        <v>17</v>
      </c>
      <c r="C198" s="4" t="s">
        <v>18</v>
      </c>
      <c r="D198" s="4" t="s">
        <v>19</v>
      </c>
      <c r="E198" s="4" t="s">
        <v>11</v>
      </c>
      <c r="F198" s="3" t="s">
        <v>20</v>
      </c>
    </row>
    <row r="199" spans="1:12" ht="21" customHeight="1" x14ac:dyDescent="0.3">
      <c r="A199" s="10"/>
      <c r="B199" s="11" t="s">
        <v>70</v>
      </c>
      <c r="C199" s="9">
        <v>3</v>
      </c>
      <c r="D199" s="12">
        <v>13460</v>
      </c>
      <c r="E199" s="8">
        <v>38565</v>
      </c>
      <c r="F199" s="13"/>
    </row>
    <row r="200" spans="1:12" ht="21" customHeight="1" x14ac:dyDescent="0.3">
      <c r="A200" s="10"/>
      <c r="B200" s="14"/>
      <c r="C200" s="15"/>
      <c r="D200" s="15"/>
      <c r="E200" s="15"/>
      <c r="F200" s="14"/>
    </row>
    <row r="201" spans="1:12" ht="21" customHeight="1" x14ac:dyDescent="0.3">
      <c r="A201" s="16">
        <v>46207</v>
      </c>
      <c r="B201" s="6" t="s">
        <v>97</v>
      </c>
      <c r="C201" s="7" t="s">
        <v>98</v>
      </c>
      <c r="D201" s="6"/>
      <c r="E201" s="8">
        <v>4939800</v>
      </c>
      <c r="F201" s="8">
        <v>4939800</v>
      </c>
      <c r="G201" s="9">
        <v>0</v>
      </c>
      <c r="H201" s="8">
        <v>4939800</v>
      </c>
      <c r="I201" s="8">
        <v>4915226</v>
      </c>
      <c r="J201" s="8">
        <v>24574</v>
      </c>
      <c r="K201" s="9">
        <v>0</v>
      </c>
      <c r="L201" s="6" t="s">
        <v>99</v>
      </c>
    </row>
    <row r="202" spans="1:12" ht="21" customHeight="1" x14ac:dyDescent="0.3">
      <c r="A202" s="10"/>
      <c r="B202" s="3" t="s">
        <v>17</v>
      </c>
      <c r="C202" s="4" t="s">
        <v>18</v>
      </c>
      <c r="D202" s="4" t="s">
        <v>19</v>
      </c>
      <c r="E202" s="4" t="s">
        <v>11</v>
      </c>
      <c r="F202" s="3" t="s">
        <v>20</v>
      </c>
    </row>
    <row r="203" spans="1:12" ht="21" customHeight="1" x14ac:dyDescent="0.3">
      <c r="A203" s="10"/>
      <c r="B203" s="11" t="s">
        <v>45</v>
      </c>
      <c r="C203" s="9">
        <v>300</v>
      </c>
      <c r="D203" s="12">
        <v>12830</v>
      </c>
      <c r="E203" s="8">
        <v>3824426</v>
      </c>
      <c r="F203" s="13"/>
    </row>
    <row r="204" spans="1:12" ht="21" customHeight="1" x14ac:dyDescent="0.3">
      <c r="A204" s="10"/>
      <c r="B204" s="11" t="s">
        <v>100</v>
      </c>
      <c r="C204" s="9">
        <v>40</v>
      </c>
      <c r="D204" s="12">
        <v>10915</v>
      </c>
      <c r="E204" s="8">
        <v>436600</v>
      </c>
      <c r="F204" s="13"/>
    </row>
    <row r="205" spans="1:12" ht="21" customHeight="1" x14ac:dyDescent="0.3">
      <c r="A205" s="10"/>
      <c r="B205" s="11" t="s">
        <v>101</v>
      </c>
      <c r="C205" s="9">
        <v>10</v>
      </c>
      <c r="D205" s="12">
        <v>12920</v>
      </c>
      <c r="E205" s="8">
        <v>129200</v>
      </c>
      <c r="F205" s="13"/>
    </row>
    <row r="206" spans="1:12" ht="21" customHeight="1" x14ac:dyDescent="0.3">
      <c r="A206" s="10"/>
      <c r="B206" s="11" t="s">
        <v>38</v>
      </c>
      <c r="C206" s="9">
        <v>350</v>
      </c>
      <c r="D206" s="8">
        <v>1500</v>
      </c>
      <c r="E206" s="8">
        <v>525000</v>
      </c>
      <c r="F206" s="13"/>
    </row>
    <row r="207" spans="1:12" ht="21" customHeight="1" x14ac:dyDescent="0.3">
      <c r="A207" s="10"/>
      <c r="B207" s="14"/>
      <c r="C207" s="15"/>
      <c r="D207" s="15"/>
      <c r="E207" s="15"/>
      <c r="F207" s="14"/>
    </row>
    <row r="208" spans="1:12" ht="21" customHeight="1" x14ac:dyDescent="0.3">
      <c r="A208" s="16">
        <v>46207</v>
      </c>
      <c r="B208" s="6" t="s">
        <v>102</v>
      </c>
      <c r="C208" s="7" t="s">
        <v>103</v>
      </c>
      <c r="D208" s="6"/>
      <c r="E208" s="8">
        <v>9500</v>
      </c>
      <c r="F208" s="8">
        <v>9500</v>
      </c>
      <c r="G208" s="9">
        <v>0</v>
      </c>
      <c r="H208" s="8">
        <v>9500</v>
      </c>
      <c r="I208" s="8">
        <v>8637</v>
      </c>
      <c r="J208" s="9">
        <v>863</v>
      </c>
      <c r="K208" s="9">
        <v>9</v>
      </c>
      <c r="L208" s="6"/>
    </row>
    <row r="209" spans="1:12" ht="21" customHeight="1" x14ac:dyDescent="0.3">
      <c r="A209" s="10"/>
      <c r="B209" s="3" t="s">
        <v>17</v>
      </c>
      <c r="C209" s="4" t="s">
        <v>18</v>
      </c>
      <c r="D209" s="4" t="s">
        <v>19</v>
      </c>
      <c r="E209" s="4" t="s">
        <v>11</v>
      </c>
      <c r="F209" s="3" t="s">
        <v>20</v>
      </c>
    </row>
    <row r="210" spans="1:12" ht="21" customHeight="1" x14ac:dyDescent="0.3">
      <c r="A210" s="10"/>
      <c r="B210" s="11" t="s">
        <v>22</v>
      </c>
      <c r="C210" s="9">
        <v>1</v>
      </c>
      <c r="D210" s="12">
        <v>9500</v>
      </c>
      <c r="E210" s="8">
        <v>8637</v>
      </c>
      <c r="F210" s="13"/>
    </row>
    <row r="211" spans="1:12" ht="21" customHeight="1" x14ac:dyDescent="0.3">
      <c r="A211" s="10"/>
      <c r="B211" s="14"/>
      <c r="C211" s="15"/>
      <c r="D211" s="15"/>
      <c r="E211" s="15"/>
      <c r="F211" s="14"/>
    </row>
    <row r="212" spans="1:12" ht="21" customHeight="1" x14ac:dyDescent="0.3">
      <c r="A212" s="16">
        <v>46207</v>
      </c>
      <c r="B212" s="6" t="s">
        <v>104</v>
      </c>
      <c r="C212" s="7" t="s">
        <v>105</v>
      </c>
      <c r="D212" s="6"/>
      <c r="E212" s="8">
        <v>44340</v>
      </c>
      <c r="F212" s="8">
        <v>44340</v>
      </c>
      <c r="G212" s="9">
        <v>0</v>
      </c>
      <c r="H212" s="8">
        <v>44340</v>
      </c>
      <c r="I212" s="8">
        <v>43100</v>
      </c>
      <c r="J212" s="8">
        <v>1240</v>
      </c>
      <c r="K212" s="9">
        <v>3</v>
      </c>
      <c r="L212" s="6"/>
    </row>
    <row r="213" spans="1:12" ht="21" customHeight="1" x14ac:dyDescent="0.3">
      <c r="A213" s="10"/>
      <c r="B213" s="3" t="s">
        <v>17</v>
      </c>
      <c r="C213" s="4" t="s">
        <v>18</v>
      </c>
      <c r="D213" s="4" t="s">
        <v>19</v>
      </c>
      <c r="E213" s="4" t="s">
        <v>11</v>
      </c>
      <c r="F213" s="3" t="s">
        <v>20</v>
      </c>
    </row>
    <row r="214" spans="1:12" ht="21" customHeight="1" x14ac:dyDescent="0.3">
      <c r="A214" s="10"/>
      <c r="B214" s="11" t="s">
        <v>24</v>
      </c>
      <c r="C214" s="9">
        <v>5</v>
      </c>
      <c r="D214" s="12">
        <v>5300</v>
      </c>
      <c r="E214" s="8">
        <v>26000</v>
      </c>
      <c r="F214" s="13"/>
    </row>
    <row r="215" spans="1:12" ht="21" customHeight="1" x14ac:dyDescent="0.3">
      <c r="A215" s="10"/>
      <c r="B215" s="11" t="s">
        <v>31</v>
      </c>
      <c r="C215" s="9">
        <v>1</v>
      </c>
      <c r="D215" s="12">
        <v>17840</v>
      </c>
      <c r="E215" s="8">
        <v>17100</v>
      </c>
      <c r="F215" s="13"/>
    </row>
    <row r="216" spans="1:12" ht="21" customHeight="1" x14ac:dyDescent="0.3">
      <c r="A216" s="10"/>
      <c r="B216" s="14"/>
      <c r="C216" s="15"/>
      <c r="D216" s="15"/>
      <c r="E216" s="15"/>
      <c r="F216" s="14"/>
      <c r="H216" s="17">
        <f>SUM(H172:H212)</f>
        <v>7874270</v>
      </c>
      <c r="I216" s="17">
        <f>SUM(I172:I212)</f>
        <v>7904380</v>
      </c>
      <c r="J216" s="17">
        <f>SUM(J172:J212)</f>
        <v>-30110</v>
      </c>
    </row>
    <row r="217" spans="1:12" ht="21" customHeight="1" x14ac:dyDescent="0.3">
      <c r="A217" s="5">
        <v>46209</v>
      </c>
      <c r="B217" s="6" t="s">
        <v>106</v>
      </c>
      <c r="C217" s="7" t="s">
        <v>107</v>
      </c>
      <c r="D217" s="6"/>
      <c r="E217" s="8">
        <v>2647500</v>
      </c>
      <c r="F217" s="8">
        <v>2647500</v>
      </c>
      <c r="G217" s="9">
        <v>0</v>
      </c>
      <c r="H217" s="8">
        <v>2647500</v>
      </c>
      <c r="I217" s="8">
        <v>2715050</v>
      </c>
      <c r="J217" s="8">
        <v>-67550</v>
      </c>
      <c r="K217" s="9">
        <v>-3</v>
      </c>
      <c r="L217" s="6"/>
    </row>
    <row r="218" spans="1:12" ht="21" customHeight="1" x14ac:dyDescent="0.3">
      <c r="A218" s="10"/>
      <c r="B218" s="3" t="s">
        <v>17</v>
      </c>
      <c r="C218" s="4" t="s">
        <v>18</v>
      </c>
      <c r="D218" s="4" t="s">
        <v>19</v>
      </c>
      <c r="E218" s="4" t="s">
        <v>11</v>
      </c>
      <c r="F218" s="3" t="s">
        <v>20</v>
      </c>
    </row>
    <row r="219" spans="1:12" ht="21" customHeight="1" x14ac:dyDescent="0.3">
      <c r="A219" s="10"/>
      <c r="B219" s="11" t="s">
        <v>24</v>
      </c>
      <c r="C219" s="9">
        <v>330</v>
      </c>
      <c r="D219" s="8">
        <v>4950</v>
      </c>
      <c r="E219" s="8">
        <v>1716000</v>
      </c>
      <c r="F219" s="13"/>
    </row>
    <row r="220" spans="1:12" ht="21" customHeight="1" x14ac:dyDescent="0.3">
      <c r="A220" s="10"/>
      <c r="B220" s="11" t="s">
        <v>27</v>
      </c>
      <c r="C220" s="9">
        <v>130</v>
      </c>
      <c r="D220" s="8">
        <v>7800</v>
      </c>
      <c r="E220" s="8">
        <v>999050</v>
      </c>
      <c r="F220" s="13"/>
    </row>
    <row r="221" spans="1:12" ht="21" customHeight="1" x14ac:dyDescent="0.3">
      <c r="A221" s="10"/>
      <c r="B221" s="14"/>
      <c r="C221" s="15"/>
      <c r="D221" s="15"/>
      <c r="E221" s="15"/>
      <c r="F221" s="14"/>
    </row>
    <row r="222" spans="1:12" ht="21" customHeight="1" x14ac:dyDescent="0.3">
      <c r="A222" s="16">
        <v>46209</v>
      </c>
      <c r="B222" s="6" t="s">
        <v>25</v>
      </c>
      <c r="C222" s="7" t="s">
        <v>108</v>
      </c>
      <c r="D222" s="6"/>
      <c r="E222" s="8">
        <v>890100</v>
      </c>
      <c r="F222" s="8">
        <v>890100</v>
      </c>
      <c r="G222" s="9">
        <v>0</v>
      </c>
      <c r="H222" s="8">
        <v>890100</v>
      </c>
      <c r="I222" s="8">
        <v>854885</v>
      </c>
      <c r="J222" s="8">
        <v>35215</v>
      </c>
      <c r="K222" s="9">
        <v>4</v>
      </c>
      <c r="L222" s="6"/>
    </row>
    <row r="223" spans="1:12" ht="21" customHeight="1" x14ac:dyDescent="0.3">
      <c r="A223" s="10"/>
      <c r="B223" s="3" t="s">
        <v>17</v>
      </c>
      <c r="C223" s="4" t="s">
        <v>18</v>
      </c>
      <c r="D223" s="4" t="s">
        <v>19</v>
      </c>
      <c r="E223" s="4" t="s">
        <v>11</v>
      </c>
      <c r="F223" s="3" t="s">
        <v>20</v>
      </c>
    </row>
    <row r="224" spans="1:12" ht="21" customHeight="1" x14ac:dyDescent="0.3">
      <c r="A224" s="10"/>
      <c r="B224" s="11" t="s">
        <v>45</v>
      </c>
      <c r="C224" s="9">
        <v>60</v>
      </c>
      <c r="D224" s="8">
        <v>13335</v>
      </c>
      <c r="E224" s="8">
        <v>764885</v>
      </c>
      <c r="F224" s="13"/>
    </row>
    <row r="225" spans="1:12" ht="21" customHeight="1" x14ac:dyDescent="0.3">
      <c r="A225" s="10"/>
      <c r="B225" s="11" t="s">
        <v>38</v>
      </c>
      <c r="C225" s="9">
        <v>60</v>
      </c>
      <c r="D225" s="8">
        <v>1500</v>
      </c>
      <c r="E225" s="8">
        <v>90000</v>
      </c>
      <c r="F225" s="13"/>
    </row>
    <row r="226" spans="1:12" ht="21" customHeight="1" x14ac:dyDescent="0.3">
      <c r="A226" s="10"/>
      <c r="B226" s="14"/>
      <c r="C226" s="15"/>
      <c r="D226" s="15"/>
      <c r="E226" s="15"/>
      <c r="F226" s="14"/>
    </row>
    <row r="227" spans="1:12" ht="21" customHeight="1" x14ac:dyDescent="0.3">
      <c r="A227" s="16">
        <v>46209</v>
      </c>
      <c r="B227" s="6" t="s">
        <v>109</v>
      </c>
      <c r="C227" s="7" t="s">
        <v>110</v>
      </c>
      <c r="D227" s="6"/>
      <c r="E227" s="8">
        <v>18300</v>
      </c>
      <c r="F227" s="8">
        <v>18300</v>
      </c>
      <c r="G227" s="9">
        <v>0</v>
      </c>
      <c r="H227" s="8">
        <v>18300</v>
      </c>
      <c r="I227" s="8">
        <v>17150</v>
      </c>
      <c r="J227" s="8">
        <v>1150</v>
      </c>
      <c r="K227" s="9">
        <v>6</v>
      </c>
      <c r="L227" s="6"/>
    </row>
    <row r="228" spans="1:12" ht="21" customHeight="1" x14ac:dyDescent="0.3">
      <c r="A228" s="10"/>
      <c r="B228" s="3" t="s">
        <v>17</v>
      </c>
      <c r="C228" s="4" t="s">
        <v>18</v>
      </c>
      <c r="D228" s="4" t="s">
        <v>19</v>
      </c>
      <c r="E228" s="4" t="s">
        <v>11</v>
      </c>
      <c r="F228" s="3" t="s">
        <v>20</v>
      </c>
    </row>
    <row r="229" spans="1:12" ht="21" customHeight="1" x14ac:dyDescent="0.3">
      <c r="A229" s="10"/>
      <c r="B229" s="11" t="s">
        <v>43</v>
      </c>
      <c r="C229" s="9">
        <v>1</v>
      </c>
      <c r="D229" s="8">
        <v>18300</v>
      </c>
      <c r="E229" s="8">
        <v>17150</v>
      </c>
      <c r="F229" s="13"/>
    </row>
    <row r="230" spans="1:12" ht="21" customHeight="1" x14ac:dyDescent="0.3">
      <c r="A230" s="10"/>
      <c r="B230" s="14"/>
      <c r="C230" s="15"/>
      <c r="D230" s="15"/>
      <c r="E230" s="15"/>
      <c r="F230" s="14"/>
    </row>
    <row r="231" spans="1:12" ht="21" customHeight="1" x14ac:dyDescent="0.3">
      <c r="A231" s="16">
        <v>46209</v>
      </c>
      <c r="B231" s="6" t="s">
        <v>25</v>
      </c>
      <c r="C231" s="7" t="s">
        <v>111</v>
      </c>
      <c r="D231" s="6"/>
      <c r="E231" s="8">
        <v>968400</v>
      </c>
      <c r="F231" s="8">
        <v>165017</v>
      </c>
      <c r="G231" s="8">
        <v>803383</v>
      </c>
      <c r="H231" s="8">
        <v>968400</v>
      </c>
      <c r="I231" s="8">
        <v>933561</v>
      </c>
      <c r="J231" s="8">
        <v>34839</v>
      </c>
      <c r="K231" s="9">
        <v>4</v>
      </c>
      <c r="L231" s="6"/>
    </row>
    <row r="232" spans="1:12" ht="21" customHeight="1" x14ac:dyDescent="0.3">
      <c r="A232" s="10"/>
      <c r="B232" s="3" t="s">
        <v>17</v>
      </c>
      <c r="C232" s="4" t="s">
        <v>18</v>
      </c>
      <c r="D232" s="4" t="s">
        <v>19</v>
      </c>
      <c r="E232" s="4" t="s">
        <v>11</v>
      </c>
      <c r="F232" s="3" t="s">
        <v>20</v>
      </c>
    </row>
    <row r="233" spans="1:12" ht="21" customHeight="1" x14ac:dyDescent="0.3">
      <c r="A233" s="10"/>
      <c r="B233" s="11" t="s">
        <v>44</v>
      </c>
      <c r="C233" s="9">
        <v>30</v>
      </c>
      <c r="D233" s="8">
        <v>9200</v>
      </c>
      <c r="E233" s="8">
        <v>269700</v>
      </c>
      <c r="F233" s="13"/>
    </row>
    <row r="234" spans="1:12" ht="21" customHeight="1" x14ac:dyDescent="0.3">
      <c r="A234" s="10"/>
      <c r="B234" s="11" t="s">
        <v>22</v>
      </c>
      <c r="C234" s="9">
        <v>30</v>
      </c>
      <c r="D234" s="8">
        <v>9200</v>
      </c>
      <c r="E234" s="8">
        <v>259123</v>
      </c>
      <c r="F234" s="13"/>
    </row>
    <row r="235" spans="1:12" ht="21" customHeight="1" x14ac:dyDescent="0.3">
      <c r="A235" s="10"/>
      <c r="B235" s="11" t="s">
        <v>21</v>
      </c>
      <c r="C235" s="9">
        <v>20</v>
      </c>
      <c r="D235" s="8">
        <v>8300</v>
      </c>
      <c r="E235" s="8">
        <v>162438</v>
      </c>
      <c r="F235" s="13"/>
    </row>
    <row r="236" spans="1:12" ht="21" customHeight="1" x14ac:dyDescent="0.3">
      <c r="A236" s="10"/>
      <c r="B236" s="11" t="s">
        <v>37</v>
      </c>
      <c r="C236" s="9">
        <v>12</v>
      </c>
      <c r="D236" s="8">
        <v>9200</v>
      </c>
      <c r="E236" s="8">
        <v>102300</v>
      </c>
      <c r="F236" s="13"/>
    </row>
    <row r="237" spans="1:12" ht="21" customHeight="1" x14ac:dyDescent="0.3">
      <c r="A237" s="10"/>
      <c r="B237" s="11" t="s">
        <v>38</v>
      </c>
      <c r="C237" s="9">
        <v>72</v>
      </c>
      <c r="D237" s="8">
        <v>1500</v>
      </c>
      <c r="E237" s="8">
        <v>108000</v>
      </c>
      <c r="F237" s="13"/>
    </row>
    <row r="238" spans="1:12" ht="21" customHeight="1" x14ac:dyDescent="0.3">
      <c r="A238" s="10"/>
      <c r="B238" s="11" t="s">
        <v>48</v>
      </c>
      <c r="C238" s="9">
        <v>20</v>
      </c>
      <c r="D238" s="8">
        <v>1600</v>
      </c>
      <c r="E238" s="8">
        <v>32000</v>
      </c>
      <c r="F238" s="13"/>
    </row>
    <row r="239" spans="1:12" ht="21" customHeight="1" x14ac:dyDescent="0.3">
      <c r="A239" s="10"/>
      <c r="B239" s="14"/>
      <c r="C239" s="15"/>
      <c r="D239" s="15"/>
      <c r="E239" s="15"/>
      <c r="F239" s="14"/>
    </row>
    <row r="240" spans="1:12" ht="21" customHeight="1" x14ac:dyDescent="0.3">
      <c r="A240" s="16">
        <v>46209</v>
      </c>
      <c r="B240" s="6" t="s">
        <v>29</v>
      </c>
      <c r="C240" s="7" t="s">
        <v>112</v>
      </c>
      <c r="D240" s="6"/>
      <c r="E240" s="8">
        <v>358030</v>
      </c>
      <c r="F240" s="8">
        <v>358030</v>
      </c>
      <c r="G240" s="9">
        <v>0</v>
      </c>
      <c r="H240" s="8">
        <v>358030</v>
      </c>
      <c r="I240" s="8">
        <v>348817</v>
      </c>
      <c r="J240" s="8">
        <v>9213</v>
      </c>
      <c r="K240" s="9">
        <v>3</v>
      </c>
      <c r="L240" s="6"/>
    </row>
    <row r="241" spans="1:12" ht="21" customHeight="1" x14ac:dyDescent="0.3">
      <c r="A241" s="10"/>
      <c r="B241" s="3" t="s">
        <v>17</v>
      </c>
      <c r="C241" s="4" t="s">
        <v>18</v>
      </c>
      <c r="D241" s="4" t="s">
        <v>19</v>
      </c>
      <c r="E241" s="4" t="s">
        <v>11</v>
      </c>
      <c r="F241" s="3" t="s">
        <v>20</v>
      </c>
    </row>
    <row r="242" spans="1:12" ht="21" customHeight="1" x14ac:dyDescent="0.3">
      <c r="A242" s="10"/>
      <c r="B242" s="11" t="s">
        <v>44</v>
      </c>
      <c r="C242" s="9">
        <v>21</v>
      </c>
      <c r="D242" s="8">
        <v>9200</v>
      </c>
      <c r="E242" s="8">
        <v>188790</v>
      </c>
      <c r="F242" s="13"/>
    </row>
    <row r="243" spans="1:12" ht="21" customHeight="1" x14ac:dyDescent="0.3">
      <c r="A243" s="10"/>
      <c r="B243" s="11" t="s">
        <v>45</v>
      </c>
      <c r="C243" s="9">
        <v>7</v>
      </c>
      <c r="D243" s="8">
        <v>13335</v>
      </c>
      <c r="E243" s="8">
        <v>89237</v>
      </c>
      <c r="F243" s="13"/>
    </row>
    <row r="244" spans="1:12" ht="21" customHeight="1" x14ac:dyDescent="0.3">
      <c r="A244" s="10"/>
      <c r="B244" s="11" t="s">
        <v>65</v>
      </c>
      <c r="C244" s="9">
        <v>1</v>
      </c>
      <c r="D244" s="8">
        <v>11910</v>
      </c>
      <c r="E244" s="8">
        <v>11315</v>
      </c>
      <c r="F244" s="13"/>
    </row>
    <row r="245" spans="1:12" ht="21" customHeight="1" x14ac:dyDescent="0.3">
      <c r="A245" s="10"/>
      <c r="B245" s="11" t="s">
        <v>113</v>
      </c>
      <c r="C245" s="9">
        <v>1</v>
      </c>
      <c r="D245" s="8">
        <v>14575</v>
      </c>
      <c r="E245" s="8">
        <v>14475</v>
      </c>
      <c r="F245" s="13"/>
    </row>
    <row r="246" spans="1:12" ht="21" customHeight="1" x14ac:dyDescent="0.3">
      <c r="A246" s="10"/>
      <c r="B246" s="11" t="s">
        <v>38</v>
      </c>
      <c r="C246" s="9">
        <v>30</v>
      </c>
      <c r="D246" s="8">
        <v>1500</v>
      </c>
      <c r="E246" s="8">
        <v>45000</v>
      </c>
      <c r="F246" s="13"/>
    </row>
    <row r="247" spans="1:12" ht="21" customHeight="1" x14ac:dyDescent="0.3">
      <c r="A247" s="10"/>
      <c r="B247" s="14"/>
      <c r="C247" s="15"/>
      <c r="D247" s="15"/>
      <c r="E247" s="15"/>
      <c r="F247" s="14"/>
    </row>
    <row r="248" spans="1:12" ht="21" customHeight="1" x14ac:dyDescent="0.3">
      <c r="A248" s="16">
        <v>46209</v>
      </c>
      <c r="B248" s="6" t="s">
        <v>40</v>
      </c>
      <c r="C248" s="7" t="s">
        <v>114</v>
      </c>
      <c r="D248" s="6"/>
      <c r="E248" s="8">
        <v>34400</v>
      </c>
      <c r="F248" s="8">
        <v>34400</v>
      </c>
      <c r="G248" s="9">
        <v>0</v>
      </c>
      <c r="H248" s="8">
        <v>34400</v>
      </c>
      <c r="I248" s="8">
        <v>34550</v>
      </c>
      <c r="J248" s="9">
        <v>-150</v>
      </c>
      <c r="K248" s="9">
        <v>0</v>
      </c>
      <c r="L248" s="6"/>
    </row>
    <row r="249" spans="1:12" ht="21" customHeight="1" x14ac:dyDescent="0.3">
      <c r="A249" s="10"/>
      <c r="B249" s="3" t="s">
        <v>17</v>
      </c>
      <c r="C249" s="4" t="s">
        <v>18</v>
      </c>
      <c r="D249" s="4" t="s">
        <v>19</v>
      </c>
      <c r="E249" s="4" t="s">
        <v>11</v>
      </c>
      <c r="F249" s="3" t="s">
        <v>20</v>
      </c>
    </row>
    <row r="250" spans="1:12" ht="21" customHeight="1" x14ac:dyDescent="0.3">
      <c r="A250" s="10"/>
      <c r="B250" s="11" t="s">
        <v>22</v>
      </c>
      <c r="C250" s="9">
        <v>4</v>
      </c>
      <c r="D250" s="8">
        <v>8600</v>
      </c>
      <c r="E250" s="8">
        <v>34550</v>
      </c>
      <c r="F250" s="13"/>
    </row>
    <row r="251" spans="1:12" ht="21" customHeight="1" x14ac:dyDescent="0.3">
      <c r="A251" s="10"/>
      <c r="B251" s="14"/>
      <c r="C251" s="15"/>
      <c r="D251" s="15"/>
      <c r="E251" s="15"/>
      <c r="F251" s="14"/>
    </row>
    <row r="252" spans="1:12" ht="21" customHeight="1" x14ac:dyDescent="0.3">
      <c r="A252" s="16">
        <v>46209</v>
      </c>
      <c r="B252" s="6" t="s">
        <v>106</v>
      </c>
      <c r="C252" s="7" t="s">
        <v>115</v>
      </c>
      <c r="D252" s="6"/>
      <c r="E252" s="8">
        <v>495000</v>
      </c>
      <c r="F252" s="8">
        <v>227500</v>
      </c>
      <c r="G252" s="8">
        <v>267500</v>
      </c>
      <c r="H252" s="8">
        <v>495000</v>
      </c>
      <c r="I252" s="8">
        <v>520000</v>
      </c>
      <c r="J252" s="8">
        <v>-25000</v>
      </c>
      <c r="K252" s="9">
        <v>-5</v>
      </c>
      <c r="L252" s="6"/>
    </row>
    <row r="253" spans="1:12" ht="21" customHeight="1" x14ac:dyDescent="0.3">
      <c r="A253" s="10"/>
      <c r="B253" s="3" t="s">
        <v>17</v>
      </c>
      <c r="C253" s="4" t="s">
        <v>18</v>
      </c>
      <c r="D253" s="4" t="s">
        <v>19</v>
      </c>
      <c r="E253" s="4" t="s">
        <v>11</v>
      </c>
      <c r="F253" s="3" t="s">
        <v>20</v>
      </c>
    </row>
    <row r="254" spans="1:12" ht="21" customHeight="1" x14ac:dyDescent="0.3">
      <c r="A254" s="10"/>
      <c r="B254" s="11" t="s">
        <v>24</v>
      </c>
      <c r="C254" s="9">
        <v>100</v>
      </c>
      <c r="D254" s="8">
        <v>4950</v>
      </c>
      <c r="E254" s="8">
        <v>520000</v>
      </c>
      <c r="F254" s="13"/>
    </row>
    <row r="255" spans="1:12" ht="21" customHeight="1" x14ac:dyDescent="0.3">
      <c r="A255" s="10"/>
      <c r="B255" s="14"/>
      <c r="C255" s="15"/>
      <c r="D255" s="15"/>
      <c r="E255" s="15"/>
      <c r="F255" s="14"/>
    </row>
    <row r="256" spans="1:12" ht="21" customHeight="1" x14ac:dyDescent="0.3">
      <c r="A256" s="16">
        <v>46209</v>
      </c>
      <c r="B256" s="6" t="s">
        <v>95</v>
      </c>
      <c r="C256" s="7" t="s">
        <v>116</v>
      </c>
      <c r="D256" s="6"/>
      <c r="E256" s="8">
        <v>119620</v>
      </c>
      <c r="F256" s="8">
        <v>100000</v>
      </c>
      <c r="G256" s="8">
        <v>19620</v>
      </c>
      <c r="H256" s="8">
        <v>119620</v>
      </c>
      <c r="I256" s="8">
        <v>114936</v>
      </c>
      <c r="J256" s="8">
        <v>4684</v>
      </c>
      <c r="K256" s="9">
        <v>4</v>
      </c>
      <c r="L256" s="6"/>
    </row>
    <row r="257" spans="1:12" ht="21" customHeight="1" x14ac:dyDescent="0.3">
      <c r="A257" s="10"/>
      <c r="B257" s="3" t="s">
        <v>17</v>
      </c>
      <c r="C257" s="4" t="s">
        <v>18</v>
      </c>
      <c r="D257" s="4" t="s">
        <v>19</v>
      </c>
      <c r="E257" s="4" t="s">
        <v>11</v>
      </c>
      <c r="F257" s="3" t="s">
        <v>20</v>
      </c>
    </row>
    <row r="258" spans="1:12" ht="21" customHeight="1" x14ac:dyDescent="0.3">
      <c r="A258" s="10"/>
      <c r="B258" s="11" t="s">
        <v>22</v>
      </c>
      <c r="C258" s="9">
        <v>4</v>
      </c>
      <c r="D258" s="8">
        <v>9200</v>
      </c>
      <c r="E258" s="8">
        <v>34550</v>
      </c>
      <c r="F258" s="13"/>
    </row>
    <row r="259" spans="1:12" ht="21" customHeight="1" x14ac:dyDescent="0.3">
      <c r="A259" s="10"/>
      <c r="B259" s="11" t="s">
        <v>45</v>
      </c>
      <c r="C259" s="9">
        <v>2</v>
      </c>
      <c r="D259" s="8">
        <v>13335</v>
      </c>
      <c r="E259" s="8">
        <v>25496</v>
      </c>
      <c r="F259" s="13"/>
    </row>
    <row r="260" spans="1:12" ht="21" customHeight="1" x14ac:dyDescent="0.3">
      <c r="A260" s="10"/>
      <c r="B260" s="11" t="s">
        <v>44</v>
      </c>
      <c r="C260" s="9">
        <v>3</v>
      </c>
      <c r="D260" s="8">
        <v>9200</v>
      </c>
      <c r="E260" s="8">
        <v>26970</v>
      </c>
      <c r="F260" s="13"/>
    </row>
    <row r="261" spans="1:12" ht="21" customHeight="1" x14ac:dyDescent="0.3">
      <c r="A261" s="10"/>
      <c r="B261" s="11" t="s">
        <v>101</v>
      </c>
      <c r="C261" s="9">
        <v>1</v>
      </c>
      <c r="D261" s="8">
        <v>13550</v>
      </c>
      <c r="E261" s="8">
        <v>12920</v>
      </c>
      <c r="F261" s="13"/>
    </row>
    <row r="262" spans="1:12" ht="21" customHeight="1" x14ac:dyDescent="0.3">
      <c r="A262" s="10"/>
      <c r="B262" s="11" t="s">
        <v>38</v>
      </c>
      <c r="C262" s="9">
        <v>10</v>
      </c>
      <c r="D262" s="8">
        <v>1500</v>
      </c>
      <c r="E262" s="8">
        <v>15000</v>
      </c>
      <c r="F262" s="13"/>
    </row>
    <row r="263" spans="1:12" ht="21" customHeight="1" x14ac:dyDescent="0.3">
      <c r="A263" s="10"/>
      <c r="B263" s="14"/>
      <c r="C263" s="15"/>
      <c r="D263" s="15"/>
      <c r="E263" s="15"/>
      <c r="F263" s="14"/>
    </row>
    <row r="264" spans="1:12" ht="21" customHeight="1" x14ac:dyDescent="0.3">
      <c r="A264" s="16">
        <v>46209</v>
      </c>
      <c r="B264" s="6" t="s">
        <v>63</v>
      </c>
      <c r="C264" s="7" t="s">
        <v>117</v>
      </c>
      <c r="D264" s="6"/>
      <c r="E264" s="8">
        <v>863040</v>
      </c>
      <c r="F264" s="8">
        <v>863040</v>
      </c>
      <c r="G264" s="9">
        <v>0</v>
      </c>
      <c r="H264" s="8">
        <v>863040</v>
      </c>
      <c r="I264" s="8">
        <v>838361</v>
      </c>
      <c r="J264" s="8">
        <v>24679</v>
      </c>
      <c r="K264" s="9">
        <v>3</v>
      </c>
      <c r="L264" s="6"/>
    </row>
    <row r="265" spans="1:12" ht="21" customHeight="1" x14ac:dyDescent="0.3">
      <c r="A265" s="10"/>
      <c r="B265" s="3" t="s">
        <v>17</v>
      </c>
      <c r="C265" s="4" t="s">
        <v>18</v>
      </c>
      <c r="D265" s="4" t="s">
        <v>19</v>
      </c>
      <c r="E265" s="4" t="s">
        <v>11</v>
      </c>
      <c r="F265" s="3" t="s">
        <v>20</v>
      </c>
    </row>
    <row r="266" spans="1:12" ht="21" customHeight="1" x14ac:dyDescent="0.3">
      <c r="A266" s="10"/>
      <c r="B266" s="11" t="s">
        <v>22</v>
      </c>
      <c r="C266" s="9">
        <v>70</v>
      </c>
      <c r="D266" s="8">
        <v>8990</v>
      </c>
      <c r="E266" s="8">
        <v>604621</v>
      </c>
      <c r="F266" s="13"/>
    </row>
    <row r="267" spans="1:12" ht="21" customHeight="1" x14ac:dyDescent="0.3">
      <c r="A267" s="10"/>
      <c r="B267" s="11" t="s">
        <v>44</v>
      </c>
      <c r="C267" s="9">
        <v>26</v>
      </c>
      <c r="D267" s="8">
        <v>8990</v>
      </c>
      <c r="E267" s="8">
        <v>233740</v>
      </c>
      <c r="F267" s="13"/>
    </row>
    <row r="268" spans="1:12" ht="21" customHeight="1" x14ac:dyDescent="0.3">
      <c r="A268" s="10"/>
      <c r="B268" s="14"/>
      <c r="C268" s="15"/>
      <c r="D268" s="15"/>
      <c r="E268" s="15"/>
      <c r="F268" s="14"/>
    </row>
    <row r="269" spans="1:12" ht="21" customHeight="1" x14ac:dyDescent="0.3">
      <c r="A269" s="16">
        <v>46209</v>
      </c>
      <c r="B269" s="6" t="s">
        <v>104</v>
      </c>
      <c r="C269" s="7" t="s">
        <v>118</v>
      </c>
      <c r="D269" s="6"/>
      <c r="E269" s="8">
        <v>31550</v>
      </c>
      <c r="F269" s="8">
        <v>31550</v>
      </c>
      <c r="G269" s="9">
        <v>0</v>
      </c>
      <c r="H269" s="8">
        <v>31550</v>
      </c>
      <c r="I269" s="8">
        <v>29980</v>
      </c>
      <c r="J269" s="8">
        <v>1570</v>
      </c>
      <c r="K269" s="9">
        <v>5</v>
      </c>
      <c r="L269" s="6"/>
    </row>
    <row r="270" spans="1:12" ht="21" customHeight="1" x14ac:dyDescent="0.3">
      <c r="A270" s="10"/>
      <c r="B270" s="3" t="s">
        <v>17</v>
      </c>
      <c r="C270" s="4" t="s">
        <v>18</v>
      </c>
      <c r="D270" s="4" t="s">
        <v>19</v>
      </c>
      <c r="E270" s="4" t="s">
        <v>11</v>
      </c>
      <c r="F270" s="3" t="s">
        <v>20</v>
      </c>
    </row>
    <row r="271" spans="1:12" ht="21" customHeight="1" x14ac:dyDescent="0.3">
      <c r="A271" s="10"/>
      <c r="B271" s="11" t="s">
        <v>119</v>
      </c>
      <c r="C271" s="9">
        <v>2</v>
      </c>
      <c r="D271" s="8">
        <v>13125</v>
      </c>
      <c r="E271" s="8">
        <v>24780</v>
      </c>
      <c r="F271" s="13"/>
    </row>
    <row r="272" spans="1:12" ht="21" customHeight="1" x14ac:dyDescent="0.3">
      <c r="A272" s="10"/>
      <c r="B272" s="11" t="s">
        <v>24</v>
      </c>
      <c r="C272" s="9">
        <v>1</v>
      </c>
      <c r="D272" s="8">
        <v>5300</v>
      </c>
      <c r="E272" s="8">
        <v>5200</v>
      </c>
      <c r="F272" s="13"/>
    </row>
    <row r="273" spans="1:12" ht="21" customHeight="1" x14ac:dyDescent="0.3">
      <c r="A273" s="10"/>
      <c r="B273" s="14"/>
      <c r="C273" s="15"/>
      <c r="D273" s="15"/>
      <c r="E273" s="15"/>
      <c r="F273" s="14"/>
    </row>
    <row r="274" spans="1:12" ht="21" customHeight="1" x14ac:dyDescent="0.3">
      <c r="A274" s="16">
        <v>46209</v>
      </c>
      <c r="B274" s="6" t="s">
        <v>78</v>
      </c>
      <c r="C274" s="7" t="s">
        <v>120</v>
      </c>
      <c r="D274" s="6"/>
      <c r="E274" s="8">
        <v>777505</v>
      </c>
      <c r="F274" s="8">
        <v>450000</v>
      </c>
      <c r="G274" s="8">
        <v>327505</v>
      </c>
      <c r="H274" s="8">
        <v>777505</v>
      </c>
      <c r="I274" s="8">
        <v>737753</v>
      </c>
      <c r="J274" s="8">
        <v>39752</v>
      </c>
      <c r="K274" s="9">
        <v>5</v>
      </c>
      <c r="L274" s="6"/>
    </row>
    <row r="275" spans="1:12" ht="21" customHeight="1" x14ac:dyDescent="0.3">
      <c r="A275" s="10"/>
      <c r="B275" s="3" t="s">
        <v>17</v>
      </c>
      <c r="C275" s="4" t="s">
        <v>18</v>
      </c>
      <c r="D275" s="4" t="s">
        <v>19</v>
      </c>
      <c r="E275" s="4" t="s">
        <v>11</v>
      </c>
      <c r="F275" s="3" t="s">
        <v>20</v>
      </c>
    </row>
    <row r="276" spans="1:12" ht="21" customHeight="1" x14ac:dyDescent="0.3">
      <c r="A276" s="10"/>
      <c r="B276" s="11" t="s">
        <v>22</v>
      </c>
      <c r="C276" s="9">
        <v>64</v>
      </c>
      <c r="D276" s="8">
        <v>9200</v>
      </c>
      <c r="E276" s="8">
        <v>552796</v>
      </c>
      <c r="F276" s="13"/>
    </row>
    <row r="277" spans="1:12" ht="21" customHeight="1" x14ac:dyDescent="0.3">
      <c r="A277" s="10"/>
      <c r="B277" s="11" t="s">
        <v>45</v>
      </c>
      <c r="C277" s="9">
        <v>4</v>
      </c>
      <c r="D277" s="8">
        <v>13335</v>
      </c>
      <c r="E277" s="8">
        <v>50992</v>
      </c>
      <c r="F277" s="13"/>
    </row>
    <row r="278" spans="1:12" ht="21" customHeight="1" x14ac:dyDescent="0.3">
      <c r="A278" s="10"/>
      <c r="B278" s="11" t="s">
        <v>37</v>
      </c>
      <c r="C278" s="9">
        <v>1</v>
      </c>
      <c r="D278" s="8">
        <v>8880</v>
      </c>
      <c r="E278" s="8">
        <v>8525</v>
      </c>
      <c r="F278" s="13"/>
    </row>
    <row r="279" spans="1:12" ht="21" customHeight="1" x14ac:dyDescent="0.3">
      <c r="A279" s="10"/>
      <c r="B279" s="11" t="s">
        <v>87</v>
      </c>
      <c r="C279" s="9">
        <v>1</v>
      </c>
      <c r="D279" s="8">
        <v>21485</v>
      </c>
      <c r="E279" s="8">
        <v>20440</v>
      </c>
      <c r="F279" s="13"/>
    </row>
    <row r="280" spans="1:12" ht="21" customHeight="1" x14ac:dyDescent="0.3">
      <c r="A280" s="10"/>
      <c r="B280" s="11" t="s">
        <v>38</v>
      </c>
      <c r="C280" s="9">
        <v>70</v>
      </c>
      <c r="D280" s="8">
        <v>1500</v>
      </c>
      <c r="E280" s="8">
        <v>105000</v>
      </c>
      <c r="F280" s="13"/>
    </row>
    <row r="281" spans="1:12" ht="21" customHeight="1" x14ac:dyDescent="0.3">
      <c r="A281" s="10"/>
      <c r="B281" s="14"/>
      <c r="C281" s="15"/>
      <c r="D281" s="15"/>
      <c r="E281" s="15"/>
      <c r="F281" s="14"/>
    </row>
    <row r="282" spans="1:12" ht="21" customHeight="1" x14ac:dyDescent="0.3">
      <c r="A282" s="16">
        <v>46209</v>
      </c>
      <c r="B282" s="6" t="s">
        <v>15</v>
      </c>
      <c r="C282" s="7" t="s">
        <v>121</v>
      </c>
      <c r="D282" s="6"/>
      <c r="E282" s="8">
        <v>28500</v>
      </c>
      <c r="F282" s="8">
        <v>28500</v>
      </c>
      <c r="G282" s="9">
        <v>0</v>
      </c>
      <c r="H282" s="8">
        <v>28500</v>
      </c>
      <c r="I282" s="8">
        <v>26152</v>
      </c>
      <c r="J282" s="8">
        <v>2348</v>
      </c>
      <c r="K282" s="9">
        <v>8</v>
      </c>
      <c r="L282" s="6"/>
    </row>
    <row r="283" spans="1:12" ht="21" customHeight="1" x14ac:dyDescent="0.3">
      <c r="A283" s="10"/>
      <c r="B283" s="3" t="s">
        <v>17</v>
      </c>
      <c r="C283" s="4" t="s">
        <v>18</v>
      </c>
      <c r="D283" s="4" t="s">
        <v>19</v>
      </c>
      <c r="E283" s="4" t="s">
        <v>11</v>
      </c>
      <c r="F283" s="3" t="s">
        <v>20</v>
      </c>
    </row>
    <row r="284" spans="1:12" ht="21" customHeight="1" x14ac:dyDescent="0.3">
      <c r="A284" s="10"/>
      <c r="B284" s="11" t="s">
        <v>22</v>
      </c>
      <c r="C284" s="9">
        <v>1</v>
      </c>
      <c r="D284" s="8">
        <v>9500</v>
      </c>
      <c r="E284" s="8">
        <v>8637</v>
      </c>
      <c r="F284" s="13"/>
    </row>
    <row r="285" spans="1:12" ht="21" customHeight="1" x14ac:dyDescent="0.3">
      <c r="A285" s="10"/>
      <c r="B285" s="11" t="s">
        <v>44</v>
      </c>
      <c r="C285" s="9">
        <v>1</v>
      </c>
      <c r="D285" s="8">
        <v>9500</v>
      </c>
      <c r="E285" s="8">
        <v>8990</v>
      </c>
      <c r="F285" s="13"/>
    </row>
    <row r="286" spans="1:12" ht="21" customHeight="1" x14ac:dyDescent="0.3">
      <c r="A286" s="10"/>
      <c r="B286" s="11" t="s">
        <v>37</v>
      </c>
      <c r="C286" s="9">
        <v>1</v>
      </c>
      <c r="D286" s="8">
        <v>9500</v>
      </c>
      <c r="E286" s="8">
        <v>8525</v>
      </c>
      <c r="F286" s="13"/>
    </row>
    <row r="287" spans="1:12" ht="21" customHeight="1" x14ac:dyDescent="0.3">
      <c r="A287" s="10"/>
      <c r="B287" s="14"/>
      <c r="C287" s="15"/>
      <c r="D287" s="15"/>
      <c r="E287" s="15"/>
      <c r="F287" s="14"/>
    </row>
    <row r="288" spans="1:12" ht="21" customHeight="1" x14ac:dyDescent="0.3">
      <c r="A288" s="16">
        <v>46209</v>
      </c>
      <c r="B288" s="6" t="s">
        <v>122</v>
      </c>
      <c r="C288" s="7" t="s">
        <v>123</v>
      </c>
      <c r="D288" s="6"/>
      <c r="E288" s="8">
        <v>19000</v>
      </c>
      <c r="F288" s="8">
        <v>19000</v>
      </c>
      <c r="G288" s="9">
        <v>0</v>
      </c>
      <c r="H288" s="8">
        <v>19000</v>
      </c>
      <c r="I288" s="8">
        <v>17275</v>
      </c>
      <c r="J288" s="8">
        <v>1725</v>
      </c>
      <c r="K288" s="9">
        <v>9</v>
      </c>
      <c r="L288" s="6"/>
    </row>
    <row r="289" spans="1:12" ht="21" customHeight="1" x14ac:dyDescent="0.3">
      <c r="A289" s="10"/>
      <c r="B289" s="3" t="s">
        <v>17</v>
      </c>
      <c r="C289" s="4" t="s">
        <v>18</v>
      </c>
      <c r="D289" s="4" t="s">
        <v>19</v>
      </c>
      <c r="E289" s="4" t="s">
        <v>11</v>
      </c>
      <c r="F289" s="3" t="s">
        <v>20</v>
      </c>
    </row>
    <row r="290" spans="1:12" ht="21" customHeight="1" x14ac:dyDescent="0.3">
      <c r="A290" s="10"/>
      <c r="B290" s="11" t="s">
        <v>22</v>
      </c>
      <c r="C290" s="9">
        <v>2</v>
      </c>
      <c r="D290" s="8">
        <v>9500</v>
      </c>
      <c r="E290" s="8">
        <v>17275</v>
      </c>
      <c r="F290" s="13"/>
    </row>
    <row r="291" spans="1:12" ht="21" customHeight="1" x14ac:dyDescent="0.3">
      <c r="A291" s="10"/>
      <c r="B291" s="14"/>
      <c r="C291" s="15"/>
      <c r="D291" s="15"/>
      <c r="E291" s="15"/>
      <c r="F291" s="14"/>
    </row>
    <row r="292" spans="1:12" ht="21" customHeight="1" x14ac:dyDescent="0.3">
      <c r="A292" s="5">
        <v>46210</v>
      </c>
      <c r="B292" s="6" t="s">
        <v>63</v>
      </c>
      <c r="C292" s="7" t="s">
        <v>124</v>
      </c>
      <c r="D292" s="6"/>
      <c r="E292" s="8">
        <v>1930160</v>
      </c>
      <c r="F292" s="8">
        <v>1930160</v>
      </c>
      <c r="G292" s="9">
        <v>0</v>
      </c>
      <c r="H292" s="8">
        <v>1930160</v>
      </c>
      <c r="I292" s="8">
        <v>1880801</v>
      </c>
      <c r="J292" s="8">
        <v>49359</v>
      </c>
      <c r="K292" s="9">
        <v>3</v>
      </c>
      <c r="L292" s="6"/>
    </row>
    <row r="293" spans="1:12" ht="21" customHeight="1" x14ac:dyDescent="0.3">
      <c r="A293" s="10"/>
      <c r="B293" s="3" t="s">
        <v>17</v>
      </c>
      <c r="C293" s="4" t="s">
        <v>18</v>
      </c>
      <c r="D293" s="4" t="s">
        <v>19</v>
      </c>
      <c r="E293" s="4" t="s">
        <v>11</v>
      </c>
      <c r="F293" s="3" t="s">
        <v>20</v>
      </c>
    </row>
    <row r="294" spans="1:12" ht="21" customHeight="1" x14ac:dyDescent="0.3">
      <c r="A294" s="10"/>
      <c r="B294" s="11" t="s">
        <v>22</v>
      </c>
      <c r="C294" s="9">
        <v>140</v>
      </c>
      <c r="D294" s="8">
        <v>8990</v>
      </c>
      <c r="E294" s="8">
        <v>1209241</v>
      </c>
      <c r="F294" s="13"/>
    </row>
    <row r="295" spans="1:12" ht="21" customHeight="1" x14ac:dyDescent="0.3">
      <c r="A295" s="10"/>
      <c r="B295" s="11" t="s">
        <v>44</v>
      </c>
      <c r="C295" s="9">
        <v>44</v>
      </c>
      <c r="D295" s="8">
        <v>8990</v>
      </c>
      <c r="E295" s="8">
        <v>395560</v>
      </c>
      <c r="F295" s="13"/>
    </row>
    <row r="296" spans="1:12" ht="21" customHeight="1" x14ac:dyDescent="0.3">
      <c r="A296" s="10"/>
      <c r="B296" s="11" t="s">
        <v>38</v>
      </c>
      <c r="C296" s="9">
        <v>184</v>
      </c>
      <c r="D296" s="8">
        <v>1500</v>
      </c>
      <c r="E296" s="8">
        <v>276000</v>
      </c>
      <c r="F296" s="13"/>
    </row>
    <row r="297" spans="1:12" ht="21" customHeight="1" x14ac:dyDescent="0.3">
      <c r="A297" s="10"/>
      <c r="B297" s="14"/>
      <c r="C297" s="15"/>
      <c r="D297" s="15"/>
      <c r="E297" s="15"/>
      <c r="F297" s="14"/>
    </row>
    <row r="298" spans="1:12" ht="21" customHeight="1" x14ac:dyDescent="0.3">
      <c r="A298" s="16">
        <v>46210</v>
      </c>
      <c r="B298" s="6" t="s">
        <v>125</v>
      </c>
      <c r="C298" s="7" t="s">
        <v>126</v>
      </c>
      <c r="D298" s="6"/>
      <c r="E298" s="8">
        <v>612000</v>
      </c>
      <c r="F298" s="8">
        <v>350000</v>
      </c>
      <c r="G298" s="8">
        <v>262000</v>
      </c>
      <c r="H298" s="8">
        <v>612000</v>
      </c>
      <c r="I298" s="8">
        <v>624000</v>
      </c>
      <c r="J298" s="8">
        <v>-12000</v>
      </c>
      <c r="K298" s="9">
        <v>-2</v>
      </c>
      <c r="L298" s="6"/>
    </row>
    <row r="299" spans="1:12" ht="21" customHeight="1" x14ac:dyDescent="0.3">
      <c r="A299" s="10"/>
      <c r="B299" s="3" t="s">
        <v>17</v>
      </c>
      <c r="C299" s="4" t="s">
        <v>18</v>
      </c>
      <c r="D299" s="4" t="s">
        <v>19</v>
      </c>
      <c r="E299" s="4" t="s">
        <v>11</v>
      </c>
      <c r="F299" s="3" t="s">
        <v>20</v>
      </c>
    </row>
    <row r="300" spans="1:12" ht="21" customHeight="1" x14ac:dyDescent="0.3">
      <c r="A300" s="10"/>
      <c r="B300" s="11" t="s">
        <v>24</v>
      </c>
      <c r="C300" s="9">
        <v>120</v>
      </c>
      <c r="D300" s="8">
        <v>5100</v>
      </c>
      <c r="E300" s="8">
        <v>624000</v>
      </c>
      <c r="F300" s="13"/>
    </row>
    <row r="301" spans="1:12" ht="21" customHeight="1" x14ac:dyDescent="0.3">
      <c r="A301" s="10"/>
      <c r="B301" s="14"/>
      <c r="C301" s="15"/>
      <c r="D301" s="15"/>
      <c r="E301" s="15"/>
      <c r="F301" s="14"/>
    </row>
    <row r="302" spans="1:12" ht="21" customHeight="1" x14ac:dyDescent="0.3">
      <c r="A302" s="16">
        <v>46210</v>
      </c>
      <c r="B302" s="6" t="s">
        <v>127</v>
      </c>
      <c r="C302" s="7" t="s">
        <v>128</v>
      </c>
      <c r="D302" s="6"/>
      <c r="E302" s="8">
        <v>1237500</v>
      </c>
      <c r="F302" s="8">
        <v>1237500</v>
      </c>
      <c r="G302" s="9">
        <v>0</v>
      </c>
      <c r="H302" s="8">
        <v>1237500</v>
      </c>
      <c r="I302" s="8">
        <v>1300000</v>
      </c>
      <c r="J302" s="8">
        <v>-62500</v>
      </c>
      <c r="K302" s="9">
        <v>-5</v>
      </c>
      <c r="L302" s="6" t="s">
        <v>129</v>
      </c>
    </row>
    <row r="303" spans="1:12" ht="21" customHeight="1" x14ac:dyDescent="0.3">
      <c r="A303" s="10"/>
      <c r="B303" s="3" t="s">
        <v>17</v>
      </c>
      <c r="C303" s="4" t="s">
        <v>18</v>
      </c>
      <c r="D303" s="4" t="s">
        <v>19</v>
      </c>
      <c r="E303" s="4" t="s">
        <v>11</v>
      </c>
      <c r="F303" s="3" t="s">
        <v>20</v>
      </c>
    </row>
    <row r="304" spans="1:12" ht="21" customHeight="1" x14ac:dyDescent="0.3">
      <c r="A304" s="10"/>
      <c r="B304" s="11" t="s">
        <v>24</v>
      </c>
      <c r="C304" s="9">
        <v>250</v>
      </c>
      <c r="D304" s="8">
        <v>4950</v>
      </c>
      <c r="E304" s="8">
        <v>1300000</v>
      </c>
      <c r="F304" s="13"/>
    </row>
    <row r="305" spans="1:12" ht="21" customHeight="1" x14ac:dyDescent="0.3">
      <c r="A305" s="10"/>
      <c r="B305" s="14"/>
      <c r="C305" s="15"/>
      <c r="D305" s="15"/>
      <c r="E305" s="15"/>
      <c r="F305" s="14"/>
    </row>
    <row r="306" spans="1:12" ht="21" customHeight="1" x14ac:dyDescent="0.3">
      <c r="A306" s="16">
        <v>46210</v>
      </c>
      <c r="B306" s="6" t="s">
        <v>50</v>
      </c>
      <c r="C306" s="7" t="s">
        <v>130</v>
      </c>
      <c r="D306" s="6"/>
      <c r="E306" s="8">
        <v>172000</v>
      </c>
      <c r="F306" s="8">
        <v>172000</v>
      </c>
      <c r="G306" s="9">
        <v>0</v>
      </c>
      <c r="H306" s="8">
        <v>172000</v>
      </c>
      <c r="I306" s="8">
        <v>171000</v>
      </c>
      <c r="J306" s="8">
        <v>1000</v>
      </c>
      <c r="K306" s="9">
        <v>1</v>
      </c>
      <c r="L306" s="6"/>
    </row>
    <row r="307" spans="1:12" ht="21" customHeight="1" x14ac:dyDescent="0.3">
      <c r="A307" s="10"/>
      <c r="B307" s="3" t="s">
        <v>17</v>
      </c>
      <c r="C307" s="4" t="s">
        <v>18</v>
      </c>
      <c r="D307" s="4" t="s">
        <v>19</v>
      </c>
      <c r="E307" s="4" t="s">
        <v>11</v>
      </c>
      <c r="F307" s="3" t="s">
        <v>20</v>
      </c>
    </row>
    <row r="308" spans="1:12" ht="21" customHeight="1" x14ac:dyDescent="0.3">
      <c r="A308" s="10"/>
      <c r="B308" s="11" t="s">
        <v>31</v>
      </c>
      <c r="C308" s="9">
        <v>10</v>
      </c>
      <c r="D308" s="8">
        <v>17200</v>
      </c>
      <c r="E308" s="8">
        <v>171000</v>
      </c>
      <c r="F308" s="13"/>
    </row>
    <row r="309" spans="1:12" ht="21" customHeight="1" x14ac:dyDescent="0.3">
      <c r="A309" s="10"/>
      <c r="B309" s="14"/>
      <c r="C309" s="15"/>
      <c r="D309" s="15"/>
      <c r="E309" s="15"/>
      <c r="F309" s="14"/>
    </row>
    <row r="310" spans="1:12" ht="21" customHeight="1" x14ac:dyDescent="0.3">
      <c r="A310" s="16">
        <v>46210</v>
      </c>
      <c r="B310" s="6" t="s">
        <v>25</v>
      </c>
      <c r="C310" s="7" t="s">
        <v>131</v>
      </c>
      <c r="D310" s="6"/>
      <c r="E310" s="8">
        <v>626695</v>
      </c>
      <c r="F310" s="8">
        <v>626695</v>
      </c>
      <c r="G310" s="9">
        <v>0</v>
      </c>
      <c r="H310" s="8">
        <v>626695</v>
      </c>
      <c r="I310" s="8">
        <v>595903</v>
      </c>
      <c r="J310" s="8">
        <v>30792</v>
      </c>
      <c r="K310" s="9">
        <v>5</v>
      </c>
      <c r="L310" s="6"/>
    </row>
    <row r="311" spans="1:12" ht="21" customHeight="1" x14ac:dyDescent="0.3">
      <c r="A311" s="10"/>
      <c r="B311" s="3" t="s">
        <v>17</v>
      </c>
      <c r="C311" s="4" t="s">
        <v>18</v>
      </c>
      <c r="D311" s="4" t="s">
        <v>19</v>
      </c>
      <c r="E311" s="4" t="s">
        <v>11</v>
      </c>
      <c r="F311" s="3" t="s">
        <v>20</v>
      </c>
    </row>
    <row r="312" spans="1:12" ht="21" customHeight="1" x14ac:dyDescent="0.3">
      <c r="A312" s="10"/>
      <c r="B312" s="11" t="s">
        <v>22</v>
      </c>
      <c r="C312" s="9">
        <v>25</v>
      </c>
      <c r="D312" s="8">
        <v>9200</v>
      </c>
      <c r="E312" s="8">
        <v>215936</v>
      </c>
      <c r="F312" s="13"/>
    </row>
    <row r="313" spans="1:12" ht="21" customHeight="1" x14ac:dyDescent="0.3">
      <c r="A313" s="10"/>
      <c r="B313" s="11" t="s">
        <v>45</v>
      </c>
      <c r="C313" s="9">
        <v>17</v>
      </c>
      <c r="D313" s="8">
        <v>13335</v>
      </c>
      <c r="E313" s="8">
        <v>216717</v>
      </c>
      <c r="F313" s="13"/>
    </row>
    <row r="314" spans="1:12" ht="21" customHeight="1" x14ac:dyDescent="0.3">
      <c r="A314" s="10"/>
      <c r="B314" s="11" t="s">
        <v>37</v>
      </c>
      <c r="C314" s="9">
        <v>10</v>
      </c>
      <c r="D314" s="8">
        <v>9200</v>
      </c>
      <c r="E314" s="8">
        <v>85250</v>
      </c>
      <c r="F314" s="13"/>
    </row>
    <row r="315" spans="1:12" ht="21" customHeight="1" x14ac:dyDescent="0.3">
      <c r="A315" s="10"/>
      <c r="B315" s="11" t="s">
        <v>38</v>
      </c>
      <c r="C315" s="9">
        <v>52</v>
      </c>
      <c r="D315" s="8">
        <v>1500</v>
      </c>
      <c r="E315" s="8">
        <v>78000</v>
      </c>
      <c r="F315" s="13"/>
    </row>
    <row r="316" spans="1:12" ht="21" customHeight="1" x14ac:dyDescent="0.3">
      <c r="A316" s="10"/>
      <c r="B316" s="14"/>
      <c r="C316" s="15"/>
      <c r="D316" s="15"/>
      <c r="E316" s="15"/>
      <c r="F316" s="14"/>
    </row>
    <row r="317" spans="1:12" ht="21" customHeight="1" x14ac:dyDescent="0.3">
      <c r="A317" s="16">
        <v>46210</v>
      </c>
      <c r="B317" s="6" t="s">
        <v>132</v>
      </c>
      <c r="C317" s="7" t="s">
        <v>133</v>
      </c>
      <c r="D317" s="6"/>
      <c r="E317" s="8">
        <v>4512900</v>
      </c>
      <c r="F317" s="8">
        <v>4512900</v>
      </c>
      <c r="G317" s="9">
        <v>0</v>
      </c>
      <c r="H317" s="8">
        <v>4512900</v>
      </c>
      <c r="I317" s="8">
        <v>4460698</v>
      </c>
      <c r="J317" s="8">
        <v>52202</v>
      </c>
      <c r="K317" s="9">
        <v>1</v>
      </c>
      <c r="L317" s="6" t="s">
        <v>134</v>
      </c>
    </row>
    <row r="318" spans="1:12" ht="21" customHeight="1" x14ac:dyDescent="0.3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1:12" ht="21" customHeight="1" x14ac:dyDescent="0.3">
      <c r="A319" s="10"/>
      <c r="B319" s="11" t="s">
        <v>45</v>
      </c>
      <c r="C319" s="9">
        <v>210</v>
      </c>
      <c r="D319" s="8">
        <v>12930</v>
      </c>
      <c r="E319" s="8">
        <v>2677098</v>
      </c>
      <c r="F319" s="13"/>
    </row>
    <row r="320" spans="1:12" ht="21" customHeight="1" x14ac:dyDescent="0.3">
      <c r="A320" s="10"/>
      <c r="B320" s="11" t="s">
        <v>44</v>
      </c>
      <c r="C320" s="9">
        <v>140</v>
      </c>
      <c r="D320" s="8">
        <v>9090</v>
      </c>
      <c r="E320" s="8">
        <v>1258600</v>
      </c>
      <c r="F320" s="13"/>
    </row>
    <row r="321" spans="1:12" ht="21" customHeight="1" x14ac:dyDescent="0.3">
      <c r="A321" s="10"/>
      <c r="B321" s="11" t="s">
        <v>38</v>
      </c>
      <c r="C321" s="9">
        <v>350</v>
      </c>
      <c r="D321" s="8">
        <v>1500</v>
      </c>
      <c r="E321" s="8">
        <v>525000</v>
      </c>
      <c r="F321" s="13"/>
    </row>
    <row r="322" spans="1:12" ht="21" customHeight="1" x14ac:dyDescent="0.3">
      <c r="A322" s="10"/>
      <c r="B322" s="14"/>
      <c r="C322" s="15"/>
      <c r="D322" s="15"/>
      <c r="E322" s="15"/>
      <c r="F322" s="14"/>
    </row>
    <row r="323" spans="1:12" ht="21" customHeight="1" x14ac:dyDescent="0.3">
      <c r="A323" s="16">
        <v>46210</v>
      </c>
      <c r="B323" s="6" t="s">
        <v>40</v>
      </c>
      <c r="C323" s="7" t="s">
        <v>135</v>
      </c>
      <c r="D323" s="6"/>
      <c r="E323" s="8">
        <v>111100</v>
      </c>
      <c r="F323" s="8">
        <v>111100</v>
      </c>
      <c r="G323" s="9">
        <v>0</v>
      </c>
      <c r="H323" s="8">
        <v>111100</v>
      </c>
      <c r="I323" s="8">
        <v>111512</v>
      </c>
      <c r="J323" s="9">
        <v>-412</v>
      </c>
      <c r="K323" s="9">
        <v>0</v>
      </c>
      <c r="L323" s="6"/>
    </row>
    <row r="324" spans="1:12" ht="21" customHeight="1" x14ac:dyDescent="0.3">
      <c r="A324" s="10"/>
      <c r="B324" s="3" t="s">
        <v>17</v>
      </c>
      <c r="C324" s="4" t="s">
        <v>18</v>
      </c>
      <c r="D324" s="4" t="s">
        <v>19</v>
      </c>
      <c r="E324" s="4" t="s">
        <v>11</v>
      </c>
      <c r="F324" s="3" t="s">
        <v>20</v>
      </c>
    </row>
    <row r="325" spans="1:12" ht="21" customHeight="1" x14ac:dyDescent="0.3">
      <c r="A325" s="10"/>
      <c r="B325" s="11" t="s">
        <v>22</v>
      </c>
      <c r="C325" s="9">
        <v>11</v>
      </c>
      <c r="D325" s="8">
        <v>8600</v>
      </c>
      <c r="E325" s="8">
        <v>95012</v>
      </c>
      <c r="F325" s="13"/>
    </row>
    <row r="326" spans="1:12" ht="21" customHeight="1" x14ac:dyDescent="0.3">
      <c r="A326" s="10"/>
      <c r="B326" s="11" t="s">
        <v>38</v>
      </c>
      <c r="C326" s="9">
        <v>11</v>
      </c>
      <c r="D326" s="8">
        <v>1500</v>
      </c>
      <c r="E326" s="8">
        <v>16500</v>
      </c>
      <c r="F326" s="13"/>
    </row>
    <row r="327" spans="1:12" ht="21" customHeight="1" x14ac:dyDescent="0.3">
      <c r="A327" s="10"/>
      <c r="B327" s="14"/>
      <c r="C327" s="15"/>
      <c r="D327" s="15"/>
      <c r="E327" s="15"/>
      <c r="F327" s="14"/>
    </row>
    <row r="328" spans="1:12" ht="21" customHeight="1" x14ac:dyDescent="0.3">
      <c r="A328" s="16">
        <v>46210</v>
      </c>
      <c r="B328" s="6" t="s">
        <v>29</v>
      </c>
      <c r="C328" s="7" t="s">
        <v>136</v>
      </c>
      <c r="D328" s="6"/>
      <c r="E328" s="8">
        <v>756425</v>
      </c>
      <c r="F328" s="8">
        <v>756425</v>
      </c>
      <c r="G328" s="9">
        <v>0</v>
      </c>
      <c r="H328" s="8">
        <v>756425</v>
      </c>
      <c r="I328" s="8">
        <v>750305</v>
      </c>
      <c r="J328" s="8">
        <v>6120</v>
      </c>
      <c r="K328" s="9">
        <v>1</v>
      </c>
      <c r="L328" s="6"/>
    </row>
    <row r="329" spans="1:12" ht="21" customHeight="1" x14ac:dyDescent="0.3">
      <c r="A329" s="10"/>
      <c r="B329" s="3" t="s">
        <v>17</v>
      </c>
      <c r="C329" s="4" t="s">
        <v>18</v>
      </c>
      <c r="D329" s="4" t="s">
        <v>19</v>
      </c>
      <c r="E329" s="4" t="s">
        <v>11</v>
      </c>
      <c r="F329" s="3" t="s">
        <v>20</v>
      </c>
    </row>
    <row r="330" spans="1:12" ht="21" customHeight="1" x14ac:dyDescent="0.3">
      <c r="A330" s="10"/>
      <c r="B330" s="11" t="s">
        <v>22</v>
      </c>
      <c r="C330" s="9">
        <v>27</v>
      </c>
      <c r="D330" s="8">
        <v>8800</v>
      </c>
      <c r="E330" s="8">
        <v>233211</v>
      </c>
      <c r="F330" s="13"/>
    </row>
    <row r="331" spans="1:12" ht="21" customHeight="1" x14ac:dyDescent="0.3">
      <c r="A331" s="10"/>
      <c r="B331" s="11" t="s">
        <v>113</v>
      </c>
      <c r="C331" s="9">
        <v>2</v>
      </c>
      <c r="D331" s="8">
        <v>14575</v>
      </c>
      <c r="E331" s="8">
        <v>28950</v>
      </c>
      <c r="F331" s="13"/>
    </row>
    <row r="332" spans="1:12" ht="21" customHeight="1" x14ac:dyDescent="0.3">
      <c r="A332" s="10"/>
      <c r="B332" s="11" t="s">
        <v>44</v>
      </c>
      <c r="C332" s="9">
        <v>5</v>
      </c>
      <c r="D332" s="8">
        <v>9200</v>
      </c>
      <c r="E332" s="8">
        <v>44950</v>
      </c>
      <c r="F332" s="13"/>
    </row>
    <row r="333" spans="1:12" ht="21" customHeight="1" x14ac:dyDescent="0.3">
      <c r="A333" s="10"/>
      <c r="B333" s="11" t="s">
        <v>37</v>
      </c>
      <c r="C333" s="9">
        <v>5</v>
      </c>
      <c r="D333" s="8">
        <v>8880</v>
      </c>
      <c r="E333" s="8">
        <v>42625</v>
      </c>
      <c r="F333" s="13"/>
    </row>
    <row r="334" spans="1:12" ht="21" customHeight="1" x14ac:dyDescent="0.3">
      <c r="A334" s="10"/>
      <c r="B334" s="11" t="s">
        <v>24</v>
      </c>
      <c r="C334" s="9">
        <v>30</v>
      </c>
      <c r="D334" s="8">
        <v>4900</v>
      </c>
      <c r="E334" s="8">
        <v>156000</v>
      </c>
      <c r="F334" s="13"/>
    </row>
    <row r="335" spans="1:12" ht="21" customHeight="1" x14ac:dyDescent="0.3">
      <c r="A335" s="10"/>
      <c r="B335" s="11" t="s">
        <v>27</v>
      </c>
      <c r="C335" s="9">
        <v>15</v>
      </c>
      <c r="D335" s="8">
        <v>8020</v>
      </c>
      <c r="E335" s="8">
        <v>115275</v>
      </c>
      <c r="F335" s="13"/>
    </row>
    <row r="336" spans="1:12" ht="21" customHeight="1" x14ac:dyDescent="0.3">
      <c r="A336" s="10"/>
      <c r="B336" s="11" t="s">
        <v>65</v>
      </c>
      <c r="C336" s="9">
        <v>3</v>
      </c>
      <c r="D336" s="8">
        <v>11910</v>
      </c>
      <c r="E336" s="8">
        <v>33945</v>
      </c>
      <c r="F336" s="13"/>
    </row>
    <row r="337" spans="1:12" ht="21" customHeight="1" x14ac:dyDescent="0.3">
      <c r="A337" s="10"/>
      <c r="B337" s="11" t="s">
        <v>31</v>
      </c>
      <c r="C337" s="9">
        <v>1</v>
      </c>
      <c r="D337" s="8">
        <v>17100</v>
      </c>
      <c r="E337" s="8">
        <v>17100</v>
      </c>
      <c r="F337" s="13"/>
    </row>
    <row r="338" spans="1:12" ht="21" customHeight="1" x14ac:dyDescent="0.3">
      <c r="A338" s="10"/>
      <c r="B338" s="11" t="s">
        <v>32</v>
      </c>
      <c r="C338" s="9">
        <v>1</v>
      </c>
      <c r="D338" s="8">
        <v>16145</v>
      </c>
      <c r="E338" s="8">
        <v>15249</v>
      </c>
      <c r="F338" s="13"/>
    </row>
    <row r="339" spans="1:12" ht="21" customHeight="1" x14ac:dyDescent="0.3">
      <c r="A339" s="10"/>
      <c r="B339" s="11" t="s">
        <v>38</v>
      </c>
      <c r="C339" s="9">
        <v>42</v>
      </c>
      <c r="D339" s="8">
        <v>1500</v>
      </c>
      <c r="E339" s="8">
        <v>63000</v>
      </c>
      <c r="F339" s="13"/>
    </row>
    <row r="340" spans="1:12" ht="21" customHeight="1" x14ac:dyDescent="0.3">
      <c r="A340" s="10"/>
      <c r="B340" s="14"/>
      <c r="C340" s="15"/>
      <c r="D340" s="15"/>
      <c r="E340" s="15"/>
      <c r="F340" s="14"/>
    </row>
    <row r="341" spans="1:12" ht="21" customHeight="1" x14ac:dyDescent="0.3">
      <c r="A341" s="16">
        <v>46210</v>
      </c>
      <c r="B341" s="6" t="s">
        <v>59</v>
      </c>
      <c r="C341" s="7" t="s">
        <v>137</v>
      </c>
      <c r="D341" s="6"/>
      <c r="E341" s="8">
        <v>1170400</v>
      </c>
      <c r="F341" s="8">
        <v>1000000</v>
      </c>
      <c r="G341" s="8">
        <v>170400</v>
      </c>
      <c r="H341" s="8">
        <v>1170400</v>
      </c>
      <c r="I341" s="8">
        <v>1204100</v>
      </c>
      <c r="J341" s="8">
        <v>-33700</v>
      </c>
      <c r="K341" s="9">
        <v>-3</v>
      </c>
      <c r="L341" s="6"/>
    </row>
    <row r="342" spans="1:12" ht="21" customHeight="1" x14ac:dyDescent="0.3">
      <c r="A342" s="10"/>
      <c r="B342" s="3" t="s">
        <v>17</v>
      </c>
      <c r="C342" s="4" t="s">
        <v>18</v>
      </c>
      <c r="D342" s="4" t="s">
        <v>19</v>
      </c>
      <c r="E342" s="4" t="s">
        <v>11</v>
      </c>
      <c r="F342" s="3" t="s">
        <v>20</v>
      </c>
    </row>
    <row r="343" spans="1:12" ht="21" customHeight="1" x14ac:dyDescent="0.3">
      <c r="A343" s="10"/>
      <c r="B343" s="11" t="s">
        <v>24</v>
      </c>
      <c r="C343" s="9">
        <v>202</v>
      </c>
      <c r="D343" s="8">
        <v>5000</v>
      </c>
      <c r="E343" s="8">
        <v>1050400</v>
      </c>
      <c r="F343" s="13"/>
    </row>
    <row r="344" spans="1:12" ht="21" customHeight="1" x14ac:dyDescent="0.3">
      <c r="A344" s="10"/>
      <c r="B344" s="11" t="s">
        <v>27</v>
      </c>
      <c r="C344" s="9">
        <v>20</v>
      </c>
      <c r="D344" s="8">
        <v>8020</v>
      </c>
      <c r="E344" s="8">
        <v>153700</v>
      </c>
      <c r="F344" s="13"/>
    </row>
    <row r="345" spans="1:12" ht="21" customHeight="1" x14ac:dyDescent="0.3">
      <c r="A345" s="10"/>
      <c r="B345" s="14"/>
      <c r="C345" s="15"/>
      <c r="D345" s="15"/>
      <c r="E345" s="15"/>
      <c r="F345" s="14"/>
    </row>
    <row r="346" spans="1:12" ht="21" customHeight="1" x14ac:dyDescent="0.3">
      <c r="A346" s="16">
        <v>46210</v>
      </c>
      <c r="B346" s="6" t="s">
        <v>78</v>
      </c>
      <c r="C346" s="7" t="s">
        <v>138</v>
      </c>
      <c r="D346" s="6"/>
      <c r="E346" s="8">
        <v>747900</v>
      </c>
      <c r="F346" s="8">
        <v>218400</v>
      </c>
      <c r="G346" s="8">
        <v>529500</v>
      </c>
      <c r="H346" s="8">
        <v>747900</v>
      </c>
      <c r="I346" s="8">
        <v>737493</v>
      </c>
      <c r="J346" s="8">
        <v>10407</v>
      </c>
      <c r="K346" s="9">
        <v>1</v>
      </c>
      <c r="L346" s="6"/>
    </row>
    <row r="347" spans="1:12" ht="21" customHeight="1" x14ac:dyDescent="0.3">
      <c r="A347" s="10"/>
      <c r="B347" s="3" t="s">
        <v>17</v>
      </c>
      <c r="C347" s="4" t="s">
        <v>18</v>
      </c>
      <c r="D347" s="4" t="s">
        <v>19</v>
      </c>
      <c r="E347" s="4" t="s">
        <v>11</v>
      </c>
      <c r="F347" s="3" t="s">
        <v>20</v>
      </c>
    </row>
    <row r="348" spans="1:12" ht="21" customHeight="1" x14ac:dyDescent="0.3">
      <c r="A348" s="10"/>
      <c r="B348" s="11" t="s">
        <v>45</v>
      </c>
      <c r="C348" s="9">
        <v>30</v>
      </c>
      <c r="D348" s="8">
        <v>12930</v>
      </c>
      <c r="E348" s="8">
        <v>382443</v>
      </c>
      <c r="F348" s="13"/>
    </row>
    <row r="349" spans="1:12" ht="21" customHeight="1" x14ac:dyDescent="0.3">
      <c r="A349" s="10"/>
      <c r="B349" s="11" t="s">
        <v>37</v>
      </c>
      <c r="C349" s="9">
        <v>10</v>
      </c>
      <c r="D349" s="8">
        <v>8800</v>
      </c>
      <c r="E349" s="8">
        <v>85250</v>
      </c>
      <c r="F349" s="13"/>
    </row>
    <row r="350" spans="1:12" ht="21" customHeight="1" x14ac:dyDescent="0.3">
      <c r="A350" s="10"/>
      <c r="B350" s="11" t="s">
        <v>44</v>
      </c>
      <c r="C350" s="9">
        <v>20</v>
      </c>
      <c r="D350" s="8">
        <v>9100</v>
      </c>
      <c r="E350" s="8">
        <v>179800</v>
      </c>
      <c r="F350" s="13"/>
    </row>
    <row r="351" spans="1:12" ht="21" customHeight="1" x14ac:dyDescent="0.3">
      <c r="A351" s="10"/>
      <c r="B351" s="11" t="s">
        <v>38</v>
      </c>
      <c r="C351" s="9">
        <v>60</v>
      </c>
      <c r="D351" s="8">
        <v>1500</v>
      </c>
      <c r="E351" s="8">
        <v>90000</v>
      </c>
      <c r="F351" s="13"/>
    </row>
    <row r="352" spans="1:12" ht="21" customHeight="1" x14ac:dyDescent="0.3">
      <c r="A352" s="10"/>
      <c r="B352" s="14"/>
      <c r="C352" s="15"/>
      <c r="D352" s="15"/>
      <c r="E352" s="15"/>
      <c r="F352" s="14"/>
    </row>
    <row r="353" spans="1:12" ht="21" customHeight="1" x14ac:dyDescent="0.3">
      <c r="A353" s="16">
        <v>46210</v>
      </c>
      <c r="B353" s="6" t="s">
        <v>139</v>
      </c>
      <c r="C353" s="7" t="s">
        <v>140</v>
      </c>
      <c r="D353" s="6"/>
      <c r="E353" s="8">
        <v>3597375</v>
      </c>
      <c r="F353" s="8">
        <v>3590175</v>
      </c>
      <c r="G353" s="8">
        <v>7200</v>
      </c>
      <c r="H353" s="8">
        <v>3597375</v>
      </c>
      <c r="I353" s="8">
        <v>3420503</v>
      </c>
      <c r="J353" s="8">
        <v>176872</v>
      </c>
      <c r="K353" s="9">
        <v>5</v>
      </c>
      <c r="L353" s="6"/>
    </row>
    <row r="354" spans="1:12" ht="21" customHeight="1" x14ac:dyDescent="0.3">
      <c r="A354" s="10"/>
      <c r="B354" s="3" t="s">
        <v>17</v>
      </c>
      <c r="C354" s="4" t="s">
        <v>18</v>
      </c>
      <c r="D354" s="4" t="s">
        <v>19</v>
      </c>
      <c r="E354" s="4" t="s">
        <v>11</v>
      </c>
      <c r="F354" s="3" t="s">
        <v>20</v>
      </c>
    </row>
    <row r="355" spans="1:12" ht="21" customHeight="1" x14ac:dyDescent="0.3">
      <c r="A355" s="10"/>
      <c r="B355" s="11" t="s">
        <v>22</v>
      </c>
      <c r="C355" s="9">
        <v>200</v>
      </c>
      <c r="D355" s="8">
        <v>8600</v>
      </c>
      <c r="E355" s="8">
        <v>1727488</v>
      </c>
      <c r="F355" s="13"/>
    </row>
    <row r="356" spans="1:12" ht="21" customHeight="1" x14ac:dyDescent="0.3">
      <c r="A356" s="10"/>
      <c r="B356" s="11" t="s">
        <v>37</v>
      </c>
      <c r="C356" s="9">
        <v>40</v>
      </c>
      <c r="D356" s="8">
        <v>8800</v>
      </c>
      <c r="E356" s="8">
        <v>341000</v>
      </c>
      <c r="F356" s="13"/>
    </row>
    <row r="357" spans="1:12" ht="21" customHeight="1" x14ac:dyDescent="0.3">
      <c r="A357" s="10"/>
      <c r="B357" s="11" t="s">
        <v>87</v>
      </c>
      <c r="C357" s="9">
        <v>6</v>
      </c>
      <c r="D357" s="8">
        <v>20540</v>
      </c>
      <c r="E357" s="8">
        <v>122640</v>
      </c>
      <c r="F357" s="13"/>
    </row>
    <row r="358" spans="1:12" ht="21" customHeight="1" x14ac:dyDescent="0.3">
      <c r="A358" s="10"/>
      <c r="B358" s="11" t="s">
        <v>100</v>
      </c>
      <c r="C358" s="9">
        <v>15</v>
      </c>
      <c r="D358" s="8">
        <v>11480</v>
      </c>
      <c r="E358" s="8">
        <v>163725</v>
      </c>
      <c r="F358" s="13"/>
    </row>
    <row r="359" spans="1:12" ht="21" customHeight="1" x14ac:dyDescent="0.3">
      <c r="A359" s="10"/>
      <c r="B359" s="11" t="s">
        <v>65</v>
      </c>
      <c r="C359" s="9">
        <v>20</v>
      </c>
      <c r="D359" s="8">
        <v>11415</v>
      </c>
      <c r="E359" s="8">
        <v>226300</v>
      </c>
      <c r="F359" s="13"/>
    </row>
    <row r="360" spans="1:12" ht="21" customHeight="1" x14ac:dyDescent="0.3">
      <c r="A360" s="10"/>
      <c r="B360" s="11" t="s">
        <v>44</v>
      </c>
      <c r="C360" s="9">
        <v>15</v>
      </c>
      <c r="D360" s="8">
        <v>9090</v>
      </c>
      <c r="E360" s="8">
        <v>134850</v>
      </c>
      <c r="F360" s="13"/>
    </row>
    <row r="361" spans="1:12" ht="21" customHeight="1" x14ac:dyDescent="0.3">
      <c r="A361" s="10"/>
      <c r="B361" s="11" t="s">
        <v>101</v>
      </c>
      <c r="C361" s="9">
        <v>10</v>
      </c>
      <c r="D361" s="8">
        <v>13020</v>
      </c>
      <c r="E361" s="8">
        <v>129200</v>
      </c>
      <c r="F361" s="13"/>
    </row>
    <row r="362" spans="1:12" ht="21" customHeight="1" x14ac:dyDescent="0.3">
      <c r="A362" s="10"/>
      <c r="B362" s="11" t="s">
        <v>45</v>
      </c>
      <c r="C362" s="9">
        <v>5</v>
      </c>
      <c r="D362" s="8">
        <v>12930</v>
      </c>
      <c r="E362" s="8">
        <v>63740</v>
      </c>
      <c r="F362" s="13"/>
    </row>
    <row r="363" spans="1:12" ht="21" customHeight="1" x14ac:dyDescent="0.3">
      <c r="A363" s="10"/>
      <c r="B363" s="11" t="s">
        <v>141</v>
      </c>
      <c r="C363" s="9">
        <v>3</v>
      </c>
      <c r="D363" s="8">
        <v>14145</v>
      </c>
      <c r="E363" s="8">
        <v>40560</v>
      </c>
      <c r="F363" s="13"/>
    </row>
    <row r="364" spans="1:12" ht="21" customHeight="1" x14ac:dyDescent="0.3">
      <c r="A364" s="10"/>
      <c r="B364" s="11" t="s">
        <v>38</v>
      </c>
      <c r="C364" s="9">
        <v>314</v>
      </c>
      <c r="D364" s="8">
        <v>2000</v>
      </c>
      <c r="E364" s="8">
        <v>471000</v>
      </c>
      <c r="F364" s="13"/>
    </row>
    <row r="365" spans="1:12" ht="21" customHeight="1" x14ac:dyDescent="0.3">
      <c r="A365" s="10"/>
      <c r="B365" s="14"/>
      <c r="C365" s="15"/>
      <c r="D365" s="15"/>
      <c r="E365" s="15"/>
      <c r="F365" s="14"/>
    </row>
    <row r="366" spans="1:12" ht="21" customHeight="1" x14ac:dyDescent="0.3">
      <c r="A366" s="16">
        <v>46210</v>
      </c>
      <c r="B366" s="6" t="s">
        <v>29</v>
      </c>
      <c r="C366" s="7" t="s">
        <v>142</v>
      </c>
      <c r="D366" s="6"/>
      <c r="E366" s="8">
        <v>17760</v>
      </c>
      <c r="F366" s="8">
        <v>17760</v>
      </c>
      <c r="G366" s="9">
        <v>0</v>
      </c>
      <c r="H366" s="8">
        <v>17760</v>
      </c>
      <c r="I366" s="8">
        <v>17050</v>
      </c>
      <c r="J366" s="9">
        <v>710</v>
      </c>
      <c r="K366" s="9">
        <v>4</v>
      </c>
      <c r="L366" s="6"/>
    </row>
    <row r="367" spans="1:12" ht="21" customHeight="1" x14ac:dyDescent="0.3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1:12" ht="21" customHeight="1" x14ac:dyDescent="0.3">
      <c r="A368" s="10"/>
      <c r="B368" s="11" t="s">
        <v>37</v>
      </c>
      <c r="C368" s="9">
        <v>2</v>
      </c>
      <c r="D368" s="8">
        <v>8880</v>
      </c>
      <c r="E368" s="8">
        <v>17050</v>
      </c>
      <c r="F368" s="13"/>
    </row>
    <row r="369" spans="1:12" ht="21" customHeight="1" x14ac:dyDescent="0.3">
      <c r="A369" s="10"/>
      <c r="B369" s="14"/>
      <c r="C369" s="15"/>
      <c r="D369" s="15"/>
      <c r="E369" s="15"/>
      <c r="F369" s="14"/>
    </row>
    <row r="370" spans="1:12" ht="21" customHeight="1" x14ac:dyDescent="0.3">
      <c r="A370" s="16">
        <v>46210</v>
      </c>
      <c r="B370" s="6" t="s">
        <v>95</v>
      </c>
      <c r="C370" s="7" t="s">
        <v>143</v>
      </c>
      <c r="D370" s="6"/>
      <c r="E370" s="8">
        <v>160400</v>
      </c>
      <c r="F370" s="8">
        <v>150000</v>
      </c>
      <c r="G370" s="8">
        <v>10400</v>
      </c>
      <c r="H370" s="8">
        <v>160400</v>
      </c>
      <c r="I370" s="8">
        <v>153700</v>
      </c>
      <c r="J370" s="8">
        <v>6700</v>
      </c>
      <c r="K370" s="9">
        <v>4</v>
      </c>
      <c r="L370" s="6"/>
    </row>
    <row r="371" spans="1:12" ht="21" customHeight="1" x14ac:dyDescent="0.3">
      <c r="A371" s="10"/>
      <c r="B371" s="3" t="s">
        <v>17</v>
      </c>
      <c r="C371" s="4" t="s">
        <v>18</v>
      </c>
      <c r="D371" s="4" t="s">
        <v>19</v>
      </c>
      <c r="E371" s="4" t="s">
        <v>11</v>
      </c>
      <c r="F371" s="3" t="s">
        <v>20</v>
      </c>
    </row>
    <row r="372" spans="1:12" ht="21" customHeight="1" x14ac:dyDescent="0.3">
      <c r="A372" s="10"/>
      <c r="B372" s="11" t="s">
        <v>27</v>
      </c>
      <c r="C372" s="9">
        <v>20</v>
      </c>
      <c r="D372" s="8">
        <v>8020</v>
      </c>
      <c r="E372" s="8">
        <v>153700</v>
      </c>
      <c r="F372" s="13"/>
    </row>
    <row r="373" spans="1:12" ht="21" customHeight="1" x14ac:dyDescent="0.3">
      <c r="A373" s="10"/>
      <c r="B373" s="14"/>
      <c r="C373" s="15"/>
      <c r="D373" s="15"/>
      <c r="E373" s="15"/>
      <c r="F373" s="14"/>
    </row>
    <row r="374" spans="1:12" ht="21" customHeight="1" x14ac:dyDescent="0.3">
      <c r="A374" s="16">
        <v>46210</v>
      </c>
      <c r="B374" s="6" t="s">
        <v>15</v>
      </c>
      <c r="C374" s="7" t="s">
        <v>144</v>
      </c>
      <c r="D374" s="6"/>
      <c r="E374" s="8">
        <v>5300</v>
      </c>
      <c r="F374" s="8">
        <v>5300</v>
      </c>
      <c r="G374" s="9">
        <v>0</v>
      </c>
      <c r="H374" s="8">
        <v>5300</v>
      </c>
      <c r="I374" s="8">
        <v>5200</v>
      </c>
      <c r="J374" s="9">
        <v>100</v>
      </c>
      <c r="K374" s="9">
        <v>2</v>
      </c>
      <c r="L374" s="6"/>
    </row>
    <row r="375" spans="1:12" ht="21" customHeight="1" x14ac:dyDescent="0.3">
      <c r="A375" s="10"/>
      <c r="B375" s="3" t="s">
        <v>17</v>
      </c>
      <c r="C375" s="4" t="s">
        <v>18</v>
      </c>
      <c r="D375" s="4" t="s">
        <v>19</v>
      </c>
      <c r="E375" s="4" t="s">
        <v>11</v>
      </c>
      <c r="F375" s="3" t="s">
        <v>20</v>
      </c>
    </row>
    <row r="376" spans="1:12" ht="21" customHeight="1" x14ac:dyDescent="0.3">
      <c r="A376" s="10"/>
      <c r="B376" s="11" t="s">
        <v>24</v>
      </c>
      <c r="C376" s="9">
        <v>1</v>
      </c>
      <c r="D376" s="8">
        <v>5300</v>
      </c>
      <c r="E376" s="8">
        <v>5200</v>
      </c>
      <c r="F376" s="13"/>
    </row>
    <row r="377" spans="1:12" ht="21" customHeight="1" x14ac:dyDescent="0.3">
      <c r="A377" s="10"/>
      <c r="B377" s="14"/>
      <c r="C377" s="15"/>
      <c r="D377" s="15"/>
      <c r="E377" s="15"/>
      <c r="F377" s="14"/>
    </row>
    <row r="378" spans="1:12" ht="21" customHeight="1" x14ac:dyDescent="0.3">
      <c r="A378" s="5">
        <v>46211</v>
      </c>
      <c r="B378" s="6" t="s">
        <v>145</v>
      </c>
      <c r="C378" s="7" t="s">
        <v>146</v>
      </c>
      <c r="D378" s="6"/>
      <c r="E378" s="8">
        <v>339400</v>
      </c>
      <c r="F378" s="8">
        <v>301400</v>
      </c>
      <c r="G378" s="8">
        <v>38000</v>
      </c>
      <c r="H378" s="8">
        <v>339400</v>
      </c>
      <c r="I378" s="8">
        <v>303486</v>
      </c>
      <c r="J378" s="8">
        <v>35914</v>
      </c>
      <c r="K378" s="9">
        <v>11</v>
      </c>
      <c r="L378" s="6" t="s">
        <v>147</v>
      </c>
    </row>
    <row r="379" spans="1:12" ht="21" customHeight="1" x14ac:dyDescent="0.3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1:12" ht="21" customHeight="1" x14ac:dyDescent="0.3">
      <c r="A380" s="10"/>
      <c r="B380" s="11" t="s">
        <v>45</v>
      </c>
      <c r="C380" s="9">
        <v>5</v>
      </c>
      <c r="D380" s="8">
        <v>13335</v>
      </c>
      <c r="E380" s="8">
        <v>63734</v>
      </c>
      <c r="F380" s="13"/>
    </row>
    <row r="381" spans="1:12" ht="21" customHeight="1" x14ac:dyDescent="0.3">
      <c r="A381" s="10"/>
      <c r="B381" s="11" t="s">
        <v>87</v>
      </c>
      <c r="C381" s="9">
        <v>5</v>
      </c>
      <c r="D381" s="8">
        <v>21485</v>
      </c>
      <c r="E381" s="8">
        <v>102200</v>
      </c>
      <c r="F381" s="13"/>
    </row>
    <row r="382" spans="1:12" ht="21" customHeight="1" x14ac:dyDescent="0.3">
      <c r="A382" s="10"/>
      <c r="B382" s="11" t="s">
        <v>65</v>
      </c>
      <c r="C382" s="9">
        <v>5</v>
      </c>
      <c r="D382" s="8">
        <v>11910</v>
      </c>
      <c r="E382" s="8">
        <v>56575</v>
      </c>
      <c r="F382" s="13"/>
    </row>
    <row r="383" spans="1:12" ht="21" customHeight="1" x14ac:dyDescent="0.3">
      <c r="A383" s="10"/>
      <c r="B383" s="11" t="s">
        <v>101</v>
      </c>
      <c r="C383" s="9">
        <v>5</v>
      </c>
      <c r="D383" s="8">
        <v>13550</v>
      </c>
      <c r="E383" s="8">
        <v>64600</v>
      </c>
      <c r="F383" s="13"/>
    </row>
    <row r="384" spans="1:12" ht="21" customHeight="1" x14ac:dyDescent="0.3">
      <c r="A384" s="10"/>
      <c r="B384" s="11" t="s">
        <v>148</v>
      </c>
      <c r="C384" s="9">
        <v>10</v>
      </c>
      <c r="D384" s="8">
        <v>2000</v>
      </c>
      <c r="E384" s="8">
        <v>1377</v>
      </c>
      <c r="F384" s="13"/>
    </row>
    <row r="385" spans="1:12" ht="21" customHeight="1" x14ac:dyDescent="0.3">
      <c r="A385" s="10"/>
      <c r="B385" s="11" t="s">
        <v>38</v>
      </c>
      <c r="C385" s="9">
        <v>10</v>
      </c>
      <c r="D385" s="8">
        <v>1800</v>
      </c>
      <c r="E385" s="8">
        <v>15000</v>
      </c>
      <c r="F385" s="13"/>
    </row>
    <row r="386" spans="1:12" ht="21" customHeight="1" x14ac:dyDescent="0.3">
      <c r="A386" s="10"/>
      <c r="B386" s="14"/>
      <c r="C386" s="15"/>
      <c r="D386" s="15"/>
      <c r="E386" s="15"/>
      <c r="F386" s="14"/>
    </row>
    <row r="387" spans="1:12" ht="21" customHeight="1" x14ac:dyDescent="0.3">
      <c r="A387" s="16">
        <v>46211</v>
      </c>
      <c r="B387" s="6" t="s">
        <v>29</v>
      </c>
      <c r="C387" s="7" t="s">
        <v>149</v>
      </c>
      <c r="D387" s="6"/>
      <c r="E387" s="8">
        <v>84365</v>
      </c>
      <c r="F387" s="8">
        <v>84365</v>
      </c>
      <c r="G387" s="9">
        <v>0</v>
      </c>
      <c r="H387" s="8">
        <v>84365</v>
      </c>
      <c r="I387" s="8">
        <v>79360</v>
      </c>
      <c r="J387" s="8">
        <v>5005</v>
      </c>
      <c r="K387" s="9">
        <v>6</v>
      </c>
      <c r="L387" s="6"/>
    </row>
    <row r="388" spans="1:12" ht="21" customHeight="1" x14ac:dyDescent="0.3">
      <c r="A388" s="10"/>
      <c r="B388" s="3" t="s">
        <v>17</v>
      </c>
      <c r="C388" s="4" t="s">
        <v>18</v>
      </c>
      <c r="D388" s="4" t="s">
        <v>19</v>
      </c>
      <c r="E388" s="4" t="s">
        <v>11</v>
      </c>
      <c r="F388" s="3" t="s">
        <v>20</v>
      </c>
    </row>
    <row r="389" spans="1:12" ht="21" customHeight="1" x14ac:dyDescent="0.3">
      <c r="A389" s="10"/>
      <c r="B389" s="11" t="s">
        <v>150</v>
      </c>
      <c r="C389" s="9">
        <v>2</v>
      </c>
      <c r="D389" s="8">
        <v>10315</v>
      </c>
      <c r="E389" s="8">
        <v>19850</v>
      </c>
      <c r="F389" s="13"/>
    </row>
    <row r="390" spans="1:12" ht="21" customHeight="1" x14ac:dyDescent="0.3">
      <c r="A390" s="10"/>
      <c r="B390" s="11" t="s">
        <v>36</v>
      </c>
      <c r="C390" s="9">
        <v>1</v>
      </c>
      <c r="D390" s="8">
        <v>15525</v>
      </c>
      <c r="E390" s="8">
        <v>14900</v>
      </c>
      <c r="F390" s="13"/>
    </row>
    <row r="391" spans="1:12" ht="21" customHeight="1" x14ac:dyDescent="0.3">
      <c r="A391" s="10"/>
      <c r="B391" s="11" t="s">
        <v>69</v>
      </c>
      <c r="C391" s="9">
        <v>1</v>
      </c>
      <c r="D391" s="8">
        <v>14450</v>
      </c>
      <c r="E391" s="8">
        <v>13780</v>
      </c>
      <c r="F391" s="13"/>
    </row>
    <row r="392" spans="1:12" ht="21" customHeight="1" x14ac:dyDescent="0.3">
      <c r="A392" s="10"/>
      <c r="B392" s="11" t="s">
        <v>100</v>
      </c>
      <c r="C392" s="9">
        <v>2</v>
      </c>
      <c r="D392" s="8">
        <v>11480</v>
      </c>
      <c r="E392" s="8">
        <v>21830</v>
      </c>
      <c r="F392" s="13"/>
    </row>
    <row r="393" spans="1:12" ht="21" customHeight="1" x14ac:dyDescent="0.3">
      <c r="A393" s="10"/>
      <c r="B393" s="11" t="s">
        <v>38</v>
      </c>
      <c r="C393" s="9">
        <v>6</v>
      </c>
      <c r="D393" s="8">
        <v>1800</v>
      </c>
      <c r="E393" s="8">
        <v>9000</v>
      </c>
      <c r="F393" s="13"/>
    </row>
    <row r="394" spans="1:12" ht="21" customHeight="1" x14ac:dyDescent="0.3">
      <c r="A394" s="10"/>
      <c r="B394" s="14"/>
      <c r="C394" s="15"/>
      <c r="D394" s="15"/>
      <c r="E394" s="15"/>
      <c r="F394" s="14"/>
    </row>
    <row r="395" spans="1:12" ht="21" customHeight="1" x14ac:dyDescent="0.3">
      <c r="A395" s="16">
        <v>46211</v>
      </c>
      <c r="B395" s="6" t="s">
        <v>29</v>
      </c>
      <c r="C395" s="7" t="s">
        <v>151</v>
      </c>
      <c r="D395" s="6"/>
      <c r="E395" s="8">
        <v>745625</v>
      </c>
      <c r="F395" s="8">
        <v>745625</v>
      </c>
      <c r="G395" s="9">
        <v>0</v>
      </c>
      <c r="H395" s="8">
        <v>745625</v>
      </c>
      <c r="I395" s="8">
        <v>723181</v>
      </c>
      <c r="J395" s="8">
        <v>22444</v>
      </c>
      <c r="K395" s="9">
        <v>3</v>
      </c>
      <c r="L395" s="6"/>
    </row>
    <row r="396" spans="1:12" ht="21" customHeight="1" x14ac:dyDescent="0.3">
      <c r="A396" s="10"/>
      <c r="B396" s="3" t="s">
        <v>17</v>
      </c>
      <c r="C396" s="4" t="s">
        <v>18</v>
      </c>
      <c r="D396" s="4" t="s">
        <v>19</v>
      </c>
      <c r="E396" s="4" t="s">
        <v>11</v>
      </c>
      <c r="F396" s="3" t="s">
        <v>20</v>
      </c>
    </row>
    <row r="397" spans="1:12" ht="21" customHeight="1" x14ac:dyDescent="0.3">
      <c r="A397" s="10"/>
      <c r="B397" s="11" t="s">
        <v>31</v>
      </c>
      <c r="C397" s="9">
        <v>20</v>
      </c>
      <c r="D397" s="8">
        <v>17100</v>
      </c>
      <c r="E397" s="8">
        <v>342000</v>
      </c>
      <c r="F397" s="13"/>
    </row>
    <row r="398" spans="1:12" ht="21" customHeight="1" x14ac:dyDescent="0.3">
      <c r="A398" s="10"/>
      <c r="B398" s="11" t="s">
        <v>32</v>
      </c>
      <c r="C398" s="9">
        <v>25</v>
      </c>
      <c r="D398" s="8">
        <v>16145</v>
      </c>
      <c r="E398" s="8">
        <v>381181</v>
      </c>
      <c r="F398" s="13"/>
    </row>
    <row r="399" spans="1:12" ht="21" customHeight="1" x14ac:dyDescent="0.3">
      <c r="A399" s="10"/>
      <c r="B399" s="14"/>
      <c r="C399" s="15"/>
      <c r="D399" s="15"/>
      <c r="E399" s="15"/>
      <c r="F399" s="14"/>
    </row>
    <row r="400" spans="1:12" ht="21" customHeight="1" x14ac:dyDescent="0.3">
      <c r="A400" s="16">
        <v>46211</v>
      </c>
      <c r="B400" s="6" t="s">
        <v>152</v>
      </c>
      <c r="C400" s="7" t="s">
        <v>153</v>
      </c>
      <c r="D400" s="6"/>
      <c r="E400" s="8">
        <v>149300</v>
      </c>
      <c r="F400" s="8">
        <v>149300</v>
      </c>
      <c r="G400" s="9">
        <v>0</v>
      </c>
      <c r="H400" s="8">
        <v>149300</v>
      </c>
      <c r="I400" s="8">
        <v>128845</v>
      </c>
      <c r="J400" s="8">
        <v>20455</v>
      </c>
      <c r="K400" s="9">
        <v>14</v>
      </c>
      <c r="L400" s="6"/>
    </row>
    <row r="401" spans="1:12" ht="21" customHeight="1" x14ac:dyDescent="0.3">
      <c r="A401" s="10"/>
      <c r="B401" s="3" t="s">
        <v>17</v>
      </c>
      <c r="C401" s="4" t="s">
        <v>18</v>
      </c>
      <c r="D401" s="4" t="s">
        <v>19</v>
      </c>
      <c r="E401" s="4" t="s">
        <v>11</v>
      </c>
      <c r="F401" s="3" t="s">
        <v>20</v>
      </c>
    </row>
    <row r="402" spans="1:12" ht="21" customHeight="1" x14ac:dyDescent="0.3">
      <c r="A402" s="10"/>
      <c r="B402" s="11" t="s">
        <v>45</v>
      </c>
      <c r="C402" s="9">
        <v>10</v>
      </c>
      <c r="D402" s="8">
        <v>12930</v>
      </c>
      <c r="E402" s="8">
        <v>127468</v>
      </c>
      <c r="F402" s="13"/>
    </row>
    <row r="403" spans="1:12" ht="21" customHeight="1" x14ac:dyDescent="0.3">
      <c r="A403" s="10"/>
      <c r="B403" s="11" t="s">
        <v>148</v>
      </c>
      <c r="C403" s="9">
        <v>10</v>
      </c>
      <c r="D403" s="8">
        <v>2000</v>
      </c>
      <c r="E403" s="8">
        <v>1377</v>
      </c>
      <c r="F403" s="13"/>
    </row>
    <row r="404" spans="1:12" ht="21" customHeight="1" x14ac:dyDescent="0.3">
      <c r="A404" s="10"/>
      <c r="B404" s="14"/>
      <c r="C404" s="15"/>
      <c r="D404" s="15"/>
      <c r="E404" s="15"/>
      <c r="F404" s="14"/>
    </row>
    <row r="405" spans="1:12" ht="21" customHeight="1" x14ac:dyDescent="0.3">
      <c r="A405" s="16">
        <v>46211</v>
      </c>
      <c r="B405" s="6" t="s">
        <v>154</v>
      </c>
      <c r="C405" s="7" t="s">
        <v>155</v>
      </c>
      <c r="D405" s="6"/>
      <c r="E405" s="8">
        <v>226290</v>
      </c>
      <c r="F405" s="8">
        <v>226290</v>
      </c>
      <c r="G405" s="9">
        <v>0</v>
      </c>
      <c r="H405" s="8">
        <v>226290</v>
      </c>
      <c r="I405" s="8">
        <v>210309</v>
      </c>
      <c r="J405" s="8">
        <v>15981</v>
      </c>
      <c r="K405" s="9">
        <v>7</v>
      </c>
      <c r="L405" s="6"/>
    </row>
    <row r="406" spans="1:12" ht="21" customHeight="1" x14ac:dyDescent="0.3">
      <c r="A406" s="10"/>
      <c r="B406" s="3" t="s">
        <v>17</v>
      </c>
      <c r="C406" s="4" t="s">
        <v>18</v>
      </c>
      <c r="D406" s="4" t="s">
        <v>19</v>
      </c>
      <c r="E406" s="4" t="s">
        <v>11</v>
      </c>
      <c r="F406" s="3" t="s">
        <v>20</v>
      </c>
    </row>
    <row r="407" spans="1:12" ht="21" customHeight="1" x14ac:dyDescent="0.3">
      <c r="A407" s="10"/>
      <c r="B407" s="11" t="s">
        <v>44</v>
      </c>
      <c r="C407" s="9">
        <v>4</v>
      </c>
      <c r="D407" s="8">
        <v>9200</v>
      </c>
      <c r="E407" s="8">
        <v>35960</v>
      </c>
      <c r="F407" s="13"/>
    </row>
    <row r="408" spans="1:12" ht="21" customHeight="1" x14ac:dyDescent="0.3">
      <c r="A408" s="10"/>
      <c r="B408" s="11" t="s">
        <v>65</v>
      </c>
      <c r="C408" s="9">
        <v>2</v>
      </c>
      <c r="D408" s="8">
        <v>11910</v>
      </c>
      <c r="E408" s="8">
        <v>22630</v>
      </c>
      <c r="F408" s="13"/>
    </row>
    <row r="409" spans="1:12" ht="21" customHeight="1" x14ac:dyDescent="0.3">
      <c r="A409" s="10"/>
      <c r="B409" s="11" t="s">
        <v>37</v>
      </c>
      <c r="C409" s="9">
        <v>4</v>
      </c>
      <c r="D409" s="8">
        <v>9200</v>
      </c>
      <c r="E409" s="8">
        <v>34100</v>
      </c>
      <c r="F409" s="13"/>
    </row>
    <row r="410" spans="1:12" ht="21" customHeight="1" x14ac:dyDescent="0.3">
      <c r="A410" s="10"/>
      <c r="B410" s="11" t="s">
        <v>45</v>
      </c>
      <c r="C410" s="9">
        <v>2</v>
      </c>
      <c r="D410" s="8">
        <v>13335</v>
      </c>
      <c r="E410" s="8">
        <v>25494</v>
      </c>
      <c r="F410" s="13"/>
    </row>
    <row r="411" spans="1:12" ht="21" customHeight="1" x14ac:dyDescent="0.3">
      <c r="A411" s="10"/>
      <c r="B411" s="11" t="s">
        <v>27</v>
      </c>
      <c r="C411" s="9">
        <v>10</v>
      </c>
      <c r="D411" s="8">
        <v>8020</v>
      </c>
      <c r="E411" s="8">
        <v>76850</v>
      </c>
      <c r="F411" s="13"/>
    </row>
    <row r="412" spans="1:12" ht="21" customHeight="1" x14ac:dyDescent="0.3">
      <c r="A412" s="10"/>
      <c r="B412" s="11" t="s">
        <v>38</v>
      </c>
      <c r="C412" s="9">
        <v>10</v>
      </c>
      <c r="D412" s="8">
        <v>1800</v>
      </c>
      <c r="E412" s="8">
        <v>15000</v>
      </c>
      <c r="F412" s="13"/>
    </row>
    <row r="413" spans="1:12" ht="21" customHeight="1" x14ac:dyDescent="0.3">
      <c r="A413" s="10"/>
      <c r="B413" s="11" t="s">
        <v>148</v>
      </c>
      <c r="C413" s="9">
        <v>2</v>
      </c>
      <c r="D413" s="8">
        <v>2000</v>
      </c>
      <c r="E413" s="9">
        <v>275</v>
      </c>
      <c r="F413" s="13"/>
    </row>
    <row r="414" spans="1:12" ht="21" customHeight="1" x14ac:dyDescent="0.3">
      <c r="A414" s="10"/>
      <c r="B414" s="14"/>
      <c r="C414" s="15"/>
      <c r="D414" s="15"/>
      <c r="E414" s="15"/>
      <c r="F414" s="14"/>
    </row>
    <row r="415" spans="1:12" ht="21" customHeight="1" x14ac:dyDescent="0.3">
      <c r="A415" s="16">
        <v>46211</v>
      </c>
      <c r="B415" s="6" t="s">
        <v>102</v>
      </c>
      <c r="C415" s="7" t="s">
        <v>156</v>
      </c>
      <c r="D415" s="6"/>
      <c r="E415" s="8">
        <v>9500</v>
      </c>
      <c r="F415" s="8">
        <v>9500</v>
      </c>
      <c r="G415" s="9">
        <v>0</v>
      </c>
      <c r="H415" s="8">
        <v>9500</v>
      </c>
      <c r="I415" s="8">
        <v>8637</v>
      </c>
      <c r="J415" s="9">
        <v>863</v>
      </c>
      <c r="K415" s="9">
        <v>9</v>
      </c>
      <c r="L415" s="6"/>
    </row>
    <row r="416" spans="1:12" ht="21" customHeight="1" x14ac:dyDescent="0.3">
      <c r="A416" s="10"/>
      <c r="B416" s="3" t="s">
        <v>17</v>
      </c>
      <c r="C416" s="4" t="s">
        <v>18</v>
      </c>
      <c r="D416" s="4" t="s">
        <v>19</v>
      </c>
      <c r="E416" s="4" t="s">
        <v>11</v>
      </c>
      <c r="F416" s="3" t="s">
        <v>20</v>
      </c>
    </row>
    <row r="417" spans="1:12" ht="21" customHeight="1" x14ac:dyDescent="0.3">
      <c r="A417" s="10"/>
      <c r="B417" s="11" t="s">
        <v>22</v>
      </c>
      <c r="C417" s="9">
        <v>1</v>
      </c>
      <c r="D417" s="8">
        <v>9500</v>
      </c>
      <c r="E417" s="8">
        <v>8637</v>
      </c>
      <c r="F417" s="13"/>
    </row>
    <row r="418" spans="1:12" ht="21" customHeight="1" x14ac:dyDescent="0.3">
      <c r="A418" s="10"/>
      <c r="B418" s="14"/>
      <c r="C418" s="15"/>
      <c r="D418" s="15"/>
      <c r="E418" s="15"/>
      <c r="F418" s="14"/>
    </row>
    <row r="419" spans="1:12" ht="21" customHeight="1" x14ac:dyDescent="0.3">
      <c r="A419" s="16">
        <v>46211</v>
      </c>
      <c r="B419" s="6" t="s">
        <v>157</v>
      </c>
      <c r="C419" s="7" t="s">
        <v>158</v>
      </c>
      <c r="D419" s="6"/>
      <c r="E419" s="8">
        <v>230200</v>
      </c>
      <c r="F419" s="8">
        <v>230200</v>
      </c>
      <c r="G419" s="9">
        <v>0</v>
      </c>
      <c r="H419" s="8">
        <v>230200</v>
      </c>
      <c r="I419" s="8">
        <v>232850</v>
      </c>
      <c r="J419" s="8">
        <v>-2650</v>
      </c>
      <c r="K419" s="9">
        <v>-1</v>
      </c>
      <c r="L419" s="6"/>
    </row>
    <row r="420" spans="1:12" ht="21" customHeight="1" x14ac:dyDescent="0.3">
      <c r="A420" s="10"/>
      <c r="B420" s="3" t="s">
        <v>17</v>
      </c>
      <c r="C420" s="4" t="s">
        <v>18</v>
      </c>
      <c r="D420" s="4" t="s">
        <v>19</v>
      </c>
      <c r="E420" s="4" t="s">
        <v>11</v>
      </c>
      <c r="F420" s="3" t="s">
        <v>20</v>
      </c>
    </row>
    <row r="421" spans="1:12" ht="21" customHeight="1" x14ac:dyDescent="0.3">
      <c r="A421" s="10"/>
      <c r="B421" s="11" t="s">
        <v>24</v>
      </c>
      <c r="C421" s="9">
        <v>30</v>
      </c>
      <c r="D421" s="8">
        <v>5000</v>
      </c>
      <c r="E421" s="8">
        <v>156000</v>
      </c>
      <c r="F421" s="13"/>
    </row>
    <row r="422" spans="1:12" ht="21" customHeight="1" x14ac:dyDescent="0.3">
      <c r="A422" s="10"/>
      <c r="B422" s="11" t="s">
        <v>27</v>
      </c>
      <c r="C422" s="9">
        <v>10</v>
      </c>
      <c r="D422" s="8">
        <v>8020</v>
      </c>
      <c r="E422" s="8">
        <v>76850</v>
      </c>
      <c r="F422" s="13"/>
    </row>
    <row r="423" spans="1:12" ht="21" customHeight="1" x14ac:dyDescent="0.3">
      <c r="A423" s="10"/>
      <c r="B423" s="14"/>
      <c r="C423" s="15"/>
      <c r="D423" s="15"/>
      <c r="E423" s="15"/>
      <c r="F423" s="14"/>
    </row>
    <row r="424" spans="1:12" ht="21" customHeight="1" x14ac:dyDescent="0.3">
      <c r="A424" s="16">
        <v>46211</v>
      </c>
      <c r="B424" s="6" t="s">
        <v>15</v>
      </c>
      <c r="C424" s="7" t="s">
        <v>159</v>
      </c>
      <c r="D424" s="6"/>
      <c r="E424" s="8">
        <v>55000</v>
      </c>
      <c r="F424" s="8">
        <v>55000</v>
      </c>
      <c r="G424" s="9">
        <v>0</v>
      </c>
      <c r="H424" s="8">
        <v>55000</v>
      </c>
      <c r="I424" s="8">
        <v>50575</v>
      </c>
      <c r="J424" s="8">
        <v>4425</v>
      </c>
      <c r="K424" s="9">
        <v>8</v>
      </c>
      <c r="L424" s="6"/>
    </row>
    <row r="425" spans="1:12" ht="21" customHeight="1" x14ac:dyDescent="0.3">
      <c r="A425" s="10"/>
      <c r="B425" s="3" t="s">
        <v>17</v>
      </c>
      <c r="C425" s="4" t="s">
        <v>18</v>
      </c>
      <c r="D425" s="4" t="s">
        <v>19</v>
      </c>
      <c r="E425" s="4" t="s">
        <v>11</v>
      </c>
      <c r="F425" s="3" t="s">
        <v>20</v>
      </c>
    </row>
    <row r="426" spans="1:12" ht="21" customHeight="1" x14ac:dyDescent="0.3">
      <c r="A426" s="10"/>
      <c r="B426" s="11" t="s">
        <v>22</v>
      </c>
      <c r="C426" s="9">
        <v>4</v>
      </c>
      <c r="D426" s="8">
        <v>9200</v>
      </c>
      <c r="E426" s="8">
        <v>34550</v>
      </c>
      <c r="F426" s="13"/>
    </row>
    <row r="427" spans="1:12" ht="21" customHeight="1" x14ac:dyDescent="0.3">
      <c r="A427" s="10"/>
      <c r="B427" s="11" t="s">
        <v>37</v>
      </c>
      <c r="C427" s="9">
        <v>1</v>
      </c>
      <c r="D427" s="8">
        <v>9200</v>
      </c>
      <c r="E427" s="8">
        <v>8525</v>
      </c>
      <c r="F427" s="13"/>
    </row>
    <row r="428" spans="1:12" ht="21" customHeight="1" x14ac:dyDescent="0.3">
      <c r="A428" s="10"/>
      <c r="B428" s="11" t="s">
        <v>38</v>
      </c>
      <c r="C428" s="9">
        <v>5</v>
      </c>
      <c r="D428" s="8">
        <v>1800</v>
      </c>
      <c r="E428" s="8">
        <v>7500</v>
      </c>
      <c r="F428" s="13"/>
    </row>
    <row r="429" spans="1:12" ht="21" customHeight="1" x14ac:dyDescent="0.3">
      <c r="A429" s="10"/>
      <c r="B429" s="14"/>
      <c r="C429" s="15"/>
      <c r="D429" s="15"/>
      <c r="E429" s="15"/>
      <c r="F429" s="14"/>
    </row>
    <row r="430" spans="1:12" ht="21" customHeight="1" x14ac:dyDescent="0.3">
      <c r="A430" s="16">
        <v>46211</v>
      </c>
      <c r="B430" s="6" t="s">
        <v>104</v>
      </c>
      <c r="C430" s="7" t="s">
        <v>160</v>
      </c>
      <c r="D430" s="6"/>
      <c r="E430" s="8">
        <v>15125</v>
      </c>
      <c r="F430" s="8">
        <v>15125</v>
      </c>
      <c r="G430" s="9">
        <v>0</v>
      </c>
      <c r="H430" s="8">
        <v>15125</v>
      </c>
      <c r="I430" s="8">
        <v>13890</v>
      </c>
      <c r="J430" s="8">
        <v>1235</v>
      </c>
      <c r="K430" s="9">
        <v>8</v>
      </c>
      <c r="L430" s="6"/>
    </row>
    <row r="431" spans="1:12" ht="21" customHeight="1" x14ac:dyDescent="0.3">
      <c r="A431" s="10"/>
      <c r="B431" s="3" t="s">
        <v>17</v>
      </c>
      <c r="C431" s="4" t="s">
        <v>18</v>
      </c>
      <c r="D431" s="4" t="s">
        <v>19</v>
      </c>
      <c r="E431" s="4" t="s">
        <v>11</v>
      </c>
      <c r="F431" s="3" t="s">
        <v>20</v>
      </c>
    </row>
    <row r="432" spans="1:12" ht="21" customHeight="1" x14ac:dyDescent="0.3">
      <c r="A432" s="10"/>
      <c r="B432" s="11" t="s">
        <v>119</v>
      </c>
      <c r="C432" s="9">
        <v>1</v>
      </c>
      <c r="D432" s="8">
        <v>13125</v>
      </c>
      <c r="E432" s="8">
        <v>12390</v>
      </c>
      <c r="F432" s="13"/>
    </row>
    <row r="433" spans="1:12" ht="21" customHeight="1" x14ac:dyDescent="0.3">
      <c r="A433" s="10"/>
      <c r="B433" s="11" t="s">
        <v>38</v>
      </c>
      <c r="C433" s="9">
        <v>1</v>
      </c>
      <c r="D433" s="8">
        <v>2000</v>
      </c>
      <c r="E433" s="8">
        <v>1500</v>
      </c>
      <c r="F433" s="13"/>
    </row>
    <row r="434" spans="1:12" ht="21" customHeight="1" x14ac:dyDescent="0.3">
      <c r="A434" s="10"/>
      <c r="B434" s="14"/>
      <c r="C434" s="15"/>
      <c r="D434" s="15"/>
      <c r="E434" s="15"/>
      <c r="F434" s="14"/>
    </row>
    <row r="435" spans="1:12" ht="21" customHeight="1" x14ac:dyDescent="0.3">
      <c r="A435" s="16">
        <v>46211</v>
      </c>
      <c r="B435" s="6" t="s">
        <v>78</v>
      </c>
      <c r="C435" s="7" t="s">
        <v>161</v>
      </c>
      <c r="D435" s="6"/>
      <c r="E435" s="8">
        <v>1048720</v>
      </c>
      <c r="F435" s="8">
        <v>600000</v>
      </c>
      <c r="G435" s="8">
        <v>448720</v>
      </c>
      <c r="H435" s="8">
        <v>1048720</v>
      </c>
      <c r="I435" s="8">
        <v>916641</v>
      </c>
      <c r="J435" s="8">
        <v>132079</v>
      </c>
      <c r="K435" s="9">
        <v>13</v>
      </c>
      <c r="L435" s="6"/>
    </row>
    <row r="436" spans="1:12" ht="21" customHeight="1" x14ac:dyDescent="0.3">
      <c r="A436" s="10"/>
      <c r="B436" s="3" t="s">
        <v>17</v>
      </c>
      <c r="C436" s="4" t="s">
        <v>18</v>
      </c>
      <c r="D436" s="4" t="s">
        <v>19</v>
      </c>
      <c r="E436" s="4" t="s">
        <v>11</v>
      </c>
      <c r="F436" s="3" t="s">
        <v>20</v>
      </c>
    </row>
    <row r="437" spans="1:12" ht="21" customHeight="1" x14ac:dyDescent="0.3">
      <c r="A437" s="10"/>
      <c r="B437" s="11" t="s">
        <v>45</v>
      </c>
      <c r="C437" s="9">
        <v>60</v>
      </c>
      <c r="D437" s="8">
        <v>12930</v>
      </c>
      <c r="E437" s="8">
        <v>764806</v>
      </c>
      <c r="F437" s="13"/>
    </row>
    <row r="438" spans="1:12" ht="21" customHeight="1" x14ac:dyDescent="0.3">
      <c r="A438" s="10"/>
      <c r="B438" s="11" t="s">
        <v>65</v>
      </c>
      <c r="C438" s="9">
        <v>2</v>
      </c>
      <c r="D438" s="8">
        <v>11910</v>
      </c>
      <c r="E438" s="8">
        <v>22630</v>
      </c>
      <c r="F438" s="13"/>
    </row>
    <row r="439" spans="1:12" ht="21" customHeight="1" x14ac:dyDescent="0.3">
      <c r="A439" s="10"/>
      <c r="B439" s="11" t="s">
        <v>69</v>
      </c>
      <c r="C439" s="9">
        <v>3</v>
      </c>
      <c r="D439" s="8">
        <v>14450</v>
      </c>
      <c r="E439" s="8">
        <v>41340</v>
      </c>
      <c r="F439" s="13"/>
    </row>
    <row r="440" spans="1:12" ht="21" customHeight="1" x14ac:dyDescent="0.3">
      <c r="A440" s="10"/>
      <c r="B440" s="11" t="s">
        <v>101</v>
      </c>
      <c r="C440" s="9">
        <v>5</v>
      </c>
      <c r="D440" s="8">
        <v>13550</v>
      </c>
      <c r="E440" s="8">
        <v>64600</v>
      </c>
      <c r="F440" s="13"/>
    </row>
    <row r="441" spans="1:12" ht="21" customHeight="1" x14ac:dyDescent="0.3">
      <c r="A441" s="10"/>
      <c r="B441" s="11" t="s">
        <v>148</v>
      </c>
      <c r="C441" s="9">
        <v>60</v>
      </c>
      <c r="D441" s="8">
        <v>2000</v>
      </c>
      <c r="E441" s="8">
        <v>8265</v>
      </c>
      <c r="F441" s="13"/>
    </row>
    <row r="442" spans="1:12" ht="21" customHeight="1" x14ac:dyDescent="0.3">
      <c r="A442" s="10"/>
      <c r="B442" s="11" t="s">
        <v>38</v>
      </c>
      <c r="C442" s="9">
        <v>10</v>
      </c>
      <c r="D442" s="8">
        <v>1800</v>
      </c>
      <c r="E442" s="8">
        <v>15000</v>
      </c>
      <c r="F442" s="13"/>
    </row>
    <row r="443" spans="1:12" ht="21" customHeight="1" x14ac:dyDescent="0.3">
      <c r="A443" s="10"/>
      <c r="B443" s="14"/>
      <c r="C443" s="15"/>
      <c r="D443" s="15"/>
      <c r="E443" s="15"/>
      <c r="F443" s="14"/>
    </row>
    <row r="444" spans="1:12" ht="21" customHeight="1" x14ac:dyDescent="0.3">
      <c r="A444" s="16">
        <v>46211</v>
      </c>
      <c r="B444" s="6" t="s">
        <v>25</v>
      </c>
      <c r="C444" s="7" t="s">
        <v>162</v>
      </c>
      <c r="D444" s="6"/>
      <c r="E444" s="8">
        <v>839225</v>
      </c>
      <c r="F444" s="8">
        <v>839225</v>
      </c>
      <c r="G444" s="9">
        <v>0</v>
      </c>
      <c r="H444" s="8">
        <v>839225</v>
      </c>
      <c r="I444" s="8">
        <v>865500</v>
      </c>
      <c r="J444" s="8">
        <v>-26275</v>
      </c>
      <c r="K444" s="9">
        <v>-3</v>
      </c>
      <c r="L444" s="6"/>
    </row>
    <row r="445" spans="1:12" ht="21" customHeight="1" x14ac:dyDescent="0.3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1:12" ht="21" customHeight="1" x14ac:dyDescent="0.3">
      <c r="A446" s="10"/>
      <c r="B446" s="11" t="s">
        <v>24</v>
      </c>
      <c r="C446" s="9">
        <v>150</v>
      </c>
      <c r="D446" s="8">
        <v>5000</v>
      </c>
      <c r="E446" s="8">
        <v>780000</v>
      </c>
      <c r="F446" s="13"/>
    </row>
    <row r="447" spans="1:12" ht="21" customHeight="1" x14ac:dyDescent="0.3">
      <c r="A447" s="10"/>
      <c r="B447" s="11" t="s">
        <v>31</v>
      </c>
      <c r="C447" s="9">
        <v>5</v>
      </c>
      <c r="D447" s="8">
        <v>17845</v>
      </c>
      <c r="E447" s="8">
        <v>85500</v>
      </c>
      <c r="F447" s="13"/>
    </row>
    <row r="448" spans="1:12" ht="21" customHeight="1" x14ac:dyDescent="0.3">
      <c r="A448" s="10"/>
      <c r="B448" s="14"/>
      <c r="C448" s="15"/>
      <c r="D448" s="15"/>
      <c r="E448" s="15"/>
      <c r="F448" s="14"/>
    </row>
    <row r="449" spans="1:12" ht="21" customHeight="1" x14ac:dyDescent="0.3">
      <c r="A449" s="16">
        <v>46211</v>
      </c>
      <c r="B449" s="6" t="s">
        <v>163</v>
      </c>
      <c r="C449" s="7" t="s">
        <v>164</v>
      </c>
      <c r="D449" s="6"/>
      <c r="E449" s="8">
        <v>167570</v>
      </c>
      <c r="F449" s="8">
        <v>167570</v>
      </c>
      <c r="G449" s="9">
        <v>0</v>
      </c>
      <c r="H449" s="8">
        <v>167570</v>
      </c>
      <c r="I449" s="8">
        <v>156747</v>
      </c>
      <c r="J449" s="8">
        <v>10823</v>
      </c>
      <c r="K449" s="9">
        <v>6</v>
      </c>
      <c r="L449" s="6"/>
    </row>
    <row r="450" spans="1:12" ht="21" customHeight="1" x14ac:dyDescent="0.3">
      <c r="A450" s="10"/>
      <c r="B450" s="3" t="s">
        <v>17</v>
      </c>
      <c r="C450" s="4" t="s">
        <v>18</v>
      </c>
      <c r="D450" s="4" t="s">
        <v>19</v>
      </c>
      <c r="E450" s="4" t="s">
        <v>11</v>
      </c>
      <c r="F450" s="3" t="s">
        <v>20</v>
      </c>
    </row>
    <row r="451" spans="1:12" ht="21" customHeight="1" x14ac:dyDescent="0.3">
      <c r="A451" s="10"/>
      <c r="B451" s="11" t="s">
        <v>22</v>
      </c>
      <c r="C451" s="9">
        <v>5</v>
      </c>
      <c r="D451" s="8">
        <v>9200</v>
      </c>
      <c r="E451" s="8">
        <v>43187</v>
      </c>
      <c r="F451" s="13"/>
    </row>
    <row r="452" spans="1:12" ht="21" customHeight="1" x14ac:dyDescent="0.3">
      <c r="A452" s="10"/>
      <c r="B452" s="11" t="s">
        <v>150</v>
      </c>
      <c r="C452" s="9">
        <v>2</v>
      </c>
      <c r="D452" s="8">
        <v>10315</v>
      </c>
      <c r="E452" s="8">
        <v>19850</v>
      </c>
      <c r="F452" s="13"/>
    </row>
    <row r="453" spans="1:12" ht="21" customHeight="1" x14ac:dyDescent="0.3">
      <c r="A453" s="10"/>
      <c r="B453" s="11" t="s">
        <v>93</v>
      </c>
      <c r="C453" s="9">
        <v>3</v>
      </c>
      <c r="D453" s="8">
        <v>11600</v>
      </c>
      <c r="E453" s="8">
        <v>33390</v>
      </c>
      <c r="F453" s="13"/>
    </row>
    <row r="454" spans="1:12" ht="21" customHeight="1" x14ac:dyDescent="0.3">
      <c r="A454" s="10"/>
      <c r="B454" s="11" t="s">
        <v>141</v>
      </c>
      <c r="C454" s="9">
        <v>2</v>
      </c>
      <c r="D454" s="8">
        <v>14145</v>
      </c>
      <c r="E454" s="8">
        <v>27040</v>
      </c>
      <c r="F454" s="13"/>
    </row>
    <row r="455" spans="1:12" ht="21" customHeight="1" x14ac:dyDescent="0.3">
      <c r="A455" s="10"/>
      <c r="B455" s="11" t="s">
        <v>69</v>
      </c>
      <c r="C455" s="9">
        <v>1</v>
      </c>
      <c r="D455" s="8">
        <v>14450</v>
      </c>
      <c r="E455" s="8">
        <v>13780</v>
      </c>
      <c r="F455" s="13"/>
    </row>
    <row r="456" spans="1:12" ht="21" customHeight="1" x14ac:dyDescent="0.3">
      <c r="A456" s="10"/>
      <c r="B456" s="11" t="s">
        <v>38</v>
      </c>
      <c r="C456" s="9">
        <v>13</v>
      </c>
      <c r="D456" s="8">
        <v>1800</v>
      </c>
      <c r="E456" s="8">
        <v>19500</v>
      </c>
      <c r="F456" s="13"/>
    </row>
    <row r="457" spans="1:12" ht="21" customHeight="1" x14ac:dyDescent="0.3">
      <c r="A457" s="10"/>
      <c r="B457" s="14"/>
      <c r="C457" s="15"/>
      <c r="D457" s="15"/>
      <c r="E457" s="15"/>
      <c r="F457" s="14"/>
    </row>
    <row r="458" spans="1:12" ht="21" customHeight="1" x14ac:dyDescent="0.3">
      <c r="A458" s="16">
        <v>46211</v>
      </c>
      <c r="B458" s="6" t="s">
        <v>165</v>
      </c>
      <c r="C458" s="7" t="s">
        <v>166</v>
      </c>
      <c r="D458" s="6"/>
      <c r="E458" s="8">
        <v>3724000</v>
      </c>
      <c r="F458" s="8">
        <v>3724000</v>
      </c>
      <c r="G458" s="9">
        <v>0</v>
      </c>
      <c r="H458" s="8">
        <v>3724000</v>
      </c>
      <c r="I458" s="8">
        <v>3542481</v>
      </c>
      <c r="J458" s="8">
        <v>181519</v>
      </c>
      <c r="K458" s="9">
        <v>5</v>
      </c>
      <c r="L458" s="6" t="s">
        <v>167</v>
      </c>
    </row>
    <row r="459" spans="1:12" ht="21" customHeight="1" x14ac:dyDescent="0.3">
      <c r="A459" s="10"/>
      <c r="B459" s="3" t="s">
        <v>17</v>
      </c>
      <c r="C459" s="4" t="s">
        <v>18</v>
      </c>
      <c r="D459" s="4" t="s">
        <v>19</v>
      </c>
      <c r="E459" s="4" t="s">
        <v>11</v>
      </c>
      <c r="F459" s="3" t="s">
        <v>20</v>
      </c>
    </row>
    <row r="460" spans="1:12" ht="21" customHeight="1" x14ac:dyDescent="0.3">
      <c r="A460" s="10"/>
      <c r="B460" s="11" t="s">
        <v>22</v>
      </c>
      <c r="C460" s="9">
        <v>300</v>
      </c>
      <c r="D460" s="8">
        <v>8600</v>
      </c>
      <c r="E460" s="8">
        <v>2591231</v>
      </c>
      <c r="F460" s="13"/>
    </row>
    <row r="461" spans="1:12" ht="21" customHeight="1" x14ac:dyDescent="0.3">
      <c r="A461" s="10"/>
      <c r="B461" s="11" t="s">
        <v>37</v>
      </c>
      <c r="C461" s="9">
        <v>50</v>
      </c>
      <c r="D461" s="8">
        <v>8880</v>
      </c>
      <c r="E461" s="8">
        <v>426250</v>
      </c>
      <c r="F461" s="13"/>
    </row>
    <row r="462" spans="1:12" ht="21" customHeight="1" x14ac:dyDescent="0.3">
      <c r="A462" s="10"/>
      <c r="B462" s="11" t="s">
        <v>38</v>
      </c>
      <c r="C462" s="9">
        <v>350</v>
      </c>
      <c r="D462" s="8">
        <v>2000</v>
      </c>
      <c r="E462" s="8">
        <v>525000</v>
      </c>
      <c r="F462" s="13"/>
    </row>
    <row r="463" spans="1:12" ht="21" customHeight="1" x14ac:dyDescent="0.3">
      <c r="A463" s="10"/>
      <c r="B463" s="14"/>
      <c r="C463" s="15"/>
      <c r="D463" s="15"/>
      <c r="E463" s="15"/>
      <c r="F463" s="14"/>
    </row>
    <row r="464" spans="1:12" ht="21" customHeight="1" x14ac:dyDescent="0.3">
      <c r="A464" s="16">
        <v>46211</v>
      </c>
      <c r="B464" s="6" t="s">
        <v>168</v>
      </c>
      <c r="C464" s="7" t="s">
        <v>169</v>
      </c>
      <c r="D464" s="6"/>
      <c r="E464" s="8">
        <v>775800</v>
      </c>
      <c r="F464" s="8">
        <v>775800</v>
      </c>
      <c r="G464" s="9">
        <v>0</v>
      </c>
      <c r="H464" s="8">
        <v>775800</v>
      </c>
      <c r="I464" s="8">
        <v>764806</v>
      </c>
      <c r="J464" s="8">
        <v>10994</v>
      </c>
      <c r="K464" s="9">
        <v>1</v>
      </c>
      <c r="L464" s="6"/>
    </row>
    <row r="465" spans="1:12" ht="21" customHeight="1" x14ac:dyDescent="0.3">
      <c r="A465" s="10"/>
      <c r="B465" s="3" t="s">
        <v>17</v>
      </c>
      <c r="C465" s="4" t="s">
        <v>18</v>
      </c>
      <c r="D465" s="4" t="s">
        <v>19</v>
      </c>
      <c r="E465" s="4" t="s">
        <v>11</v>
      </c>
      <c r="F465" s="3" t="s">
        <v>20</v>
      </c>
    </row>
    <row r="466" spans="1:12" ht="21" customHeight="1" x14ac:dyDescent="0.3">
      <c r="A466" s="10"/>
      <c r="B466" s="11" t="s">
        <v>45</v>
      </c>
      <c r="C466" s="9">
        <v>60</v>
      </c>
      <c r="D466" s="8">
        <v>12930</v>
      </c>
      <c r="E466" s="8">
        <v>764806</v>
      </c>
      <c r="F466" s="13"/>
    </row>
    <row r="467" spans="1:12" ht="21" customHeight="1" x14ac:dyDescent="0.3">
      <c r="A467" s="10"/>
      <c r="B467" s="14"/>
      <c r="C467" s="15"/>
      <c r="D467" s="15"/>
      <c r="E467" s="15"/>
      <c r="F467" s="14"/>
    </row>
    <row r="468" spans="1:12" ht="21" customHeight="1" x14ac:dyDescent="0.3">
      <c r="A468" s="16">
        <v>46211</v>
      </c>
      <c r="B468" s="6" t="s">
        <v>168</v>
      </c>
      <c r="C468" s="7" t="s">
        <v>170</v>
      </c>
      <c r="D468" s="6"/>
      <c r="E468" s="8">
        <v>120000</v>
      </c>
      <c r="F468" s="8">
        <v>120000</v>
      </c>
      <c r="G468" s="9">
        <v>0</v>
      </c>
      <c r="H468" s="8">
        <v>120000</v>
      </c>
      <c r="I468" s="8">
        <v>8265</v>
      </c>
      <c r="J468" s="8">
        <v>111735</v>
      </c>
      <c r="K468" s="9">
        <v>93</v>
      </c>
      <c r="L468" s="6"/>
    </row>
    <row r="469" spans="1:12" ht="21" customHeight="1" x14ac:dyDescent="0.3">
      <c r="A469" s="10"/>
      <c r="B469" s="3" t="s">
        <v>17</v>
      </c>
      <c r="C469" s="4" t="s">
        <v>18</v>
      </c>
      <c r="D469" s="4" t="s">
        <v>19</v>
      </c>
      <c r="E469" s="4" t="s">
        <v>11</v>
      </c>
      <c r="F469" s="3" t="s">
        <v>20</v>
      </c>
    </row>
    <row r="470" spans="1:12" ht="21" customHeight="1" x14ac:dyDescent="0.3">
      <c r="A470" s="10"/>
      <c r="B470" s="11" t="s">
        <v>148</v>
      </c>
      <c r="C470" s="9">
        <v>60</v>
      </c>
      <c r="D470" s="8">
        <v>2000</v>
      </c>
      <c r="E470" s="8">
        <v>8265</v>
      </c>
      <c r="F470" s="13"/>
    </row>
    <row r="471" spans="1:12" ht="21" customHeight="1" x14ac:dyDescent="0.3">
      <c r="A471" s="10"/>
      <c r="B471" s="14"/>
      <c r="C471" s="15"/>
      <c r="D471" s="15"/>
      <c r="E471" s="15"/>
      <c r="F471" s="14"/>
    </row>
    <row r="472" spans="1:12" ht="21" customHeight="1" x14ac:dyDescent="0.3">
      <c r="A472" s="16">
        <v>46211</v>
      </c>
      <c r="B472" s="6" t="s">
        <v>59</v>
      </c>
      <c r="C472" s="7" t="s">
        <v>171</v>
      </c>
      <c r="D472" s="6"/>
      <c r="E472" s="8">
        <v>535500</v>
      </c>
      <c r="F472" s="8">
        <v>500000</v>
      </c>
      <c r="G472" s="8">
        <v>35500</v>
      </c>
      <c r="H472" s="8">
        <v>535500</v>
      </c>
      <c r="I472" s="8">
        <v>502875</v>
      </c>
      <c r="J472" s="8">
        <v>32625</v>
      </c>
      <c r="K472" s="9">
        <v>6</v>
      </c>
      <c r="L472" s="6"/>
    </row>
    <row r="473" spans="1:12" ht="21" customHeight="1" x14ac:dyDescent="0.3">
      <c r="A473" s="10"/>
      <c r="B473" s="3" t="s">
        <v>17</v>
      </c>
      <c r="C473" s="4" t="s">
        <v>18</v>
      </c>
      <c r="D473" s="4" t="s">
        <v>19</v>
      </c>
      <c r="E473" s="4" t="s">
        <v>11</v>
      </c>
      <c r="F473" s="3" t="s">
        <v>20</v>
      </c>
    </row>
    <row r="474" spans="1:12" ht="21" customHeight="1" x14ac:dyDescent="0.3">
      <c r="A474" s="10"/>
      <c r="B474" s="11" t="s">
        <v>65</v>
      </c>
      <c r="C474" s="9">
        <v>10</v>
      </c>
      <c r="D474" s="8">
        <v>11910</v>
      </c>
      <c r="E474" s="8">
        <v>113150</v>
      </c>
      <c r="F474" s="13"/>
    </row>
    <row r="475" spans="1:12" ht="21" customHeight="1" x14ac:dyDescent="0.3">
      <c r="A475" s="10"/>
      <c r="B475" s="11" t="s">
        <v>80</v>
      </c>
      <c r="C475" s="9">
        <v>10</v>
      </c>
      <c r="D475" s="8">
        <v>9345</v>
      </c>
      <c r="E475" s="8">
        <v>89700</v>
      </c>
      <c r="F475" s="13"/>
    </row>
    <row r="476" spans="1:12" ht="21" customHeight="1" x14ac:dyDescent="0.3">
      <c r="A476" s="10"/>
      <c r="B476" s="11" t="s">
        <v>141</v>
      </c>
      <c r="C476" s="9">
        <v>5</v>
      </c>
      <c r="D476" s="8">
        <v>14145</v>
      </c>
      <c r="E476" s="8">
        <v>67600</v>
      </c>
      <c r="F476" s="13"/>
    </row>
    <row r="477" spans="1:12" ht="21" customHeight="1" x14ac:dyDescent="0.3">
      <c r="A477" s="10"/>
      <c r="B477" s="11" t="s">
        <v>36</v>
      </c>
      <c r="C477" s="9">
        <v>6</v>
      </c>
      <c r="D477" s="8">
        <v>15525</v>
      </c>
      <c r="E477" s="8">
        <v>89400</v>
      </c>
      <c r="F477" s="13"/>
    </row>
    <row r="478" spans="1:12" ht="21" customHeight="1" x14ac:dyDescent="0.3">
      <c r="A478" s="10"/>
      <c r="B478" s="11" t="s">
        <v>62</v>
      </c>
      <c r="C478" s="9">
        <v>5</v>
      </c>
      <c r="D478" s="8">
        <v>20655</v>
      </c>
      <c r="E478" s="8">
        <v>96525</v>
      </c>
      <c r="F478" s="13"/>
    </row>
    <row r="479" spans="1:12" ht="21" customHeight="1" x14ac:dyDescent="0.3">
      <c r="A479" s="10"/>
      <c r="B479" s="11" t="s">
        <v>38</v>
      </c>
      <c r="C479" s="9">
        <v>31</v>
      </c>
      <c r="D479" s="8">
        <v>1800</v>
      </c>
      <c r="E479" s="8">
        <v>46500</v>
      </c>
      <c r="F479" s="13"/>
    </row>
    <row r="480" spans="1:12" ht="21" customHeight="1" x14ac:dyDescent="0.3">
      <c r="A480" s="10"/>
      <c r="B480" s="14"/>
      <c r="C480" s="15"/>
      <c r="D480" s="15"/>
      <c r="E480" s="15"/>
      <c r="F480" s="14"/>
    </row>
    <row r="481" spans="1:12" ht="21" customHeight="1" x14ac:dyDescent="0.3">
      <c r="A481" s="16">
        <v>46211</v>
      </c>
      <c r="B481" s="6" t="s">
        <v>157</v>
      </c>
      <c r="C481" s="7" t="s">
        <v>172</v>
      </c>
      <c r="D481" s="6"/>
      <c r="E481" s="8">
        <v>50000</v>
      </c>
      <c r="F481" s="8">
        <v>50000</v>
      </c>
      <c r="G481" s="9">
        <v>0</v>
      </c>
      <c r="H481" s="8">
        <v>50000</v>
      </c>
      <c r="I481" s="8">
        <v>52000</v>
      </c>
      <c r="J481" s="8">
        <v>-2000</v>
      </c>
      <c r="K481" s="9">
        <v>-4</v>
      </c>
      <c r="L481" s="6"/>
    </row>
    <row r="482" spans="1:12" ht="21" customHeight="1" x14ac:dyDescent="0.3">
      <c r="A482" s="10"/>
      <c r="B482" s="3" t="s">
        <v>17</v>
      </c>
      <c r="C482" s="4" t="s">
        <v>18</v>
      </c>
      <c r="D482" s="4" t="s">
        <v>19</v>
      </c>
      <c r="E482" s="4" t="s">
        <v>11</v>
      </c>
      <c r="F482" s="3" t="s">
        <v>20</v>
      </c>
    </row>
    <row r="483" spans="1:12" ht="21" customHeight="1" x14ac:dyDescent="0.3">
      <c r="A483" s="10"/>
      <c r="B483" s="11" t="s">
        <v>24</v>
      </c>
      <c r="C483" s="9">
        <v>10</v>
      </c>
      <c r="D483" s="8">
        <v>5000</v>
      </c>
      <c r="E483" s="8">
        <v>52000</v>
      </c>
      <c r="F483" s="13"/>
    </row>
    <row r="484" spans="1:12" ht="21" customHeight="1" x14ac:dyDescent="0.3">
      <c r="A484" s="10"/>
      <c r="B484" s="14"/>
      <c r="C484" s="15"/>
      <c r="D484" s="15"/>
      <c r="E484" s="15"/>
      <c r="F484" s="14"/>
    </row>
    <row r="485" spans="1:12" ht="21" customHeight="1" x14ac:dyDescent="0.3">
      <c r="A485" s="16">
        <v>46211</v>
      </c>
      <c r="B485" s="6" t="s">
        <v>78</v>
      </c>
      <c r="C485" s="7" t="s">
        <v>173</v>
      </c>
      <c r="D485" s="6"/>
      <c r="E485" s="8">
        <v>45000</v>
      </c>
      <c r="F485" s="8">
        <v>18000</v>
      </c>
      <c r="G485" s="8">
        <v>27000</v>
      </c>
      <c r="H485" s="8">
        <v>45000</v>
      </c>
      <c r="I485" s="8">
        <v>34615</v>
      </c>
      <c r="J485" s="8">
        <v>10385</v>
      </c>
      <c r="K485" s="9">
        <v>23</v>
      </c>
      <c r="L485" s="6"/>
    </row>
    <row r="486" spans="1:12" ht="21" customHeight="1" x14ac:dyDescent="0.3">
      <c r="A486" s="10"/>
      <c r="B486" s="3" t="s">
        <v>17</v>
      </c>
      <c r="C486" s="4" t="s">
        <v>18</v>
      </c>
      <c r="D486" s="4" t="s">
        <v>19</v>
      </c>
      <c r="E486" s="4" t="s">
        <v>11</v>
      </c>
      <c r="F486" s="3" t="s">
        <v>20</v>
      </c>
    </row>
    <row r="487" spans="1:12" ht="21" customHeight="1" x14ac:dyDescent="0.3">
      <c r="A487" s="10"/>
      <c r="B487" s="11" t="s">
        <v>174</v>
      </c>
      <c r="C487" s="9">
        <v>60</v>
      </c>
      <c r="D487" s="9">
        <v>750</v>
      </c>
      <c r="E487" s="8">
        <v>34615</v>
      </c>
      <c r="F487" s="13"/>
    </row>
    <row r="488" spans="1:12" ht="21" customHeight="1" x14ac:dyDescent="0.3">
      <c r="A488" s="10"/>
      <c r="B488" s="14"/>
      <c r="C488" s="15"/>
      <c r="D488" s="15"/>
      <c r="E488" s="15"/>
      <c r="F488" s="14"/>
    </row>
    <row r="489" spans="1:12" ht="21" customHeight="1" x14ac:dyDescent="0.3">
      <c r="A489" s="25">
        <v>46212</v>
      </c>
      <c r="B489" s="6" t="s">
        <v>152</v>
      </c>
      <c r="C489" s="7" t="s">
        <v>175</v>
      </c>
      <c r="D489" s="6"/>
      <c r="E489" s="8">
        <v>895800</v>
      </c>
      <c r="F489" s="8">
        <v>895800</v>
      </c>
      <c r="G489" s="9">
        <v>0</v>
      </c>
      <c r="H489" s="8">
        <v>895800</v>
      </c>
      <c r="I489" s="8">
        <v>773071</v>
      </c>
      <c r="J489" s="8">
        <v>122729</v>
      </c>
      <c r="K489" s="9">
        <v>14</v>
      </c>
      <c r="L489" s="6"/>
    </row>
    <row r="490" spans="1:12" ht="21" customHeight="1" x14ac:dyDescent="0.3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1:12" ht="21" customHeight="1" x14ac:dyDescent="0.3">
      <c r="A491" s="10"/>
      <c r="B491" s="11" t="s">
        <v>45</v>
      </c>
      <c r="C491" s="9">
        <v>60</v>
      </c>
      <c r="D491" s="8">
        <v>12930</v>
      </c>
      <c r="E491" s="8">
        <v>764806</v>
      </c>
      <c r="F491" s="13"/>
    </row>
    <row r="492" spans="1:12" ht="21" customHeight="1" x14ac:dyDescent="0.3">
      <c r="A492" s="10"/>
      <c r="B492" s="11" t="s">
        <v>148</v>
      </c>
      <c r="C492" s="9">
        <v>60</v>
      </c>
      <c r="D492" s="8">
        <v>2000</v>
      </c>
      <c r="E492" s="8">
        <v>8265</v>
      </c>
      <c r="F492" s="13"/>
    </row>
    <row r="493" spans="1:12" ht="21" customHeight="1" x14ac:dyDescent="0.3">
      <c r="A493" s="10"/>
      <c r="B493" s="14"/>
      <c r="C493" s="15"/>
      <c r="D493" s="15"/>
      <c r="E493" s="15"/>
      <c r="F493" s="14"/>
    </row>
    <row r="494" spans="1:12" ht="21" customHeight="1" x14ac:dyDescent="0.3">
      <c r="A494" s="16">
        <v>46212</v>
      </c>
      <c r="B494" s="6" t="s">
        <v>29</v>
      </c>
      <c r="C494" s="7" t="s">
        <v>176</v>
      </c>
      <c r="D494" s="6"/>
      <c r="E494" s="8">
        <v>216950</v>
      </c>
      <c r="F494" s="8">
        <v>216950</v>
      </c>
      <c r="G494" s="9">
        <v>0</v>
      </c>
      <c r="H494" s="8">
        <v>216950</v>
      </c>
      <c r="I494" s="8">
        <v>215950</v>
      </c>
      <c r="J494" s="8">
        <v>1000</v>
      </c>
      <c r="K494" s="9">
        <v>0</v>
      </c>
      <c r="L494" s="6"/>
    </row>
    <row r="495" spans="1:12" ht="21" customHeight="1" x14ac:dyDescent="0.3">
      <c r="A495" s="10"/>
      <c r="B495" s="3" t="s">
        <v>17</v>
      </c>
      <c r="C495" s="4" t="s">
        <v>18</v>
      </c>
      <c r="D495" s="4" t="s">
        <v>19</v>
      </c>
      <c r="E495" s="4" t="s">
        <v>11</v>
      </c>
      <c r="F495" s="3" t="s">
        <v>20</v>
      </c>
    </row>
    <row r="496" spans="1:12" ht="21" customHeight="1" x14ac:dyDescent="0.3">
      <c r="A496" s="10"/>
      <c r="B496" s="11" t="s">
        <v>34</v>
      </c>
      <c r="C496" s="9">
        <v>10</v>
      </c>
      <c r="D496" s="8">
        <v>21695</v>
      </c>
      <c r="E496" s="8">
        <v>215950</v>
      </c>
      <c r="F496" s="13"/>
    </row>
    <row r="497" spans="1:12" ht="21" customHeight="1" x14ac:dyDescent="0.3">
      <c r="A497" s="10"/>
      <c r="B497" s="14"/>
      <c r="C497" s="15"/>
      <c r="D497" s="15"/>
      <c r="E497" s="15"/>
      <c r="F497" s="14"/>
    </row>
    <row r="498" spans="1:12" ht="21" customHeight="1" x14ac:dyDescent="0.3">
      <c r="A498" s="16">
        <v>46212</v>
      </c>
      <c r="B498" s="6" t="s">
        <v>50</v>
      </c>
      <c r="C498" s="7" t="s">
        <v>177</v>
      </c>
      <c r="D498" s="6"/>
      <c r="E498" s="8">
        <v>1224685</v>
      </c>
      <c r="F498" s="8">
        <v>1224685</v>
      </c>
      <c r="G498" s="9">
        <v>0</v>
      </c>
      <c r="H498" s="8">
        <v>1224685</v>
      </c>
      <c r="I498" s="8">
        <v>1173635</v>
      </c>
      <c r="J498" s="8">
        <v>51050</v>
      </c>
      <c r="K498" s="9">
        <v>4</v>
      </c>
      <c r="L498" s="6"/>
    </row>
    <row r="499" spans="1:12" ht="21" customHeight="1" x14ac:dyDescent="0.3">
      <c r="A499" s="10"/>
      <c r="B499" s="3" t="s">
        <v>17</v>
      </c>
      <c r="C499" s="4" t="s">
        <v>18</v>
      </c>
      <c r="D499" s="4" t="s">
        <v>19</v>
      </c>
      <c r="E499" s="4" t="s">
        <v>11</v>
      </c>
      <c r="F499" s="3" t="s">
        <v>20</v>
      </c>
    </row>
    <row r="500" spans="1:12" ht="21" customHeight="1" x14ac:dyDescent="0.3">
      <c r="A500" s="10"/>
      <c r="B500" s="11" t="s">
        <v>69</v>
      </c>
      <c r="C500" s="9">
        <v>2</v>
      </c>
      <c r="D500" s="8">
        <v>14450</v>
      </c>
      <c r="E500" s="8">
        <v>27560</v>
      </c>
      <c r="F500" s="13"/>
    </row>
    <row r="501" spans="1:12" ht="21" customHeight="1" x14ac:dyDescent="0.3">
      <c r="A501" s="10"/>
      <c r="B501" s="11" t="s">
        <v>150</v>
      </c>
      <c r="C501" s="9">
        <v>2</v>
      </c>
      <c r="D501" s="8">
        <v>10315</v>
      </c>
      <c r="E501" s="8">
        <v>19850</v>
      </c>
      <c r="F501" s="13"/>
    </row>
    <row r="502" spans="1:12" ht="21" customHeight="1" x14ac:dyDescent="0.3">
      <c r="A502" s="10"/>
      <c r="B502" s="11" t="s">
        <v>70</v>
      </c>
      <c r="C502" s="9">
        <v>3</v>
      </c>
      <c r="D502" s="8">
        <v>13350</v>
      </c>
      <c r="E502" s="8">
        <v>38565</v>
      </c>
      <c r="F502" s="13"/>
    </row>
    <row r="503" spans="1:12" ht="21" customHeight="1" x14ac:dyDescent="0.3">
      <c r="A503" s="10"/>
      <c r="B503" s="11" t="s">
        <v>62</v>
      </c>
      <c r="C503" s="9">
        <v>3</v>
      </c>
      <c r="D503" s="8">
        <v>20655</v>
      </c>
      <c r="E503" s="8">
        <v>57915</v>
      </c>
      <c r="F503" s="13"/>
    </row>
    <row r="504" spans="1:12" ht="21" customHeight="1" x14ac:dyDescent="0.3">
      <c r="A504" s="10"/>
      <c r="B504" s="11" t="s">
        <v>65</v>
      </c>
      <c r="C504" s="9">
        <v>10</v>
      </c>
      <c r="D504" s="8">
        <v>11910</v>
      </c>
      <c r="E504" s="8">
        <v>113150</v>
      </c>
      <c r="F504" s="13"/>
    </row>
    <row r="505" spans="1:12" ht="21" customHeight="1" x14ac:dyDescent="0.3">
      <c r="A505" s="10"/>
      <c r="B505" s="11" t="s">
        <v>36</v>
      </c>
      <c r="C505" s="9">
        <v>4</v>
      </c>
      <c r="D505" s="8">
        <v>15525</v>
      </c>
      <c r="E505" s="8">
        <v>59600</v>
      </c>
      <c r="F505" s="13"/>
    </row>
    <row r="506" spans="1:12" ht="21" customHeight="1" x14ac:dyDescent="0.3">
      <c r="A506" s="10"/>
      <c r="B506" s="11" t="s">
        <v>44</v>
      </c>
      <c r="C506" s="9">
        <v>2</v>
      </c>
      <c r="D506" s="8">
        <v>9200</v>
      </c>
      <c r="E506" s="8">
        <v>17980</v>
      </c>
      <c r="F506" s="13"/>
    </row>
    <row r="507" spans="1:12" ht="21" customHeight="1" x14ac:dyDescent="0.3">
      <c r="A507" s="10"/>
      <c r="B507" s="11" t="s">
        <v>27</v>
      </c>
      <c r="C507" s="9">
        <v>30</v>
      </c>
      <c r="D507" s="8">
        <v>8020</v>
      </c>
      <c r="E507" s="8">
        <v>230550</v>
      </c>
      <c r="F507" s="13"/>
    </row>
    <row r="508" spans="1:12" ht="21" customHeight="1" x14ac:dyDescent="0.3">
      <c r="A508" s="10"/>
      <c r="B508" s="11" t="s">
        <v>178</v>
      </c>
      <c r="C508" s="9">
        <v>20</v>
      </c>
      <c r="D508" s="8">
        <v>23770</v>
      </c>
      <c r="E508" s="8">
        <v>455500</v>
      </c>
      <c r="F508" s="13"/>
    </row>
    <row r="509" spans="1:12" ht="21" customHeight="1" x14ac:dyDescent="0.3">
      <c r="A509" s="10"/>
      <c r="B509" s="11" t="s">
        <v>80</v>
      </c>
      <c r="C509" s="9">
        <v>2</v>
      </c>
      <c r="D509" s="8">
        <v>9345</v>
      </c>
      <c r="E509" s="8">
        <v>17940</v>
      </c>
      <c r="F509" s="13"/>
    </row>
    <row r="510" spans="1:12" ht="21" customHeight="1" x14ac:dyDescent="0.3">
      <c r="A510" s="10"/>
      <c r="B510" s="11" t="s">
        <v>35</v>
      </c>
      <c r="C510" s="9">
        <v>5</v>
      </c>
      <c r="D510" s="8">
        <v>21170</v>
      </c>
      <c r="E510" s="8">
        <v>102025</v>
      </c>
      <c r="F510" s="13"/>
    </row>
    <row r="511" spans="1:12" ht="21" customHeight="1" x14ac:dyDescent="0.3">
      <c r="A511" s="10"/>
      <c r="B511" s="11" t="s">
        <v>38</v>
      </c>
      <c r="C511" s="9">
        <v>22</v>
      </c>
      <c r="D511" s="8">
        <v>1500</v>
      </c>
      <c r="E511" s="8">
        <v>33000</v>
      </c>
      <c r="F511" s="13"/>
    </row>
    <row r="512" spans="1:12" ht="21" customHeight="1" x14ac:dyDescent="0.3">
      <c r="A512" s="10"/>
      <c r="B512" s="14"/>
      <c r="C512" s="15"/>
      <c r="D512" s="15"/>
      <c r="E512" s="15"/>
      <c r="F512" s="14"/>
    </row>
    <row r="513" spans="1:12" ht="21" customHeight="1" x14ac:dyDescent="0.3">
      <c r="A513" s="16">
        <v>46212</v>
      </c>
      <c r="B513" s="6" t="s">
        <v>157</v>
      </c>
      <c r="C513" s="7" t="s">
        <v>179</v>
      </c>
      <c r="D513" s="6"/>
      <c r="E513" s="8">
        <v>141255</v>
      </c>
      <c r="F513" s="8">
        <v>141255</v>
      </c>
      <c r="G513" s="9">
        <v>0</v>
      </c>
      <c r="H513" s="8">
        <v>141255</v>
      </c>
      <c r="I513" s="8">
        <v>132730</v>
      </c>
      <c r="J513" s="8">
        <v>8525</v>
      </c>
      <c r="K513" s="9">
        <v>6</v>
      </c>
      <c r="L513" s="6"/>
    </row>
    <row r="514" spans="1:12" ht="21" customHeight="1" x14ac:dyDescent="0.3">
      <c r="A514" s="10"/>
      <c r="B514" s="3" t="s">
        <v>17</v>
      </c>
      <c r="C514" s="4" t="s">
        <v>18</v>
      </c>
      <c r="D514" s="4" t="s">
        <v>19</v>
      </c>
      <c r="E514" s="4" t="s">
        <v>11</v>
      </c>
      <c r="F514" s="3" t="s">
        <v>20</v>
      </c>
    </row>
    <row r="515" spans="1:12" ht="21" customHeight="1" x14ac:dyDescent="0.3">
      <c r="A515" s="10"/>
      <c r="B515" s="11" t="s">
        <v>65</v>
      </c>
      <c r="C515" s="9">
        <v>3</v>
      </c>
      <c r="D515" s="8">
        <v>11910</v>
      </c>
      <c r="E515" s="8">
        <v>33945</v>
      </c>
      <c r="F515" s="13"/>
    </row>
    <row r="516" spans="1:12" ht="21" customHeight="1" x14ac:dyDescent="0.3">
      <c r="A516" s="10"/>
      <c r="B516" s="11" t="s">
        <v>80</v>
      </c>
      <c r="C516" s="9">
        <v>3</v>
      </c>
      <c r="D516" s="8">
        <v>9345</v>
      </c>
      <c r="E516" s="8">
        <v>26910</v>
      </c>
      <c r="F516" s="13"/>
    </row>
    <row r="517" spans="1:12" ht="21" customHeight="1" x14ac:dyDescent="0.3">
      <c r="A517" s="10"/>
      <c r="B517" s="11" t="s">
        <v>36</v>
      </c>
      <c r="C517" s="9">
        <v>2</v>
      </c>
      <c r="D517" s="8">
        <v>15525</v>
      </c>
      <c r="E517" s="8">
        <v>29800</v>
      </c>
      <c r="F517" s="13"/>
    </row>
    <row r="518" spans="1:12" ht="21" customHeight="1" x14ac:dyDescent="0.3">
      <c r="A518" s="10"/>
      <c r="B518" s="11" t="s">
        <v>37</v>
      </c>
      <c r="C518" s="9">
        <v>3</v>
      </c>
      <c r="D518" s="8">
        <v>8880</v>
      </c>
      <c r="E518" s="8">
        <v>25575</v>
      </c>
      <c r="F518" s="13"/>
    </row>
    <row r="519" spans="1:12" ht="21" customHeight="1" x14ac:dyDescent="0.3">
      <c r="A519" s="10"/>
      <c r="B519" s="11" t="s">
        <v>38</v>
      </c>
      <c r="C519" s="9">
        <v>11</v>
      </c>
      <c r="D519" s="8">
        <v>1800</v>
      </c>
      <c r="E519" s="8">
        <v>16500</v>
      </c>
      <c r="F519" s="13"/>
    </row>
    <row r="520" spans="1:12" ht="21" customHeight="1" x14ac:dyDescent="0.3">
      <c r="A520" s="10"/>
      <c r="B520" s="14"/>
      <c r="C520" s="15"/>
      <c r="D520" s="15"/>
      <c r="E520" s="15"/>
      <c r="F520" s="14"/>
    </row>
    <row r="521" spans="1:12" ht="21" customHeight="1" x14ac:dyDescent="0.3">
      <c r="A521" s="16">
        <v>46212</v>
      </c>
      <c r="B521" s="6" t="s">
        <v>81</v>
      </c>
      <c r="C521" s="7" t="s">
        <v>180</v>
      </c>
      <c r="D521" s="6"/>
      <c r="E521" s="8">
        <v>87700</v>
      </c>
      <c r="F521" s="8">
        <v>87700</v>
      </c>
      <c r="G521" s="9">
        <v>0</v>
      </c>
      <c r="H521" s="8">
        <v>87700</v>
      </c>
      <c r="I521" s="8">
        <v>83263</v>
      </c>
      <c r="J521" s="8">
        <v>4437</v>
      </c>
      <c r="K521" s="9">
        <v>5</v>
      </c>
      <c r="L521" s="6"/>
    </row>
    <row r="522" spans="1:12" ht="21" customHeight="1" x14ac:dyDescent="0.3">
      <c r="A522" s="10"/>
      <c r="B522" s="3" t="s">
        <v>17</v>
      </c>
      <c r="C522" s="4" t="s">
        <v>18</v>
      </c>
      <c r="D522" s="4" t="s">
        <v>19</v>
      </c>
      <c r="E522" s="4" t="s">
        <v>11</v>
      </c>
      <c r="F522" s="3" t="s">
        <v>20</v>
      </c>
    </row>
    <row r="523" spans="1:12" ht="21" customHeight="1" x14ac:dyDescent="0.3">
      <c r="A523" s="10"/>
      <c r="B523" s="11" t="s">
        <v>21</v>
      </c>
      <c r="C523" s="9">
        <v>4</v>
      </c>
      <c r="D523" s="8">
        <v>8500</v>
      </c>
      <c r="E523" s="8">
        <v>32488</v>
      </c>
      <c r="F523" s="13"/>
    </row>
    <row r="524" spans="1:12" ht="21" customHeight="1" x14ac:dyDescent="0.3">
      <c r="A524" s="10"/>
      <c r="B524" s="11" t="s">
        <v>22</v>
      </c>
      <c r="C524" s="9">
        <v>2</v>
      </c>
      <c r="D524" s="8">
        <v>9200</v>
      </c>
      <c r="E524" s="8">
        <v>17275</v>
      </c>
      <c r="F524" s="13"/>
    </row>
    <row r="525" spans="1:12" ht="21" customHeight="1" x14ac:dyDescent="0.3">
      <c r="A525" s="10"/>
      <c r="B525" s="11" t="s">
        <v>181</v>
      </c>
      <c r="C525" s="9">
        <v>1</v>
      </c>
      <c r="D525" s="8">
        <v>17000</v>
      </c>
      <c r="E525" s="8">
        <v>16350</v>
      </c>
      <c r="F525" s="13"/>
    </row>
    <row r="526" spans="1:12" ht="21" customHeight="1" x14ac:dyDescent="0.3">
      <c r="A526" s="10"/>
      <c r="B526" s="11" t="s">
        <v>43</v>
      </c>
      <c r="C526" s="9">
        <v>1</v>
      </c>
      <c r="D526" s="8">
        <v>18300</v>
      </c>
      <c r="E526" s="8">
        <v>17150</v>
      </c>
      <c r="F526" s="13"/>
    </row>
    <row r="527" spans="1:12" ht="21" customHeight="1" x14ac:dyDescent="0.3">
      <c r="A527" s="10"/>
      <c r="B527" s="14"/>
      <c r="C527" s="15"/>
      <c r="D527" s="15"/>
      <c r="E527" s="15"/>
      <c r="F527" s="14"/>
    </row>
    <row r="528" spans="1:12" ht="21" customHeight="1" x14ac:dyDescent="0.3">
      <c r="A528" s="16">
        <v>46212</v>
      </c>
      <c r="B528" s="6" t="s">
        <v>154</v>
      </c>
      <c r="C528" s="7" t="s">
        <v>182</v>
      </c>
      <c r="D528" s="6"/>
      <c r="E528" s="8">
        <v>94455</v>
      </c>
      <c r="F528" s="8">
        <v>94455</v>
      </c>
      <c r="G528" s="9">
        <v>0</v>
      </c>
      <c r="H528" s="8">
        <v>94455</v>
      </c>
      <c r="I528" s="8">
        <v>88600</v>
      </c>
      <c r="J528" s="8">
        <v>5855</v>
      </c>
      <c r="K528" s="9">
        <v>6</v>
      </c>
      <c r="L528" s="6"/>
    </row>
    <row r="529" spans="1:12" ht="21" customHeight="1" x14ac:dyDescent="0.3">
      <c r="A529" s="10"/>
      <c r="B529" s="3" t="s">
        <v>17</v>
      </c>
      <c r="C529" s="4" t="s">
        <v>18</v>
      </c>
      <c r="D529" s="4" t="s">
        <v>19</v>
      </c>
      <c r="E529" s="4" t="s">
        <v>11</v>
      </c>
      <c r="F529" s="3" t="s">
        <v>20</v>
      </c>
    </row>
    <row r="530" spans="1:12" ht="21" customHeight="1" x14ac:dyDescent="0.3">
      <c r="A530" s="10"/>
      <c r="B530" s="11" t="s">
        <v>65</v>
      </c>
      <c r="C530" s="9">
        <v>4</v>
      </c>
      <c r="D530" s="8">
        <v>11910</v>
      </c>
      <c r="E530" s="8">
        <v>45260</v>
      </c>
      <c r="F530" s="13"/>
    </row>
    <row r="531" spans="1:12" ht="21" customHeight="1" x14ac:dyDescent="0.3">
      <c r="A531" s="10"/>
      <c r="B531" s="11" t="s">
        <v>80</v>
      </c>
      <c r="C531" s="9">
        <v>2</v>
      </c>
      <c r="D531" s="8">
        <v>9345</v>
      </c>
      <c r="E531" s="8">
        <v>17940</v>
      </c>
      <c r="F531" s="13"/>
    </row>
    <row r="532" spans="1:12" ht="21" customHeight="1" x14ac:dyDescent="0.3">
      <c r="A532" s="10"/>
      <c r="B532" s="11" t="s">
        <v>36</v>
      </c>
      <c r="C532" s="9">
        <v>1</v>
      </c>
      <c r="D532" s="8">
        <v>15525</v>
      </c>
      <c r="E532" s="8">
        <v>14900</v>
      </c>
      <c r="F532" s="13"/>
    </row>
    <row r="533" spans="1:12" ht="21" customHeight="1" x14ac:dyDescent="0.3">
      <c r="A533" s="10"/>
      <c r="B533" s="11" t="s">
        <v>38</v>
      </c>
      <c r="C533" s="9">
        <v>7</v>
      </c>
      <c r="D533" s="8">
        <v>1800</v>
      </c>
      <c r="E533" s="8">
        <v>10500</v>
      </c>
      <c r="F533" s="13"/>
    </row>
    <row r="534" spans="1:12" ht="21" customHeight="1" x14ac:dyDescent="0.3">
      <c r="A534" s="10"/>
      <c r="B534" s="14"/>
      <c r="C534" s="15"/>
      <c r="D534" s="15"/>
      <c r="E534" s="15"/>
      <c r="F534" s="14"/>
    </row>
    <row r="535" spans="1:12" ht="21" customHeight="1" x14ac:dyDescent="0.3">
      <c r="A535" s="16">
        <v>46212</v>
      </c>
      <c r="B535" s="6" t="s">
        <v>15</v>
      </c>
      <c r="C535" s="7" t="s">
        <v>183</v>
      </c>
      <c r="D535" s="6"/>
      <c r="E535" s="8">
        <v>18400</v>
      </c>
      <c r="F535" s="8">
        <v>18400</v>
      </c>
      <c r="G535" s="9">
        <v>0</v>
      </c>
      <c r="H535" s="8">
        <v>18400</v>
      </c>
      <c r="I535" s="8">
        <v>17627</v>
      </c>
      <c r="J535" s="9">
        <v>773</v>
      </c>
      <c r="K535" s="9">
        <v>4</v>
      </c>
      <c r="L535" s="6"/>
    </row>
    <row r="536" spans="1:12" ht="21" customHeight="1" x14ac:dyDescent="0.3">
      <c r="A536" s="10"/>
      <c r="B536" s="3" t="s">
        <v>17</v>
      </c>
      <c r="C536" s="4" t="s">
        <v>18</v>
      </c>
      <c r="D536" s="4" t="s">
        <v>19</v>
      </c>
      <c r="E536" s="4" t="s">
        <v>11</v>
      </c>
      <c r="F536" s="3" t="s">
        <v>20</v>
      </c>
    </row>
    <row r="537" spans="1:12" ht="21" customHeight="1" x14ac:dyDescent="0.3">
      <c r="A537" s="10"/>
      <c r="B537" s="11" t="s">
        <v>44</v>
      </c>
      <c r="C537" s="9">
        <v>1</v>
      </c>
      <c r="D537" s="8">
        <v>9200</v>
      </c>
      <c r="E537" s="8">
        <v>8990</v>
      </c>
      <c r="F537" s="13"/>
    </row>
    <row r="538" spans="1:12" ht="21" customHeight="1" x14ac:dyDescent="0.3">
      <c r="A538" s="10"/>
      <c r="B538" s="11" t="s">
        <v>22</v>
      </c>
      <c r="C538" s="9">
        <v>1</v>
      </c>
      <c r="D538" s="8">
        <v>9200</v>
      </c>
      <c r="E538" s="8">
        <v>8637</v>
      </c>
      <c r="F538" s="13"/>
    </row>
    <row r="539" spans="1:12" ht="21" customHeight="1" x14ac:dyDescent="0.3">
      <c r="A539" s="10"/>
      <c r="B539" s="14"/>
      <c r="C539" s="15"/>
      <c r="D539" s="15"/>
      <c r="E539" s="15"/>
      <c r="F539" s="14"/>
    </row>
    <row r="540" spans="1:12" ht="21" customHeight="1" x14ac:dyDescent="0.3">
      <c r="A540" s="16">
        <v>46212</v>
      </c>
      <c r="B540" s="6" t="s">
        <v>95</v>
      </c>
      <c r="C540" s="7" t="s">
        <v>184</v>
      </c>
      <c r="D540" s="6"/>
      <c r="E540" s="8">
        <v>95970</v>
      </c>
      <c r="F540" s="9">
        <v>0</v>
      </c>
      <c r="G540" s="8">
        <v>95970</v>
      </c>
      <c r="H540" s="8">
        <v>95970</v>
      </c>
      <c r="I540" s="8">
        <v>92185</v>
      </c>
      <c r="J540" s="8">
        <v>3785</v>
      </c>
      <c r="K540" s="9">
        <v>4</v>
      </c>
      <c r="L540" s="6"/>
    </row>
    <row r="541" spans="1:12" ht="21" customHeight="1" x14ac:dyDescent="0.3">
      <c r="A541" s="10"/>
      <c r="B541" s="3" t="s">
        <v>17</v>
      </c>
      <c r="C541" s="4" t="s">
        <v>18</v>
      </c>
      <c r="D541" s="4" t="s">
        <v>19</v>
      </c>
      <c r="E541" s="4" t="s">
        <v>11</v>
      </c>
      <c r="F541" s="3" t="s">
        <v>20</v>
      </c>
    </row>
    <row r="542" spans="1:12" ht="21" customHeight="1" x14ac:dyDescent="0.3">
      <c r="A542" s="10"/>
      <c r="B542" s="11" t="s">
        <v>80</v>
      </c>
      <c r="C542" s="9">
        <v>2</v>
      </c>
      <c r="D542" s="8">
        <v>9345</v>
      </c>
      <c r="E542" s="8">
        <v>17940</v>
      </c>
      <c r="F542" s="13"/>
    </row>
    <row r="543" spans="1:12" ht="21" customHeight="1" x14ac:dyDescent="0.3">
      <c r="A543" s="10"/>
      <c r="B543" s="11" t="s">
        <v>65</v>
      </c>
      <c r="C543" s="9">
        <v>3</v>
      </c>
      <c r="D543" s="8">
        <v>11910</v>
      </c>
      <c r="E543" s="8">
        <v>33945</v>
      </c>
      <c r="F543" s="13"/>
    </row>
    <row r="544" spans="1:12" ht="21" customHeight="1" x14ac:dyDescent="0.3">
      <c r="A544" s="10"/>
      <c r="B544" s="11" t="s">
        <v>36</v>
      </c>
      <c r="C544" s="9">
        <v>2</v>
      </c>
      <c r="D544" s="8">
        <v>15525</v>
      </c>
      <c r="E544" s="8">
        <v>29800</v>
      </c>
      <c r="F544" s="13"/>
    </row>
    <row r="545" spans="1:12" ht="21" customHeight="1" x14ac:dyDescent="0.3">
      <c r="A545" s="10"/>
      <c r="B545" s="11" t="s">
        <v>38</v>
      </c>
      <c r="C545" s="9">
        <v>7</v>
      </c>
      <c r="D545" s="8">
        <v>1500</v>
      </c>
      <c r="E545" s="8">
        <v>10500</v>
      </c>
      <c r="F545" s="13"/>
    </row>
    <row r="546" spans="1:12" ht="21" customHeight="1" x14ac:dyDescent="0.3">
      <c r="A546" s="10"/>
      <c r="B546" s="14"/>
      <c r="C546" s="15"/>
      <c r="D546" s="15"/>
      <c r="E546" s="15"/>
      <c r="F546" s="14"/>
    </row>
    <row r="547" spans="1:12" ht="21" customHeight="1" x14ac:dyDescent="0.3">
      <c r="A547" s="16">
        <v>46212</v>
      </c>
      <c r="B547" s="6" t="s">
        <v>29</v>
      </c>
      <c r="C547" s="7" t="s">
        <v>185</v>
      </c>
      <c r="D547" s="6"/>
      <c r="E547" s="8">
        <v>411800</v>
      </c>
      <c r="F547" s="8">
        <v>411800</v>
      </c>
      <c r="G547" s="9">
        <v>0</v>
      </c>
      <c r="H547" s="8">
        <v>411800</v>
      </c>
      <c r="I547" s="8">
        <v>383481</v>
      </c>
      <c r="J547" s="8">
        <v>28319</v>
      </c>
      <c r="K547" s="9">
        <v>7</v>
      </c>
      <c r="L547" s="6"/>
    </row>
    <row r="548" spans="1:12" ht="21" customHeight="1" x14ac:dyDescent="0.3">
      <c r="A548" s="10"/>
      <c r="B548" s="3" t="s">
        <v>17</v>
      </c>
      <c r="C548" s="4" t="s">
        <v>18</v>
      </c>
      <c r="D548" s="4" t="s">
        <v>19</v>
      </c>
      <c r="E548" s="4" t="s">
        <v>11</v>
      </c>
      <c r="F548" s="3" t="s">
        <v>20</v>
      </c>
    </row>
    <row r="549" spans="1:12" ht="21" customHeight="1" x14ac:dyDescent="0.3">
      <c r="A549" s="10"/>
      <c r="B549" s="11" t="s">
        <v>22</v>
      </c>
      <c r="C549" s="9">
        <v>5</v>
      </c>
      <c r="D549" s="8">
        <v>8800</v>
      </c>
      <c r="E549" s="8">
        <v>43187</v>
      </c>
      <c r="F549" s="13"/>
    </row>
    <row r="550" spans="1:12" ht="21" customHeight="1" x14ac:dyDescent="0.3">
      <c r="A550" s="10"/>
      <c r="B550" s="11" t="s">
        <v>44</v>
      </c>
      <c r="C550" s="9">
        <v>10</v>
      </c>
      <c r="D550" s="8">
        <v>9200</v>
      </c>
      <c r="E550" s="8">
        <v>89900</v>
      </c>
      <c r="F550" s="13"/>
    </row>
    <row r="551" spans="1:12" ht="21" customHeight="1" x14ac:dyDescent="0.3">
      <c r="A551" s="10"/>
      <c r="B551" s="11" t="s">
        <v>87</v>
      </c>
      <c r="C551" s="9">
        <v>2</v>
      </c>
      <c r="D551" s="8">
        <v>21400</v>
      </c>
      <c r="E551" s="8">
        <v>40880</v>
      </c>
      <c r="F551" s="13"/>
    </row>
    <row r="552" spans="1:12" ht="21" customHeight="1" x14ac:dyDescent="0.3">
      <c r="A552" s="10"/>
      <c r="B552" s="11" t="s">
        <v>36</v>
      </c>
      <c r="C552" s="9">
        <v>2</v>
      </c>
      <c r="D552" s="8">
        <v>15525</v>
      </c>
      <c r="E552" s="8">
        <v>29800</v>
      </c>
      <c r="F552" s="13"/>
    </row>
    <row r="553" spans="1:12" ht="21" customHeight="1" x14ac:dyDescent="0.3">
      <c r="A553" s="10"/>
      <c r="B553" s="11" t="s">
        <v>65</v>
      </c>
      <c r="C553" s="9">
        <v>2</v>
      </c>
      <c r="D553" s="8">
        <v>11910</v>
      </c>
      <c r="E553" s="8">
        <v>22630</v>
      </c>
      <c r="F553" s="13"/>
    </row>
    <row r="554" spans="1:12" ht="21" customHeight="1" x14ac:dyDescent="0.3">
      <c r="A554" s="10"/>
      <c r="B554" s="11" t="s">
        <v>45</v>
      </c>
      <c r="C554" s="9">
        <v>3</v>
      </c>
      <c r="D554" s="8">
        <v>13335</v>
      </c>
      <c r="E554" s="8">
        <v>38240</v>
      </c>
      <c r="F554" s="13"/>
    </row>
    <row r="555" spans="1:12" ht="21" customHeight="1" x14ac:dyDescent="0.3">
      <c r="A555" s="10"/>
      <c r="B555" s="11" t="s">
        <v>37</v>
      </c>
      <c r="C555" s="9">
        <v>2</v>
      </c>
      <c r="D555" s="8">
        <v>8880</v>
      </c>
      <c r="E555" s="8">
        <v>17050</v>
      </c>
      <c r="F555" s="13"/>
    </row>
    <row r="556" spans="1:12" ht="21" customHeight="1" x14ac:dyDescent="0.3">
      <c r="A556" s="10"/>
      <c r="B556" s="11" t="s">
        <v>70</v>
      </c>
      <c r="C556" s="9">
        <v>1</v>
      </c>
      <c r="D556" s="8">
        <v>13460</v>
      </c>
      <c r="E556" s="8">
        <v>12855</v>
      </c>
      <c r="F556" s="13"/>
    </row>
    <row r="557" spans="1:12" ht="21" customHeight="1" x14ac:dyDescent="0.3">
      <c r="A557" s="10"/>
      <c r="B557" s="11" t="s">
        <v>93</v>
      </c>
      <c r="C557" s="9">
        <v>1</v>
      </c>
      <c r="D557" s="8">
        <v>11415</v>
      </c>
      <c r="E557" s="8">
        <v>11130</v>
      </c>
      <c r="F557" s="13"/>
    </row>
    <row r="558" spans="1:12" ht="21" customHeight="1" x14ac:dyDescent="0.3">
      <c r="A558" s="10"/>
      <c r="B558" s="11" t="s">
        <v>101</v>
      </c>
      <c r="C558" s="9">
        <v>2</v>
      </c>
      <c r="D558" s="8">
        <v>13020</v>
      </c>
      <c r="E558" s="8">
        <v>25840</v>
      </c>
      <c r="F558" s="13"/>
    </row>
    <row r="559" spans="1:12" ht="21" customHeight="1" x14ac:dyDescent="0.3">
      <c r="A559" s="10"/>
      <c r="B559" s="11" t="s">
        <v>69</v>
      </c>
      <c r="C559" s="9">
        <v>1</v>
      </c>
      <c r="D559" s="8">
        <v>14450</v>
      </c>
      <c r="E559" s="8">
        <v>13780</v>
      </c>
      <c r="F559" s="13"/>
    </row>
    <row r="560" spans="1:12" ht="21" customHeight="1" x14ac:dyDescent="0.3">
      <c r="A560" s="10"/>
      <c r="B560" s="11" t="s">
        <v>38</v>
      </c>
      <c r="C560" s="9">
        <v>25</v>
      </c>
      <c r="D560" s="8">
        <v>1800</v>
      </c>
      <c r="E560" s="8">
        <v>37500</v>
      </c>
      <c r="F560" s="13"/>
    </row>
    <row r="561" spans="1:12" ht="21" customHeight="1" x14ac:dyDescent="0.3">
      <c r="A561" s="10"/>
      <c r="B561" s="11" t="s">
        <v>148</v>
      </c>
      <c r="C561" s="9">
        <v>5</v>
      </c>
      <c r="D561" s="8">
        <v>2000</v>
      </c>
      <c r="E561" s="9">
        <v>689</v>
      </c>
      <c r="F561" s="13"/>
    </row>
    <row r="562" spans="1:12" ht="21" customHeight="1" x14ac:dyDescent="0.3">
      <c r="A562" s="10"/>
      <c r="B562" s="14"/>
      <c r="C562" s="15"/>
      <c r="D562" s="15"/>
      <c r="E562" s="15"/>
      <c r="F562" s="14"/>
    </row>
    <row r="563" spans="1:12" ht="21" customHeight="1" x14ac:dyDescent="0.3">
      <c r="A563" s="16">
        <v>46212</v>
      </c>
      <c r="B563" s="6" t="s">
        <v>29</v>
      </c>
      <c r="C563" s="7" t="s">
        <v>186</v>
      </c>
      <c r="D563" s="6"/>
      <c r="E563" s="8">
        <v>76675</v>
      </c>
      <c r="F563" s="8">
        <v>76675</v>
      </c>
      <c r="G563" s="9">
        <v>0</v>
      </c>
      <c r="H563" s="8">
        <v>76675</v>
      </c>
      <c r="I563" s="8">
        <v>64423</v>
      </c>
      <c r="J563" s="8">
        <v>12252</v>
      </c>
      <c r="K563" s="9">
        <v>16</v>
      </c>
      <c r="L563" s="6"/>
    </row>
    <row r="564" spans="1:12" ht="21" customHeight="1" x14ac:dyDescent="0.3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1:12" ht="21" customHeight="1" x14ac:dyDescent="0.3">
      <c r="A565" s="10"/>
      <c r="B565" s="11" t="s">
        <v>45</v>
      </c>
      <c r="C565" s="9">
        <v>5</v>
      </c>
      <c r="D565" s="8">
        <v>13335</v>
      </c>
      <c r="E565" s="8">
        <v>63734</v>
      </c>
      <c r="F565" s="13"/>
    </row>
    <row r="566" spans="1:12" ht="21" customHeight="1" x14ac:dyDescent="0.3">
      <c r="A566" s="10"/>
      <c r="B566" s="11" t="s">
        <v>148</v>
      </c>
      <c r="C566" s="9">
        <v>5</v>
      </c>
      <c r="D566" s="8">
        <v>2000</v>
      </c>
      <c r="E566" s="9">
        <v>689</v>
      </c>
      <c r="F566" s="13"/>
    </row>
    <row r="567" spans="1:12" ht="21" customHeight="1" x14ac:dyDescent="0.3">
      <c r="A567" s="10"/>
      <c r="B567" s="14"/>
      <c r="C567" s="15"/>
      <c r="D567" s="15"/>
      <c r="E567" s="15"/>
      <c r="F567" s="14"/>
    </row>
    <row r="568" spans="1:12" ht="21" customHeight="1" x14ac:dyDescent="0.3">
      <c r="A568" s="16">
        <v>46212</v>
      </c>
      <c r="B568" s="6" t="s">
        <v>29</v>
      </c>
      <c r="C568" s="7" t="s">
        <v>187</v>
      </c>
      <c r="D568" s="6"/>
      <c r="E568" s="8">
        <v>101635</v>
      </c>
      <c r="F568" s="8">
        <v>101635</v>
      </c>
      <c r="G568" s="9">
        <v>0</v>
      </c>
      <c r="H568" s="8">
        <v>101635</v>
      </c>
      <c r="I568" s="8">
        <v>94995</v>
      </c>
      <c r="J568" s="8">
        <v>6640</v>
      </c>
      <c r="K568" s="9">
        <v>7</v>
      </c>
      <c r="L568" s="6"/>
    </row>
    <row r="569" spans="1:12" ht="21" customHeight="1" x14ac:dyDescent="0.3">
      <c r="A569" s="10"/>
      <c r="B569" s="3" t="s">
        <v>17</v>
      </c>
      <c r="C569" s="4" t="s">
        <v>18</v>
      </c>
      <c r="D569" s="4" t="s">
        <v>19</v>
      </c>
      <c r="E569" s="4" t="s">
        <v>11</v>
      </c>
      <c r="F569" s="3" t="s">
        <v>20</v>
      </c>
    </row>
    <row r="570" spans="1:12" ht="21" customHeight="1" x14ac:dyDescent="0.3">
      <c r="A570" s="10"/>
      <c r="B570" s="11" t="s">
        <v>65</v>
      </c>
      <c r="C570" s="9">
        <v>2</v>
      </c>
      <c r="D570" s="8">
        <v>11910</v>
      </c>
      <c r="E570" s="8">
        <v>22630</v>
      </c>
      <c r="F570" s="13"/>
    </row>
    <row r="571" spans="1:12" ht="21" customHeight="1" x14ac:dyDescent="0.3">
      <c r="A571" s="10"/>
      <c r="B571" s="11" t="s">
        <v>37</v>
      </c>
      <c r="C571" s="9">
        <v>1</v>
      </c>
      <c r="D571" s="8">
        <v>8880</v>
      </c>
      <c r="E571" s="8">
        <v>8525</v>
      </c>
      <c r="F571" s="13"/>
    </row>
    <row r="572" spans="1:12" ht="21" customHeight="1" x14ac:dyDescent="0.3">
      <c r="A572" s="10"/>
      <c r="B572" s="11" t="s">
        <v>44</v>
      </c>
      <c r="C572" s="9">
        <v>2</v>
      </c>
      <c r="D572" s="8">
        <v>9200</v>
      </c>
      <c r="E572" s="8">
        <v>17980</v>
      </c>
      <c r="F572" s="13"/>
    </row>
    <row r="573" spans="1:12" ht="21" customHeight="1" x14ac:dyDescent="0.3">
      <c r="A573" s="10"/>
      <c r="B573" s="11" t="s">
        <v>45</v>
      </c>
      <c r="C573" s="9">
        <v>1</v>
      </c>
      <c r="D573" s="8">
        <v>13335</v>
      </c>
      <c r="E573" s="8">
        <v>12747</v>
      </c>
      <c r="F573" s="13"/>
    </row>
    <row r="574" spans="1:12" ht="21" customHeight="1" x14ac:dyDescent="0.3">
      <c r="A574" s="10"/>
      <c r="B574" s="11" t="s">
        <v>22</v>
      </c>
      <c r="C574" s="9">
        <v>2</v>
      </c>
      <c r="D574" s="8">
        <v>8800</v>
      </c>
      <c r="E574" s="8">
        <v>17275</v>
      </c>
      <c r="F574" s="13"/>
    </row>
    <row r="575" spans="1:12" ht="21" customHeight="1" x14ac:dyDescent="0.3">
      <c r="A575" s="10"/>
      <c r="B575" s="11" t="s">
        <v>24</v>
      </c>
      <c r="C575" s="9">
        <v>1</v>
      </c>
      <c r="D575" s="8">
        <v>5000</v>
      </c>
      <c r="E575" s="8">
        <v>5200</v>
      </c>
      <c r="F575" s="13"/>
    </row>
    <row r="576" spans="1:12" ht="21" customHeight="1" x14ac:dyDescent="0.3">
      <c r="A576" s="10"/>
      <c r="B576" s="11" t="s">
        <v>38</v>
      </c>
      <c r="C576" s="9">
        <v>7</v>
      </c>
      <c r="D576" s="8">
        <v>1800</v>
      </c>
      <c r="E576" s="8">
        <v>10500</v>
      </c>
      <c r="F576" s="13"/>
    </row>
    <row r="577" spans="1:12" ht="21" customHeight="1" x14ac:dyDescent="0.3">
      <c r="A577" s="10"/>
      <c r="B577" s="11" t="s">
        <v>148</v>
      </c>
      <c r="C577" s="9">
        <v>1</v>
      </c>
      <c r="D577" s="8">
        <v>2000</v>
      </c>
      <c r="E577" s="9">
        <v>138</v>
      </c>
      <c r="F577" s="13"/>
    </row>
    <row r="578" spans="1:12" ht="21" customHeight="1" x14ac:dyDescent="0.3">
      <c r="A578" s="10"/>
      <c r="B578" s="14"/>
      <c r="C578" s="15"/>
      <c r="D578" s="15"/>
      <c r="E578" s="15"/>
      <c r="F578" s="14"/>
    </row>
    <row r="579" spans="1:12" ht="21" customHeight="1" x14ac:dyDescent="0.3">
      <c r="A579" s="16">
        <v>46212</v>
      </c>
      <c r="B579" s="6" t="s">
        <v>122</v>
      </c>
      <c r="C579" s="7" t="s">
        <v>188</v>
      </c>
      <c r="D579" s="6"/>
      <c r="E579" s="8">
        <v>23800</v>
      </c>
      <c r="F579" s="8">
        <v>23800</v>
      </c>
      <c r="G579" s="9">
        <v>0</v>
      </c>
      <c r="H579" s="8">
        <v>23800</v>
      </c>
      <c r="I579" s="8">
        <v>21959</v>
      </c>
      <c r="J579" s="8">
        <v>1841</v>
      </c>
      <c r="K579" s="9">
        <v>8</v>
      </c>
      <c r="L579" s="6"/>
    </row>
    <row r="580" spans="1:12" ht="21" customHeight="1" x14ac:dyDescent="0.3">
      <c r="A580" s="10"/>
      <c r="B580" s="3" t="s">
        <v>17</v>
      </c>
      <c r="C580" s="4" t="s">
        <v>18</v>
      </c>
      <c r="D580" s="4" t="s">
        <v>19</v>
      </c>
      <c r="E580" s="4" t="s">
        <v>11</v>
      </c>
      <c r="F580" s="3" t="s">
        <v>20</v>
      </c>
    </row>
    <row r="581" spans="1:12" ht="21" customHeight="1" x14ac:dyDescent="0.3">
      <c r="A581" s="10"/>
      <c r="B581" s="11" t="s">
        <v>22</v>
      </c>
      <c r="C581" s="9">
        <v>1</v>
      </c>
      <c r="D581" s="8">
        <v>9500</v>
      </c>
      <c r="E581" s="8">
        <v>8637</v>
      </c>
      <c r="F581" s="13"/>
    </row>
    <row r="582" spans="1:12" ht="21" customHeight="1" x14ac:dyDescent="0.3">
      <c r="A582" s="10"/>
      <c r="B582" s="11" t="s">
        <v>21</v>
      </c>
      <c r="C582" s="9">
        <v>1</v>
      </c>
      <c r="D582" s="8">
        <v>9000</v>
      </c>
      <c r="E582" s="8">
        <v>8122</v>
      </c>
      <c r="F582" s="13"/>
    </row>
    <row r="583" spans="1:12" ht="21" customHeight="1" x14ac:dyDescent="0.3">
      <c r="A583" s="10"/>
      <c r="B583" s="11" t="s">
        <v>24</v>
      </c>
      <c r="C583" s="9">
        <v>1</v>
      </c>
      <c r="D583" s="8">
        <v>5300</v>
      </c>
      <c r="E583" s="8">
        <v>5200</v>
      </c>
      <c r="F583" s="13"/>
    </row>
    <row r="584" spans="1:12" ht="21" customHeight="1" x14ac:dyDescent="0.3">
      <c r="A584" s="10"/>
      <c r="B584" s="14"/>
      <c r="C584" s="15"/>
      <c r="D584" s="15"/>
      <c r="E584" s="15"/>
      <c r="F584" s="14"/>
    </row>
    <row r="585" spans="1:12" ht="21" customHeight="1" x14ac:dyDescent="0.3">
      <c r="A585" s="26">
        <v>46213</v>
      </c>
      <c r="B585" s="6" t="s">
        <v>104</v>
      </c>
      <c r="C585" s="7" t="s">
        <v>189</v>
      </c>
      <c r="D585" s="6"/>
      <c r="E585" s="8">
        <v>284450</v>
      </c>
      <c r="F585" s="8">
        <v>284450</v>
      </c>
      <c r="G585" s="9">
        <v>0</v>
      </c>
      <c r="H585" s="8">
        <v>284450</v>
      </c>
      <c r="I585" s="8">
        <v>259300</v>
      </c>
      <c r="J585" s="8">
        <v>25150</v>
      </c>
      <c r="K585" s="9">
        <v>9</v>
      </c>
      <c r="L585" s="6"/>
    </row>
    <row r="586" spans="1:12" ht="21" customHeight="1" x14ac:dyDescent="0.3">
      <c r="A586" s="10"/>
      <c r="B586" s="3" t="s">
        <v>17</v>
      </c>
      <c r="C586" s="4" t="s">
        <v>18</v>
      </c>
      <c r="D586" s="4" t="s">
        <v>19</v>
      </c>
      <c r="E586" s="4" t="s">
        <v>11</v>
      </c>
      <c r="F586" s="3" t="s">
        <v>20</v>
      </c>
    </row>
    <row r="587" spans="1:12" ht="21" customHeight="1" x14ac:dyDescent="0.3">
      <c r="A587" s="10"/>
      <c r="B587" s="11" t="s">
        <v>190</v>
      </c>
      <c r="C587" s="9">
        <v>10</v>
      </c>
      <c r="D587" s="8">
        <v>28445</v>
      </c>
      <c r="E587" s="8">
        <v>259300</v>
      </c>
      <c r="F587" s="13"/>
    </row>
    <row r="588" spans="1:12" ht="21" customHeight="1" x14ac:dyDescent="0.3">
      <c r="A588" s="10"/>
      <c r="B588" s="14"/>
      <c r="C588" s="15"/>
      <c r="D588" s="15"/>
      <c r="E588" s="15"/>
      <c r="F588" s="14"/>
    </row>
    <row r="589" spans="1:12" ht="21" customHeight="1" x14ac:dyDescent="0.3">
      <c r="A589" s="16">
        <v>46213</v>
      </c>
      <c r="B589" s="6" t="s">
        <v>25</v>
      </c>
      <c r="C589" s="7" t="s">
        <v>191</v>
      </c>
      <c r="D589" s="6"/>
      <c r="E589" s="8">
        <v>1000000</v>
      </c>
      <c r="F589" s="8">
        <v>1000000</v>
      </c>
      <c r="G589" s="9">
        <v>0</v>
      </c>
      <c r="H589" s="8">
        <v>1000000</v>
      </c>
      <c r="I589" s="8">
        <v>1040000</v>
      </c>
      <c r="J589" s="8">
        <v>-40000</v>
      </c>
      <c r="K589" s="9">
        <v>-4</v>
      </c>
      <c r="L589" s="6"/>
    </row>
    <row r="590" spans="1:12" ht="21" customHeight="1" x14ac:dyDescent="0.3">
      <c r="A590" s="10"/>
      <c r="B590" s="3" t="s">
        <v>17</v>
      </c>
      <c r="C590" s="4" t="s">
        <v>18</v>
      </c>
      <c r="D590" s="4" t="s">
        <v>19</v>
      </c>
      <c r="E590" s="4" t="s">
        <v>11</v>
      </c>
      <c r="F590" s="3" t="s">
        <v>20</v>
      </c>
    </row>
    <row r="591" spans="1:12" ht="21" customHeight="1" x14ac:dyDescent="0.3">
      <c r="A591" s="10"/>
      <c r="B591" s="11" t="s">
        <v>24</v>
      </c>
      <c r="C591" s="9">
        <v>200</v>
      </c>
      <c r="D591" s="8">
        <v>5000</v>
      </c>
      <c r="E591" s="8">
        <v>1040000</v>
      </c>
      <c r="F591" s="13"/>
    </row>
    <row r="592" spans="1:12" ht="21" customHeight="1" x14ac:dyDescent="0.3">
      <c r="A592" s="10"/>
      <c r="B592" s="14"/>
      <c r="C592" s="15"/>
      <c r="D592" s="15"/>
      <c r="E592" s="15"/>
      <c r="F592" s="14"/>
    </row>
    <row r="593" spans="1:12" ht="21" customHeight="1" x14ac:dyDescent="0.3">
      <c r="A593" s="16">
        <v>46213</v>
      </c>
      <c r="B593" s="6" t="s">
        <v>29</v>
      </c>
      <c r="C593" s="7" t="s">
        <v>192</v>
      </c>
      <c r="D593" s="6"/>
      <c r="E593" s="8">
        <v>115415</v>
      </c>
      <c r="F593" s="8">
        <v>115415</v>
      </c>
      <c r="G593" s="9">
        <v>0</v>
      </c>
      <c r="H593" s="8">
        <v>115415</v>
      </c>
      <c r="I593" s="8">
        <v>108409</v>
      </c>
      <c r="J593" s="8">
        <v>7006</v>
      </c>
      <c r="K593" s="9">
        <v>6</v>
      </c>
      <c r="L593" s="6"/>
    </row>
    <row r="594" spans="1:12" ht="21" customHeight="1" x14ac:dyDescent="0.3">
      <c r="A594" s="10"/>
      <c r="B594" s="3" t="s">
        <v>17</v>
      </c>
      <c r="C594" s="4" t="s">
        <v>18</v>
      </c>
      <c r="D594" s="4" t="s">
        <v>19</v>
      </c>
      <c r="E594" s="4" t="s">
        <v>11</v>
      </c>
      <c r="F594" s="3" t="s">
        <v>20</v>
      </c>
    </row>
    <row r="595" spans="1:12" ht="21" customHeight="1" x14ac:dyDescent="0.3">
      <c r="A595" s="10"/>
      <c r="B595" s="11" t="s">
        <v>150</v>
      </c>
      <c r="C595" s="9">
        <v>5</v>
      </c>
      <c r="D595" s="8">
        <v>10315</v>
      </c>
      <c r="E595" s="8">
        <v>49625</v>
      </c>
      <c r="F595" s="13"/>
    </row>
    <row r="596" spans="1:12" ht="21" customHeight="1" x14ac:dyDescent="0.3">
      <c r="A596" s="10"/>
      <c r="B596" s="11" t="s">
        <v>65</v>
      </c>
      <c r="C596" s="9">
        <v>4</v>
      </c>
      <c r="D596" s="8">
        <v>11910</v>
      </c>
      <c r="E596" s="8">
        <v>45260</v>
      </c>
      <c r="F596" s="13"/>
    </row>
    <row r="597" spans="1:12" ht="21" customHeight="1" x14ac:dyDescent="0.3">
      <c r="A597" s="10"/>
      <c r="B597" s="11" t="s">
        <v>38</v>
      </c>
      <c r="C597" s="9">
        <v>9</v>
      </c>
      <c r="D597" s="8">
        <v>1800</v>
      </c>
      <c r="E597" s="8">
        <v>13524</v>
      </c>
      <c r="F597" s="13"/>
    </row>
    <row r="598" spans="1:12" ht="21" customHeight="1" x14ac:dyDescent="0.3">
      <c r="A598" s="10"/>
      <c r="B598" s="14"/>
      <c r="C598" s="15"/>
      <c r="D598" s="15"/>
      <c r="E598" s="15"/>
      <c r="F598" s="14"/>
    </row>
    <row r="599" spans="1:12" ht="21" customHeight="1" x14ac:dyDescent="0.3">
      <c r="A599" s="16">
        <v>46213</v>
      </c>
      <c r="B599" s="6" t="s">
        <v>81</v>
      </c>
      <c r="C599" s="7" t="s">
        <v>193</v>
      </c>
      <c r="D599" s="6"/>
      <c r="E599" s="8">
        <v>55950</v>
      </c>
      <c r="F599" s="8">
        <v>55950</v>
      </c>
      <c r="G599" s="9">
        <v>0</v>
      </c>
      <c r="H599" s="8">
        <v>55950</v>
      </c>
      <c r="I599" s="8">
        <v>53009</v>
      </c>
      <c r="J599" s="8">
        <v>2941</v>
      </c>
      <c r="K599" s="9">
        <v>5</v>
      </c>
      <c r="L599" s="6"/>
    </row>
    <row r="600" spans="1:12" ht="21" customHeight="1" x14ac:dyDescent="0.3">
      <c r="A600" s="10"/>
      <c r="B600" s="3" t="s">
        <v>17</v>
      </c>
      <c r="C600" s="4" t="s">
        <v>18</v>
      </c>
      <c r="D600" s="4" t="s">
        <v>19</v>
      </c>
      <c r="E600" s="4" t="s">
        <v>11</v>
      </c>
      <c r="F600" s="3" t="s">
        <v>20</v>
      </c>
    </row>
    <row r="601" spans="1:12" ht="21" customHeight="1" x14ac:dyDescent="0.3">
      <c r="A601" s="10"/>
      <c r="B601" s="11" t="s">
        <v>45</v>
      </c>
      <c r="C601" s="9">
        <v>1</v>
      </c>
      <c r="D601" s="8">
        <v>13335</v>
      </c>
      <c r="E601" s="8">
        <v>12747</v>
      </c>
      <c r="F601" s="13"/>
    </row>
    <row r="602" spans="1:12" ht="21" customHeight="1" x14ac:dyDescent="0.3">
      <c r="A602" s="10"/>
      <c r="B602" s="11" t="s">
        <v>22</v>
      </c>
      <c r="C602" s="9">
        <v>1</v>
      </c>
      <c r="D602" s="8">
        <v>9200</v>
      </c>
      <c r="E602" s="8">
        <v>8637</v>
      </c>
      <c r="F602" s="13"/>
    </row>
    <row r="603" spans="1:12" ht="21" customHeight="1" x14ac:dyDescent="0.3">
      <c r="A603" s="10"/>
      <c r="B603" s="11" t="s">
        <v>43</v>
      </c>
      <c r="C603" s="9">
        <v>1</v>
      </c>
      <c r="D603" s="8">
        <v>18300</v>
      </c>
      <c r="E603" s="8">
        <v>17150</v>
      </c>
      <c r="F603" s="13"/>
    </row>
    <row r="604" spans="1:12" ht="21" customHeight="1" x14ac:dyDescent="0.3">
      <c r="A604" s="10"/>
      <c r="B604" s="11" t="s">
        <v>113</v>
      </c>
      <c r="C604" s="9">
        <v>1</v>
      </c>
      <c r="D604" s="8">
        <v>15115</v>
      </c>
      <c r="E604" s="8">
        <v>14475</v>
      </c>
      <c r="F604" s="13"/>
    </row>
    <row r="605" spans="1:12" ht="21" customHeight="1" x14ac:dyDescent="0.3">
      <c r="A605" s="10"/>
      <c r="B605" s="14"/>
      <c r="C605" s="15"/>
      <c r="D605" s="15"/>
      <c r="E605" s="15"/>
      <c r="F605" s="14"/>
    </row>
    <row r="606" spans="1:12" ht="21" customHeight="1" x14ac:dyDescent="0.3">
      <c r="A606" s="16">
        <v>46213</v>
      </c>
      <c r="B606" s="6" t="s">
        <v>163</v>
      </c>
      <c r="C606" s="7" t="s">
        <v>194</v>
      </c>
      <c r="D606" s="6"/>
      <c r="E606" s="8">
        <v>61125</v>
      </c>
      <c r="F606" s="8">
        <v>61125</v>
      </c>
      <c r="G606" s="9">
        <v>0</v>
      </c>
      <c r="H606" s="8">
        <v>61125</v>
      </c>
      <c r="I606" s="8">
        <v>58500</v>
      </c>
      <c r="J606" s="8">
        <v>2625</v>
      </c>
      <c r="K606" s="9">
        <v>4</v>
      </c>
      <c r="L606" s="6"/>
    </row>
    <row r="607" spans="1:12" ht="21" customHeight="1" x14ac:dyDescent="0.3">
      <c r="A607" s="10"/>
      <c r="B607" s="3" t="s">
        <v>17</v>
      </c>
      <c r="C607" s="4" t="s">
        <v>18</v>
      </c>
      <c r="D607" s="4" t="s">
        <v>19</v>
      </c>
      <c r="E607" s="4" t="s">
        <v>11</v>
      </c>
      <c r="F607" s="3" t="s">
        <v>20</v>
      </c>
    </row>
    <row r="608" spans="1:12" ht="21" customHeight="1" x14ac:dyDescent="0.3">
      <c r="A608" s="10"/>
      <c r="B608" s="11" t="s">
        <v>141</v>
      </c>
      <c r="C608" s="9">
        <v>3</v>
      </c>
      <c r="D608" s="8">
        <v>14145</v>
      </c>
      <c r="E608" s="8">
        <v>40560</v>
      </c>
      <c r="F608" s="13"/>
    </row>
    <row r="609" spans="1:12" ht="21" customHeight="1" x14ac:dyDescent="0.3">
      <c r="A609" s="10"/>
      <c r="B609" s="11" t="s">
        <v>80</v>
      </c>
      <c r="C609" s="9">
        <v>2</v>
      </c>
      <c r="D609" s="8">
        <v>9345</v>
      </c>
      <c r="E609" s="8">
        <v>17940</v>
      </c>
      <c r="F609" s="13"/>
    </row>
    <row r="610" spans="1:12" ht="21" customHeight="1" x14ac:dyDescent="0.3">
      <c r="A610" s="10"/>
      <c r="B610" s="14"/>
      <c r="C610" s="15"/>
      <c r="D610" s="15"/>
      <c r="E610" s="15"/>
      <c r="F610" s="14"/>
    </row>
    <row r="611" spans="1:12" ht="21" customHeight="1" x14ac:dyDescent="0.3">
      <c r="A611" s="16">
        <v>46213</v>
      </c>
      <c r="B611" s="6" t="s">
        <v>15</v>
      </c>
      <c r="C611" s="7" t="s">
        <v>195</v>
      </c>
      <c r="D611" s="6"/>
      <c r="E611" s="8">
        <v>22600</v>
      </c>
      <c r="F611" s="8">
        <v>22600</v>
      </c>
      <c r="G611" s="9">
        <v>0</v>
      </c>
      <c r="H611" s="8">
        <v>22600</v>
      </c>
      <c r="I611" s="8">
        <v>20280</v>
      </c>
      <c r="J611" s="8">
        <v>2320</v>
      </c>
      <c r="K611" s="9">
        <v>10</v>
      </c>
      <c r="L611" s="6" t="s">
        <v>196</v>
      </c>
    </row>
    <row r="612" spans="1:12" ht="21" customHeight="1" x14ac:dyDescent="0.3">
      <c r="A612" s="10"/>
      <c r="B612" s="3" t="s">
        <v>17</v>
      </c>
      <c r="C612" s="4" t="s">
        <v>18</v>
      </c>
      <c r="D612" s="4" t="s">
        <v>19</v>
      </c>
      <c r="E612" s="4" t="s">
        <v>11</v>
      </c>
      <c r="F612" s="3" t="s">
        <v>20</v>
      </c>
    </row>
    <row r="613" spans="1:12" ht="21" customHeight="1" x14ac:dyDescent="0.3">
      <c r="A613" s="10"/>
      <c r="B613" s="11" t="s">
        <v>22</v>
      </c>
      <c r="C613" s="9">
        <v>2</v>
      </c>
      <c r="D613" s="8">
        <v>9500</v>
      </c>
      <c r="E613" s="8">
        <v>17275</v>
      </c>
      <c r="F613" s="13"/>
    </row>
    <row r="614" spans="1:12" ht="21" customHeight="1" x14ac:dyDescent="0.3">
      <c r="A614" s="10"/>
      <c r="B614" s="11" t="s">
        <v>38</v>
      </c>
      <c r="C614" s="9">
        <v>2</v>
      </c>
      <c r="D614" s="8">
        <v>1800</v>
      </c>
      <c r="E614" s="8">
        <v>3005</v>
      </c>
      <c r="F614" s="13"/>
    </row>
    <row r="615" spans="1:12" ht="21" customHeight="1" x14ac:dyDescent="0.3">
      <c r="A615" s="10"/>
      <c r="B615" s="14"/>
      <c r="C615" s="15"/>
      <c r="D615" s="15"/>
      <c r="E615" s="15"/>
      <c r="F615" s="14"/>
    </row>
    <row r="616" spans="1:12" ht="21" customHeight="1" x14ac:dyDescent="0.3">
      <c r="A616" s="16">
        <v>46213</v>
      </c>
      <c r="B616" s="6" t="s">
        <v>15</v>
      </c>
      <c r="C616" s="7" t="s">
        <v>197</v>
      </c>
      <c r="D616" s="6"/>
      <c r="E616" s="8">
        <v>9500</v>
      </c>
      <c r="F616" s="8">
        <v>9500</v>
      </c>
      <c r="G616" s="9">
        <v>0</v>
      </c>
      <c r="H616" s="8">
        <v>9500</v>
      </c>
      <c r="I616" s="8">
        <v>8637</v>
      </c>
      <c r="J616" s="9">
        <v>863</v>
      </c>
      <c r="K616" s="9">
        <v>9</v>
      </c>
      <c r="L616" s="6"/>
    </row>
    <row r="617" spans="1:12" ht="21" customHeight="1" x14ac:dyDescent="0.3">
      <c r="A617" s="10"/>
      <c r="B617" s="3" t="s">
        <v>17</v>
      </c>
      <c r="C617" s="4" t="s">
        <v>18</v>
      </c>
      <c r="D617" s="4" t="s">
        <v>19</v>
      </c>
      <c r="E617" s="4" t="s">
        <v>11</v>
      </c>
      <c r="F617" s="3" t="s">
        <v>20</v>
      </c>
    </row>
    <row r="618" spans="1:12" ht="21" customHeight="1" x14ac:dyDescent="0.3">
      <c r="A618" s="10"/>
      <c r="B618" s="11" t="s">
        <v>22</v>
      </c>
      <c r="C618" s="9">
        <v>1</v>
      </c>
      <c r="D618" s="8">
        <v>9500</v>
      </c>
      <c r="E618" s="8">
        <v>8637</v>
      </c>
      <c r="F618" s="13"/>
    </row>
    <row r="619" spans="1:12" ht="21" customHeight="1" x14ac:dyDescent="0.3">
      <c r="A619" s="10"/>
      <c r="B619" s="14"/>
      <c r="C619" s="15"/>
      <c r="D619" s="15"/>
      <c r="E619" s="15"/>
      <c r="F619" s="14"/>
    </row>
    <row r="620" spans="1:12" ht="21" customHeight="1" x14ac:dyDescent="0.3">
      <c r="A620" s="27">
        <v>46214</v>
      </c>
      <c r="B620" s="6" t="s">
        <v>102</v>
      </c>
      <c r="C620" s="7" t="s">
        <v>198</v>
      </c>
      <c r="D620" s="6"/>
      <c r="E620" s="8">
        <v>56000</v>
      </c>
      <c r="F620" s="8">
        <v>56000</v>
      </c>
      <c r="G620" s="9">
        <v>0</v>
      </c>
      <c r="H620" s="8">
        <v>56000</v>
      </c>
      <c r="I620" s="8">
        <v>51146</v>
      </c>
      <c r="J620" s="8">
        <v>4854</v>
      </c>
      <c r="K620" s="9">
        <v>9</v>
      </c>
      <c r="L620" s="6"/>
    </row>
    <row r="621" spans="1:12" ht="21" customHeight="1" x14ac:dyDescent="0.3">
      <c r="A621" s="10"/>
      <c r="B621" s="3" t="s">
        <v>17</v>
      </c>
      <c r="C621" s="4" t="s">
        <v>18</v>
      </c>
      <c r="D621" s="4" t="s">
        <v>19</v>
      </c>
      <c r="E621" s="4" t="s">
        <v>11</v>
      </c>
      <c r="F621" s="3" t="s">
        <v>20</v>
      </c>
    </row>
    <row r="622" spans="1:12" ht="21" customHeight="1" x14ac:dyDescent="0.3">
      <c r="A622" s="10"/>
      <c r="B622" s="11" t="s">
        <v>21</v>
      </c>
      <c r="C622" s="9">
        <v>2</v>
      </c>
      <c r="D622" s="8">
        <v>9000</v>
      </c>
      <c r="E622" s="8">
        <v>16244</v>
      </c>
      <c r="F622" s="13"/>
    </row>
    <row r="623" spans="1:12" ht="21" customHeight="1" x14ac:dyDescent="0.3">
      <c r="A623" s="10"/>
      <c r="B623" s="11" t="s">
        <v>22</v>
      </c>
      <c r="C623" s="9">
        <v>3</v>
      </c>
      <c r="D623" s="8">
        <v>9500</v>
      </c>
      <c r="E623" s="8">
        <v>25912</v>
      </c>
      <c r="F623" s="13"/>
    </row>
    <row r="624" spans="1:12" ht="21" customHeight="1" x14ac:dyDescent="0.3">
      <c r="A624" s="10"/>
      <c r="B624" s="11" t="s">
        <v>44</v>
      </c>
      <c r="C624" s="9">
        <v>1</v>
      </c>
      <c r="D624" s="8">
        <v>9500</v>
      </c>
      <c r="E624" s="8">
        <v>8990</v>
      </c>
      <c r="F624" s="13"/>
    </row>
    <row r="625" spans="1:12" ht="21" customHeight="1" x14ac:dyDescent="0.3">
      <c r="A625" s="10"/>
      <c r="B625" s="14"/>
      <c r="C625" s="15"/>
      <c r="D625" s="15"/>
      <c r="E625" s="15"/>
      <c r="F625" s="14"/>
    </row>
    <row r="626" spans="1:12" ht="21" customHeight="1" x14ac:dyDescent="0.3">
      <c r="A626" s="16">
        <v>46214</v>
      </c>
      <c r="B626" s="6" t="s">
        <v>15</v>
      </c>
      <c r="C626" s="7" t="s">
        <v>199</v>
      </c>
      <c r="D626" s="6"/>
      <c r="E626" s="8">
        <v>16140</v>
      </c>
      <c r="F626" s="8">
        <v>16140</v>
      </c>
      <c r="G626" s="9">
        <v>0</v>
      </c>
      <c r="H626" s="8">
        <v>16140</v>
      </c>
      <c r="I626" s="8">
        <v>14900</v>
      </c>
      <c r="J626" s="8">
        <v>1240</v>
      </c>
      <c r="K626" s="9">
        <v>8</v>
      </c>
      <c r="L626" s="6"/>
    </row>
    <row r="627" spans="1:12" ht="21" customHeight="1" x14ac:dyDescent="0.3">
      <c r="A627" s="10"/>
      <c r="B627" s="3" t="s">
        <v>17</v>
      </c>
      <c r="C627" s="4" t="s">
        <v>18</v>
      </c>
      <c r="D627" s="4" t="s">
        <v>19</v>
      </c>
      <c r="E627" s="4" t="s">
        <v>11</v>
      </c>
      <c r="F627" s="3" t="s">
        <v>20</v>
      </c>
    </row>
    <row r="628" spans="1:12" ht="21" customHeight="1" x14ac:dyDescent="0.3">
      <c r="A628" s="10"/>
      <c r="B628" s="11" t="s">
        <v>36</v>
      </c>
      <c r="C628" s="9">
        <v>1</v>
      </c>
      <c r="D628" s="8">
        <v>16140</v>
      </c>
      <c r="E628" s="8">
        <v>14900</v>
      </c>
      <c r="F628" s="13"/>
    </row>
    <row r="629" spans="1:12" ht="21" customHeight="1" x14ac:dyDescent="0.3">
      <c r="A629" s="10"/>
      <c r="B629" s="14"/>
      <c r="C629" s="15"/>
      <c r="D629" s="15"/>
      <c r="E629" s="15"/>
      <c r="F629" s="14"/>
    </row>
    <row r="630" spans="1:12" ht="21" customHeight="1" x14ac:dyDescent="0.3">
      <c r="A630" s="16">
        <v>46214</v>
      </c>
      <c r="B630" s="6" t="s">
        <v>95</v>
      </c>
      <c r="C630" s="7" t="s">
        <v>200</v>
      </c>
      <c r="D630" s="6"/>
      <c r="E630" s="8">
        <v>150000</v>
      </c>
      <c r="F630" s="8">
        <v>150000</v>
      </c>
      <c r="G630" s="9">
        <v>0</v>
      </c>
      <c r="H630" s="8">
        <v>150000</v>
      </c>
      <c r="I630" s="8">
        <v>156000</v>
      </c>
      <c r="J630" s="8">
        <v>-6000</v>
      </c>
      <c r="K630" s="9">
        <v>-4</v>
      </c>
      <c r="L630" s="6"/>
    </row>
    <row r="631" spans="1:12" ht="21" customHeight="1" x14ac:dyDescent="0.3">
      <c r="A631" s="10"/>
      <c r="B631" s="3" t="s">
        <v>17</v>
      </c>
      <c r="C631" s="4" t="s">
        <v>18</v>
      </c>
      <c r="D631" s="4" t="s">
        <v>19</v>
      </c>
      <c r="E631" s="4" t="s">
        <v>11</v>
      </c>
      <c r="F631" s="3" t="s">
        <v>20</v>
      </c>
    </row>
    <row r="632" spans="1:12" ht="21" customHeight="1" x14ac:dyDescent="0.3">
      <c r="A632" s="10"/>
      <c r="B632" s="11" t="s">
        <v>24</v>
      </c>
      <c r="C632" s="9">
        <v>30</v>
      </c>
      <c r="D632" s="8">
        <v>5000</v>
      </c>
      <c r="E632" s="8">
        <v>156000</v>
      </c>
      <c r="F632" s="13"/>
    </row>
    <row r="633" spans="1:12" ht="21" customHeight="1" x14ac:dyDescent="0.3">
      <c r="A633" s="10"/>
      <c r="B633" s="14"/>
      <c r="C633" s="15"/>
      <c r="D633" s="15"/>
      <c r="E633" s="15"/>
      <c r="F633" s="14"/>
    </row>
    <row r="634" spans="1:12" ht="21" customHeight="1" x14ac:dyDescent="0.3">
      <c r="A634" s="16">
        <v>46214</v>
      </c>
      <c r="B634" s="6" t="s">
        <v>15</v>
      </c>
      <c r="C634" s="7" t="s">
        <v>201</v>
      </c>
      <c r="D634" s="6"/>
      <c r="E634" s="8">
        <v>15950</v>
      </c>
      <c r="F634" s="8">
        <v>15950</v>
      </c>
      <c r="G634" s="9">
        <v>0</v>
      </c>
      <c r="H634" s="8">
        <v>15950</v>
      </c>
      <c r="I634" s="8">
        <v>12888</v>
      </c>
      <c r="J634" s="8">
        <v>3062</v>
      </c>
      <c r="K634" s="9">
        <v>19</v>
      </c>
      <c r="L634" s="6"/>
    </row>
    <row r="635" spans="1:12" ht="21" customHeight="1" x14ac:dyDescent="0.3">
      <c r="A635" s="10"/>
      <c r="B635" s="3" t="s">
        <v>17</v>
      </c>
      <c r="C635" s="4" t="s">
        <v>18</v>
      </c>
      <c r="D635" s="4" t="s">
        <v>19</v>
      </c>
      <c r="E635" s="4" t="s">
        <v>11</v>
      </c>
      <c r="F635" s="3" t="s">
        <v>20</v>
      </c>
    </row>
    <row r="636" spans="1:12" ht="21" customHeight="1" x14ac:dyDescent="0.3">
      <c r="A636" s="10"/>
      <c r="B636" s="11" t="s">
        <v>45</v>
      </c>
      <c r="C636" s="9">
        <v>1</v>
      </c>
      <c r="D636" s="8">
        <v>13950</v>
      </c>
      <c r="E636" s="8">
        <v>12747</v>
      </c>
      <c r="F636" s="13"/>
    </row>
    <row r="637" spans="1:12" ht="21" customHeight="1" x14ac:dyDescent="0.3">
      <c r="A637" s="10"/>
      <c r="B637" s="11" t="s">
        <v>148</v>
      </c>
      <c r="C637" s="9">
        <v>1</v>
      </c>
      <c r="D637" s="8">
        <v>2000</v>
      </c>
      <c r="E637" s="9">
        <v>141</v>
      </c>
      <c r="F637" s="13"/>
    </row>
    <row r="638" spans="1:12" ht="21" customHeight="1" x14ac:dyDescent="0.3">
      <c r="A638" s="10"/>
      <c r="B638" s="14"/>
      <c r="C638" s="15"/>
      <c r="D638" s="15"/>
      <c r="E638" s="15"/>
      <c r="F638" s="14"/>
    </row>
    <row r="639" spans="1:12" ht="21" customHeight="1" x14ac:dyDescent="0.3">
      <c r="A639" s="16">
        <v>46214</v>
      </c>
      <c r="B639" s="6" t="s">
        <v>106</v>
      </c>
      <c r="C639" s="7" t="s">
        <v>202</v>
      </c>
      <c r="D639" s="6"/>
      <c r="E639" s="8">
        <v>500000</v>
      </c>
      <c r="F639" s="8">
        <v>90000</v>
      </c>
      <c r="G639" s="8">
        <v>410000</v>
      </c>
      <c r="H639" s="8">
        <v>500000</v>
      </c>
      <c r="I639" s="8">
        <v>520000</v>
      </c>
      <c r="J639" s="8">
        <v>-20000</v>
      </c>
      <c r="K639" s="9">
        <v>-4</v>
      </c>
      <c r="L639" s="6"/>
    </row>
    <row r="640" spans="1:12" ht="21" customHeight="1" x14ac:dyDescent="0.3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1:12" ht="21" customHeight="1" x14ac:dyDescent="0.3">
      <c r="A641" s="10"/>
      <c r="B641" s="11" t="s">
        <v>24</v>
      </c>
      <c r="C641" s="9">
        <v>100</v>
      </c>
      <c r="D641" s="8">
        <v>5000</v>
      </c>
      <c r="E641" s="8">
        <v>520000</v>
      </c>
      <c r="F641" s="13"/>
    </row>
    <row r="642" spans="1:12" ht="21" customHeight="1" x14ac:dyDescent="0.3">
      <c r="A642" s="10"/>
      <c r="B642" s="14"/>
      <c r="C642" s="15"/>
      <c r="D642" s="15"/>
      <c r="E642" s="15"/>
      <c r="F642" s="14"/>
    </row>
    <row r="643" spans="1:12" ht="21" customHeight="1" x14ac:dyDescent="0.3">
      <c r="A643" s="16">
        <v>46214</v>
      </c>
      <c r="B643" s="6" t="s">
        <v>85</v>
      </c>
      <c r="C643" s="7" t="s">
        <v>203</v>
      </c>
      <c r="D643" s="6"/>
      <c r="E643" s="8">
        <v>337825</v>
      </c>
      <c r="F643" s="8">
        <v>337825</v>
      </c>
      <c r="G643" s="9">
        <v>0</v>
      </c>
      <c r="H643" s="8">
        <v>337825</v>
      </c>
      <c r="I643" s="8">
        <v>282487</v>
      </c>
      <c r="J643" s="8">
        <v>55338</v>
      </c>
      <c r="K643" s="9">
        <v>16</v>
      </c>
      <c r="L643" s="6"/>
    </row>
    <row r="644" spans="1:12" ht="21" customHeight="1" x14ac:dyDescent="0.3">
      <c r="A644" s="10"/>
      <c r="B644" s="3" t="s">
        <v>17</v>
      </c>
      <c r="C644" s="4" t="s">
        <v>18</v>
      </c>
      <c r="D644" s="4" t="s">
        <v>19</v>
      </c>
      <c r="E644" s="4" t="s">
        <v>11</v>
      </c>
      <c r="F644" s="3" t="s">
        <v>20</v>
      </c>
    </row>
    <row r="645" spans="1:12" ht="21" customHeight="1" x14ac:dyDescent="0.3">
      <c r="A645" s="10"/>
      <c r="B645" s="11" t="s">
        <v>45</v>
      </c>
      <c r="C645" s="9">
        <v>10</v>
      </c>
      <c r="D645" s="8">
        <v>13950</v>
      </c>
      <c r="E645" s="8">
        <v>127468</v>
      </c>
      <c r="F645" s="13"/>
    </row>
    <row r="646" spans="1:12" ht="21" customHeight="1" x14ac:dyDescent="0.3">
      <c r="A646" s="10"/>
      <c r="B646" s="11" t="s">
        <v>87</v>
      </c>
      <c r="C646" s="9">
        <v>5</v>
      </c>
      <c r="D646" s="8">
        <v>22565</v>
      </c>
      <c r="E646" s="8">
        <v>102200</v>
      </c>
      <c r="F646" s="13"/>
    </row>
    <row r="647" spans="1:12" ht="21" customHeight="1" x14ac:dyDescent="0.3">
      <c r="A647" s="10"/>
      <c r="B647" s="11" t="s">
        <v>22</v>
      </c>
      <c r="C647" s="9">
        <v>5</v>
      </c>
      <c r="D647" s="8">
        <v>9300</v>
      </c>
      <c r="E647" s="8">
        <v>43187</v>
      </c>
      <c r="F647" s="13"/>
    </row>
    <row r="648" spans="1:12" ht="21" customHeight="1" x14ac:dyDescent="0.3">
      <c r="A648" s="10"/>
      <c r="B648" s="11" t="s">
        <v>148</v>
      </c>
      <c r="C648" s="9">
        <v>15</v>
      </c>
      <c r="D648" s="8">
        <v>2000</v>
      </c>
      <c r="E648" s="8">
        <v>2116</v>
      </c>
      <c r="F648" s="13"/>
    </row>
    <row r="649" spans="1:12" ht="21" customHeight="1" x14ac:dyDescent="0.3">
      <c r="A649" s="10"/>
      <c r="B649" s="11" t="s">
        <v>38</v>
      </c>
      <c r="C649" s="9">
        <v>5</v>
      </c>
      <c r="D649" s="8">
        <v>1800</v>
      </c>
      <c r="E649" s="8">
        <v>7516</v>
      </c>
      <c r="F649" s="13"/>
    </row>
    <row r="650" spans="1:12" ht="21" customHeight="1" x14ac:dyDescent="0.3">
      <c r="A650" s="10"/>
      <c r="B650" s="14"/>
      <c r="C650" s="15"/>
      <c r="D650" s="15"/>
      <c r="E650" s="15"/>
      <c r="F650" s="14"/>
    </row>
    <row r="651" spans="1:12" ht="21" customHeight="1" x14ac:dyDescent="0.3">
      <c r="A651" s="16">
        <v>46214</v>
      </c>
      <c r="B651" s="6" t="s">
        <v>29</v>
      </c>
      <c r="C651" s="7" t="s">
        <v>204</v>
      </c>
      <c r="D651" s="6"/>
      <c r="E651" s="8">
        <v>438990</v>
      </c>
      <c r="F651" s="8">
        <v>438990</v>
      </c>
      <c r="G651" s="9">
        <v>0</v>
      </c>
      <c r="H651" s="8">
        <v>438990</v>
      </c>
      <c r="I651" s="8">
        <v>407274</v>
      </c>
      <c r="J651" s="8">
        <v>31716</v>
      </c>
      <c r="K651" s="9">
        <v>7</v>
      </c>
      <c r="L651" s="6"/>
    </row>
    <row r="652" spans="1:12" ht="21" customHeight="1" x14ac:dyDescent="0.3">
      <c r="A652" s="10"/>
      <c r="B652" s="3" t="s">
        <v>17</v>
      </c>
      <c r="C652" s="4" t="s">
        <v>18</v>
      </c>
      <c r="D652" s="4" t="s">
        <v>19</v>
      </c>
      <c r="E652" s="4" t="s">
        <v>11</v>
      </c>
      <c r="F652" s="3" t="s">
        <v>20</v>
      </c>
    </row>
    <row r="653" spans="1:12" ht="21" customHeight="1" x14ac:dyDescent="0.3">
      <c r="A653" s="10"/>
      <c r="B653" s="11" t="s">
        <v>44</v>
      </c>
      <c r="C653" s="9">
        <v>10</v>
      </c>
      <c r="D653" s="8">
        <v>9200</v>
      </c>
      <c r="E653" s="8">
        <v>89900</v>
      </c>
      <c r="F653" s="13"/>
    </row>
    <row r="654" spans="1:12" ht="21" customHeight="1" x14ac:dyDescent="0.3">
      <c r="A654" s="10"/>
      <c r="B654" s="11" t="s">
        <v>65</v>
      </c>
      <c r="C654" s="9">
        <v>5</v>
      </c>
      <c r="D654" s="8">
        <v>11910</v>
      </c>
      <c r="E654" s="8">
        <v>56575</v>
      </c>
      <c r="F654" s="13"/>
    </row>
    <row r="655" spans="1:12" ht="21" customHeight="1" x14ac:dyDescent="0.3">
      <c r="A655" s="10"/>
      <c r="B655" s="11" t="s">
        <v>22</v>
      </c>
      <c r="C655" s="9">
        <v>5</v>
      </c>
      <c r="D655" s="8">
        <v>8800</v>
      </c>
      <c r="E655" s="8">
        <v>43187</v>
      </c>
      <c r="F655" s="13"/>
    </row>
    <row r="656" spans="1:12" ht="21" customHeight="1" x14ac:dyDescent="0.3">
      <c r="A656" s="10"/>
      <c r="B656" s="11" t="s">
        <v>45</v>
      </c>
      <c r="C656" s="9">
        <v>5</v>
      </c>
      <c r="D656" s="8">
        <v>13335</v>
      </c>
      <c r="E656" s="8">
        <v>63734</v>
      </c>
      <c r="F656" s="13"/>
    </row>
    <row r="657" spans="1:12" ht="21" customHeight="1" x14ac:dyDescent="0.3">
      <c r="A657" s="10"/>
      <c r="B657" s="11" t="s">
        <v>36</v>
      </c>
      <c r="C657" s="9">
        <v>3</v>
      </c>
      <c r="D657" s="8">
        <v>15525</v>
      </c>
      <c r="E657" s="8">
        <v>44700</v>
      </c>
      <c r="F657" s="13"/>
    </row>
    <row r="658" spans="1:12" ht="21" customHeight="1" x14ac:dyDescent="0.3">
      <c r="A658" s="10"/>
      <c r="B658" s="11" t="s">
        <v>93</v>
      </c>
      <c r="C658" s="9">
        <v>2</v>
      </c>
      <c r="D658" s="8">
        <v>11415</v>
      </c>
      <c r="E658" s="8">
        <v>22260</v>
      </c>
      <c r="F658" s="13"/>
    </row>
    <row r="659" spans="1:12" ht="21" customHeight="1" x14ac:dyDescent="0.3">
      <c r="A659" s="10"/>
      <c r="B659" s="11" t="s">
        <v>32</v>
      </c>
      <c r="C659" s="9">
        <v>1</v>
      </c>
      <c r="D659" s="8">
        <v>16145</v>
      </c>
      <c r="E659" s="8">
        <v>15247</v>
      </c>
      <c r="F659" s="13"/>
    </row>
    <row r="660" spans="1:12" ht="21" customHeight="1" x14ac:dyDescent="0.3">
      <c r="A660" s="10"/>
      <c r="B660" s="11" t="s">
        <v>113</v>
      </c>
      <c r="C660" s="9">
        <v>1</v>
      </c>
      <c r="D660" s="8">
        <v>14575</v>
      </c>
      <c r="E660" s="8">
        <v>14475</v>
      </c>
      <c r="F660" s="13"/>
    </row>
    <row r="661" spans="1:12" ht="21" customHeight="1" x14ac:dyDescent="0.3">
      <c r="A661" s="10"/>
      <c r="B661" s="11" t="s">
        <v>77</v>
      </c>
      <c r="C661" s="9">
        <v>1</v>
      </c>
      <c r="D661" s="8">
        <v>17840</v>
      </c>
      <c r="E661" s="8">
        <v>17265</v>
      </c>
      <c r="F661" s="13"/>
    </row>
    <row r="662" spans="1:12" ht="21" customHeight="1" x14ac:dyDescent="0.3">
      <c r="A662" s="10"/>
      <c r="B662" s="11" t="s">
        <v>148</v>
      </c>
      <c r="C662" s="9">
        <v>6</v>
      </c>
      <c r="D662" s="8">
        <v>2000</v>
      </c>
      <c r="E662" s="9">
        <v>847</v>
      </c>
      <c r="F662" s="13"/>
    </row>
    <row r="663" spans="1:12" ht="21" customHeight="1" x14ac:dyDescent="0.3">
      <c r="A663" s="10"/>
      <c r="B663" s="11" t="s">
        <v>38</v>
      </c>
      <c r="C663" s="9">
        <v>26</v>
      </c>
      <c r="D663" s="8">
        <v>1800</v>
      </c>
      <c r="E663" s="8">
        <v>39084</v>
      </c>
      <c r="F663" s="13"/>
    </row>
    <row r="664" spans="1:12" ht="21" customHeight="1" x14ac:dyDescent="0.3">
      <c r="A664" s="10"/>
      <c r="B664" s="14"/>
      <c r="C664" s="15"/>
      <c r="D664" s="15"/>
      <c r="E664" s="15"/>
      <c r="F664" s="14"/>
    </row>
    <row r="665" spans="1:12" ht="21" customHeight="1" x14ac:dyDescent="0.3">
      <c r="A665" s="16">
        <v>46214</v>
      </c>
      <c r="B665" s="6" t="s">
        <v>25</v>
      </c>
      <c r="C665" s="7" t="s">
        <v>205</v>
      </c>
      <c r="D665" s="6"/>
      <c r="E665" s="8">
        <v>660400</v>
      </c>
      <c r="F665" s="8">
        <v>660400</v>
      </c>
      <c r="G665" s="9">
        <v>0</v>
      </c>
      <c r="H665" s="8">
        <v>660400</v>
      </c>
      <c r="I665" s="8">
        <v>673700</v>
      </c>
      <c r="J665" s="8">
        <v>-13300</v>
      </c>
      <c r="K665" s="9">
        <v>-2</v>
      </c>
      <c r="L665" s="6"/>
    </row>
    <row r="666" spans="1:12" ht="21" customHeight="1" x14ac:dyDescent="0.3">
      <c r="A666" s="10"/>
      <c r="B666" s="3" t="s">
        <v>17</v>
      </c>
      <c r="C666" s="4" t="s">
        <v>18</v>
      </c>
      <c r="D666" s="4" t="s">
        <v>19</v>
      </c>
      <c r="E666" s="4" t="s">
        <v>11</v>
      </c>
      <c r="F666" s="3" t="s">
        <v>20</v>
      </c>
    </row>
    <row r="667" spans="1:12" ht="21" customHeight="1" x14ac:dyDescent="0.3">
      <c r="A667" s="10"/>
      <c r="B667" s="11" t="s">
        <v>24</v>
      </c>
      <c r="C667" s="9">
        <v>100</v>
      </c>
      <c r="D667" s="8">
        <v>5000</v>
      </c>
      <c r="E667" s="8">
        <v>520000</v>
      </c>
      <c r="F667" s="13"/>
    </row>
    <row r="668" spans="1:12" ht="21" customHeight="1" x14ac:dyDescent="0.3">
      <c r="A668" s="10"/>
      <c r="B668" s="11" t="s">
        <v>27</v>
      </c>
      <c r="C668" s="9">
        <v>20</v>
      </c>
      <c r="D668" s="8">
        <v>8020</v>
      </c>
      <c r="E668" s="8">
        <v>153700</v>
      </c>
      <c r="F668" s="13"/>
    </row>
    <row r="669" spans="1:12" ht="21" customHeight="1" x14ac:dyDescent="0.3">
      <c r="A669" s="10"/>
      <c r="B669" s="14"/>
      <c r="C669" s="15"/>
      <c r="D669" s="15"/>
      <c r="E669" s="15"/>
      <c r="F669" s="14"/>
    </row>
    <row r="670" spans="1:12" ht="21" customHeight="1" x14ac:dyDescent="0.3">
      <c r="A670" s="16">
        <v>46214</v>
      </c>
      <c r="B670" s="6" t="s">
        <v>75</v>
      </c>
      <c r="C670" s="7" t="s">
        <v>206</v>
      </c>
      <c r="D670" s="6"/>
      <c r="E670" s="8">
        <v>308000</v>
      </c>
      <c r="F670" s="9">
        <v>0</v>
      </c>
      <c r="G670" s="8">
        <v>308000</v>
      </c>
      <c r="H670" s="8">
        <v>308000</v>
      </c>
      <c r="I670" s="8">
        <v>283939</v>
      </c>
      <c r="J670" s="8">
        <v>24061</v>
      </c>
      <c r="K670" s="9">
        <v>8</v>
      </c>
      <c r="L670" s="6"/>
    </row>
    <row r="671" spans="1:12" ht="21" customHeight="1" x14ac:dyDescent="0.3">
      <c r="A671" s="10"/>
      <c r="B671" s="3" t="s">
        <v>17</v>
      </c>
      <c r="C671" s="4" t="s">
        <v>18</v>
      </c>
      <c r="D671" s="4" t="s">
        <v>19</v>
      </c>
      <c r="E671" s="4" t="s">
        <v>11</v>
      </c>
      <c r="F671" s="3" t="s">
        <v>20</v>
      </c>
    </row>
    <row r="672" spans="1:12" ht="21" customHeight="1" x14ac:dyDescent="0.3">
      <c r="A672" s="10"/>
      <c r="B672" s="11" t="s">
        <v>22</v>
      </c>
      <c r="C672" s="9">
        <v>28</v>
      </c>
      <c r="D672" s="8">
        <v>9200</v>
      </c>
      <c r="E672" s="8">
        <v>241848</v>
      </c>
      <c r="F672" s="13"/>
    </row>
    <row r="673" spans="1:12" ht="21" customHeight="1" x14ac:dyDescent="0.3">
      <c r="A673" s="10"/>
      <c r="B673" s="11" t="s">
        <v>38</v>
      </c>
      <c r="C673" s="9">
        <v>28</v>
      </c>
      <c r="D673" s="8">
        <v>1800</v>
      </c>
      <c r="E673" s="8">
        <v>42091</v>
      </c>
      <c r="F673" s="13"/>
    </row>
    <row r="674" spans="1:12" ht="21" customHeight="1" x14ac:dyDescent="0.3">
      <c r="A674" s="10"/>
      <c r="B674" s="14"/>
      <c r="C674" s="15"/>
      <c r="D674" s="15"/>
      <c r="E674" s="15"/>
      <c r="F674" s="14"/>
    </row>
    <row r="675" spans="1:12" ht="21" customHeight="1" x14ac:dyDescent="0.3">
      <c r="A675" s="16">
        <v>46214</v>
      </c>
      <c r="B675" s="6" t="s">
        <v>50</v>
      </c>
      <c r="C675" s="7" t="s">
        <v>207</v>
      </c>
      <c r="D675" s="6"/>
      <c r="E675" s="8">
        <v>936840</v>
      </c>
      <c r="F675" s="8">
        <v>936840</v>
      </c>
      <c r="G675" s="9">
        <v>0</v>
      </c>
      <c r="H675" s="8">
        <v>936840</v>
      </c>
      <c r="I675" s="8">
        <v>843647</v>
      </c>
      <c r="J675" s="8">
        <v>93193</v>
      </c>
      <c r="K675" s="9">
        <v>10</v>
      </c>
      <c r="L675" s="6"/>
    </row>
    <row r="676" spans="1:12" ht="21" customHeight="1" x14ac:dyDescent="0.3">
      <c r="A676" s="10"/>
      <c r="B676" s="3" t="s">
        <v>17</v>
      </c>
      <c r="C676" s="4" t="s">
        <v>18</v>
      </c>
      <c r="D676" s="4" t="s">
        <v>19</v>
      </c>
      <c r="E676" s="4" t="s">
        <v>11</v>
      </c>
      <c r="F676" s="3" t="s">
        <v>20</v>
      </c>
    </row>
    <row r="677" spans="1:12" ht="21" customHeight="1" x14ac:dyDescent="0.3">
      <c r="A677" s="10"/>
      <c r="B677" s="11" t="s">
        <v>44</v>
      </c>
      <c r="C677" s="9">
        <v>10</v>
      </c>
      <c r="D677" s="8">
        <v>9200</v>
      </c>
      <c r="E677" s="8">
        <v>89900</v>
      </c>
      <c r="F677" s="13"/>
    </row>
    <row r="678" spans="1:12" ht="21" customHeight="1" x14ac:dyDescent="0.3">
      <c r="A678" s="10"/>
      <c r="B678" s="11" t="s">
        <v>45</v>
      </c>
      <c r="C678" s="9">
        <v>20</v>
      </c>
      <c r="D678" s="8">
        <v>13335</v>
      </c>
      <c r="E678" s="8">
        <v>254935</v>
      </c>
      <c r="F678" s="13"/>
    </row>
    <row r="679" spans="1:12" ht="21" customHeight="1" x14ac:dyDescent="0.3">
      <c r="A679" s="10"/>
      <c r="B679" s="11" t="s">
        <v>65</v>
      </c>
      <c r="C679" s="9">
        <v>9</v>
      </c>
      <c r="D679" s="8">
        <v>11910</v>
      </c>
      <c r="E679" s="8">
        <v>101835</v>
      </c>
      <c r="F679" s="13"/>
    </row>
    <row r="680" spans="1:12" ht="21" customHeight="1" x14ac:dyDescent="0.3">
      <c r="A680" s="10"/>
      <c r="B680" s="11" t="s">
        <v>113</v>
      </c>
      <c r="C680" s="9">
        <v>10</v>
      </c>
      <c r="D680" s="8">
        <v>14475</v>
      </c>
      <c r="E680" s="8">
        <v>144750</v>
      </c>
      <c r="F680" s="13"/>
    </row>
    <row r="681" spans="1:12" ht="21" customHeight="1" x14ac:dyDescent="0.3">
      <c r="A681" s="10"/>
      <c r="B681" s="11" t="s">
        <v>87</v>
      </c>
      <c r="C681" s="9">
        <v>10</v>
      </c>
      <c r="D681" s="8">
        <v>21400</v>
      </c>
      <c r="E681" s="8">
        <v>204400</v>
      </c>
      <c r="F681" s="13"/>
    </row>
    <row r="682" spans="1:12" ht="21" customHeight="1" x14ac:dyDescent="0.3">
      <c r="A682" s="10"/>
      <c r="B682" s="11" t="s">
        <v>148</v>
      </c>
      <c r="C682" s="9">
        <v>30</v>
      </c>
      <c r="D682" s="8">
        <v>2000</v>
      </c>
      <c r="E682" s="8">
        <v>4233</v>
      </c>
      <c r="F682" s="13"/>
    </row>
    <row r="683" spans="1:12" ht="21" customHeight="1" x14ac:dyDescent="0.3">
      <c r="A683" s="10"/>
      <c r="B683" s="11" t="s">
        <v>38</v>
      </c>
      <c r="C683" s="9">
        <v>29</v>
      </c>
      <c r="D683" s="8">
        <v>1800</v>
      </c>
      <c r="E683" s="8">
        <v>43594</v>
      </c>
      <c r="F683" s="13"/>
    </row>
    <row r="684" spans="1:12" ht="21" customHeight="1" x14ac:dyDescent="0.3">
      <c r="A684" s="10"/>
      <c r="B684" s="14"/>
      <c r="C684" s="15"/>
      <c r="D684" s="15"/>
      <c r="E684" s="15"/>
      <c r="F684" s="14"/>
    </row>
    <row r="685" spans="1:12" ht="21" customHeight="1" x14ac:dyDescent="0.3">
      <c r="A685" s="16">
        <v>46214</v>
      </c>
      <c r="B685" s="6" t="s">
        <v>122</v>
      </c>
      <c r="C685" s="7" t="s">
        <v>208</v>
      </c>
      <c r="D685" s="6"/>
      <c r="E685" s="8">
        <v>136420</v>
      </c>
      <c r="F685" s="8">
        <v>136420</v>
      </c>
      <c r="G685" s="9">
        <v>0</v>
      </c>
      <c r="H685" s="8">
        <v>136420</v>
      </c>
      <c r="I685" s="8">
        <v>128549</v>
      </c>
      <c r="J685" s="8">
        <v>7871</v>
      </c>
      <c r="K685" s="9">
        <v>6</v>
      </c>
      <c r="L685" s="6"/>
    </row>
    <row r="686" spans="1:12" ht="21" customHeight="1" x14ac:dyDescent="0.3">
      <c r="A686" s="10"/>
      <c r="B686" s="3" t="s">
        <v>17</v>
      </c>
      <c r="C686" s="4" t="s">
        <v>18</v>
      </c>
      <c r="D686" s="4" t="s">
        <v>19</v>
      </c>
      <c r="E686" s="4" t="s">
        <v>11</v>
      </c>
      <c r="F686" s="3" t="s">
        <v>20</v>
      </c>
    </row>
    <row r="687" spans="1:12" ht="21" customHeight="1" x14ac:dyDescent="0.3">
      <c r="A687" s="10"/>
      <c r="B687" s="11" t="s">
        <v>22</v>
      </c>
      <c r="C687" s="9">
        <v>2</v>
      </c>
      <c r="D687" s="8">
        <v>9200</v>
      </c>
      <c r="E687" s="8">
        <v>17275</v>
      </c>
      <c r="F687" s="13"/>
    </row>
    <row r="688" spans="1:12" ht="21" customHeight="1" x14ac:dyDescent="0.3">
      <c r="A688" s="10"/>
      <c r="B688" s="11" t="s">
        <v>21</v>
      </c>
      <c r="C688" s="9">
        <v>1</v>
      </c>
      <c r="D688" s="8">
        <v>9000</v>
      </c>
      <c r="E688" s="8">
        <v>8122</v>
      </c>
      <c r="F688" s="13"/>
    </row>
    <row r="689" spans="1:12" ht="21" customHeight="1" x14ac:dyDescent="0.3">
      <c r="A689" s="10"/>
      <c r="B689" s="11" t="s">
        <v>44</v>
      </c>
      <c r="C689" s="9">
        <v>1</v>
      </c>
      <c r="D689" s="8">
        <v>9200</v>
      </c>
      <c r="E689" s="8">
        <v>8990</v>
      </c>
      <c r="F689" s="13"/>
    </row>
    <row r="690" spans="1:12" ht="21" customHeight="1" x14ac:dyDescent="0.3">
      <c r="A690" s="10"/>
      <c r="B690" s="11" t="s">
        <v>37</v>
      </c>
      <c r="C690" s="9">
        <v>1</v>
      </c>
      <c r="D690" s="8">
        <v>9200</v>
      </c>
      <c r="E690" s="8">
        <v>8525</v>
      </c>
      <c r="F690" s="13"/>
    </row>
    <row r="691" spans="1:12" ht="21" customHeight="1" x14ac:dyDescent="0.3">
      <c r="A691" s="10"/>
      <c r="B691" s="11" t="s">
        <v>65</v>
      </c>
      <c r="C691" s="9">
        <v>1</v>
      </c>
      <c r="D691" s="8">
        <v>11910</v>
      </c>
      <c r="E691" s="8">
        <v>11315</v>
      </c>
      <c r="F691" s="13"/>
    </row>
    <row r="692" spans="1:12" ht="21" customHeight="1" x14ac:dyDescent="0.3">
      <c r="A692" s="10"/>
      <c r="B692" s="11" t="s">
        <v>45</v>
      </c>
      <c r="C692" s="9">
        <v>1</v>
      </c>
      <c r="D692" s="8">
        <v>13950</v>
      </c>
      <c r="E692" s="8">
        <v>12747</v>
      </c>
      <c r="F692" s="13"/>
    </row>
    <row r="693" spans="1:12" ht="21" customHeight="1" x14ac:dyDescent="0.3">
      <c r="A693" s="10"/>
      <c r="B693" s="11" t="s">
        <v>93</v>
      </c>
      <c r="C693" s="9">
        <v>1</v>
      </c>
      <c r="D693" s="8">
        <v>11600</v>
      </c>
      <c r="E693" s="8">
        <v>11130</v>
      </c>
      <c r="F693" s="13"/>
    </row>
    <row r="694" spans="1:12" ht="21" customHeight="1" x14ac:dyDescent="0.3">
      <c r="A694" s="10"/>
      <c r="B694" s="11" t="s">
        <v>43</v>
      </c>
      <c r="C694" s="9">
        <v>1</v>
      </c>
      <c r="D694" s="8">
        <v>18300</v>
      </c>
      <c r="E694" s="8">
        <v>17150</v>
      </c>
      <c r="F694" s="13"/>
    </row>
    <row r="695" spans="1:12" ht="21" customHeight="1" x14ac:dyDescent="0.3">
      <c r="A695" s="10"/>
      <c r="B695" s="11" t="s">
        <v>87</v>
      </c>
      <c r="C695" s="9">
        <v>1</v>
      </c>
      <c r="D695" s="8">
        <v>21400</v>
      </c>
      <c r="E695" s="8">
        <v>20440</v>
      </c>
      <c r="F695" s="13"/>
    </row>
    <row r="696" spans="1:12" ht="21" customHeight="1" x14ac:dyDescent="0.3">
      <c r="A696" s="10"/>
      <c r="B696" s="11" t="s">
        <v>70</v>
      </c>
      <c r="C696" s="9">
        <v>1</v>
      </c>
      <c r="D696" s="8">
        <v>13460</v>
      </c>
      <c r="E696" s="8">
        <v>12855</v>
      </c>
      <c r="F696" s="13"/>
    </row>
    <row r="697" spans="1:12" ht="21" customHeight="1" x14ac:dyDescent="0.3">
      <c r="A697" s="10"/>
      <c r="B697" s="14"/>
      <c r="C697" s="15"/>
      <c r="D697" s="15"/>
      <c r="E697" s="15"/>
      <c r="F697" s="14"/>
    </row>
    <row r="698" spans="1:12" ht="21" customHeight="1" x14ac:dyDescent="0.3">
      <c r="A698" s="16">
        <v>46214</v>
      </c>
      <c r="B698" s="6" t="s">
        <v>102</v>
      </c>
      <c r="C698" s="7" t="s">
        <v>209</v>
      </c>
      <c r="D698" s="6"/>
      <c r="E698" s="8">
        <v>9500</v>
      </c>
      <c r="F698" s="8">
        <v>9500</v>
      </c>
      <c r="G698" s="9">
        <v>0</v>
      </c>
      <c r="H698" s="8">
        <v>9500</v>
      </c>
      <c r="I698" s="8">
        <v>8525</v>
      </c>
      <c r="J698" s="9">
        <v>975</v>
      </c>
      <c r="K698" s="9">
        <v>10</v>
      </c>
      <c r="L698" s="6"/>
    </row>
    <row r="699" spans="1:12" ht="21" customHeight="1" x14ac:dyDescent="0.3">
      <c r="A699" s="10"/>
      <c r="B699" s="3" t="s">
        <v>17</v>
      </c>
      <c r="C699" s="4" t="s">
        <v>18</v>
      </c>
      <c r="D699" s="4" t="s">
        <v>19</v>
      </c>
      <c r="E699" s="4" t="s">
        <v>11</v>
      </c>
      <c r="F699" s="3" t="s">
        <v>20</v>
      </c>
    </row>
    <row r="700" spans="1:12" ht="21" customHeight="1" x14ac:dyDescent="0.3">
      <c r="A700" s="10"/>
      <c r="B700" s="11" t="s">
        <v>37</v>
      </c>
      <c r="C700" s="9">
        <v>1</v>
      </c>
      <c r="D700" s="8">
        <v>9500</v>
      </c>
      <c r="E700" s="8">
        <v>8525</v>
      </c>
      <c r="F700" s="13"/>
    </row>
    <row r="701" spans="1:12" ht="21" customHeight="1" x14ac:dyDescent="0.3">
      <c r="A701" s="10"/>
      <c r="B701" s="14"/>
      <c r="C701" s="15"/>
      <c r="D701" s="15"/>
      <c r="E701" s="15"/>
      <c r="F701" s="14"/>
    </row>
    <row r="702" spans="1:12" ht="21" customHeight="1" x14ac:dyDescent="0.3">
      <c r="A702" s="27">
        <v>46216</v>
      </c>
      <c r="B702" s="6" t="s">
        <v>210</v>
      </c>
      <c r="C702" s="7" t="s">
        <v>211</v>
      </c>
      <c r="D702" s="6"/>
      <c r="E702" s="8">
        <v>6138000</v>
      </c>
      <c r="F702" s="8">
        <v>4141600</v>
      </c>
      <c r="G702" s="8">
        <v>1996400</v>
      </c>
      <c r="H702" s="8">
        <v>6138000</v>
      </c>
      <c r="I702" s="8">
        <v>6448000</v>
      </c>
      <c r="J702" s="8">
        <v>-310000</v>
      </c>
      <c r="K702" s="9">
        <v>-5</v>
      </c>
      <c r="L702" s="6"/>
    </row>
    <row r="703" spans="1:12" ht="21" customHeight="1" x14ac:dyDescent="0.3">
      <c r="A703" s="10"/>
      <c r="B703" s="3" t="s">
        <v>17</v>
      </c>
      <c r="C703" s="4" t="s">
        <v>18</v>
      </c>
      <c r="D703" s="4" t="s">
        <v>19</v>
      </c>
      <c r="E703" s="4" t="s">
        <v>11</v>
      </c>
      <c r="F703" s="3" t="s">
        <v>20</v>
      </c>
    </row>
    <row r="704" spans="1:12" ht="21" customHeight="1" x14ac:dyDescent="0.3">
      <c r="A704" s="10"/>
      <c r="B704" s="11" t="s">
        <v>24</v>
      </c>
      <c r="C704" s="8">
        <v>1240</v>
      </c>
      <c r="D704" s="8">
        <v>4950</v>
      </c>
      <c r="E704" s="8">
        <v>6448000</v>
      </c>
      <c r="F704" s="13"/>
    </row>
    <row r="705" spans="1:12" ht="21" customHeight="1" x14ac:dyDescent="0.3">
      <c r="A705" s="10"/>
      <c r="B705" s="14"/>
      <c r="C705" s="15"/>
      <c r="D705" s="15"/>
      <c r="E705" s="15"/>
      <c r="F705" s="14"/>
    </row>
    <row r="706" spans="1:12" ht="21" customHeight="1" x14ac:dyDescent="0.3">
      <c r="A706" s="16">
        <v>46216</v>
      </c>
      <c r="B706" s="6" t="s">
        <v>212</v>
      </c>
      <c r="C706" s="7" t="s">
        <v>213</v>
      </c>
      <c r="D706" s="6"/>
      <c r="E706" s="8">
        <v>46000</v>
      </c>
      <c r="F706" s="8">
        <v>46000</v>
      </c>
      <c r="G706" s="9">
        <v>0</v>
      </c>
      <c r="H706" s="8">
        <v>46000</v>
      </c>
      <c r="I706" s="8">
        <v>43284</v>
      </c>
      <c r="J706" s="8">
        <v>2716</v>
      </c>
      <c r="K706" s="9">
        <v>6</v>
      </c>
      <c r="L706" s="6"/>
    </row>
    <row r="707" spans="1:12" ht="21" customHeight="1" x14ac:dyDescent="0.3">
      <c r="A707" s="10"/>
      <c r="B707" s="3" t="s">
        <v>17</v>
      </c>
      <c r="C707" s="4" t="s">
        <v>18</v>
      </c>
      <c r="D707" s="4" t="s">
        <v>19</v>
      </c>
      <c r="E707" s="4" t="s">
        <v>11</v>
      </c>
      <c r="F707" s="3" t="s">
        <v>20</v>
      </c>
    </row>
    <row r="708" spans="1:12" ht="21" customHeight="1" x14ac:dyDescent="0.3">
      <c r="A708" s="10"/>
      <c r="B708" s="11" t="s">
        <v>22</v>
      </c>
      <c r="C708" s="9">
        <v>5</v>
      </c>
      <c r="D708" s="8">
        <v>9200</v>
      </c>
      <c r="E708" s="8">
        <v>43284</v>
      </c>
      <c r="F708" s="13"/>
    </row>
    <row r="709" spans="1:12" ht="21" customHeight="1" x14ac:dyDescent="0.3">
      <c r="A709" s="10"/>
      <c r="B709" s="14"/>
      <c r="C709" s="15"/>
      <c r="D709" s="15"/>
      <c r="E709" s="15"/>
      <c r="F709" s="14"/>
    </row>
    <row r="710" spans="1:12" ht="21" customHeight="1" x14ac:dyDescent="0.3">
      <c r="A710" s="16">
        <v>46216</v>
      </c>
      <c r="B710" s="6" t="s">
        <v>29</v>
      </c>
      <c r="C710" s="7" t="s">
        <v>214</v>
      </c>
      <c r="D710" s="6"/>
      <c r="E710" s="8">
        <v>707845</v>
      </c>
      <c r="F710" s="8">
        <v>707845</v>
      </c>
      <c r="G710" s="9">
        <v>0</v>
      </c>
      <c r="H710" s="8">
        <v>707845</v>
      </c>
      <c r="I710" s="8">
        <v>661238</v>
      </c>
      <c r="J710" s="8">
        <v>46607</v>
      </c>
      <c r="K710" s="9">
        <v>7</v>
      </c>
      <c r="L710" s="6"/>
    </row>
    <row r="711" spans="1:12" ht="21" customHeight="1" x14ac:dyDescent="0.3">
      <c r="A711" s="10"/>
      <c r="B711" s="3" t="s">
        <v>17</v>
      </c>
      <c r="C711" s="4" t="s">
        <v>18</v>
      </c>
      <c r="D711" s="4" t="s">
        <v>19</v>
      </c>
      <c r="E711" s="4" t="s">
        <v>11</v>
      </c>
      <c r="F711" s="3" t="s">
        <v>20</v>
      </c>
    </row>
    <row r="712" spans="1:12" ht="21" customHeight="1" x14ac:dyDescent="0.3">
      <c r="A712" s="10"/>
      <c r="B712" s="11" t="s">
        <v>22</v>
      </c>
      <c r="C712" s="9">
        <v>17</v>
      </c>
      <c r="D712" s="8">
        <v>8800</v>
      </c>
      <c r="E712" s="8">
        <v>147165</v>
      </c>
      <c r="F712" s="13"/>
    </row>
    <row r="713" spans="1:12" ht="21" customHeight="1" x14ac:dyDescent="0.3">
      <c r="A713" s="10"/>
      <c r="B713" s="11" t="s">
        <v>45</v>
      </c>
      <c r="C713" s="9">
        <v>7</v>
      </c>
      <c r="D713" s="8">
        <v>13335</v>
      </c>
      <c r="E713" s="8">
        <v>89227</v>
      </c>
      <c r="F713" s="13"/>
    </row>
    <row r="714" spans="1:12" ht="21" customHeight="1" x14ac:dyDescent="0.3">
      <c r="A714" s="10"/>
      <c r="B714" s="11" t="s">
        <v>65</v>
      </c>
      <c r="C714" s="9">
        <v>3</v>
      </c>
      <c r="D714" s="8">
        <v>11910</v>
      </c>
      <c r="E714" s="8">
        <v>33945</v>
      </c>
      <c r="F714" s="13"/>
    </row>
    <row r="715" spans="1:12" ht="21" customHeight="1" x14ac:dyDescent="0.3">
      <c r="A715" s="10"/>
      <c r="B715" s="11" t="s">
        <v>113</v>
      </c>
      <c r="C715" s="9">
        <v>2</v>
      </c>
      <c r="D715" s="8">
        <v>14575</v>
      </c>
      <c r="E715" s="8">
        <v>28950</v>
      </c>
      <c r="F715" s="13"/>
    </row>
    <row r="716" spans="1:12" ht="21" customHeight="1" x14ac:dyDescent="0.3">
      <c r="A716" s="10"/>
      <c r="B716" s="11" t="s">
        <v>37</v>
      </c>
      <c r="C716" s="9">
        <v>3</v>
      </c>
      <c r="D716" s="8">
        <v>8880</v>
      </c>
      <c r="E716" s="8">
        <v>25575</v>
      </c>
      <c r="F716" s="13"/>
    </row>
    <row r="717" spans="1:12" ht="21" customHeight="1" x14ac:dyDescent="0.3">
      <c r="A717" s="10"/>
      <c r="B717" s="11" t="s">
        <v>36</v>
      </c>
      <c r="C717" s="9">
        <v>2</v>
      </c>
      <c r="D717" s="8">
        <v>15525</v>
      </c>
      <c r="E717" s="8">
        <v>29800</v>
      </c>
      <c r="F717" s="13"/>
    </row>
    <row r="718" spans="1:12" ht="21" customHeight="1" x14ac:dyDescent="0.3">
      <c r="A718" s="10"/>
      <c r="B718" s="11" t="s">
        <v>87</v>
      </c>
      <c r="C718" s="9">
        <v>1</v>
      </c>
      <c r="D718" s="8">
        <v>21400</v>
      </c>
      <c r="E718" s="8">
        <v>20440</v>
      </c>
      <c r="F718" s="13"/>
    </row>
    <row r="719" spans="1:12" ht="21" customHeight="1" x14ac:dyDescent="0.3">
      <c r="A719" s="10"/>
      <c r="B719" s="11" t="s">
        <v>150</v>
      </c>
      <c r="C719" s="9">
        <v>1</v>
      </c>
      <c r="D719" s="8">
        <v>10315</v>
      </c>
      <c r="E719" s="8">
        <v>9925</v>
      </c>
      <c r="F719" s="13"/>
    </row>
    <row r="720" spans="1:12" ht="21" customHeight="1" x14ac:dyDescent="0.3">
      <c r="A720" s="10"/>
      <c r="B720" s="11" t="s">
        <v>93</v>
      </c>
      <c r="C720" s="9">
        <v>1</v>
      </c>
      <c r="D720" s="8">
        <v>11415</v>
      </c>
      <c r="E720" s="8">
        <v>11130</v>
      </c>
      <c r="F720" s="13"/>
    </row>
    <row r="721" spans="1:12" ht="21" customHeight="1" x14ac:dyDescent="0.3">
      <c r="A721" s="10"/>
      <c r="B721" s="11" t="s">
        <v>44</v>
      </c>
      <c r="C721" s="9">
        <v>21</v>
      </c>
      <c r="D721" s="8">
        <v>9200</v>
      </c>
      <c r="E721" s="8">
        <v>188790</v>
      </c>
      <c r="F721" s="13"/>
    </row>
    <row r="722" spans="1:12" ht="21" customHeight="1" x14ac:dyDescent="0.3">
      <c r="A722" s="10"/>
      <c r="B722" s="11" t="s">
        <v>38</v>
      </c>
      <c r="C722" s="9">
        <v>50</v>
      </c>
      <c r="D722" s="8">
        <v>1800</v>
      </c>
      <c r="E722" s="8">
        <v>75162</v>
      </c>
      <c r="F722" s="13"/>
    </row>
    <row r="723" spans="1:12" ht="21" customHeight="1" x14ac:dyDescent="0.3">
      <c r="A723" s="10"/>
      <c r="B723" s="11" t="s">
        <v>148</v>
      </c>
      <c r="C723" s="9">
        <v>8</v>
      </c>
      <c r="D723" s="8">
        <v>2000</v>
      </c>
      <c r="E723" s="8">
        <v>1129</v>
      </c>
      <c r="F723" s="13"/>
    </row>
    <row r="724" spans="1:12" ht="21" customHeight="1" x14ac:dyDescent="0.3">
      <c r="A724" s="10"/>
      <c r="B724" s="14"/>
      <c r="C724" s="15"/>
      <c r="D724" s="15"/>
      <c r="E724" s="15"/>
      <c r="F724" s="14"/>
    </row>
    <row r="725" spans="1:12" ht="21" customHeight="1" x14ac:dyDescent="0.3">
      <c r="A725" s="16">
        <v>46216</v>
      </c>
      <c r="B725" s="6" t="s">
        <v>29</v>
      </c>
      <c r="C725" s="7" t="s">
        <v>215</v>
      </c>
      <c r="D725" s="6"/>
      <c r="E725" s="8">
        <v>11145</v>
      </c>
      <c r="F725" s="8">
        <v>11145</v>
      </c>
      <c r="G725" s="9">
        <v>0</v>
      </c>
      <c r="H725" s="8">
        <v>11145</v>
      </c>
      <c r="I725" s="8">
        <v>10473</v>
      </c>
      <c r="J725" s="9">
        <v>672</v>
      </c>
      <c r="K725" s="9">
        <v>6</v>
      </c>
      <c r="L725" s="6"/>
    </row>
    <row r="726" spans="1:12" ht="21" customHeight="1" x14ac:dyDescent="0.3">
      <c r="A726" s="10"/>
      <c r="B726" s="3" t="s">
        <v>17</v>
      </c>
      <c r="C726" s="4" t="s">
        <v>18</v>
      </c>
      <c r="D726" s="4" t="s">
        <v>19</v>
      </c>
      <c r="E726" s="4" t="s">
        <v>11</v>
      </c>
      <c r="F726" s="3" t="s">
        <v>20</v>
      </c>
    </row>
    <row r="727" spans="1:12" ht="21" customHeight="1" x14ac:dyDescent="0.3">
      <c r="A727" s="10"/>
      <c r="B727" s="11" t="s">
        <v>80</v>
      </c>
      <c r="C727" s="9">
        <v>1</v>
      </c>
      <c r="D727" s="8">
        <v>9345</v>
      </c>
      <c r="E727" s="8">
        <v>8970</v>
      </c>
      <c r="F727" s="13"/>
    </row>
    <row r="728" spans="1:12" ht="21" customHeight="1" x14ac:dyDescent="0.3">
      <c r="A728" s="10"/>
      <c r="B728" s="11" t="s">
        <v>38</v>
      </c>
      <c r="C728" s="9">
        <v>1</v>
      </c>
      <c r="D728" s="8">
        <v>1800</v>
      </c>
      <c r="E728" s="8">
        <v>1503</v>
      </c>
      <c r="F728" s="13"/>
    </row>
    <row r="729" spans="1:12" ht="21" customHeight="1" x14ac:dyDescent="0.3">
      <c r="A729" s="10"/>
      <c r="B729" s="14"/>
      <c r="C729" s="15"/>
      <c r="D729" s="15"/>
      <c r="E729" s="15"/>
      <c r="F729" s="14"/>
    </row>
    <row r="730" spans="1:12" ht="21" customHeight="1" x14ac:dyDescent="0.3">
      <c r="A730" s="16">
        <v>46216</v>
      </c>
      <c r="B730" s="6" t="s">
        <v>25</v>
      </c>
      <c r="C730" s="7" t="s">
        <v>216</v>
      </c>
      <c r="D730" s="6"/>
      <c r="E730" s="8">
        <v>815750</v>
      </c>
      <c r="F730" s="8">
        <v>597893</v>
      </c>
      <c r="G730" s="8">
        <v>217857</v>
      </c>
      <c r="H730" s="8">
        <v>815750</v>
      </c>
      <c r="I730" s="8">
        <v>847507</v>
      </c>
      <c r="J730" s="8">
        <v>-31757</v>
      </c>
      <c r="K730" s="9">
        <v>-4</v>
      </c>
      <c r="L730" s="6"/>
    </row>
    <row r="731" spans="1:12" ht="21" customHeight="1" x14ac:dyDescent="0.3">
      <c r="A731" s="10"/>
      <c r="B731" s="3" t="s">
        <v>17</v>
      </c>
      <c r="C731" s="4" t="s">
        <v>18</v>
      </c>
      <c r="D731" s="4" t="s">
        <v>19</v>
      </c>
      <c r="E731" s="4" t="s">
        <v>11</v>
      </c>
      <c r="F731" s="3" t="s">
        <v>20</v>
      </c>
    </row>
    <row r="732" spans="1:12" ht="21" customHeight="1" x14ac:dyDescent="0.3">
      <c r="A732" s="10"/>
      <c r="B732" s="11" t="s">
        <v>24</v>
      </c>
      <c r="C732" s="9">
        <v>150</v>
      </c>
      <c r="D732" s="8">
        <v>5000</v>
      </c>
      <c r="E732" s="8">
        <v>780000</v>
      </c>
      <c r="F732" s="13"/>
    </row>
    <row r="733" spans="1:12" ht="21" customHeight="1" x14ac:dyDescent="0.3">
      <c r="A733" s="10"/>
      <c r="B733" s="11" t="s">
        <v>28</v>
      </c>
      <c r="C733" s="9">
        <v>5</v>
      </c>
      <c r="D733" s="8">
        <v>13150</v>
      </c>
      <c r="E733" s="8">
        <v>67507</v>
      </c>
      <c r="F733" s="13"/>
    </row>
    <row r="734" spans="1:12" ht="21" customHeight="1" x14ac:dyDescent="0.3">
      <c r="A734" s="10"/>
      <c r="B734" s="14"/>
      <c r="C734" s="15"/>
      <c r="D734" s="15"/>
      <c r="E734" s="15"/>
      <c r="F734" s="14"/>
    </row>
    <row r="735" spans="1:12" ht="21" customHeight="1" x14ac:dyDescent="0.3">
      <c r="A735" s="16">
        <v>46216</v>
      </c>
      <c r="B735" s="6" t="s">
        <v>85</v>
      </c>
      <c r="C735" s="7" t="s">
        <v>217</v>
      </c>
      <c r="D735" s="6"/>
      <c r="E735" s="8">
        <v>502840</v>
      </c>
      <c r="F735" s="8">
        <v>298825</v>
      </c>
      <c r="G735" s="8">
        <v>204015</v>
      </c>
      <c r="H735" s="8">
        <v>502840</v>
      </c>
      <c r="I735" s="8">
        <v>384870</v>
      </c>
      <c r="J735" s="8">
        <v>117970</v>
      </c>
      <c r="K735" s="9">
        <v>23</v>
      </c>
      <c r="L735" s="6"/>
    </row>
    <row r="736" spans="1:12" ht="21" customHeight="1" x14ac:dyDescent="0.3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1:12" ht="21" customHeight="1" x14ac:dyDescent="0.3">
      <c r="A737" s="10"/>
      <c r="B737" s="11" t="s">
        <v>45</v>
      </c>
      <c r="C737" s="9">
        <v>10</v>
      </c>
      <c r="D737" s="8">
        <v>13950</v>
      </c>
      <c r="E737" s="8">
        <v>127468</v>
      </c>
      <c r="F737" s="13"/>
    </row>
    <row r="738" spans="1:12" ht="21" customHeight="1" x14ac:dyDescent="0.3">
      <c r="A738" s="10"/>
      <c r="B738" s="11" t="s">
        <v>101</v>
      </c>
      <c r="C738" s="9">
        <v>3</v>
      </c>
      <c r="D738" s="8">
        <v>14455</v>
      </c>
      <c r="E738" s="8">
        <v>38760</v>
      </c>
      <c r="F738" s="13"/>
    </row>
    <row r="739" spans="1:12" ht="21" customHeight="1" x14ac:dyDescent="0.3">
      <c r="A739" s="10"/>
      <c r="B739" s="11" t="s">
        <v>150</v>
      </c>
      <c r="C739" s="9">
        <v>5</v>
      </c>
      <c r="D739" s="8">
        <v>10315</v>
      </c>
      <c r="E739" s="8">
        <v>49625</v>
      </c>
      <c r="F739" s="13"/>
    </row>
    <row r="740" spans="1:12" ht="21" customHeight="1" x14ac:dyDescent="0.3">
      <c r="A740" s="10"/>
      <c r="B740" s="11" t="s">
        <v>190</v>
      </c>
      <c r="C740" s="9">
        <v>6</v>
      </c>
      <c r="D740" s="8">
        <v>39000</v>
      </c>
      <c r="E740" s="8">
        <v>155580</v>
      </c>
      <c r="F740" s="13"/>
    </row>
    <row r="741" spans="1:12" ht="21" customHeight="1" x14ac:dyDescent="0.3">
      <c r="A741" s="10"/>
      <c r="B741" s="11" t="s">
        <v>148</v>
      </c>
      <c r="C741" s="9">
        <v>10</v>
      </c>
      <c r="D741" s="8">
        <v>2000</v>
      </c>
      <c r="E741" s="8">
        <v>1411</v>
      </c>
      <c r="F741" s="13"/>
    </row>
    <row r="742" spans="1:12" ht="21" customHeight="1" x14ac:dyDescent="0.3">
      <c r="A742" s="10"/>
      <c r="B742" s="11" t="s">
        <v>38</v>
      </c>
      <c r="C742" s="9">
        <v>8</v>
      </c>
      <c r="D742" s="8">
        <v>1800</v>
      </c>
      <c r="E742" s="8">
        <v>12026</v>
      </c>
      <c r="F742" s="13"/>
    </row>
    <row r="743" spans="1:12" ht="21" customHeight="1" x14ac:dyDescent="0.3">
      <c r="A743" s="10"/>
      <c r="B743" s="14"/>
      <c r="C743" s="15"/>
      <c r="D743" s="15"/>
      <c r="E743" s="15"/>
      <c r="F743" s="14"/>
    </row>
    <row r="744" spans="1:12" ht="21" customHeight="1" x14ac:dyDescent="0.3">
      <c r="A744" s="16">
        <v>46216</v>
      </c>
      <c r="B744" s="6" t="s">
        <v>127</v>
      </c>
      <c r="C744" s="7" t="s">
        <v>218</v>
      </c>
      <c r="D744" s="6"/>
      <c r="E744" s="8">
        <v>1488000</v>
      </c>
      <c r="F744" s="8">
        <v>1488000</v>
      </c>
      <c r="G744" s="9">
        <v>0</v>
      </c>
      <c r="H744" s="8">
        <v>1488000</v>
      </c>
      <c r="I744" s="8">
        <v>1475520</v>
      </c>
      <c r="J744" s="8">
        <v>12480</v>
      </c>
      <c r="K744" s="9">
        <v>1</v>
      </c>
      <c r="L744" s="6"/>
    </row>
    <row r="745" spans="1:12" ht="21" customHeight="1" x14ac:dyDescent="0.3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1:12" ht="21" customHeight="1" x14ac:dyDescent="0.3">
      <c r="A746" s="10"/>
      <c r="B746" s="11" t="s">
        <v>27</v>
      </c>
      <c r="C746" s="9">
        <v>192</v>
      </c>
      <c r="D746" s="8">
        <v>7750</v>
      </c>
      <c r="E746" s="8">
        <v>1475520</v>
      </c>
      <c r="F746" s="13"/>
    </row>
    <row r="747" spans="1:12" ht="21" customHeight="1" x14ac:dyDescent="0.3">
      <c r="A747" s="10"/>
      <c r="B747" s="14"/>
      <c r="C747" s="15"/>
      <c r="D747" s="15"/>
      <c r="E747" s="15"/>
      <c r="F747" s="14"/>
    </row>
    <row r="748" spans="1:12" ht="21" customHeight="1" x14ac:dyDescent="0.3">
      <c r="A748" s="28">
        <v>46217</v>
      </c>
      <c r="B748" s="6" t="s">
        <v>219</v>
      </c>
      <c r="C748" s="7" t="s">
        <v>220</v>
      </c>
      <c r="D748" s="6"/>
      <c r="E748" s="8">
        <v>9200</v>
      </c>
      <c r="F748" s="9">
        <v>0</v>
      </c>
      <c r="G748" s="8">
        <v>9200</v>
      </c>
      <c r="H748" s="8">
        <v>9200</v>
      </c>
      <c r="I748" s="8">
        <v>8657</v>
      </c>
      <c r="J748" s="9">
        <v>543</v>
      </c>
      <c r="K748" s="9">
        <v>6</v>
      </c>
      <c r="L748" s="6" t="s">
        <v>221</v>
      </c>
    </row>
    <row r="749" spans="1:12" ht="21" customHeight="1" x14ac:dyDescent="0.3">
      <c r="A749" s="10"/>
      <c r="B749" s="3" t="s">
        <v>17</v>
      </c>
      <c r="C749" s="4" t="s">
        <v>18</v>
      </c>
      <c r="D749" s="4" t="s">
        <v>19</v>
      </c>
      <c r="E749" s="4" t="s">
        <v>11</v>
      </c>
      <c r="F749" s="3" t="s">
        <v>20</v>
      </c>
    </row>
    <row r="750" spans="1:12" ht="21" customHeight="1" x14ac:dyDescent="0.3">
      <c r="A750" s="10"/>
      <c r="B750" s="11" t="s">
        <v>22</v>
      </c>
      <c r="C750" s="9">
        <v>1</v>
      </c>
      <c r="D750" s="8">
        <v>9200</v>
      </c>
      <c r="E750" s="8">
        <v>8657</v>
      </c>
      <c r="F750" s="13"/>
    </row>
    <row r="751" spans="1:12" ht="21" customHeight="1" x14ac:dyDescent="0.3">
      <c r="A751" s="10"/>
      <c r="B751" s="14"/>
      <c r="C751" s="15"/>
      <c r="D751" s="15"/>
      <c r="E751" s="15"/>
      <c r="F751" s="14"/>
    </row>
    <row r="752" spans="1:12" ht="21" customHeight="1" x14ac:dyDescent="0.3">
      <c r="A752" s="16">
        <v>46217</v>
      </c>
      <c r="B752" s="6" t="s">
        <v>50</v>
      </c>
      <c r="C752" s="7" t="s">
        <v>222</v>
      </c>
      <c r="D752" s="6"/>
      <c r="E752" s="8">
        <v>1265000</v>
      </c>
      <c r="F752" s="8">
        <v>1265000</v>
      </c>
      <c r="G752" s="9">
        <v>0</v>
      </c>
      <c r="H752" s="8">
        <v>1265000</v>
      </c>
      <c r="I752" s="8">
        <v>1315600</v>
      </c>
      <c r="J752" s="8">
        <v>-50600</v>
      </c>
      <c r="K752" s="9">
        <v>-4</v>
      </c>
      <c r="L752" s="6"/>
    </row>
    <row r="753" spans="1:12" ht="21" customHeight="1" x14ac:dyDescent="0.3">
      <c r="A753" s="10"/>
      <c r="B753" s="3" t="s">
        <v>17</v>
      </c>
      <c r="C753" s="4" t="s">
        <v>18</v>
      </c>
      <c r="D753" s="4" t="s">
        <v>19</v>
      </c>
      <c r="E753" s="4" t="s">
        <v>11</v>
      </c>
      <c r="F753" s="3" t="s">
        <v>20</v>
      </c>
    </row>
    <row r="754" spans="1:12" ht="21" customHeight="1" x14ac:dyDescent="0.3">
      <c r="A754" s="10"/>
      <c r="B754" s="11" t="s">
        <v>24</v>
      </c>
      <c r="C754" s="9">
        <v>253</v>
      </c>
      <c r="D754" s="8">
        <v>5000</v>
      </c>
      <c r="E754" s="8">
        <v>1315600</v>
      </c>
      <c r="F754" s="13"/>
    </row>
    <row r="755" spans="1:12" ht="21" customHeight="1" x14ac:dyDescent="0.3">
      <c r="A755" s="10"/>
      <c r="B755" s="14"/>
      <c r="C755" s="15"/>
      <c r="D755" s="15"/>
      <c r="E755" s="15"/>
      <c r="F755" s="14"/>
    </row>
    <row r="756" spans="1:12" ht="21" customHeight="1" x14ac:dyDescent="0.3">
      <c r="A756" s="16">
        <v>46217</v>
      </c>
      <c r="B756" s="6" t="s">
        <v>29</v>
      </c>
      <c r="C756" s="7" t="s">
        <v>223</v>
      </c>
      <c r="D756" s="6"/>
      <c r="E756" s="8">
        <v>407415</v>
      </c>
      <c r="F756" s="8">
        <v>407415</v>
      </c>
      <c r="G756" s="9">
        <v>0</v>
      </c>
      <c r="H756" s="8">
        <v>407415</v>
      </c>
      <c r="I756" s="8">
        <v>402447</v>
      </c>
      <c r="J756" s="8">
        <v>4968</v>
      </c>
      <c r="K756" s="9">
        <v>1</v>
      </c>
      <c r="L756" s="6"/>
    </row>
    <row r="757" spans="1:12" ht="21" customHeight="1" x14ac:dyDescent="0.3">
      <c r="A757" s="10"/>
      <c r="B757" s="3" t="s">
        <v>17</v>
      </c>
      <c r="C757" s="4" t="s">
        <v>18</v>
      </c>
      <c r="D757" s="4" t="s">
        <v>19</v>
      </c>
      <c r="E757" s="4" t="s">
        <v>11</v>
      </c>
      <c r="F757" s="3" t="s">
        <v>20</v>
      </c>
    </row>
    <row r="758" spans="1:12" ht="21" customHeight="1" x14ac:dyDescent="0.3">
      <c r="A758" s="10"/>
      <c r="B758" s="11" t="s">
        <v>31</v>
      </c>
      <c r="C758" s="9">
        <v>15</v>
      </c>
      <c r="D758" s="8">
        <v>17100</v>
      </c>
      <c r="E758" s="8">
        <v>256500</v>
      </c>
      <c r="F758" s="13"/>
    </row>
    <row r="759" spans="1:12" ht="21" customHeight="1" x14ac:dyDescent="0.3">
      <c r="A759" s="10"/>
      <c r="B759" s="11" t="s">
        <v>224</v>
      </c>
      <c r="C759" s="9">
        <v>2</v>
      </c>
      <c r="D759" s="8">
        <v>14430</v>
      </c>
      <c r="E759" s="8">
        <v>27821</v>
      </c>
      <c r="F759" s="13"/>
    </row>
    <row r="760" spans="1:12" ht="21" customHeight="1" x14ac:dyDescent="0.3">
      <c r="A760" s="10"/>
      <c r="B760" s="11" t="s">
        <v>62</v>
      </c>
      <c r="C760" s="9">
        <v>1</v>
      </c>
      <c r="D760" s="8">
        <v>20655</v>
      </c>
      <c r="E760" s="8">
        <v>19305</v>
      </c>
      <c r="F760" s="13"/>
    </row>
    <row r="761" spans="1:12" ht="21" customHeight="1" x14ac:dyDescent="0.3">
      <c r="A761" s="10"/>
      <c r="B761" s="11" t="s">
        <v>28</v>
      </c>
      <c r="C761" s="9">
        <v>2</v>
      </c>
      <c r="D761" s="8">
        <v>13200</v>
      </c>
      <c r="E761" s="8">
        <v>27003</v>
      </c>
      <c r="F761" s="13"/>
    </row>
    <row r="762" spans="1:12" ht="21" customHeight="1" x14ac:dyDescent="0.3">
      <c r="A762" s="10"/>
      <c r="B762" s="11" t="s">
        <v>44</v>
      </c>
      <c r="C762" s="9">
        <v>2</v>
      </c>
      <c r="D762" s="8">
        <v>9200</v>
      </c>
      <c r="E762" s="8">
        <v>17980</v>
      </c>
      <c r="F762" s="13"/>
    </row>
    <row r="763" spans="1:12" ht="21" customHeight="1" x14ac:dyDescent="0.3">
      <c r="A763" s="10"/>
      <c r="B763" s="11" t="s">
        <v>22</v>
      </c>
      <c r="C763" s="9">
        <v>5</v>
      </c>
      <c r="D763" s="8">
        <v>8800</v>
      </c>
      <c r="E763" s="8">
        <v>43284</v>
      </c>
      <c r="F763" s="13"/>
    </row>
    <row r="764" spans="1:12" ht="21" customHeight="1" x14ac:dyDescent="0.3">
      <c r="A764" s="10"/>
      <c r="B764" s="11" t="s">
        <v>38</v>
      </c>
      <c r="C764" s="9">
        <v>7</v>
      </c>
      <c r="D764" s="8">
        <v>1800</v>
      </c>
      <c r="E764" s="8">
        <v>10554</v>
      </c>
      <c r="F764" s="13"/>
    </row>
    <row r="765" spans="1:12" ht="21" customHeight="1" x14ac:dyDescent="0.3">
      <c r="A765" s="10"/>
      <c r="B765" s="14"/>
      <c r="C765" s="15"/>
      <c r="D765" s="15"/>
      <c r="E765" s="15"/>
      <c r="F765" s="14"/>
    </row>
    <row r="766" spans="1:12" ht="21" customHeight="1" x14ac:dyDescent="0.3">
      <c r="A766" s="16">
        <v>46217</v>
      </c>
      <c r="B766" s="6" t="s">
        <v>29</v>
      </c>
      <c r="C766" s="7" t="s">
        <v>225</v>
      </c>
      <c r="D766" s="6"/>
      <c r="E766" s="8">
        <v>394075</v>
      </c>
      <c r="F766" s="8">
        <v>394075</v>
      </c>
      <c r="G766" s="9">
        <v>0</v>
      </c>
      <c r="H766" s="8">
        <v>394075</v>
      </c>
      <c r="I766" s="8">
        <v>373874</v>
      </c>
      <c r="J766" s="8">
        <v>20201</v>
      </c>
      <c r="K766" s="9">
        <v>5</v>
      </c>
      <c r="L766" s="6"/>
    </row>
    <row r="767" spans="1:12" ht="21" customHeight="1" x14ac:dyDescent="0.3">
      <c r="A767" s="10"/>
      <c r="B767" s="3" t="s">
        <v>17</v>
      </c>
      <c r="C767" s="4" t="s">
        <v>18</v>
      </c>
      <c r="D767" s="4" t="s">
        <v>19</v>
      </c>
      <c r="E767" s="4" t="s">
        <v>11</v>
      </c>
      <c r="F767" s="3" t="s">
        <v>20</v>
      </c>
    </row>
    <row r="768" spans="1:12" ht="21" customHeight="1" x14ac:dyDescent="0.3">
      <c r="A768" s="10"/>
      <c r="B768" s="11" t="s">
        <v>44</v>
      </c>
      <c r="C768" s="9">
        <v>9</v>
      </c>
      <c r="D768" s="8">
        <v>9200</v>
      </c>
      <c r="E768" s="8">
        <v>80910</v>
      </c>
      <c r="F768" s="13"/>
    </row>
    <row r="769" spans="1:12" ht="21" customHeight="1" x14ac:dyDescent="0.3">
      <c r="A769" s="10"/>
      <c r="B769" s="11" t="s">
        <v>45</v>
      </c>
      <c r="C769" s="9">
        <v>5</v>
      </c>
      <c r="D769" s="8">
        <v>13335</v>
      </c>
      <c r="E769" s="8">
        <v>63734</v>
      </c>
      <c r="F769" s="13"/>
    </row>
    <row r="770" spans="1:12" ht="21" customHeight="1" x14ac:dyDescent="0.3">
      <c r="A770" s="10"/>
      <c r="B770" s="11" t="s">
        <v>37</v>
      </c>
      <c r="C770" s="9">
        <v>2</v>
      </c>
      <c r="D770" s="8">
        <v>8880</v>
      </c>
      <c r="E770" s="8">
        <v>17050</v>
      </c>
      <c r="F770" s="13"/>
    </row>
    <row r="771" spans="1:12" ht="21" customHeight="1" x14ac:dyDescent="0.3">
      <c r="A771" s="10"/>
      <c r="B771" s="11" t="s">
        <v>22</v>
      </c>
      <c r="C771" s="9">
        <v>10</v>
      </c>
      <c r="D771" s="8">
        <v>8800</v>
      </c>
      <c r="E771" s="8">
        <v>86567</v>
      </c>
      <c r="F771" s="13"/>
    </row>
    <row r="772" spans="1:12" ht="21" customHeight="1" x14ac:dyDescent="0.3">
      <c r="A772" s="10"/>
      <c r="B772" s="11" t="s">
        <v>24</v>
      </c>
      <c r="C772" s="9">
        <v>15</v>
      </c>
      <c r="D772" s="8">
        <v>5000</v>
      </c>
      <c r="E772" s="8">
        <v>78000</v>
      </c>
      <c r="F772" s="13"/>
    </row>
    <row r="773" spans="1:12" ht="21" customHeight="1" x14ac:dyDescent="0.3">
      <c r="A773" s="10"/>
      <c r="B773" s="11" t="s">
        <v>27</v>
      </c>
      <c r="C773" s="9">
        <v>2</v>
      </c>
      <c r="D773" s="8">
        <v>8020</v>
      </c>
      <c r="E773" s="8">
        <v>15370</v>
      </c>
      <c r="F773" s="13"/>
    </row>
    <row r="774" spans="1:12" ht="21" customHeight="1" x14ac:dyDescent="0.3">
      <c r="A774" s="10"/>
      <c r="B774" s="11" t="s">
        <v>38</v>
      </c>
      <c r="C774" s="9">
        <v>21</v>
      </c>
      <c r="D774" s="8">
        <v>1800</v>
      </c>
      <c r="E774" s="8">
        <v>31663</v>
      </c>
      <c r="F774" s="13"/>
    </row>
    <row r="775" spans="1:12" ht="21" customHeight="1" x14ac:dyDescent="0.3">
      <c r="A775" s="10"/>
      <c r="B775" s="11" t="s">
        <v>148</v>
      </c>
      <c r="C775" s="9">
        <v>5</v>
      </c>
      <c r="D775" s="8">
        <v>2000</v>
      </c>
      <c r="E775" s="9">
        <v>580</v>
      </c>
      <c r="F775" s="13"/>
    </row>
    <row r="776" spans="1:12" ht="21" customHeight="1" x14ac:dyDescent="0.3">
      <c r="A776" s="10"/>
      <c r="B776" s="14"/>
      <c r="C776" s="15"/>
      <c r="D776" s="15"/>
      <c r="E776" s="15"/>
      <c r="F776" s="14"/>
    </row>
    <row r="777" spans="1:12" ht="21" customHeight="1" x14ac:dyDescent="0.3">
      <c r="A777" s="16">
        <v>46217</v>
      </c>
      <c r="B777" s="6" t="s">
        <v>154</v>
      </c>
      <c r="C777" s="7" t="s">
        <v>226</v>
      </c>
      <c r="D777" s="6"/>
      <c r="E777" s="8">
        <v>100000</v>
      </c>
      <c r="F777" s="8">
        <v>71255</v>
      </c>
      <c r="G777" s="8">
        <v>28745</v>
      </c>
      <c r="H777" s="8">
        <v>100000</v>
      </c>
      <c r="I777" s="8">
        <v>104000</v>
      </c>
      <c r="J777" s="8">
        <v>-4000</v>
      </c>
      <c r="K777" s="9">
        <v>-4</v>
      </c>
      <c r="L777" s="6"/>
    </row>
    <row r="778" spans="1:12" ht="21" customHeight="1" x14ac:dyDescent="0.3">
      <c r="A778" s="10"/>
      <c r="B778" s="3" t="s">
        <v>17</v>
      </c>
      <c r="C778" s="4" t="s">
        <v>18</v>
      </c>
      <c r="D778" s="4" t="s">
        <v>19</v>
      </c>
      <c r="E778" s="4" t="s">
        <v>11</v>
      </c>
      <c r="F778" s="3" t="s">
        <v>20</v>
      </c>
    </row>
    <row r="779" spans="1:12" ht="21" customHeight="1" x14ac:dyDescent="0.3">
      <c r="A779" s="10"/>
      <c r="B779" s="11" t="s">
        <v>24</v>
      </c>
      <c r="C779" s="9">
        <v>20</v>
      </c>
      <c r="D779" s="8">
        <v>5000</v>
      </c>
      <c r="E779" s="8">
        <v>104000</v>
      </c>
      <c r="F779" s="13"/>
    </row>
    <row r="780" spans="1:12" ht="21" customHeight="1" x14ac:dyDescent="0.3">
      <c r="A780" s="10"/>
      <c r="B780" s="14"/>
      <c r="C780" s="15"/>
      <c r="D780" s="15"/>
      <c r="E780" s="15"/>
      <c r="F780" s="14"/>
    </row>
    <row r="781" spans="1:12" ht="21" customHeight="1" x14ac:dyDescent="0.3">
      <c r="A781" s="16">
        <v>46217</v>
      </c>
      <c r="B781" s="6" t="s">
        <v>104</v>
      </c>
      <c r="C781" s="7" t="s">
        <v>227</v>
      </c>
      <c r="D781" s="6"/>
      <c r="E781" s="8">
        <v>106000</v>
      </c>
      <c r="F781" s="9">
        <v>0</v>
      </c>
      <c r="G781" s="8">
        <v>106000</v>
      </c>
      <c r="H781" s="8">
        <v>106000</v>
      </c>
      <c r="I781" s="8">
        <v>104000</v>
      </c>
      <c r="J781" s="8">
        <v>2000</v>
      </c>
      <c r="K781" s="9">
        <v>2</v>
      </c>
      <c r="L781" s="6"/>
    </row>
    <row r="782" spans="1:12" ht="21" customHeight="1" x14ac:dyDescent="0.3">
      <c r="A782" s="10"/>
      <c r="B782" s="3" t="s">
        <v>17</v>
      </c>
      <c r="C782" s="4" t="s">
        <v>18</v>
      </c>
      <c r="D782" s="4" t="s">
        <v>19</v>
      </c>
      <c r="E782" s="4" t="s">
        <v>11</v>
      </c>
      <c r="F782" s="3" t="s">
        <v>20</v>
      </c>
    </row>
    <row r="783" spans="1:12" ht="21" customHeight="1" x14ac:dyDescent="0.3">
      <c r="A783" s="10"/>
      <c r="B783" s="11" t="s">
        <v>24</v>
      </c>
      <c r="C783" s="9">
        <v>20</v>
      </c>
      <c r="D783" s="8">
        <v>5300</v>
      </c>
      <c r="E783" s="8">
        <v>104000</v>
      </c>
      <c r="F783" s="13"/>
    </row>
    <row r="784" spans="1:12" ht="21" customHeight="1" x14ac:dyDescent="0.3">
      <c r="A784" s="10"/>
      <c r="B784" s="14"/>
      <c r="C784" s="15"/>
      <c r="D784" s="15"/>
      <c r="E784" s="15"/>
      <c r="F784" s="14"/>
    </row>
    <row r="785" spans="1:12" ht="21" customHeight="1" x14ac:dyDescent="0.3">
      <c r="A785" s="16">
        <v>46217</v>
      </c>
      <c r="B785" s="6" t="s">
        <v>25</v>
      </c>
      <c r="C785" s="7" t="s">
        <v>228</v>
      </c>
      <c r="D785" s="6"/>
      <c r="E785" s="8">
        <v>835385</v>
      </c>
      <c r="F785" s="8">
        <v>835385</v>
      </c>
      <c r="G785" s="9">
        <v>0</v>
      </c>
      <c r="H785" s="8">
        <v>835385</v>
      </c>
      <c r="I785" s="8">
        <v>835426</v>
      </c>
      <c r="J785" s="9">
        <v>-41</v>
      </c>
      <c r="K785" s="9">
        <v>0</v>
      </c>
      <c r="L785" s="6"/>
    </row>
    <row r="786" spans="1:12" ht="21" customHeight="1" x14ac:dyDescent="0.3">
      <c r="A786" s="10"/>
      <c r="B786" s="3" t="s">
        <v>17</v>
      </c>
      <c r="C786" s="4" t="s">
        <v>18</v>
      </c>
      <c r="D786" s="4" t="s">
        <v>19</v>
      </c>
      <c r="E786" s="4" t="s">
        <v>11</v>
      </c>
      <c r="F786" s="3" t="s">
        <v>20</v>
      </c>
    </row>
    <row r="787" spans="1:12" ht="21" customHeight="1" x14ac:dyDescent="0.3">
      <c r="A787" s="10"/>
      <c r="B787" s="11" t="s">
        <v>32</v>
      </c>
      <c r="C787" s="9">
        <v>5</v>
      </c>
      <c r="D787" s="8">
        <v>16145</v>
      </c>
      <c r="E787" s="8">
        <v>76236</v>
      </c>
      <c r="F787" s="13"/>
    </row>
    <row r="788" spans="1:12" ht="21" customHeight="1" x14ac:dyDescent="0.3">
      <c r="A788" s="10"/>
      <c r="B788" s="11" t="s">
        <v>35</v>
      </c>
      <c r="C788" s="9">
        <v>3</v>
      </c>
      <c r="D788" s="8">
        <v>21170</v>
      </c>
      <c r="E788" s="8">
        <v>61215</v>
      </c>
      <c r="F788" s="13"/>
    </row>
    <row r="789" spans="1:12" ht="21" customHeight="1" x14ac:dyDescent="0.3">
      <c r="A789" s="10"/>
      <c r="B789" s="11" t="s">
        <v>229</v>
      </c>
      <c r="C789" s="9">
        <v>5</v>
      </c>
      <c r="D789" s="8">
        <v>15490</v>
      </c>
      <c r="E789" s="8">
        <v>70000</v>
      </c>
      <c r="F789" s="13"/>
    </row>
    <row r="790" spans="1:12" ht="21" customHeight="1" x14ac:dyDescent="0.3">
      <c r="A790" s="10"/>
      <c r="B790" s="11" t="s">
        <v>34</v>
      </c>
      <c r="C790" s="9">
        <v>5</v>
      </c>
      <c r="D790" s="8">
        <v>22740</v>
      </c>
      <c r="E790" s="8">
        <v>107975</v>
      </c>
      <c r="F790" s="13"/>
    </row>
    <row r="791" spans="1:12" ht="21" customHeight="1" x14ac:dyDescent="0.3">
      <c r="A791" s="10"/>
      <c r="B791" s="11" t="s">
        <v>24</v>
      </c>
      <c r="C791" s="9">
        <v>100</v>
      </c>
      <c r="D791" s="8">
        <v>5000</v>
      </c>
      <c r="E791" s="8">
        <v>520000</v>
      </c>
      <c r="F791" s="13"/>
    </row>
    <row r="792" spans="1:12" ht="21" customHeight="1" x14ac:dyDescent="0.3">
      <c r="A792" s="10"/>
      <c r="B792" s="14"/>
      <c r="C792" s="15"/>
      <c r="D792" s="15"/>
      <c r="E792" s="15"/>
      <c r="F792" s="14"/>
    </row>
    <row r="793" spans="1:12" ht="21" customHeight="1" x14ac:dyDescent="0.3">
      <c r="A793" s="16">
        <v>46217</v>
      </c>
      <c r="B793" s="6" t="s">
        <v>95</v>
      </c>
      <c r="C793" s="7" t="s">
        <v>230</v>
      </c>
      <c r="D793" s="6"/>
      <c r="E793" s="8">
        <v>250000</v>
      </c>
      <c r="F793" s="8">
        <v>100000</v>
      </c>
      <c r="G793" s="8">
        <v>150000</v>
      </c>
      <c r="H793" s="8">
        <v>250000</v>
      </c>
      <c r="I793" s="8">
        <v>260000</v>
      </c>
      <c r="J793" s="8">
        <v>-10000</v>
      </c>
      <c r="K793" s="9">
        <v>-4</v>
      </c>
      <c r="L793" s="6"/>
    </row>
    <row r="794" spans="1:12" ht="21" customHeight="1" x14ac:dyDescent="0.3">
      <c r="A794" s="10"/>
      <c r="B794" s="3" t="s">
        <v>17</v>
      </c>
      <c r="C794" s="4" t="s">
        <v>18</v>
      </c>
      <c r="D794" s="4" t="s">
        <v>19</v>
      </c>
      <c r="E794" s="4" t="s">
        <v>11</v>
      </c>
      <c r="F794" s="3" t="s">
        <v>20</v>
      </c>
    </row>
    <row r="795" spans="1:12" ht="21" customHeight="1" x14ac:dyDescent="0.3">
      <c r="A795" s="10"/>
      <c r="B795" s="11" t="s">
        <v>24</v>
      </c>
      <c r="C795" s="9">
        <v>50</v>
      </c>
      <c r="D795" s="8">
        <v>5000</v>
      </c>
      <c r="E795" s="8">
        <v>260000</v>
      </c>
      <c r="F795" s="13"/>
    </row>
    <row r="796" spans="1:12" ht="21" customHeight="1" x14ac:dyDescent="0.3">
      <c r="A796" s="10"/>
      <c r="B796" s="14"/>
      <c r="C796" s="15"/>
      <c r="D796" s="15"/>
      <c r="E796" s="15"/>
      <c r="F796" s="14"/>
    </row>
    <row r="797" spans="1:12" ht="21" customHeight="1" x14ac:dyDescent="0.3">
      <c r="A797" s="16">
        <v>46217</v>
      </c>
      <c r="B797" s="6" t="s">
        <v>231</v>
      </c>
      <c r="C797" s="7" t="s">
        <v>232</v>
      </c>
      <c r="D797" s="6"/>
      <c r="E797" s="8">
        <v>4538140</v>
      </c>
      <c r="F797" s="8">
        <v>4538140</v>
      </c>
      <c r="G797" s="9">
        <v>0</v>
      </c>
      <c r="H797" s="8">
        <v>4538140</v>
      </c>
      <c r="I797" s="8">
        <v>4253330</v>
      </c>
      <c r="J797" s="8">
        <v>284810</v>
      </c>
      <c r="K797" s="9">
        <v>6</v>
      </c>
      <c r="L797" s="6" t="s">
        <v>233</v>
      </c>
    </row>
    <row r="798" spans="1:12" ht="21" customHeight="1" x14ac:dyDescent="0.3">
      <c r="A798" s="10"/>
      <c r="B798" s="3" t="s">
        <v>17</v>
      </c>
      <c r="C798" s="4" t="s">
        <v>18</v>
      </c>
      <c r="D798" s="4" t="s">
        <v>19</v>
      </c>
      <c r="E798" s="4" t="s">
        <v>11</v>
      </c>
      <c r="F798" s="3" t="s">
        <v>20</v>
      </c>
    </row>
    <row r="799" spans="1:12" ht="21" customHeight="1" x14ac:dyDescent="0.3">
      <c r="A799" s="10"/>
      <c r="B799" s="11" t="s">
        <v>22</v>
      </c>
      <c r="C799" s="9">
        <v>140</v>
      </c>
      <c r="D799" s="8">
        <v>8990</v>
      </c>
      <c r="E799" s="8">
        <v>1211944</v>
      </c>
      <c r="F799" s="13"/>
    </row>
    <row r="800" spans="1:12" ht="21" customHeight="1" x14ac:dyDescent="0.3">
      <c r="A800" s="10"/>
      <c r="B800" s="11" t="s">
        <v>44</v>
      </c>
      <c r="C800" s="9">
        <v>70</v>
      </c>
      <c r="D800" s="8">
        <v>8990</v>
      </c>
      <c r="E800" s="8">
        <v>629300</v>
      </c>
      <c r="F800" s="13"/>
    </row>
    <row r="801" spans="1:12" ht="21" customHeight="1" x14ac:dyDescent="0.3">
      <c r="A801" s="10"/>
      <c r="B801" s="11" t="s">
        <v>45</v>
      </c>
      <c r="C801" s="9">
        <v>70</v>
      </c>
      <c r="D801" s="8">
        <v>13332</v>
      </c>
      <c r="E801" s="8">
        <v>892274</v>
      </c>
      <c r="F801" s="13"/>
    </row>
    <row r="802" spans="1:12" ht="21" customHeight="1" x14ac:dyDescent="0.3">
      <c r="A802" s="10"/>
      <c r="B802" s="11" t="s">
        <v>37</v>
      </c>
      <c r="C802" s="9">
        <v>70</v>
      </c>
      <c r="D802" s="8">
        <v>8900</v>
      </c>
      <c r="E802" s="8">
        <v>596750</v>
      </c>
      <c r="F802" s="13"/>
    </row>
    <row r="803" spans="1:12" ht="21" customHeight="1" x14ac:dyDescent="0.3">
      <c r="A803" s="10"/>
      <c r="B803" s="11" t="s">
        <v>181</v>
      </c>
      <c r="C803" s="9">
        <v>60</v>
      </c>
      <c r="D803" s="8">
        <v>16900</v>
      </c>
      <c r="E803" s="8">
        <v>981000</v>
      </c>
      <c r="F803" s="13"/>
    </row>
    <row r="804" spans="1:12" ht="21" customHeight="1" x14ac:dyDescent="0.3">
      <c r="A804" s="10"/>
      <c r="B804" s="11" t="s">
        <v>49</v>
      </c>
      <c r="C804" s="9">
        <v>16</v>
      </c>
      <c r="D804" s="8">
        <v>5000</v>
      </c>
      <c r="E804" s="8">
        <v>-57938</v>
      </c>
      <c r="F804" s="13"/>
    </row>
    <row r="805" spans="1:12" ht="21" customHeight="1" x14ac:dyDescent="0.3">
      <c r="A805" s="10"/>
      <c r="B805" s="14"/>
      <c r="C805" s="15"/>
      <c r="D805" s="15"/>
      <c r="E805" s="15"/>
      <c r="F805" s="14"/>
    </row>
    <row r="806" spans="1:12" ht="21" customHeight="1" x14ac:dyDescent="0.3">
      <c r="A806" s="16">
        <v>46217</v>
      </c>
      <c r="B806" s="6" t="s">
        <v>15</v>
      </c>
      <c r="C806" s="7" t="s">
        <v>234</v>
      </c>
      <c r="D806" s="6"/>
      <c r="E806" s="8">
        <v>314600</v>
      </c>
      <c r="F806" s="8">
        <v>314600</v>
      </c>
      <c r="G806" s="9">
        <v>0</v>
      </c>
      <c r="H806" s="8">
        <v>314600</v>
      </c>
      <c r="I806" s="8">
        <v>299413</v>
      </c>
      <c r="J806" s="8">
        <v>15187</v>
      </c>
      <c r="K806" s="9">
        <v>5</v>
      </c>
      <c r="L806" s="6"/>
    </row>
    <row r="807" spans="1:12" ht="21" customHeight="1" x14ac:dyDescent="0.3">
      <c r="A807" s="10"/>
      <c r="B807" s="3" t="s">
        <v>17</v>
      </c>
      <c r="C807" s="4" t="s">
        <v>18</v>
      </c>
      <c r="D807" s="4" t="s">
        <v>19</v>
      </c>
      <c r="E807" s="4" t="s">
        <v>11</v>
      </c>
      <c r="F807" s="3" t="s">
        <v>20</v>
      </c>
    </row>
    <row r="808" spans="1:12" ht="21" customHeight="1" x14ac:dyDescent="0.3">
      <c r="A808" s="10"/>
      <c r="B808" s="11" t="s">
        <v>21</v>
      </c>
      <c r="C808" s="9">
        <v>3</v>
      </c>
      <c r="D808" s="8">
        <v>9000</v>
      </c>
      <c r="E808" s="8">
        <v>24366</v>
      </c>
      <c r="F808" s="13"/>
    </row>
    <row r="809" spans="1:12" ht="21" customHeight="1" x14ac:dyDescent="0.3">
      <c r="A809" s="10"/>
      <c r="B809" s="11" t="s">
        <v>235</v>
      </c>
      <c r="C809" s="9">
        <v>8</v>
      </c>
      <c r="D809" s="8">
        <v>9700</v>
      </c>
      <c r="E809" s="8">
        <v>74240</v>
      </c>
      <c r="F809" s="13"/>
    </row>
    <row r="810" spans="1:12" ht="21" customHeight="1" x14ac:dyDescent="0.3">
      <c r="A810" s="10"/>
      <c r="B810" s="11" t="s">
        <v>37</v>
      </c>
      <c r="C810" s="9">
        <v>2</v>
      </c>
      <c r="D810" s="8">
        <v>9200</v>
      </c>
      <c r="E810" s="8">
        <v>17050</v>
      </c>
      <c r="F810" s="13"/>
    </row>
    <row r="811" spans="1:12" ht="21" customHeight="1" x14ac:dyDescent="0.3">
      <c r="A811" s="10"/>
      <c r="B811" s="11" t="s">
        <v>22</v>
      </c>
      <c r="C811" s="9">
        <v>3</v>
      </c>
      <c r="D811" s="8">
        <v>9200</v>
      </c>
      <c r="E811" s="8">
        <v>25970</v>
      </c>
      <c r="F811" s="13"/>
    </row>
    <row r="812" spans="1:12" ht="21" customHeight="1" x14ac:dyDescent="0.3">
      <c r="A812" s="10"/>
      <c r="B812" s="11" t="s">
        <v>45</v>
      </c>
      <c r="C812" s="9">
        <v>4</v>
      </c>
      <c r="D812" s="8">
        <v>13350</v>
      </c>
      <c r="E812" s="8">
        <v>50987</v>
      </c>
      <c r="F812" s="13"/>
    </row>
    <row r="813" spans="1:12" ht="21" customHeight="1" x14ac:dyDescent="0.3">
      <c r="A813" s="10"/>
      <c r="B813" s="11" t="s">
        <v>36</v>
      </c>
      <c r="C813" s="9">
        <v>3</v>
      </c>
      <c r="D813" s="8">
        <v>15500</v>
      </c>
      <c r="E813" s="8">
        <v>44700</v>
      </c>
      <c r="F813" s="13"/>
    </row>
    <row r="814" spans="1:12" ht="21" customHeight="1" x14ac:dyDescent="0.3">
      <c r="A814" s="10"/>
      <c r="B814" s="11" t="s">
        <v>43</v>
      </c>
      <c r="C814" s="9">
        <v>1</v>
      </c>
      <c r="D814" s="8">
        <v>18100</v>
      </c>
      <c r="E814" s="8">
        <v>17150</v>
      </c>
      <c r="F814" s="13"/>
    </row>
    <row r="815" spans="1:12" ht="21" customHeight="1" x14ac:dyDescent="0.3">
      <c r="A815" s="10"/>
      <c r="B815" s="11" t="s">
        <v>44</v>
      </c>
      <c r="C815" s="9">
        <v>5</v>
      </c>
      <c r="D815" s="8">
        <v>9200</v>
      </c>
      <c r="E815" s="8">
        <v>44950</v>
      </c>
      <c r="F815" s="13"/>
    </row>
    <row r="816" spans="1:12" ht="21" customHeight="1" x14ac:dyDescent="0.3">
      <c r="A816" s="10"/>
      <c r="B816" s="14"/>
      <c r="C816" s="15"/>
      <c r="D816" s="15"/>
      <c r="E816" s="15"/>
      <c r="F816" s="14"/>
    </row>
    <row r="817" spans="1:12" ht="21" customHeight="1" x14ac:dyDescent="0.3">
      <c r="A817" s="16">
        <v>46217</v>
      </c>
      <c r="B817" s="6" t="s">
        <v>29</v>
      </c>
      <c r="C817" s="7" t="s">
        <v>236</v>
      </c>
      <c r="D817" s="6"/>
      <c r="E817" s="8">
        <v>439950</v>
      </c>
      <c r="F817" s="8">
        <v>439950</v>
      </c>
      <c r="G817" s="9">
        <v>0</v>
      </c>
      <c r="H817" s="8">
        <v>439950</v>
      </c>
      <c r="I817" s="8">
        <v>419212</v>
      </c>
      <c r="J817" s="8">
        <v>20738</v>
      </c>
      <c r="K817" s="9">
        <v>5</v>
      </c>
      <c r="L817" s="6"/>
    </row>
    <row r="818" spans="1:12" ht="21" customHeight="1" x14ac:dyDescent="0.3">
      <c r="A818" s="10"/>
      <c r="B818" s="3" t="s">
        <v>17</v>
      </c>
      <c r="C818" s="4" t="s">
        <v>18</v>
      </c>
      <c r="D818" s="4" t="s">
        <v>19</v>
      </c>
      <c r="E818" s="4" t="s">
        <v>11</v>
      </c>
      <c r="F818" s="3" t="s">
        <v>20</v>
      </c>
    </row>
    <row r="819" spans="1:12" ht="21" customHeight="1" x14ac:dyDescent="0.3">
      <c r="A819" s="10"/>
      <c r="B819" s="11" t="s">
        <v>22</v>
      </c>
      <c r="C819" s="9">
        <v>30</v>
      </c>
      <c r="D819" s="8">
        <v>8800</v>
      </c>
      <c r="E819" s="8">
        <v>259702</v>
      </c>
      <c r="F819" s="13"/>
    </row>
    <row r="820" spans="1:12" ht="21" customHeight="1" x14ac:dyDescent="0.3">
      <c r="A820" s="10"/>
      <c r="B820" s="11" t="s">
        <v>37</v>
      </c>
      <c r="C820" s="9">
        <v>5</v>
      </c>
      <c r="D820" s="8">
        <v>8880</v>
      </c>
      <c r="E820" s="8">
        <v>42625</v>
      </c>
      <c r="F820" s="13"/>
    </row>
    <row r="821" spans="1:12" ht="21" customHeight="1" x14ac:dyDescent="0.3">
      <c r="A821" s="10"/>
      <c r="B821" s="11" t="s">
        <v>65</v>
      </c>
      <c r="C821" s="9">
        <v>5</v>
      </c>
      <c r="D821" s="8">
        <v>11910</v>
      </c>
      <c r="E821" s="8">
        <v>56575</v>
      </c>
      <c r="F821" s="13"/>
    </row>
    <row r="822" spans="1:12" ht="21" customHeight="1" x14ac:dyDescent="0.3">
      <c r="A822" s="10"/>
      <c r="B822" s="11" t="s">
        <v>38</v>
      </c>
      <c r="C822" s="9">
        <v>40</v>
      </c>
      <c r="D822" s="8">
        <v>1800</v>
      </c>
      <c r="E822" s="8">
        <v>60310</v>
      </c>
      <c r="F822" s="13"/>
    </row>
    <row r="823" spans="1:12" ht="21" customHeight="1" x14ac:dyDescent="0.3">
      <c r="A823" s="10"/>
      <c r="B823" s="14"/>
      <c r="C823" s="15"/>
      <c r="D823" s="15"/>
      <c r="E823" s="15"/>
      <c r="F823" s="14"/>
    </row>
    <row r="824" spans="1:12" ht="21" customHeight="1" x14ac:dyDescent="0.3">
      <c r="A824" s="16">
        <v>46217</v>
      </c>
      <c r="B824" s="6" t="s">
        <v>237</v>
      </c>
      <c r="C824" s="7" t="s">
        <v>238</v>
      </c>
      <c r="D824" s="6"/>
      <c r="E824" s="8">
        <v>110040</v>
      </c>
      <c r="F824" s="8">
        <v>110040</v>
      </c>
      <c r="G824" s="9">
        <v>0</v>
      </c>
      <c r="H824" s="8">
        <v>110040</v>
      </c>
      <c r="I824" s="8">
        <v>100282</v>
      </c>
      <c r="J824" s="8">
        <v>9758</v>
      </c>
      <c r="K824" s="9">
        <v>9</v>
      </c>
      <c r="L824" s="6"/>
    </row>
    <row r="825" spans="1:12" ht="21" customHeight="1" x14ac:dyDescent="0.3">
      <c r="A825" s="10"/>
      <c r="B825" s="3" t="s">
        <v>17</v>
      </c>
      <c r="C825" s="4" t="s">
        <v>18</v>
      </c>
      <c r="D825" s="4" t="s">
        <v>19</v>
      </c>
      <c r="E825" s="4" t="s">
        <v>11</v>
      </c>
      <c r="F825" s="3" t="s">
        <v>20</v>
      </c>
    </row>
    <row r="826" spans="1:12" ht="21" customHeight="1" x14ac:dyDescent="0.3">
      <c r="A826" s="10"/>
      <c r="B826" s="11" t="s">
        <v>34</v>
      </c>
      <c r="C826" s="9">
        <v>1</v>
      </c>
      <c r="D826" s="8">
        <v>22740</v>
      </c>
      <c r="E826" s="8">
        <v>21595</v>
      </c>
      <c r="F826" s="13"/>
    </row>
    <row r="827" spans="1:12" ht="21" customHeight="1" x14ac:dyDescent="0.3">
      <c r="A827" s="10"/>
      <c r="B827" s="11" t="s">
        <v>113</v>
      </c>
      <c r="C827" s="9">
        <v>2</v>
      </c>
      <c r="D827" s="8">
        <v>15115</v>
      </c>
      <c r="E827" s="8">
        <v>28950</v>
      </c>
      <c r="F827" s="13"/>
    </row>
    <row r="828" spans="1:12" ht="21" customHeight="1" x14ac:dyDescent="0.3">
      <c r="A828" s="10"/>
      <c r="B828" s="11" t="s">
        <v>44</v>
      </c>
      <c r="C828" s="9">
        <v>2</v>
      </c>
      <c r="D828" s="8">
        <v>9200</v>
      </c>
      <c r="E828" s="8">
        <v>17980</v>
      </c>
      <c r="F828" s="13"/>
    </row>
    <row r="829" spans="1:12" ht="21" customHeight="1" x14ac:dyDescent="0.3">
      <c r="A829" s="10"/>
      <c r="B829" s="11" t="s">
        <v>45</v>
      </c>
      <c r="C829" s="9">
        <v>2</v>
      </c>
      <c r="D829" s="8">
        <v>13335</v>
      </c>
      <c r="E829" s="8">
        <v>25494</v>
      </c>
      <c r="F829" s="13"/>
    </row>
    <row r="830" spans="1:12" ht="21" customHeight="1" x14ac:dyDescent="0.3">
      <c r="A830" s="10"/>
      <c r="B830" s="11" t="s">
        <v>148</v>
      </c>
      <c r="C830" s="9">
        <v>2</v>
      </c>
      <c r="D830" s="8">
        <v>2000</v>
      </c>
      <c r="E830" s="9">
        <v>232</v>
      </c>
      <c r="F830" s="13"/>
    </row>
    <row r="831" spans="1:12" ht="21" customHeight="1" x14ac:dyDescent="0.3">
      <c r="A831" s="10"/>
      <c r="B831" s="11" t="s">
        <v>38</v>
      </c>
      <c r="C831" s="9">
        <v>4</v>
      </c>
      <c r="D831" s="8">
        <v>2000</v>
      </c>
      <c r="E831" s="8">
        <v>6031</v>
      </c>
      <c r="F831" s="13"/>
    </row>
    <row r="832" spans="1:12" ht="21" customHeight="1" x14ac:dyDescent="0.3">
      <c r="A832" s="10"/>
      <c r="B832" s="14"/>
      <c r="C832" s="15"/>
      <c r="D832" s="15"/>
      <c r="E832" s="15"/>
      <c r="F832" s="14"/>
    </row>
    <row r="833" spans="1:12" ht="21" customHeight="1" x14ac:dyDescent="0.3">
      <c r="A833" s="16">
        <v>46217</v>
      </c>
      <c r="B833" s="6" t="s">
        <v>157</v>
      </c>
      <c r="C833" s="7" t="s">
        <v>239</v>
      </c>
      <c r="D833" s="6"/>
      <c r="E833" s="8">
        <v>447500</v>
      </c>
      <c r="F833" s="8">
        <v>447500</v>
      </c>
      <c r="G833" s="9">
        <v>0</v>
      </c>
      <c r="H833" s="8">
        <v>447500</v>
      </c>
      <c r="I833" s="8">
        <v>453125</v>
      </c>
      <c r="J833" s="8">
        <v>-5625</v>
      </c>
      <c r="K833" s="9">
        <v>-1</v>
      </c>
      <c r="L833" s="6"/>
    </row>
    <row r="834" spans="1:12" ht="21" customHeight="1" x14ac:dyDescent="0.3">
      <c r="A834" s="10"/>
      <c r="B834" s="3" t="s">
        <v>17</v>
      </c>
      <c r="C834" s="4" t="s">
        <v>18</v>
      </c>
      <c r="D834" s="4" t="s">
        <v>19</v>
      </c>
      <c r="E834" s="4" t="s">
        <v>11</v>
      </c>
      <c r="F834" s="3" t="s">
        <v>20</v>
      </c>
    </row>
    <row r="835" spans="1:12" ht="21" customHeight="1" x14ac:dyDescent="0.3">
      <c r="A835" s="10"/>
      <c r="B835" s="11" t="s">
        <v>24</v>
      </c>
      <c r="C835" s="9">
        <v>60</v>
      </c>
      <c r="D835" s="8">
        <v>5000</v>
      </c>
      <c r="E835" s="8">
        <v>312000</v>
      </c>
      <c r="F835" s="13"/>
    </row>
    <row r="836" spans="1:12" ht="21" customHeight="1" x14ac:dyDescent="0.3">
      <c r="A836" s="10"/>
      <c r="B836" s="11" t="s">
        <v>27</v>
      </c>
      <c r="C836" s="9">
        <v>10</v>
      </c>
      <c r="D836" s="8">
        <v>8020</v>
      </c>
      <c r="E836" s="8">
        <v>76850</v>
      </c>
      <c r="F836" s="13"/>
    </row>
    <row r="837" spans="1:12" ht="21" customHeight="1" x14ac:dyDescent="0.3">
      <c r="A837" s="10"/>
      <c r="B837" s="11" t="s">
        <v>70</v>
      </c>
      <c r="C837" s="9">
        <v>5</v>
      </c>
      <c r="D837" s="8">
        <v>13460</v>
      </c>
      <c r="E837" s="8">
        <v>64275</v>
      </c>
      <c r="F837" s="13"/>
    </row>
    <row r="838" spans="1:12" ht="21" customHeight="1" x14ac:dyDescent="0.3">
      <c r="A838" s="10"/>
      <c r="B838" s="14"/>
      <c r="C838" s="15"/>
      <c r="D838" s="15"/>
      <c r="E838" s="15"/>
      <c r="F838" s="14"/>
    </row>
    <row r="839" spans="1:12" ht="21" customHeight="1" x14ac:dyDescent="0.3">
      <c r="A839" s="23">
        <v>46218</v>
      </c>
      <c r="B839" s="6" t="s">
        <v>75</v>
      </c>
      <c r="C839" s="7" t="s">
        <v>240</v>
      </c>
      <c r="D839" s="6"/>
      <c r="E839" s="8">
        <v>3865320</v>
      </c>
      <c r="F839" s="9">
        <v>0</v>
      </c>
      <c r="G839" s="8">
        <v>3865320</v>
      </c>
      <c r="H839" s="8">
        <v>3865320</v>
      </c>
      <c r="I839" s="8">
        <v>3589564</v>
      </c>
      <c r="J839" s="8">
        <v>275756</v>
      </c>
      <c r="K839" s="9">
        <v>7</v>
      </c>
      <c r="L839" s="6" t="s">
        <v>241</v>
      </c>
    </row>
    <row r="840" spans="1:12" ht="21" customHeight="1" x14ac:dyDescent="0.3">
      <c r="A840" s="10"/>
      <c r="B840" s="3" t="s">
        <v>17</v>
      </c>
      <c r="C840" s="4" t="s">
        <v>18</v>
      </c>
      <c r="D840" s="4" t="s">
        <v>19</v>
      </c>
      <c r="E840" s="4" t="s">
        <v>11</v>
      </c>
      <c r="F840" s="3" t="s">
        <v>20</v>
      </c>
    </row>
    <row r="841" spans="1:12" ht="21" customHeight="1" x14ac:dyDescent="0.3">
      <c r="A841" s="10"/>
      <c r="B841" s="11" t="s">
        <v>87</v>
      </c>
      <c r="C841" s="9">
        <v>5</v>
      </c>
      <c r="D841" s="8">
        <v>21485</v>
      </c>
      <c r="E841" s="8">
        <v>102200</v>
      </c>
      <c r="F841" s="13"/>
    </row>
    <row r="842" spans="1:12" ht="21" customHeight="1" x14ac:dyDescent="0.3">
      <c r="A842" s="10"/>
      <c r="B842" s="11" t="s">
        <v>77</v>
      </c>
      <c r="C842" s="9">
        <v>20</v>
      </c>
      <c r="D842" s="8">
        <v>17840</v>
      </c>
      <c r="E842" s="8">
        <v>345300</v>
      </c>
      <c r="F842" s="13"/>
    </row>
    <row r="843" spans="1:12" ht="21" customHeight="1" x14ac:dyDescent="0.3">
      <c r="A843" s="10"/>
      <c r="B843" s="11" t="s">
        <v>45</v>
      </c>
      <c r="C843" s="9">
        <v>15</v>
      </c>
      <c r="D843" s="8">
        <v>13332</v>
      </c>
      <c r="E843" s="8">
        <v>191202</v>
      </c>
      <c r="F843" s="13"/>
    </row>
    <row r="844" spans="1:12" ht="21" customHeight="1" x14ac:dyDescent="0.3">
      <c r="A844" s="10"/>
      <c r="B844" s="11" t="s">
        <v>93</v>
      </c>
      <c r="C844" s="9">
        <v>5</v>
      </c>
      <c r="D844" s="8">
        <v>11600</v>
      </c>
      <c r="E844" s="8">
        <v>55650</v>
      </c>
      <c r="F844" s="13"/>
    </row>
    <row r="845" spans="1:12" ht="21" customHeight="1" x14ac:dyDescent="0.3">
      <c r="A845" s="10"/>
      <c r="B845" s="11" t="s">
        <v>24</v>
      </c>
      <c r="C845" s="9">
        <v>30</v>
      </c>
      <c r="D845" s="8">
        <v>6195</v>
      </c>
      <c r="E845" s="8">
        <v>156000</v>
      </c>
      <c r="F845" s="13"/>
    </row>
    <row r="846" spans="1:12" ht="21" customHeight="1" x14ac:dyDescent="0.3">
      <c r="A846" s="10"/>
      <c r="B846" s="11" t="s">
        <v>27</v>
      </c>
      <c r="C846" s="9">
        <v>20</v>
      </c>
      <c r="D846" s="8">
        <v>8020</v>
      </c>
      <c r="E846" s="8">
        <v>153700</v>
      </c>
      <c r="F846" s="13"/>
    </row>
    <row r="847" spans="1:12" ht="21" customHeight="1" x14ac:dyDescent="0.3">
      <c r="A847" s="10"/>
      <c r="B847" s="11" t="s">
        <v>71</v>
      </c>
      <c r="C847" s="9">
        <v>10</v>
      </c>
      <c r="D847" s="8">
        <v>15945</v>
      </c>
      <c r="E847" s="8">
        <v>153750</v>
      </c>
      <c r="F847" s="13"/>
    </row>
    <row r="848" spans="1:12" ht="21" customHeight="1" x14ac:dyDescent="0.3">
      <c r="A848" s="10"/>
      <c r="B848" s="11" t="s">
        <v>35</v>
      </c>
      <c r="C848" s="9">
        <v>10</v>
      </c>
      <c r="D848" s="8">
        <v>21170</v>
      </c>
      <c r="E848" s="8">
        <v>204050</v>
      </c>
      <c r="F848" s="13"/>
    </row>
    <row r="849" spans="1:12" ht="21" customHeight="1" x14ac:dyDescent="0.3">
      <c r="A849" s="10"/>
      <c r="B849" s="11" t="s">
        <v>32</v>
      </c>
      <c r="C849" s="9">
        <v>10</v>
      </c>
      <c r="D849" s="8">
        <v>16145</v>
      </c>
      <c r="E849" s="8">
        <v>152472</v>
      </c>
      <c r="F849" s="13"/>
    </row>
    <row r="850" spans="1:12" ht="21" customHeight="1" x14ac:dyDescent="0.3">
      <c r="A850" s="10"/>
      <c r="B850" s="11" t="s">
        <v>141</v>
      </c>
      <c r="C850" s="9">
        <v>10</v>
      </c>
      <c r="D850" s="8">
        <v>14145</v>
      </c>
      <c r="E850" s="8">
        <v>135200</v>
      </c>
      <c r="F850" s="13"/>
    </row>
    <row r="851" spans="1:12" ht="21" customHeight="1" x14ac:dyDescent="0.3">
      <c r="A851" s="10"/>
      <c r="B851" s="11" t="s">
        <v>34</v>
      </c>
      <c r="C851" s="9">
        <v>5</v>
      </c>
      <c r="D851" s="8">
        <v>22740</v>
      </c>
      <c r="E851" s="8">
        <v>107975</v>
      </c>
      <c r="F851" s="13"/>
    </row>
    <row r="852" spans="1:12" ht="21" customHeight="1" x14ac:dyDescent="0.3">
      <c r="A852" s="10"/>
      <c r="B852" s="11" t="s">
        <v>70</v>
      </c>
      <c r="C852" s="9">
        <v>50</v>
      </c>
      <c r="D852" s="8">
        <v>13460</v>
      </c>
      <c r="E852" s="8">
        <v>642750</v>
      </c>
      <c r="F852" s="13"/>
    </row>
    <row r="853" spans="1:12" ht="21" customHeight="1" x14ac:dyDescent="0.3">
      <c r="A853" s="10"/>
      <c r="B853" s="11" t="s">
        <v>224</v>
      </c>
      <c r="C853" s="9">
        <v>11</v>
      </c>
      <c r="D853" s="8">
        <v>14430</v>
      </c>
      <c r="E853" s="8">
        <v>153018</v>
      </c>
      <c r="F853" s="13"/>
    </row>
    <row r="854" spans="1:12" ht="21" customHeight="1" x14ac:dyDescent="0.3">
      <c r="A854" s="10"/>
      <c r="B854" s="11" t="s">
        <v>28</v>
      </c>
      <c r="C854" s="9">
        <v>31</v>
      </c>
      <c r="D854" s="8">
        <v>14400</v>
      </c>
      <c r="E854" s="8">
        <v>418543</v>
      </c>
      <c r="F854" s="13"/>
    </row>
    <row r="855" spans="1:12" ht="21" customHeight="1" x14ac:dyDescent="0.3">
      <c r="A855" s="10"/>
      <c r="B855" s="11" t="s">
        <v>178</v>
      </c>
      <c r="C855" s="9">
        <v>10</v>
      </c>
      <c r="D855" s="8">
        <v>23770</v>
      </c>
      <c r="E855" s="8">
        <v>227750</v>
      </c>
      <c r="F855" s="13"/>
    </row>
    <row r="856" spans="1:12" ht="21" customHeight="1" x14ac:dyDescent="0.3">
      <c r="A856" s="10"/>
      <c r="B856" s="11" t="s">
        <v>31</v>
      </c>
      <c r="C856" s="9">
        <v>10</v>
      </c>
      <c r="D856" s="8">
        <v>17845</v>
      </c>
      <c r="E856" s="8">
        <v>171000</v>
      </c>
      <c r="F856" s="13"/>
    </row>
    <row r="857" spans="1:12" ht="21" customHeight="1" x14ac:dyDescent="0.3">
      <c r="A857" s="10"/>
      <c r="B857" s="11" t="s">
        <v>190</v>
      </c>
      <c r="C857" s="9">
        <v>2</v>
      </c>
      <c r="D857" s="8">
        <v>28445</v>
      </c>
      <c r="E857" s="8">
        <v>51860</v>
      </c>
      <c r="F857" s="13"/>
    </row>
    <row r="858" spans="1:12" ht="21" customHeight="1" x14ac:dyDescent="0.3">
      <c r="A858" s="10"/>
      <c r="B858" s="11" t="s">
        <v>56</v>
      </c>
      <c r="C858" s="9">
        <v>2</v>
      </c>
      <c r="D858" s="8">
        <v>24185</v>
      </c>
      <c r="E858" s="8">
        <v>44500</v>
      </c>
      <c r="F858" s="13"/>
    </row>
    <row r="859" spans="1:12" ht="21" customHeight="1" x14ac:dyDescent="0.3">
      <c r="A859" s="10"/>
      <c r="B859" s="11" t="s">
        <v>113</v>
      </c>
      <c r="C859" s="9">
        <v>5</v>
      </c>
      <c r="D859" s="8">
        <v>15115</v>
      </c>
      <c r="E859" s="8">
        <v>72375</v>
      </c>
      <c r="F859" s="13"/>
    </row>
    <row r="860" spans="1:12" ht="21" customHeight="1" x14ac:dyDescent="0.3">
      <c r="A860" s="10"/>
      <c r="B860" s="11" t="s">
        <v>148</v>
      </c>
      <c r="C860" s="9">
        <v>40</v>
      </c>
      <c r="D860" s="8">
        <v>2000</v>
      </c>
      <c r="E860" s="8">
        <v>4848</v>
      </c>
      <c r="F860" s="13"/>
    </row>
    <row r="861" spans="1:12" ht="21" customHeight="1" x14ac:dyDescent="0.3">
      <c r="A861" s="10"/>
      <c r="B861" s="11" t="s">
        <v>38</v>
      </c>
      <c r="C861" s="9">
        <v>30</v>
      </c>
      <c r="D861" s="8">
        <v>1800</v>
      </c>
      <c r="E861" s="8">
        <v>45421</v>
      </c>
      <c r="F861" s="13"/>
    </row>
    <row r="862" spans="1:12" ht="21" customHeight="1" x14ac:dyDescent="0.3">
      <c r="A862" s="10"/>
      <c r="B862" s="14"/>
      <c r="C862" s="15"/>
      <c r="D862" s="15"/>
      <c r="E862" s="15"/>
      <c r="F862" s="14"/>
    </row>
    <row r="863" spans="1:12" ht="21" customHeight="1" x14ac:dyDescent="0.3">
      <c r="A863" s="16">
        <v>46218</v>
      </c>
      <c r="B863" s="6" t="s">
        <v>104</v>
      </c>
      <c r="C863" s="7" t="s">
        <v>242</v>
      </c>
      <c r="D863" s="6"/>
      <c r="E863" s="8">
        <v>20655</v>
      </c>
      <c r="F863" s="9">
        <v>0</v>
      </c>
      <c r="G863" s="8">
        <v>20655</v>
      </c>
      <c r="H863" s="8">
        <v>20655</v>
      </c>
      <c r="I863" s="8">
        <v>19305</v>
      </c>
      <c r="J863" s="8">
        <v>1350</v>
      </c>
      <c r="K863" s="9">
        <v>7</v>
      </c>
      <c r="L863" s="6"/>
    </row>
    <row r="864" spans="1:12" ht="21" customHeight="1" x14ac:dyDescent="0.3">
      <c r="A864" s="10"/>
      <c r="B864" s="3" t="s">
        <v>17</v>
      </c>
      <c r="C864" s="4" t="s">
        <v>18</v>
      </c>
      <c r="D864" s="4" t="s">
        <v>19</v>
      </c>
      <c r="E864" s="4" t="s">
        <v>11</v>
      </c>
      <c r="F864" s="3" t="s">
        <v>20</v>
      </c>
    </row>
    <row r="865" spans="1:12" ht="21" customHeight="1" x14ac:dyDescent="0.3">
      <c r="A865" s="10"/>
      <c r="B865" s="11" t="s">
        <v>62</v>
      </c>
      <c r="C865" s="9">
        <v>1</v>
      </c>
      <c r="D865" s="8">
        <v>20655</v>
      </c>
      <c r="E865" s="8">
        <v>19305</v>
      </c>
      <c r="F865" s="13"/>
    </row>
    <row r="866" spans="1:12" ht="21" customHeight="1" x14ac:dyDescent="0.3">
      <c r="A866" s="10"/>
      <c r="B866" s="14"/>
      <c r="C866" s="15"/>
      <c r="D866" s="15"/>
      <c r="E866" s="15"/>
      <c r="F866" s="14"/>
    </row>
    <row r="867" spans="1:12" ht="21" customHeight="1" x14ac:dyDescent="0.3">
      <c r="A867" s="16">
        <v>46218</v>
      </c>
      <c r="B867" s="6" t="s">
        <v>95</v>
      </c>
      <c r="C867" s="7" t="s">
        <v>243</v>
      </c>
      <c r="D867" s="6"/>
      <c r="E867" s="8">
        <v>87120</v>
      </c>
      <c r="F867" s="9">
        <v>0</v>
      </c>
      <c r="G867" s="8">
        <v>87120</v>
      </c>
      <c r="H867" s="8">
        <v>87120</v>
      </c>
      <c r="I867" s="8">
        <v>83092</v>
      </c>
      <c r="J867" s="8">
        <v>4028</v>
      </c>
      <c r="K867" s="9">
        <v>5</v>
      </c>
      <c r="L867" s="6"/>
    </row>
    <row r="868" spans="1:12" ht="21" customHeight="1" x14ac:dyDescent="0.3">
      <c r="A868" s="10"/>
      <c r="B868" s="3" t="s">
        <v>17</v>
      </c>
      <c r="C868" s="4" t="s">
        <v>18</v>
      </c>
      <c r="D868" s="4" t="s">
        <v>19</v>
      </c>
      <c r="E868" s="4" t="s">
        <v>11</v>
      </c>
      <c r="F868" s="3" t="s">
        <v>20</v>
      </c>
    </row>
    <row r="869" spans="1:12" ht="21" customHeight="1" x14ac:dyDescent="0.3">
      <c r="A869" s="10"/>
      <c r="B869" s="11" t="s">
        <v>69</v>
      </c>
      <c r="C869" s="9">
        <v>1</v>
      </c>
      <c r="D869" s="8">
        <v>14450</v>
      </c>
      <c r="E869" s="8">
        <v>13780</v>
      </c>
      <c r="F869" s="13"/>
    </row>
    <row r="870" spans="1:12" ht="21" customHeight="1" x14ac:dyDescent="0.3">
      <c r="A870" s="10"/>
      <c r="B870" s="11" t="s">
        <v>22</v>
      </c>
      <c r="C870" s="9">
        <v>2</v>
      </c>
      <c r="D870" s="8">
        <v>9200</v>
      </c>
      <c r="E870" s="8">
        <v>17313</v>
      </c>
      <c r="F870" s="13"/>
    </row>
    <row r="871" spans="1:12" ht="21" customHeight="1" x14ac:dyDescent="0.3">
      <c r="A871" s="10"/>
      <c r="B871" s="11" t="s">
        <v>44</v>
      </c>
      <c r="C871" s="9">
        <v>2</v>
      </c>
      <c r="D871" s="8">
        <v>9200</v>
      </c>
      <c r="E871" s="8">
        <v>17980</v>
      </c>
      <c r="F871" s="13"/>
    </row>
    <row r="872" spans="1:12" ht="21" customHeight="1" x14ac:dyDescent="0.3">
      <c r="A872" s="10"/>
      <c r="B872" s="11" t="s">
        <v>37</v>
      </c>
      <c r="C872" s="9">
        <v>1</v>
      </c>
      <c r="D872" s="8">
        <v>9200</v>
      </c>
      <c r="E872" s="8">
        <v>8525</v>
      </c>
      <c r="F872" s="13"/>
    </row>
    <row r="873" spans="1:12" ht="21" customHeight="1" x14ac:dyDescent="0.3">
      <c r="A873" s="10"/>
      <c r="B873" s="11" t="s">
        <v>45</v>
      </c>
      <c r="C873" s="9">
        <v>2</v>
      </c>
      <c r="D873" s="8">
        <v>13335</v>
      </c>
      <c r="E873" s="8">
        <v>25494</v>
      </c>
      <c r="F873" s="13"/>
    </row>
    <row r="874" spans="1:12" ht="21" customHeight="1" x14ac:dyDescent="0.3">
      <c r="A874" s="10"/>
      <c r="B874" s="14"/>
      <c r="C874" s="15"/>
      <c r="D874" s="15"/>
      <c r="E874" s="15"/>
      <c r="F874" s="14"/>
    </row>
    <row r="875" spans="1:12" ht="21" customHeight="1" x14ac:dyDescent="0.3">
      <c r="A875" s="16">
        <v>46218</v>
      </c>
      <c r="B875" s="6" t="s">
        <v>25</v>
      </c>
      <c r="C875" s="7" t="s">
        <v>244</v>
      </c>
      <c r="D875" s="6"/>
      <c r="E875" s="8">
        <v>613000</v>
      </c>
      <c r="F875" s="8">
        <v>613000</v>
      </c>
      <c r="G875" s="9">
        <v>0</v>
      </c>
      <c r="H875" s="8">
        <v>613000</v>
      </c>
      <c r="I875" s="8">
        <v>634028</v>
      </c>
      <c r="J875" s="8">
        <v>-21028</v>
      </c>
      <c r="K875" s="9">
        <v>-3</v>
      </c>
      <c r="L875" s="6"/>
    </row>
    <row r="876" spans="1:12" ht="21" customHeight="1" x14ac:dyDescent="0.3">
      <c r="A876" s="10"/>
      <c r="B876" s="3" t="s">
        <v>17</v>
      </c>
      <c r="C876" s="4" t="s">
        <v>18</v>
      </c>
      <c r="D876" s="4" t="s">
        <v>19</v>
      </c>
      <c r="E876" s="4" t="s">
        <v>11</v>
      </c>
      <c r="F876" s="3" t="s">
        <v>20</v>
      </c>
    </row>
    <row r="877" spans="1:12" ht="21" customHeight="1" x14ac:dyDescent="0.3">
      <c r="A877" s="10"/>
      <c r="B877" s="11" t="s">
        <v>24</v>
      </c>
      <c r="C877" s="9">
        <v>70</v>
      </c>
      <c r="D877" s="8">
        <v>5000</v>
      </c>
      <c r="E877" s="8">
        <v>364000</v>
      </c>
      <c r="F877" s="13"/>
    </row>
    <row r="878" spans="1:12" ht="21" customHeight="1" x14ac:dyDescent="0.3">
      <c r="A878" s="10"/>
      <c r="B878" s="11" t="s">
        <v>28</v>
      </c>
      <c r="C878" s="9">
        <v>20</v>
      </c>
      <c r="D878" s="8">
        <v>13150</v>
      </c>
      <c r="E878" s="8">
        <v>270028</v>
      </c>
      <c r="F878" s="13"/>
    </row>
    <row r="879" spans="1:12" ht="21" customHeight="1" x14ac:dyDescent="0.3">
      <c r="A879" s="10"/>
      <c r="B879" s="14"/>
      <c r="C879" s="15"/>
      <c r="D879" s="15"/>
      <c r="E879" s="15"/>
      <c r="F879" s="14"/>
    </row>
    <row r="880" spans="1:12" ht="21" customHeight="1" x14ac:dyDescent="0.3">
      <c r="A880" s="16">
        <v>46218</v>
      </c>
      <c r="B880" s="6" t="s">
        <v>15</v>
      </c>
      <c r="C880" s="7" t="s">
        <v>245</v>
      </c>
      <c r="D880" s="6"/>
      <c r="E880" s="8">
        <v>40750</v>
      </c>
      <c r="F880" s="9">
        <v>0</v>
      </c>
      <c r="G880" s="8">
        <v>40750</v>
      </c>
      <c r="H880" s="8">
        <v>40750</v>
      </c>
      <c r="I880" s="8">
        <v>38516</v>
      </c>
      <c r="J880" s="8">
        <v>2234</v>
      </c>
      <c r="K880" s="9">
        <v>5</v>
      </c>
      <c r="L880" s="6"/>
    </row>
    <row r="881" spans="1:12" ht="21" customHeight="1" x14ac:dyDescent="0.3">
      <c r="A881" s="10"/>
      <c r="B881" s="3" t="s">
        <v>17</v>
      </c>
      <c r="C881" s="4" t="s">
        <v>18</v>
      </c>
      <c r="D881" s="4" t="s">
        <v>19</v>
      </c>
      <c r="E881" s="4" t="s">
        <v>11</v>
      </c>
      <c r="F881" s="3" t="s">
        <v>20</v>
      </c>
    </row>
    <row r="882" spans="1:12" ht="21" customHeight="1" x14ac:dyDescent="0.3">
      <c r="A882" s="10"/>
      <c r="B882" s="11" t="s">
        <v>45</v>
      </c>
      <c r="C882" s="9">
        <v>1</v>
      </c>
      <c r="D882" s="8">
        <v>13350</v>
      </c>
      <c r="E882" s="8">
        <v>12747</v>
      </c>
      <c r="F882" s="13"/>
    </row>
    <row r="883" spans="1:12" ht="21" customHeight="1" x14ac:dyDescent="0.3">
      <c r="A883" s="10"/>
      <c r="B883" s="11" t="s">
        <v>22</v>
      </c>
      <c r="C883" s="9">
        <v>1</v>
      </c>
      <c r="D883" s="8">
        <v>9200</v>
      </c>
      <c r="E883" s="8">
        <v>8657</v>
      </c>
      <c r="F883" s="13"/>
    </row>
    <row r="884" spans="1:12" ht="21" customHeight="1" x14ac:dyDescent="0.3">
      <c r="A884" s="10"/>
      <c r="B884" s="11" t="s">
        <v>44</v>
      </c>
      <c r="C884" s="9">
        <v>1</v>
      </c>
      <c r="D884" s="8">
        <v>9200</v>
      </c>
      <c r="E884" s="8">
        <v>8990</v>
      </c>
      <c r="F884" s="13"/>
    </row>
    <row r="885" spans="1:12" ht="21" customHeight="1" x14ac:dyDescent="0.3">
      <c r="A885" s="10"/>
      <c r="B885" s="11" t="s">
        <v>21</v>
      </c>
      <c r="C885" s="9">
        <v>1</v>
      </c>
      <c r="D885" s="8">
        <v>9000</v>
      </c>
      <c r="E885" s="8">
        <v>8122</v>
      </c>
      <c r="F885" s="13"/>
    </row>
    <row r="886" spans="1:12" ht="21" customHeight="1" x14ac:dyDescent="0.3">
      <c r="A886" s="29"/>
      <c r="B886" s="14"/>
      <c r="C886" s="15"/>
      <c r="D886" s="15"/>
      <c r="E886" s="15"/>
      <c r="F886" s="14"/>
    </row>
    <row r="887" spans="1:12" ht="21" customHeight="1" x14ac:dyDescent="0.3">
      <c r="A887" s="30" t="s">
        <v>246</v>
      </c>
      <c r="B887" s="31"/>
      <c r="C887" s="31"/>
      <c r="D887" s="32"/>
      <c r="E887" s="4" t="s">
        <v>247</v>
      </c>
      <c r="F887" s="4" t="s">
        <v>248</v>
      </c>
      <c r="G887" s="4" t="s">
        <v>249</v>
      </c>
      <c r="H887" s="4" t="s">
        <v>247</v>
      </c>
      <c r="I887" s="4" t="s">
        <v>250</v>
      </c>
      <c r="J887" s="4" t="s">
        <v>251</v>
      </c>
      <c r="K887" s="4">
        <v>2</v>
      </c>
      <c r="L887" s="3"/>
    </row>
  </sheetData>
  <hyperlinks>
    <hyperlink ref="C5" r:id="rId1" xr:uid="{00000000-0004-0000-0000-000000000000}"/>
    <hyperlink ref="C10" r:id="rId2" xr:uid="{00000000-0004-0000-0000-000001000000}"/>
    <hyperlink ref="C14" r:id="rId3" xr:uid="{00000000-0004-0000-0000-000002000000}"/>
    <hyperlink ref="C20" r:id="rId4" xr:uid="{00000000-0004-0000-0000-000003000000}"/>
    <hyperlink ref="C33" r:id="rId5" xr:uid="{00000000-0004-0000-0000-000004000000}"/>
    <hyperlink ref="C37" r:id="rId6" xr:uid="{00000000-0004-0000-0000-000005000000}"/>
    <hyperlink ref="C41" r:id="rId7" xr:uid="{00000000-0004-0000-0000-000006000000}"/>
    <hyperlink ref="C48" r:id="rId8" xr:uid="{00000000-0004-0000-0000-000007000000}"/>
    <hyperlink ref="C52" r:id="rId9" xr:uid="{00000000-0004-0000-0000-000008000000}"/>
    <hyperlink ref="C58" r:id="rId10" xr:uid="{00000000-0004-0000-0000-000009000000}"/>
    <hyperlink ref="C65" r:id="rId11" xr:uid="{00000000-0004-0000-0000-00000A000000}"/>
    <hyperlink ref="C70" r:id="rId12" xr:uid="{00000000-0004-0000-0000-00000B000000}"/>
    <hyperlink ref="C74" r:id="rId13" xr:uid="{00000000-0004-0000-0000-00000C000000}"/>
    <hyperlink ref="C78" r:id="rId14" xr:uid="{00000000-0004-0000-0000-00000D000000}"/>
    <hyperlink ref="C83" r:id="rId15" xr:uid="{00000000-0004-0000-0000-00000E000000}"/>
    <hyperlink ref="C87" r:id="rId16" xr:uid="{00000000-0004-0000-0000-00000F000000}"/>
    <hyperlink ref="C91" r:id="rId17" xr:uid="{00000000-0004-0000-0000-000010000000}"/>
    <hyperlink ref="C96" r:id="rId18" xr:uid="{00000000-0004-0000-0000-000011000000}"/>
    <hyperlink ref="C103" r:id="rId19" xr:uid="{00000000-0004-0000-0000-000012000000}"/>
    <hyperlink ref="C111" r:id="rId20" xr:uid="{00000000-0004-0000-0000-000013000000}"/>
    <hyperlink ref="C123" r:id="rId21" xr:uid="{00000000-0004-0000-0000-000014000000}"/>
    <hyperlink ref="C128" r:id="rId22" xr:uid="{00000000-0004-0000-0000-000015000000}"/>
    <hyperlink ref="C132" r:id="rId23" xr:uid="{00000000-0004-0000-0000-000016000000}"/>
    <hyperlink ref="C136" r:id="rId24" xr:uid="{00000000-0004-0000-0000-000017000000}"/>
    <hyperlink ref="C140" r:id="rId25" xr:uid="{00000000-0004-0000-0000-000018000000}"/>
    <hyperlink ref="C145" r:id="rId26" xr:uid="{00000000-0004-0000-0000-000019000000}"/>
    <hyperlink ref="C153" r:id="rId27" xr:uid="{00000000-0004-0000-0000-00001A000000}"/>
    <hyperlink ref="C157" r:id="rId28" xr:uid="{00000000-0004-0000-0000-00001B000000}"/>
    <hyperlink ref="C161" r:id="rId29" xr:uid="{00000000-0004-0000-0000-00001C000000}"/>
    <hyperlink ref="C168" r:id="rId30" xr:uid="{00000000-0004-0000-0000-00001D000000}"/>
    <hyperlink ref="C172" r:id="rId31" xr:uid="{00000000-0004-0000-0000-00001E000000}"/>
    <hyperlink ref="C176" r:id="rId32" xr:uid="{00000000-0004-0000-0000-00001F000000}"/>
    <hyperlink ref="C180" r:id="rId33" xr:uid="{00000000-0004-0000-0000-000020000000}"/>
    <hyperlink ref="C185" r:id="rId34" xr:uid="{00000000-0004-0000-0000-000021000000}"/>
    <hyperlink ref="C192" r:id="rId35" xr:uid="{00000000-0004-0000-0000-000022000000}"/>
    <hyperlink ref="C197" r:id="rId36" xr:uid="{00000000-0004-0000-0000-000023000000}"/>
    <hyperlink ref="C201" r:id="rId37" xr:uid="{00000000-0004-0000-0000-000024000000}"/>
    <hyperlink ref="C208" r:id="rId38" xr:uid="{00000000-0004-0000-0000-000025000000}"/>
    <hyperlink ref="C212" r:id="rId39" xr:uid="{00000000-0004-0000-0000-000026000000}"/>
    <hyperlink ref="C217" r:id="rId40" xr:uid="{00000000-0004-0000-0000-000027000000}"/>
    <hyperlink ref="C222" r:id="rId41" xr:uid="{00000000-0004-0000-0000-000028000000}"/>
    <hyperlink ref="C227" r:id="rId42" xr:uid="{00000000-0004-0000-0000-000029000000}"/>
    <hyperlink ref="C231" r:id="rId43" xr:uid="{00000000-0004-0000-0000-00002A000000}"/>
    <hyperlink ref="C240" r:id="rId44" xr:uid="{00000000-0004-0000-0000-00002B000000}"/>
    <hyperlink ref="C248" r:id="rId45" xr:uid="{00000000-0004-0000-0000-00002C000000}"/>
    <hyperlink ref="C252" r:id="rId46" xr:uid="{00000000-0004-0000-0000-00002D000000}"/>
    <hyperlink ref="C256" r:id="rId47" xr:uid="{00000000-0004-0000-0000-00002E000000}"/>
    <hyperlink ref="C264" r:id="rId48" xr:uid="{00000000-0004-0000-0000-00002F000000}"/>
    <hyperlink ref="C269" r:id="rId49" xr:uid="{00000000-0004-0000-0000-000030000000}"/>
    <hyperlink ref="C274" r:id="rId50" xr:uid="{00000000-0004-0000-0000-000031000000}"/>
    <hyperlink ref="C282" r:id="rId51" xr:uid="{00000000-0004-0000-0000-000032000000}"/>
    <hyperlink ref="C288" r:id="rId52" xr:uid="{00000000-0004-0000-0000-000033000000}"/>
    <hyperlink ref="C292" r:id="rId53" xr:uid="{00000000-0004-0000-0000-000034000000}"/>
    <hyperlink ref="C298" r:id="rId54" xr:uid="{00000000-0004-0000-0000-000035000000}"/>
    <hyperlink ref="C302" r:id="rId55" xr:uid="{00000000-0004-0000-0000-000036000000}"/>
    <hyperlink ref="C306" r:id="rId56" xr:uid="{00000000-0004-0000-0000-000037000000}"/>
    <hyperlink ref="C310" r:id="rId57" xr:uid="{00000000-0004-0000-0000-000038000000}"/>
    <hyperlink ref="C317" r:id="rId58" xr:uid="{00000000-0004-0000-0000-000039000000}"/>
    <hyperlink ref="C323" r:id="rId59" xr:uid="{00000000-0004-0000-0000-00003A000000}"/>
    <hyperlink ref="C328" r:id="rId60" xr:uid="{00000000-0004-0000-0000-00003B000000}"/>
    <hyperlink ref="C341" r:id="rId61" xr:uid="{00000000-0004-0000-0000-00003C000000}"/>
    <hyperlink ref="C346" r:id="rId62" xr:uid="{00000000-0004-0000-0000-00003D000000}"/>
    <hyperlink ref="C353" r:id="rId63" xr:uid="{00000000-0004-0000-0000-00003E000000}"/>
    <hyperlink ref="C366" r:id="rId64" xr:uid="{00000000-0004-0000-0000-00003F000000}"/>
    <hyperlink ref="C370" r:id="rId65" xr:uid="{00000000-0004-0000-0000-000040000000}"/>
    <hyperlink ref="C374" r:id="rId66" xr:uid="{00000000-0004-0000-0000-000041000000}"/>
    <hyperlink ref="C378" r:id="rId67" xr:uid="{00000000-0004-0000-0000-000042000000}"/>
    <hyperlink ref="C387" r:id="rId68" xr:uid="{00000000-0004-0000-0000-000043000000}"/>
    <hyperlink ref="C395" r:id="rId69" xr:uid="{00000000-0004-0000-0000-000044000000}"/>
    <hyperlink ref="C400" r:id="rId70" xr:uid="{00000000-0004-0000-0000-000045000000}"/>
    <hyperlink ref="C405" r:id="rId71" xr:uid="{00000000-0004-0000-0000-000046000000}"/>
    <hyperlink ref="C415" r:id="rId72" xr:uid="{00000000-0004-0000-0000-000047000000}"/>
    <hyperlink ref="C419" r:id="rId73" xr:uid="{00000000-0004-0000-0000-000048000000}"/>
    <hyperlink ref="C424" r:id="rId74" xr:uid="{00000000-0004-0000-0000-000049000000}"/>
    <hyperlink ref="C430" r:id="rId75" xr:uid="{00000000-0004-0000-0000-00004A000000}"/>
    <hyperlink ref="C435" r:id="rId76" xr:uid="{00000000-0004-0000-0000-00004B000000}"/>
    <hyperlink ref="C444" r:id="rId77" xr:uid="{00000000-0004-0000-0000-00004C000000}"/>
    <hyperlink ref="C449" r:id="rId78" xr:uid="{00000000-0004-0000-0000-00004D000000}"/>
    <hyperlink ref="C458" r:id="rId79" xr:uid="{00000000-0004-0000-0000-00004E000000}"/>
    <hyperlink ref="C464" r:id="rId80" xr:uid="{00000000-0004-0000-0000-00004F000000}"/>
    <hyperlink ref="C468" r:id="rId81" xr:uid="{00000000-0004-0000-0000-000050000000}"/>
    <hyperlink ref="C472" r:id="rId82" xr:uid="{00000000-0004-0000-0000-000051000000}"/>
    <hyperlink ref="C481" r:id="rId83" xr:uid="{00000000-0004-0000-0000-000052000000}"/>
    <hyperlink ref="C485" r:id="rId84" xr:uid="{00000000-0004-0000-0000-000053000000}"/>
    <hyperlink ref="C489" r:id="rId85" xr:uid="{00000000-0004-0000-0000-000054000000}"/>
    <hyperlink ref="C494" r:id="rId86" xr:uid="{00000000-0004-0000-0000-000055000000}"/>
    <hyperlink ref="C498" r:id="rId87" xr:uid="{00000000-0004-0000-0000-000056000000}"/>
    <hyperlink ref="C513" r:id="rId88" xr:uid="{00000000-0004-0000-0000-000057000000}"/>
    <hyperlink ref="C521" r:id="rId89" xr:uid="{00000000-0004-0000-0000-000058000000}"/>
    <hyperlink ref="C528" r:id="rId90" xr:uid="{00000000-0004-0000-0000-000059000000}"/>
    <hyperlink ref="C535" r:id="rId91" xr:uid="{00000000-0004-0000-0000-00005A000000}"/>
    <hyperlink ref="C540" r:id="rId92" xr:uid="{00000000-0004-0000-0000-00005B000000}"/>
    <hyperlink ref="C547" r:id="rId93" xr:uid="{00000000-0004-0000-0000-00005C000000}"/>
    <hyperlink ref="C563" r:id="rId94" xr:uid="{00000000-0004-0000-0000-00005D000000}"/>
    <hyperlink ref="C568" r:id="rId95" xr:uid="{00000000-0004-0000-0000-00005E000000}"/>
    <hyperlink ref="C579" r:id="rId96" xr:uid="{00000000-0004-0000-0000-00005F000000}"/>
    <hyperlink ref="C585" r:id="rId97" xr:uid="{00000000-0004-0000-0000-000060000000}"/>
    <hyperlink ref="C589" r:id="rId98" xr:uid="{00000000-0004-0000-0000-000061000000}"/>
    <hyperlink ref="C593" r:id="rId99" xr:uid="{00000000-0004-0000-0000-000062000000}"/>
    <hyperlink ref="C599" r:id="rId100" xr:uid="{00000000-0004-0000-0000-000063000000}"/>
    <hyperlink ref="C606" r:id="rId101" xr:uid="{00000000-0004-0000-0000-000064000000}"/>
    <hyperlink ref="C611" r:id="rId102" xr:uid="{00000000-0004-0000-0000-000065000000}"/>
    <hyperlink ref="C616" r:id="rId103" xr:uid="{00000000-0004-0000-0000-000066000000}"/>
    <hyperlink ref="C620" r:id="rId104" xr:uid="{00000000-0004-0000-0000-000067000000}"/>
    <hyperlink ref="C626" r:id="rId105" xr:uid="{00000000-0004-0000-0000-000068000000}"/>
    <hyperlink ref="C630" r:id="rId106" xr:uid="{00000000-0004-0000-0000-000069000000}"/>
    <hyperlink ref="C634" r:id="rId107" xr:uid="{00000000-0004-0000-0000-00006A000000}"/>
    <hyperlink ref="C639" r:id="rId108" xr:uid="{00000000-0004-0000-0000-00006B000000}"/>
    <hyperlink ref="C643" r:id="rId109" xr:uid="{00000000-0004-0000-0000-00006C000000}"/>
    <hyperlink ref="C651" r:id="rId110" xr:uid="{00000000-0004-0000-0000-00006D000000}"/>
    <hyperlink ref="C665" r:id="rId111" xr:uid="{00000000-0004-0000-0000-00006E000000}"/>
    <hyperlink ref="C670" r:id="rId112" xr:uid="{00000000-0004-0000-0000-00006F000000}"/>
    <hyperlink ref="C675" r:id="rId113" xr:uid="{00000000-0004-0000-0000-000070000000}"/>
    <hyperlink ref="C685" r:id="rId114" xr:uid="{00000000-0004-0000-0000-000071000000}"/>
    <hyperlink ref="C698" r:id="rId115" xr:uid="{00000000-0004-0000-0000-000072000000}"/>
    <hyperlink ref="C702" r:id="rId116" xr:uid="{00000000-0004-0000-0000-000073000000}"/>
    <hyperlink ref="C706" r:id="rId117" xr:uid="{00000000-0004-0000-0000-000074000000}"/>
    <hyperlink ref="C710" r:id="rId118" xr:uid="{00000000-0004-0000-0000-000075000000}"/>
    <hyperlink ref="C725" r:id="rId119" xr:uid="{00000000-0004-0000-0000-000076000000}"/>
    <hyperlink ref="C730" r:id="rId120" xr:uid="{00000000-0004-0000-0000-000077000000}"/>
    <hyperlink ref="C735" r:id="rId121" xr:uid="{00000000-0004-0000-0000-000078000000}"/>
    <hyperlink ref="C744" r:id="rId122" xr:uid="{00000000-0004-0000-0000-000079000000}"/>
    <hyperlink ref="C748" r:id="rId123" xr:uid="{00000000-0004-0000-0000-00007A000000}"/>
    <hyperlink ref="C752" r:id="rId124" xr:uid="{00000000-0004-0000-0000-00007B000000}"/>
    <hyperlink ref="C756" r:id="rId125" xr:uid="{00000000-0004-0000-0000-00007C000000}"/>
    <hyperlink ref="C766" r:id="rId126" xr:uid="{00000000-0004-0000-0000-00007D000000}"/>
    <hyperlink ref="C777" r:id="rId127" xr:uid="{00000000-0004-0000-0000-00007E000000}"/>
    <hyperlink ref="C781" r:id="rId128" xr:uid="{00000000-0004-0000-0000-00007F000000}"/>
    <hyperlink ref="C785" r:id="rId129" xr:uid="{00000000-0004-0000-0000-000080000000}"/>
    <hyperlink ref="C793" r:id="rId130" xr:uid="{00000000-0004-0000-0000-000081000000}"/>
    <hyperlink ref="C797" r:id="rId131" xr:uid="{00000000-0004-0000-0000-000082000000}"/>
    <hyperlink ref="C806" r:id="rId132" xr:uid="{00000000-0004-0000-0000-000083000000}"/>
    <hyperlink ref="C817" r:id="rId133" xr:uid="{00000000-0004-0000-0000-000084000000}"/>
    <hyperlink ref="C824" r:id="rId134" xr:uid="{00000000-0004-0000-0000-000085000000}"/>
    <hyperlink ref="C833" r:id="rId135" xr:uid="{00000000-0004-0000-0000-000086000000}"/>
    <hyperlink ref="C839" r:id="rId136" xr:uid="{00000000-0004-0000-0000-000087000000}"/>
    <hyperlink ref="C863" r:id="rId137" xr:uid="{00000000-0004-0000-0000-000088000000}"/>
    <hyperlink ref="C867" r:id="rId138" xr:uid="{00000000-0004-0000-0000-000089000000}"/>
    <hyperlink ref="C875" r:id="rId139" xr:uid="{00000000-0004-0000-0000-00008A000000}"/>
    <hyperlink ref="C880" r:id="rId140" xr:uid="{00000000-0004-0000-0000-00008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7"/>
  <sheetViews>
    <sheetView showGridLines="0" zoomScale="65" zoomScaleNormal="88" workbookViewId="0">
      <selection activeCell="F9" sqref="F9"/>
    </sheetView>
  </sheetViews>
  <sheetFormatPr defaultColWidth="9.14453125" defaultRowHeight="21" x14ac:dyDescent="0.3"/>
  <cols>
    <col min="1" max="1" width="16.140625" style="1" customWidth="1"/>
    <col min="2" max="2" width="36.58984375" style="1" customWidth="1"/>
    <col min="3" max="3" width="13.5859375" style="1" customWidth="1"/>
    <col min="4" max="4" width="19.234375" style="1" customWidth="1"/>
    <col min="5" max="5" width="12.77734375" style="1" customWidth="1"/>
    <col min="6" max="6" width="21.7890625" style="1" customWidth="1"/>
    <col min="7" max="7" width="19.7734375" style="1" customWidth="1"/>
    <col min="8" max="8" width="24.75" style="1" customWidth="1"/>
    <col min="9" max="9" width="17.21875" style="1" customWidth="1"/>
    <col min="10" max="10" width="15.87109375" style="1" customWidth="1"/>
    <col min="11" max="11" width="15.19921875" style="1" customWidth="1"/>
    <col min="12" max="12" width="10.4921875" style="1" customWidth="1"/>
    <col min="13" max="13" width="36.58984375" style="1" customWidth="1"/>
    <col min="14" max="16384" width="9.14453125" style="1"/>
  </cols>
  <sheetData>
    <row r="1" spans="1:13" ht="21" customHeight="1" x14ac:dyDescent="0.3">
      <c r="A1" s="2" t="s">
        <v>0</v>
      </c>
    </row>
    <row r="2" spans="1:13" ht="21" customHeight="1" x14ac:dyDescent="0.3">
      <c r="A2" s="2" t="s">
        <v>1</v>
      </c>
    </row>
    <row r="3" spans="1:13" ht="21.75" customHeight="1" x14ac:dyDescent="0.3">
      <c r="A3" s="1" t="s">
        <v>252</v>
      </c>
    </row>
    <row r="4" spans="1:13" ht="21.75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4" t="s">
        <v>18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</row>
    <row r="5" spans="1:13" ht="21.75" customHeight="1" x14ac:dyDescent="0.3">
      <c r="A5" s="16">
        <v>46219</v>
      </c>
      <c r="B5" s="6" t="s">
        <v>253</v>
      </c>
      <c r="C5" s="7" t="s">
        <v>254</v>
      </c>
      <c r="D5" s="6"/>
      <c r="E5" s="9">
        <v>10</v>
      </c>
      <c r="F5" s="8">
        <v>178125</v>
      </c>
      <c r="G5" s="8">
        <v>178125</v>
      </c>
      <c r="H5" s="9">
        <v>0</v>
      </c>
      <c r="I5" s="8">
        <v>178125</v>
      </c>
      <c r="J5" s="8">
        <v>168575</v>
      </c>
      <c r="K5" s="8">
        <v>9550</v>
      </c>
      <c r="L5" s="9">
        <v>5</v>
      </c>
      <c r="M5" s="6"/>
    </row>
    <row r="6" spans="1:13" ht="21" customHeight="1" x14ac:dyDescent="0.3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1:13" ht="21" customHeight="1" x14ac:dyDescent="0.3">
      <c r="A7" s="10"/>
      <c r="B7" s="11" t="s">
        <v>34</v>
      </c>
      <c r="C7" s="9" t="s">
        <v>255</v>
      </c>
      <c r="D7" s="8">
        <v>22740</v>
      </c>
      <c r="E7" s="8">
        <v>107975</v>
      </c>
      <c r="F7" s="13"/>
    </row>
    <row r="8" spans="1:13" ht="21" customHeight="1" x14ac:dyDescent="0.3">
      <c r="A8" s="10"/>
      <c r="B8" s="11" t="s">
        <v>61</v>
      </c>
      <c r="C8" s="9" t="s">
        <v>255</v>
      </c>
      <c r="D8" s="8">
        <v>12885</v>
      </c>
      <c r="E8" s="8">
        <v>60600</v>
      </c>
      <c r="F8" s="13"/>
    </row>
    <row r="9" spans="1:13" ht="21" customHeight="1" x14ac:dyDescent="0.3">
      <c r="A9" s="10"/>
      <c r="B9" s="14"/>
      <c r="C9" s="15"/>
      <c r="D9" s="15"/>
      <c r="E9" s="15"/>
      <c r="F9" s="14"/>
    </row>
    <row r="10" spans="1:13" ht="21.75" customHeight="1" x14ac:dyDescent="0.3">
      <c r="A10" s="16">
        <v>46219</v>
      </c>
      <c r="B10" s="6" t="s">
        <v>15</v>
      </c>
      <c r="C10" s="7" t="s">
        <v>256</v>
      </c>
      <c r="D10" s="6"/>
      <c r="E10" s="9">
        <v>1</v>
      </c>
      <c r="F10" s="8">
        <v>5300</v>
      </c>
      <c r="G10" s="8">
        <v>5300</v>
      </c>
      <c r="H10" s="9">
        <v>0</v>
      </c>
      <c r="I10" s="8">
        <v>5300</v>
      </c>
      <c r="J10" s="8">
        <v>5200</v>
      </c>
      <c r="K10" s="9">
        <v>100</v>
      </c>
      <c r="L10" s="9">
        <v>2</v>
      </c>
      <c r="M10" s="6"/>
    </row>
    <row r="11" spans="1:13" ht="21" customHeight="1" x14ac:dyDescent="0.3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1:13" ht="21" customHeight="1" x14ac:dyDescent="0.3">
      <c r="A12" s="10"/>
      <c r="B12" s="11" t="s">
        <v>24</v>
      </c>
      <c r="C12" s="9" t="s">
        <v>257</v>
      </c>
      <c r="D12" s="8">
        <v>5300</v>
      </c>
      <c r="E12" s="8">
        <v>5200</v>
      </c>
      <c r="F12" s="13"/>
    </row>
    <row r="13" spans="1:13" ht="21" customHeight="1" x14ac:dyDescent="0.3">
      <c r="A13" s="10"/>
      <c r="B13" s="14"/>
      <c r="C13" s="15"/>
      <c r="D13" s="15"/>
      <c r="E13" s="15"/>
      <c r="F13" s="14"/>
    </row>
    <row r="14" spans="1:13" ht="21.75" customHeight="1" x14ac:dyDescent="0.3">
      <c r="A14" s="16">
        <v>46219</v>
      </c>
      <c r="B14" s="6" t="s">
        <v>50</v>
      </c>
      <c r="C14" s="7" t="s">
        <v>258</v>
      </c>
      <c r="D14" s="6"/>
      <c r="E14" s="9">
        <v>190</v>
      </c>
      <c r="F14" s="8">
        <v>1877025</v>
      </c>
      <c r="G14" s="8">
        <v>1000000</v>
      </c>
      <c r="H14" s="8">
        <v>877025</v>
      </c>
      <c r="I14" s="8">
        <v>1877025</v>
      </c>
      <c r="J14" s="8">
        <v>1892820</v>
      </c>
      <c r="K14" s="8">
        <v>-15795</v>
      </c>
      <c r="L14" s="9">
        <v>-1</v>
      </c>
      <c r="M14" s="6"/>
    </row>
    <row r="15" spans="1:13" ht="21" customHeight="1" x14ac:dyDescent="0.3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1:13" ht="21" customHeight="1" x14ac:dyDescent="0.3">
      <c r="A16" s="10"/>
      <c r="B16" s="11" t="s">
        <v>24</v>
      </c>
      <c r="C16" s="9" t="s">
        <v>259</v>
      </c>
      <c r="D16" s="8">
        <v>5000</v>
      </c>
      <c r="E16" s="8">
        <v>520000</v>
      </c>
      <c r="F16" s="13"/>
    </row>
    <row r="17" spans="1:13" ht="21" customHeight="1" x14ac:dyDescent="0.3">
      <c r="A17" s="10"/>
      <c r="B17" s="11" t="s">
        <v>32</v>
      </c>
      <c r="C17" s="9" t="s">
        <v>260</v>
      </c>
      <c r="D17" s="8">
        <v>15655</v>
      </c>
      <c r="E17" s="8">
        <v>457417</v>
      </c>
      <c r="F17" s="13"/>
    </row>
    <row r="18" spans="1:13" ht="21" customHeight="1" x14ac:dyDescent="0.3">
      <c r="A18" s="10"/>
      <c r="B18" s="11" t="s">
        <v>31</v>
      </c>
      <c r="C18" s="9" t="s">
        <v>261</v>
      </c>
      <c r="D18" s="8">
        <v>17200</v>
      </c>
      <c r="E18" s="8">
        <v>256500</v>
      </c>
      <c r="F18" s="13"/>
    </row>
    <row r="19" spans="1:13" ht="21" customHeight="1" x14ac:dyDescent="0.3">
      <c r="A19" s="10"/>
      <c r="B19" s="11" t="s">
        <v>33</v>
      </c>
      <c r="C19" s="9" t="s">
        <v>262</v>
      </c>
      <c r="D19" s="8">
        <v>15655</v>
      </c>
      <c r="E19" s="8">
        <v>388875</v>
      </c>
      <c r="F19" s="13"/>
    </row>
    <row r="20" spans="1:13" ht="21" customHeight="1" x14ac:dyDescent="0.3">
      <c r="A20" s="10"/>
      <c r="B20" s="11" t="s">
        <v>28</v>
      </c>
      <c r="C20" s="9" t="s">
        <v>263</v>
      </c>
      <c r="D20" s="8">
        <v>12900</v>
      </c>
      <c r="E20" s="8">
        <v>270028</v>
      </c>
      <c r="F20" s="13"/>
    </row>
    <row r="21" spans="1:13" ht="21" customHeight="1" x14ac:dyDescent="0.3">
      <c r="A21" s="10"/>
      <c r="B21" s="14"/>
      <c r="C21" s="15"/>
      <c r="D21" s="15"/>
      <c r="E21" s="15"/>
      <c r="F21" s="14"/>
    </row>
    <row r="22" spans="1:13" ht="21" customHeight="1" x14ac:dyDescent="0.3">
      <c r="A22" s="16">
        <v>46219</v>
      </c>
      <c r="B22" s="6" t="s">
        <v>15</v>
      </c>
      <c r="C22" s="7" t="s">
        <v>264</v>
      </c>
      <c r="D22" s="6"/>
      <c r="E22" s="9">
        <v>3</v>
      </c>
      <c r="F22" s="8">
        <v>24060</v>
      </c>
      <c r="G22" s="8">
        <v>24060</v>
      </c>
      <c r="H22" s="9">
        <v>0</v>
      </c>
      <c r="I22" s="8">
        <v>24060</v>
      </c>
      <c r="J22" s="8">
        <v>23255</v>
      </c>
      <c r="K22" s="9">
        <v>805</v>
      </c>
      <c r="L22" s="9">
        <v>3</v>
      </c>
      <c r="M22" s="6"/>
    </row>
    <row r="23" spans="1:13" ht="21" customHeight="1" x14ac:dyDescent="0.3">
      <c r="A23" s="10"/>
      <c r="B23" s="3" t="s">
        <v>17</v>
      </c>
      <c r="C23" s="4" t="s">
        <v>18</v>
      </c>
      <c r="D23" s="4" t="s">
        <v>19</v>
      </c>
      <c r="E23" s="4" t="s">
        <v>11</v>
      </c>
      <c r="F23" s="3" t="s">
        <v>20</v>
      </c>
    </row>
    <row r="24" spans="1:13" ht="21" customHeight="1" x14ac:dyDescent="0.3">
      <c r="A24" s="10"/>
      <c r="B24" s="11" t="s">
        <v>24</v>
      </c>
      <c r="C24" s="9" t="s">
        <v>265</v>
      </c>
      <c r="D24" s="8">
        <v>5300</v>
      </c>
      <c r="E24" s="8">
        <v>10400</v>
      </c>
      <c r="F24" s="13"/>
    </row>
    <row r="25" spans="1:13" ht="21" customHeight="1" x14ac:dyDescent="0.3">
      <c r="A25" s="10"/>
      <c r="B25" s="11" t="s">
        <v>70</v>
      </c>
      <c r="C25" s="9" t="s">
        <v>266</v>
      </c>
      <c r="D25" s="8">
        <v>13460</v>
      </c>
      <c r="E25" s="8">
        <v>12855</v>
      </c>
      <c r="F25" s="13"/>
    </row>
    <row r="26" spans="1:13" ht="21" customHeight="1" x14ac:dyDescent="0.3">
      <c r="A26" s="10"/>
      <c r="B26" s="14"/>
      <c r="C26" s="15"/>
      <c r="D26" s="15"/>
      <c r="E26" s="15"/>
      <c r="F26" s="14"/>
    </row>
    <row r="27" spans="1:13" ht="21" customHeight="1" x14ac:dyDescent="0.3">
      <c r="A27" s="16">
        <v>46219</v>
      </c>
      <c r="B27" s="6" t="s">
        <v>15</v>
      </c>
      <c r="C27" s="7" t="s">
        <v>267</v>
      </c>
      <c r="D27" s="6"/>
      <c r="E27" s="9">
        <v>1</v>
      </c>
      <c r="F27" s="8">
        <v>5300</v>
      </c>
      <c r="G27" s="9">
        <v>0</v>
      </c>
      <c r="H27" s="8">
        <v>5300</v>
      </c>
      <c r="I27" s="8">
        <v>5300</v>
      </c>
      <c r="J27" s="8">
        <v>5200</v>
      </c>
      <c r="K27" s="9">
        <v>100</v>
      </c>
      <c r="L27" s="9">
        <v>2</v>
      </c>
      <c r="M27" s="6"/>
    </row>
    <row r="28" spans="1:13" ht="21" customHeight="1" x14ac:dyDescent="0.3">
      <c r="A28" s="10"/>
      <c r="B28" s="3" t="s">
        <v>17</v>
      </c>
      <c r="C28" s="4" t="s">
        <v>18</v>
      </c>
      <c r="D28" s="4" t="s">
        <v>19</v>
      </c>
      <c r="E28" s="4" t="s">
        <v>11</v>
      </c>
      <c r="F28" s="3" t="s">
        <v>20</v>
      </c>
    </row>
    <row r="29" spans="1:13" ht="21" customHeight="1" x14ac:dyDescent="0.3">
      <c r="A29" s="10"/>
      <c r="B29" s="11" t="s">
        <v>24</v>
      </c>
      <c r="C29" s="9" t="s">
        <v>257</v>
      </c>
      <c r="D29" s="8">
        <v>5300</v>
      </c>
      <c r="E29" s="8">
        <v>5200</v>
      </c>
      <c r="F29" s="13"/>
    </row>
    <row r="30" spans="1:13" ht="21" customHeight="1" x14ac:dyDescent="0.3">
      <c r="A30" s="10"/>
      <c r="B30" s="14"/>
      <c r="C30" s="15"/>
      <c r="D30" s="15"/>
      <c r="E30" s="15"/>
      <c r="F30" s="14"/>
    </row>
    <row r="31" spans="1:13" ht="21" customHeight="1" x14ac:dyDescent="0.3">
      <c r="A31" s="16">
        <v>46219</v>
      </c>
      <c r="B31" s="6" t="s">
        <v>25</v>
      </c>
      <c r="C31" s="7" t="s">
        <v>268</v>
      </c>
      <c r="D31" s="6"/>
      <c r="E31" s="9">
        <v>110</v>
      </c>
      <c r="F31" s="8">
        <v>575000</v>
      </c>
      <c r="G31" s="8">
        <v>575000</v>
      </c>
      <c r="H31" s="9">
        <v>0</v>
      </c>
      <c r="I31" s="8">
        <v>575000</v>
      </c>
      <c r="J31" s="8">
        <v>549837</v>
      </c>
      <c r="K31" s="8">
        <v>25163</v>
      </c>
      <c r="L31" s="9">
        <v>4</v>
      </c>
      <c r="M31" s="6"/>
    </row>
    <row r="32" spans="1:13" ht="21" customHeight="1" x14ac:dyDescent="0.3">
      <c r="A32" s="10"/>
      <c r="B32" s="3" t="s">
        <v>17</v>
      </c>
      <c r="C32" s="4" t="s">
        <v>18</v>
      </c>
      <c r="D32" s="4" t="s">
        <v>19</v>
      </c>
      <c r="E32" s="4" t="s">
        <v>11</v>
      </c>
      <c r="F32" s="3" t="s">
        <v>20</v>
      </c>
    </row>
    <row r="33" spans="1:13" ht="21" customHeight="1" x14ac:dyDescent="0.3">
      <c r="A33" s="10"/>
      <c r="B33" s="11" t="s">
        <v>22</v>
      </c>
      <c r="C33" s="9" t="s">
        <v>269</v>
      </c>
      <c r="D33" s="8">
        <v>9200</v>
      </c>
      <c r="E33" s="8">
        <v>216419</v>
      </c>
      <c r="F33" s="13"/>
    </row>
    <row r="34" spans="1:13" ht="21" customHeight="1" x14ac:dyDescent="0.3">
      <c r="A34" s="10"/>
      <c r="B34" s="11" t="s">
        <v>21</v>
      </c>
      <c r="C34" s="9" t="s">
        <v>269</v>
      </c>
      <c r="D34" s="8">
        <v>8200</v>
      </c>
      <c r="E34" s="8">
        <v>203047</v>
      </c>
      <c r="F34" s="13"/>
    </row>
    <row r="35" spans="1:13" ht="21" customHeight="1" x14ac:dyDescent="0.3">
      <c r="A35" s="10"/>
      <c r="B35" s="11" t="s">
        <v>44</v>
      </c>
      <c r="C35" s="9" t="s">
        <v>270</v>
      </c>
      <c r="D35" s="8">
        <v>9200</v>
      </c>
      <c r="E35" s="8">
        <v>44950</v>
      </c>
      <c r="F35" s="13"/>
    </row>
    <row r="36" spans="1:13" ht="21" customHeight="1" x14ac:dyDescent="0.3">
      <c r="A36" s="10"/>
      <c r="B36" s="11" t="s">
        <v>38</v>
      </c>
      <c r="C36" s="9" t="s">
        <v>271</v>
      </c>
      <c r="D36" s="8">
        <v>1800</v>
      </c>
      <c r="E36" s="8">
        <v>45421</v>
      </c>
      <c r="F36" s="13"/>
    </row>
    <row r="37" spans="1:13" ht="21" customHeight="1" x14ac:dyDescent="0.3">
      <c r="A37" s="10"/>
      <c r="B37" s="11" t="s">
        <v>48</v>
      </c>
      <c r="C37" s="9" t="s">
        <v>272</v>
      </c>
      <c r="D37" s="8">
        <v>1600</v>
      </c>
      <c r="E37" s="8">
        <v>40000</v>
      </c>
      <c r="F37" s="13"/>
    </row>
    <row r="38" spans="1:13" ht="21" customHeight="1" x14ac:dyDescent="0.3">
      <c r="A38" s="10"/>
      <c r="B38" s="14"/>
      <c r="C38" s="15"/>
      <c r="D38" s="15"/>
      <c r="E38" s="15"/>
      <c r="F38" s="14"/>
    </row>
    <row r="39" spans="1:13" ht="21" customHeight="1" x14ac:dyDescent="0.3">
      <c r="A39" s="16">
        <v>46219</v>
      </c>
      <c r="B39" s="6" t="s">
        <v>122</v>
      </c>
      <c r="C39" s="7" t="s">
        <v>273</v>
      </c>
      <c r="D39" s="6"/>
      <c r="E39" s="9">
        <v>3</v>
      </c>
      <c r="F39" s="8">
        <v>27400</v>
      </c>
      <c r="G39" s="8">
        <v>27400</v>
      </c>
      <c r="H39" s="9">
        <v>0</v>
      </c>
      <c r="I39" s="8">
        <v>27400</v>
      </c>
      <c r="J39" s="8">
        <v>25435</v>
      </c>
      <c r="K39" s="8">
        <v>1965</v>
      </c>
      <c r="L39" s="9">
        <v>7</v>
      </c>
      <c r="M39" s="6"/>
    </row>
    <row r="40" spans="1:13" ht="21" customHeight="1" x14ac:dyDescent="0.3">
      <c r="A40" s="10"/>
      <c r="B40" s="3" t="s">
        <v>17</v>
      </c>
      <c r="C40" s="4" t="s">
        <v>18</v>
      </c>
      <c r="D40" s="4" t="s">
        <v>19</v>
      </c>
      <c r="E40" s="4" t="s">
        <v>11</v>
      </c>
      <c r="F40" s="3" t="s">
        <v>20</v>
      </c>
    </row>
    <row r="41" spans="1:13" ht="21" customHeight="1" x14ac:dyDescent="0.3">
      <c r="A41" s="10"/>
      <c r="B41" s="11" t="s">
        <v>22</v>
      </c>
      <c r="C41" s="9" t="s">
        <v>274</v>
      </c>
      <c r="D41" s="8">
        <v>9200</v>
      </c>
      <c r="E41" s="8">
        <v>17313</v>
      </c>
      <c r="F41" s="13"/>
    </row>
    <row r="42" spans="1:13" ht="21" customHeight="1" x14ac:dyDescent="0.3">
      <c r="A42" s="10"/>
      <c r="B42" s="11" t="s">
        <v>21</v>
      </c>
      <c r="C42" s="9" t="s">
        <v>275</v>
      </c>
      <c r="D42" s="8">
        <v>9000</v>
      </c>
      <c r="E42" s="8">
        <v>8122</v>
      </c>
      <c r="F42" s="13"/>
    </row>
    <row r="43" spans="1:13" ht="21" customHeight="1" x14ac:dyDescent="0.3">
      <c r="A43" s="10"/>
      <c r="B43" s="14"/>
      <c r="C43" s="15"/>
      <c r="D43" s="15"/>
      <c r="E43" s="15"/>
      <c r="F43" s="14"/>
    </row>
    <row r="44" spans="1:13" ht="21" customHeight="1" x14ac:dyDescent="0.3">
      <c r="A44" s="16">
        <v>46219</v>
      </c>
      <c r="B44" s="6" t="s">
        <v>15</v>
      </c>
      <c r="C44" s="7" t="s">
        <v>276</v>
      </c>
      <c r="D44" s="6"/>
      <c r="E44" s="9">
        <v>2</v>
      </c>
      <c r="F44" s="8">
        <v>24950</v>
      </c>
      <c r="G44" s="9">
        <v>0</v>
      </c>
      <c r="H44" s="8">
        <v>24950</v>
      </c>
      <c r="I44" s="8">
        <v>24950</v>
      </c>
      <c r="J44" s="8">
        <v>23877</v>
      </c>
      <c r="K44" s="8">
        <v>1073</v>
      </c>
      <c r="L44" s="9">
        <v>4</v>
      </c>
      <c r="M44" s="6"/>
    </row>
    <row r="45" spans="1:13" ht="21" customHeight="1" x14ac:dyDescent="0.3">
      <c r="A45" s="10"/>
      <c r="B45" s="3" t="s">
        <v>17</v>
      </c>
      <c r="C45" s="4" t="s">
        <v>18</v>
      </c>
      <c r="D45" s="4" t="s">
        <v>19</v>
      </c>
      <c r="E45" s="4" t="s">
        <v>11</v>
      </c>
      <c r="F45" s="3" t="s">
        <v>20</v>
      </c>
    </row>
    <row r="46" spans="1:13" ht="21" customHeight="1" x14ac:dyDescent="0.3">
      <c r="A46" s="10"/>
      <c r="B46" s="11" t="s">
        <v>45</v>
      </c>
      <c r="C46" s="9" t="s">
        <v>275</v>
      </c>
      <c r="D46" s="8">
        <v>13350</v>
      </c>
      <c r="E46" s="8">
        <v>12747</v>
      </c>
      <c r="F46" s="13"/>
    </row>
    <row r="47" spans="1:13" ht="21" customHeight="1" x14ac:dyDescent="0.3">
      <c r="A47" s="10"/>
      <c r="B47" s="11" t="s">
        <v>93</v>
      </c>
      <c r="C47" s="9" t="s">
        <v>275</v>
      </c>
      <c r="D47" s="8">
        <v>11600</v>
      </c>
      <c r="E47" s="8">
        <v>11130</v>
      </c>
      <c r="F47" s="13"/>
    </row>
    <row r="48" spans="1:13" ht="21" customHeight="1" x14ac:dyDescent="0.3">
      <c r="A48" s="10"/>
      <c r="B48" s="14"/>
      <c r="C48" s="15"/>
      <c r="D48" s="15"/>
      <c r="E48" s="15"/>
      <c r="F48" s="14"/>
    </row>
    <row r="49" spans="1:13" ht="21" customHeight="1" x14ac:dyDescent="0.3">
      <c r="A49" s="16">
        <v>46219</v>
      </c>
      <c r="B49" s="6" t="s">
        <v>15</v>
      </c>
      <c r="C49" s="7" t="s">
        <v>277</v>
      </c>
      <c r="D49" s="6"/>
      <c r="E49" s="9">
        <v>1</v>
      </c>
      <c r="F49" s="8">
        <v>9200</v>
      </c>
      <c r="G49" s="9">
        <v>0</v>
      </c>
      <c r="H49" s="8">
        <v>9200</v>
      </c>
      <c r="I49" s="8">
        <v>9200</v>
      </c>
      <c r="J49" s="8">
        <v>8657</v>
      </c>
      <c r="K49" s="9">
        <v>543</v>
      </c>
      <c r="L49" s="9">
        <v>6</v>
      </c>
      <c r="M49" s="6"/>
    </row>
    <row r="50" spans="1:13" ht="21" customHeight="1" x14ac:dyDescent="0.3">
      <c r="A50" s="10"/>
      <c r="B50" s="3" t="s">
        <v>17</v>
      </c>
      <c r="C50" s="4" t="s">
        <v>18</v>
      </c>
      <c r="D50" s="4" t="s">
        <v>19</v>
      </c>
      <c r="E50" s="4" t="s">
        <v>11</v>
      </c>
      <c r="F50" s="3" t="s">
        <v>20</v>
      </c>
    </row>
    <row r="51" spans="1:13" ht="21" customHeight="1" x14ac:dyDescent="0.3">
      <c r="A51" s="10"/>
      <c r="B51" s="11" t="s">
        <v>22</v>
      </c>
      <c r="C51" s="9" t="s">
        <v>275</v>
      </c>
      <c r="D51" s="8">
        <v>9200</v>
      </c>
      <c r="E51" s="8">
        <v>8657</v>
      </c>
      <c r="F51" s="13"/>
    </row>
    <row r="52" spans="1:13" ht="21" customHeight="1" x14ac:dyDescent="0.3">
      <c r="A52" s="10"/>
      <c r="B52" s="14"/>
      <c r="C52" s="15"/>
      <c r="D52" s="15"/>
      <c r="E52" s="15"/>
      <c r="F52" s="14"/>
    </row>
    <row r="53" spans="1:13" ht="21" customHeight="1" x14ac:dyDescent="0.3">
      <c r="A53" s="16">
        <v>46219</v>
      </c>
      <c r="B53" s="6" t="s">
        <v>102</v>
      </c>
      <c r="C53" s="7" t="s">
        <v>278</v>
      </c>
      <c r="D53" s="6"/>
      <c r="E53" s="9">
        <v>1</v>
      </c>
      <c r="F53" s="8">
        <v>9500</v>
      </c>
      <c r="G53" s="8">
        <v>9500</v>
      </c>
      <c r="H53" s="9">
        <v>0</v>
      </c>
      <c r="I53" s="8">
        <v>9500</v>
      </c>
      <c r="J53" s="8">
        <v>8990</v>
      </c>
      <c r="K53" s="9">
        <v>510</v>
      </c>
      <c r="L53" s="9">
        <v>5</v>
      </c>
      <c r="M53" s="6"/>
    </row>
    <row r="54" spans="1:13" ht="21" customHeight="1" x14ac:dyDescent="0.3">
      <c r="A54" s="10"/>
      <c r="B54" s="3" t="s">
        <v>17</v>
      </c>
      <c r="C54" s="4" t="s">
        <v>18</v>
      </c>
      <c r="D54" s="4" t="s">
        <v>19</v>
      </c>
      <c r="E54" s="4" t="s">
        <v>11</v>
      </c>
      <c r="F54" s="3" t="s">
        <v>20</v>
      </c>
    </row>
    <row r="55" spans="1:13" ht="21" customHeight="1" x14ac:dyDescent="0.3">
      <c r="A55" s="10"/>
      <c r="B55" s="11" t="s">
        <v>44</v>
      </c>
      <c r="C55" s="9" t="s">
        <v>275</v>
      </c>
      <c r="D55" s="8">
        <v>9500</v>
      </c>
      <c r="E55" s="8">
        <v>8990</v>
      </c>
      <c r="F55" s="13"/>
    </row>
    <row r="56" spans="1:13" ht="21" customHeight="1" x14ac:dyDescent="0.3">
      <c r="A56" s="10"/>
      <c r="B56" s="14"/>
      <c r="C56" s="15"/>
      <c r="D56" s="15"/>
      <c r="E56" s="15"/>
      <c r="F56" s="14"/>
    </row>
    <row r="57" spans="1:13" ht="21" customHeight="1" x14ac:dyDescent="0.3">
      <c r="A57" s="33">
        <v>46220</v>
      </c>
      <c r="B57" s="6" t="s">
        <v>50</v>
      </c>
      <c r="C57" s="7" t="s">
        <v>279</v>
      </c>
      <c r="D57" s="6"/>
      <c r="E57" s="9">
        <v>60</v>
      </c>
      <c r="F57" s="8">
        <v>780000</v>
      </c>
      <c r="G57" s="8">
        <v>780000</v>
      </c>
      <c r="H57" s="9">
        <v>0</v>
      </c>
      <c r="I57" s="8">
        <v>780000</v>
      </c>
      <c r="J57" s="8">
        <v>790692</v>
      </c>
      <c r="K57" s="8">
        <v>-10692</v>
      </c>
      <c r="L57" s="9">
        <v>-1</v>
      </c>
      <c r="M57" s="6"/>
    </row>
    <row r="58" spans="1:13" ht="21" customHeight="1" x14ac:dyDescent="0.3">
      <c r="A58" s="10"/>
      <c r="B58" s="3" t="s">
        <v>17</v>
      </c>
      <c r="C58" s="4" t="s">
        <v>18</v>
      </c>
      <c r="D58" s="4" t="s">
        <v>19</v>
      </c>
      <c r="E58" s="4" t="s">
        <v>11</v>
      </c>
      <c r="F58" s="3" t="s">
        <v>20</v>
      </c>
    </row>
    <row r="59" spans="1:13" ht="21" customHeight="1" x14ac:dyDescent="0.3">
      <c r="A59" s="10"/>
      <c r="B59" s="11" t="s">
        <v>28</v>
      </c>
      <c r="C59" s="9" t="s">
        <v>260</v>
      </c>
      <c r="D59" s="8">
        <v>12900</v>
      </c>
      <c r="E59" s="8">
        <v>405042</v>
      </c>
      <c r="F59" s="13"/>
    </row>
    <row r="60" spans="1:13" ht="21" customHeight="1" x14ac:dyDescent="0.3">
      <c r="A60" s="10"/>
      <c r="B60" s="11" t="s">
        <v>70</v>
      </c>
      <c r="C60" s="9" t="s">
        <v>260</v>
      </c>
      <c r="D60" s="8">
        <v>13100</v>
      </c>
      <c r="E60" s="8">
        <v>385650</v>
      </c>
      <c r="F60" s="13"/>
    </row>
    <row r="61" spans="1:13" ht="21" customHeight="1" x14ac:dyDescent="0.3">
      <c r="A61" s="10"/>
      <c r="B61" s="14"/>
      <c r="C61" s="15"/>
      <c r="D61" s="15"/>
      <c r="E61" s="15"/>
      <c r="F61" s="14"/>
    </row>
    <row r="62" spans="1:13" ht="21" customHeight="1" x14ac:dyDescent="0.3">
      <c r="A62" s="16">
        <v>46220</v>
      </c>
      <c r="B62" s="6" t="s">
        <v>50</v>
      </c>
      <c r="C62" s="7" t="s">
        <v>280</v>
      </c>
      <c r="D62" s="6"/>
      <c r="E62" s="9">
        <v>25</v>
      </c>
      <c r="F62" s="8">
        <v>322500</v>
      </c>
      <c r="G62" s="8">
        <v>322500</v>
      </c>
      <c r="H62" s="9">
        <v>0</v>
      </c>
      <c r="I62" s="8">
        <v>322500</v>
      </c>
      <c r="J62" s="8">
        <v>337535</v>
      </c>
      <c r="K62" s="8">
        <v>-15035</v>
      </c>
      <c r="L62" s="9">
        <v>-5</v>
      </c>
      <c r="M62" s="6"/>
    </row>
    <row r="63" spans="1:13" ht="21" customHeight="1" x14ac:dyDescent="0.3">
      <c r="A63" s="10"/>
      <c r="B63" s="3" t="s">
        <v>17</v>
      </c>
      <c r="C63" s="4" t="s">
        <v>18</v>
      </c>
      <c r="D63" s="4" t="s">
        <v>19</v>
      </c>
      <c r="E63" s="4" t="s">
        <v>11</v>
      </c>
      <c r="F63" s="3" t="s">
        <v>20</v>
      </c>
    </row>
    <row r="64" spans="1:13" ht="21" customHeight="1" x14ac:dyDescent="0.3">
      <c r="A64" s="10"/>
      <c r="B64" s="11" t="s">
        <v>28</v>
      </c>
      <c r="C64" s="9" t="s">
        <v>262</v>
      </c>
      <c r="D64" s="8">
        <v>12900</v>
      </c>
      <c r="E64" s="8">
        <v>337535</v>
      </c>
      <c r="F64" s="13"/>
    </row>
    <row r="65" spans="1:13" ht="21" customHeight="1" x14ac:dyDescent="0.3">
      <c r="A65" s="10"/>
      <c r="B65" s="14"/>
      <c r="C65" s="15"/>
      <c r="D65" s="15"/>
      <c r="E65" s="15"/>
      <c r="F65" s="14"/>
    </row>
    <row r="66" spans="1:13" ht="21" customHeight="1" x14ac:dyDescent="0.3">
      <c r="A66" s="16">
        <v>46220</v>
      </c>
      <c r="B66" s="6" t="s">
        <v>104</v>
      </c>
      <c r="C66" s="7" t="s">
        <v>281</v>
      </c>
      <c r="D66" s="6"/>
      <c r="E66" s="9">
        <v>1</v>
      </c>
      <c r="F66" s="8">
        <v>13460</v>
      </c>
      <c r="G66" s="9">
        <v>0</v>
      </c>
      <c r="H66" s="8">
        <v>13460</v>
      </c>
      <c r="I66" s="8">
        <v>13460</v>
      </c>
      <c r="J66" s="8">
        <v>12855</v>
      </c>
      <c r="K66" s="9">
        <v>605</v>
      </c>
      <c r="L66" s="9">
        <v>4</v>
      </c>
      <c r="M66" s="6"/>
    </row>
    <row r="67" spans="1:13" ht="21" customHeight="1" x14ac:dyDescent="0.3">
      <c r="A67" s="10"/>
      <c r="B67" s="3" t="s">
        <v>17</v>
      </c>
      <c r="C67" s="4" t="s">
        <v>18</v>
      </c>
      <c r="D67" s="4" t="s">
        <v>19</v>
      </c>
      <c r="E67" s="4" t="s">
        <v>11</v>
      </c>
      <c r="F67" s="3" t="s">
        <v>20</v>
      </c>
    </row>
    <row r="68" spans="1:13" ht="21" customHeight="1" x14ac:dyDescent="0.3">
      <c r="A68" s="10"/>
      <c r="B68" s="11" t="s">
        <v>70</v>
      </c>
      <c r="C68" s="9" t="s">
        <v>266</v>
      </c>
      <c r="D68" s="8">
        <v>13460</v>
      </c>
      <c r="E68" s="8">
        <v>12855</v>
      </c>
      <c r="F68" s="13"/>
    </row>
    <row r="69" spans="1:13" ht="21" customHeight="1" x14ac:dyDescent="0.3">
      <c r="A69" s="10"/>
      <c r="B69" s="14"/>
      <c r="C69" s="15"/>
      <c r="D69" s="15"/>
      <c r="E69" s="15"/>
      <c r="F69" s="14"/>
    </row>
    <row r="70" spans="1:13" ht="21" customHeight="1" x14ac:dyDescent="0.3">
      <c r="A70" s="16">
        <v>46220</v>
      </c>
      <c r="B70" s="6" t="s">
        <v>29</v>
      </c>
      <c r="C70" s="7" t="s">
        <v>282</v>
      </c>
      <c r="D70" s="6"/>
      <c r="E70" s="9">
        <v>157</v>
      </c>
      <c r="F70" s="8">
        <v>866210</v>
      </c>
      <c r="G70" s="8">
        <v>866210</v>
      </c>
      <c r="H70" s="9">
        <v>0</v>
      </c>
      <c r="I70" s="8">
        <v>866210</v>
      </c>
      <c r="J70" s="8">
        <v>836885</v>
      </c>
      <c r="K70" s="8">
        <v>29325</v>
      </c>
      <c r="L70" s="9">
        <v>3</v>
      </c>
      <c r="M70" s="6"/>
    </row>
    <row r="71" spans="1:13" ht="21" customHeight="1" x14ac:dyDescent="0.3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1:13" ht="21" customHeight="1" x14ac:dyDescent="0.3">
      <c r="A72" s="10"/>
      <c r="B72" s="11" t="s">
        <v>22</v>
      </c>
      <c r="C72" s="9" t="s">
        <v>283</v>
      </c>
      <c r="D72" s="8">
        <v>8800</v>
      </c>
      <c r="E72" s="8">
        <v>190448</v>
      </c>
      <c r="F72" s="13"/>
    </row>
    <row r="73" spans="1:13" ht="21" customHeight="1" x14ac:dyDescent="0.3">
      <c r="A73" s="10"/>
      <c r="B73" s="11" t="s">
        <v>45</v>
      </c>
      <c r="C73" s="9" t="s">
        <v>284</v>
      </c>
      <c r="D73" s="8">
        <v>13335</v>
      </c>
      <c r="E73" s="8">
        <v>76481</v>
      </c>
      <c r="F73" s="13"/>
    </row>
    <row r="74" spans="1:13" ht="21" customHeight="1" x14ac:dyDescent="0.3">
      <c r="A74" s="10"/>
      <c r="B74" s="11" t="s">
        <v>37</v>
      </c>
      <c r="C74" s="9" t="s">
        <v>285</v>
      </c>
      <c r="D74" s="8">
        <v>8880</v>
      </c>
      <c r="E74" s="8">
        <v>76725</v>
      </c>
      <c r="F74" s="13"/>
    </row>
    <row r="75" spans="1:13" ht="21" customHeight="1" x14ac:dyDescent="0.3">
      <c r="A75" s="10"/>
      <c r="B75" s="11" t="s">
        <v>44</v>
      </c>
      <c r="C75" s="9" t="s">
        <v>286</v>
      </c>
      <c r="D75" s="8">
        <v>9200</v>
      </c>
      <c r="E75" s="8">
        <v>125860</v>
      </c>
      <c r="F75" s="13"/>
    </row>
    <row r="76" spans="1:13" ht="21" customHeight="1" x14ac:dyDescent="0.3">
      <c r="A76" s="10"/>
      <c r="B76" s="11" t="s">
        <v>24</v>
      </c>
      <c r="C76" s="9" t="s">
        <v>287</v>
      </c>
      <c r="D76" s="8">
        <v>5000</v>
      </c>
      <c r="E76" s="8">
        <v>260000</v>
      </c>
      <c r="F76" s="13"/>
    </row>
    <row r="77" spans="1:13" ht="21" customHeight="1" x14ac:dyDescent="0.3">
      <c r="A77" s="10"/>
      <c r="B77" s="11" t="s">
        <v>70</v>
      </c>
      <c r="C77" s="9" t="s">
        <v>266</v>
      </c>
      <c r="D77" s="8">
        <v>13460</v>
      </c>
      <c r="E77" s="8">
        <v>12855</v>
      </c>
      <c r="F77" s="13"/>
    </row>
    <row r="78" spans="1:13" ht="21" customHeight="1" x14ac:dyDescent="0.3">
      <c r="A78" s="10"/>
      <c r="B78" s="11" t="s">
        <v>65</v>
      </c>
      <c r="C78" s="9" t="s">
        <v>274</v>
      </c>
      <c r="D78" s="8">
        <v>11910</v>
      </c>
      <c r="E78" s="8">
        <v>22630</v>
      </c>
      <c r="F78" s="13"/>
    </row>
    <row r="79" spans="1:13" ht="21" customHeight="1" x14ac:dyDescent="0.3">
      <c r="A79" s="10"/>
      <c r="B79" s="11" t="s">
        <v>38</v>
      </c>
      <c r="C79" s="9" t="s">
        <v>288</v>
      </c>
      <c r="D79" s="8">
        <v>1800</v>
      </c>
      <c r="E79" s="8">
        <v>71159</v>
      </c>
      <c r="F79" s="13"/>
    </row>
    <row r="80" spans="1:13" ht="21" customHeight="1" x14ac:dyDescent="0.3">
      <c r="A80" s="10"/>
      <c r="B80" s="11" t="s">
        <v>148</v>
      </c>
      <c r="C80" s="9" t="s">
        <v>289</v>
      </c>
      <c r="D80" s="8">
        <v>2000</v>
      </c>
      <c r="E80" s="9">
        <v>727</v>
      </c>
      <c r="F80" s="13"/>
    </row>
    <row r="81" spans="1:13" ht="21" customHeight="1" x14ac:dyDescent="0.3">
      <c r="A81" s="10"/>
      <c r="B81" s="14"/>
      <c r="C81" s="15"/>
      <c r="D81" s="15"/>
      <c r="E81" s="15"/>
      <c r="F81" s="14"/>
    </row>
    <row r="82" spans="1:13" ht="21" customHeight="1" x14ac:dyDescent="0.3">
      <c r="A82" s="16">
        <v>46220</v>
      </c>
      <c r="B82" s="6" t="s">
        <v>15</v>
      </c>
      <c r="C82" s="7" t="s">
        <v>290</v>
      </c>
      <c r="D82" s="6"/>
      <c r="E82" s="9">
        <v>4</v>
      </c>
      <c r="F82" s="8">
        <v>48720</v>
      </c>
      <c r="G82" s="8">
        <v>48720</v>
      </c>
      <c r="H82" s="9">
        <v>0</v>
      </c>
      <c r="I82" s="8">
        <v>48720</v>
      </c>
      <c r="J82" s="8">
        <v>44894</v>
      </c>
      <c r="K82" s="8">
        <v>3826</v>
      </c>
      <c r="L82" s="9">
        <v>8</v>
      </c>
      <c r="M82" s="6"/>
    </row>
    <row r="83" spans="1:13" ht="21" customHeight="1" x14ac:dyDescent="0.3">
      <c r="A83" s="10"/>
      <c r="B83" s="3" t="s">
        <v>17</v>
      </c>
      <c r="C83" s="4" t="s">
        <v>18</v>
      </c>
      <c r="D83" s="4" t="s">
        <v>19</v>
      </c>
      <c r="E83" s="4" t="s">
        <v>11</v>
      </c>
      <c r="F83" s="3" t="s">
        <v>20</v>
      </c>
    </row>
    <row r="84" spans="1:13" ht="21" customHeight="1" x14ac:dyDescent="0.3">
      <c r="A84" s="10"/>
      <c r="B84" s="11" t="s">
        <v>291</v>
      </c>
      <c r="C84" s="9" t="s">
        <v>275</v>
      </c>
      <c r="D84" s="8">
        <v>11320</v>
      </c>
      <c r="E84" s="8">
        <v>10410</v>
      </c>
      <c r="F84" s="13"/>
    </row>
    <row r="85" spans="1:13" ht="21" customHeight="1" x14ac:dyDescent="0.3">
      <c r="A85" s="10"/>
      <c r="B85" s="11" t="s">
        <v>45</v>
      </c>
      <c r="C85" s="9" t="s">
        <v>274</v>
      </c>
      <c r="D85" s="8">
        <v>13950</v>
      </c>
      <c r="E85" s="8">
        <v>25494</v>
      </c>
      <c r="F85" s="13"/>
    </row>
    <row r="86" spans="1:13" ht="21" customHeight="1" x14ac:dyDescent="0.3">
      <c r="A86" s="10"/>
      <c r="B86" s="11" t="s">
        <v>44</v>
      </c>
      <c r="C86" s="9" t="s">
        <v>275</v>
      </c>
      <c r="D86" s="8">
        <v>9500</v>
      </c>
      <c r="E86" s="8">
        <v>8990</v>
      </c>
      <c r="F86" s="13"/>
    </row>
    <row r="87" spans="1:13" ht="21" customHeight="1" x14ac:dyDescent="0.3">
      <c r="A87" s="10"/>
      <c r="B87" s="14"/>
      <c r="C87" s="15"/>
      <c r="D87" s="15"/>
      <c r="E87" s="15"/>
      <c r="F87" s="14"/>
    </row>
    <row r="88" spans="1:13" ht="21" customHeight="1" x14ac:dyDescent="0.3">
      <c r="A88" s="16">
        <v>46220</v>
      </c>
      <c r="B88" s="6" t="s">
        <v>122</v>
      </c>
      <c r="C88" s="7" t="s">
        <v>292</v>
      </c>
      <c r="D88" s="6"/>
      <c r="E88" s="9">
        <v>13</v>
      </c>
      <c r="F88" s="8">
        <v>134460</v>
      </c>
      <c r="G88" s="8">
        <v>134460</v>
      </c>
      <c r="H88" s="9">
        <v>0</v>
      </c>
      <c r="I88" s="8">
        <v>134460</v>
      </c>
      <c r="J88" s="8">
        <v>125041</v>
      </c>
      <c r="K88" s="8">
        <v>9419</v>
      </c>
      <c r="L88" s="9">
        <v>7</v>
      </c>
      <c r="M88" s="6"/>
    </row>
    <row r="89" spans="1:13" ht="21" customHeight="1" x14ac:dyDescent="0.3">
      <c r="A89" s="10"/>
      <c r="B89" s="3" t="s">
        <v>17</v>
      </c>
      <c r="C89" s="4" t="s">
        <v>18</v>
      </c>
      <c r="D89" s="4" t="s">
        <v>19</v>
      </c>
      <c r="E89" s="4" t="s">
        <v>11</v>
      </c>
      <c r="F89" s="3" t="s">
        <v>20</v>
      </c>
    </row>
    <row r="90" spans="1:13" ht="21" customHeight="1" x14ac:dyDescent="0.3">
      <c r="A90" s="10"/>
      <c r="B90" s="11" t="s">
        <v>22</v>
      </c>
      <c r="C90" s="9" t="s">
        <v>275</v>
      </c>
      <c r="D90" s="8">
        <v>9200</v>
      </c>
      <c r="E90" s="8">
        <v>8657</v>
      </c>
      <c r="F90" s="13"/>
    </row>
    <row r="91" spans="1:13" ht="21" customHeight="1" x14ac:dyDescent="0.3">
      <c r="A91" s="10"/>
      <c r="B91" s="11" t="s">
        <v>44</v>
      </c>
      <c r="C91" s="9" t="s">
        <v>275</v>
      </c>
      <c r="D91" s="8">
        <v>9200</v>
      </c>
      <c r="E91" s="8">
        <v>8990</v>
      </c>
      <c r="F91" s="13"/>
    </row>
    <row r="92" spans="1:13" ht="21" customHeight="1" x14ac:dyDescent="0.3">
      <c r="A92" s="10"/>
      <c r="B92" s="11" t="s">
        <v>37</v>
      </c>
      <c r="C92" s="9" t="s">
        <v>275</v>
      </c>
      <c r="D92" s="8">
        <v>9200</v>
      </c>
      <c r="E92" s="8">
        <v>8525</v>
      </c>
      <c r="F92" s="13"/>
    </row>
    <row r="93" spans="1:13" ht="21" customHeight="1" x14ac:dyDescent="0.3">
      <c r="A93" s="10"/>
      <c r="B93" s="11" t="s">
        <v>21</v>
      </c>
      <c r="C93" s="9" t="s">
        <v>275</v>
      </c>
      <c r="D93" s="8">
        <v>9000</v>
      </c>
      <c r="E93" s="8">
        <v>8122</v>
      </c>
      <c r="F93" s="13"/>
    </row>
    <row r="94" spans="1:13" ht="21" customHeight="1" x14ac:dyDescent="0.3">
      <c r="A94" s="10"/>
      <c r="B94" s="11" t="s">
        <v>43</v>
      </c>
      <c r="C94" s="9" t="s">
        <v>275</v>
      </c>
      <c r="D94" s="8">
        <v>18300</v>
      </c>
      <c r="E94" s="8">
        <v>17150</v>
      </c>
      <c r="F94" s="13"/>
    </row>
    <row r="95" spans="1:13" ht="21" customHeight="1" x14ac:dyDescent="0.3">
      <c r="A95" s="10"/>
      <c r="B95" s="11" t="s">
        <v>45</v>
      </c>
      <c r="C95" s="9" t="s">
        <v>275</v>
      </c>
      <c r="D95" s="8">
        <v>13950</v>
      </c>
      <c r="E95" s="8">
        <v>12747</v>
      </c>
      <c r="F95" s="13"/>
    </row>
    <row r="96" spans="1:13" ht="21" customHeight="1" x14ac:dyDescent="0.3">
      <c r="A96" s="10"/>
      <c r="B96" s="11" t="s">
        <v>65</v>
      </c>
      <c r="C96" s="9" t="s">
        <v>275</v>
      </c>
      <c r="D96" s="8">
        <v>11910</v>
      </c>
      <c r="E96" s="8">
        <v>11315</v>
      </c>
      <c r="F96" s="13"/>
    </row>
    <row r="97" spans="1:13" ht="21" customHeight="1" x14ac:dyDescent="0.3">
      <c r="A97" s="10"/>
      <c r="B97" s="11" t="s">
        <v>87</v>
      </c>
      <c r="C97" s="9" t="s">
        <v>275</v>
      </c>
      <c r="D97" s="8">
        <v>21400</v>
      </c>
      <c r="E97" s="8">
        <v>20440</v>
      </c>
      <c r="F97" s="13"/>
    </row>
    <row r="98" spans="1:13" ht="21" customHeight="1" x14ac:dyDescent="0.3">
      <c r="A98" s="10"/>
      <c r="B98" s="11" t="s">
        <v>93</v>
      </c>
      <c r="C98" s="9" t="s">
        <v>274</v>
      </c>
      <c r="D98" s="8">
        <v>11600</v>
      </c>
      <c r="E98" s="8">
        <v>22260</v>
      </c>
      <c r="F98" s="13"/>
    </row>
    <row r="99" spans="1:13" ht="21" customHeight="1" x14ac:dyDescent="0.3">
      <c r="A99" s="10"/>
      <c r="B99" s="11" t="s">
        <v>24</v>
      </c>
      <c r="C99" s="9" t="s">
        <v>257</v>
      </c>
      <c r="D99" s="8">
        <v>5300</v>
      </c>
      <c r="E99" s="8">
        <v>5200</v>
      </c>
      <c r="F99" s="13"/>
    </row>
    <row r="100" spans="1:13" ht="21" customHeight="1" x14ac:dyDescent="0.3">
      <c r="A100" s="10"/>
      <c r="B100" s="11" t="s">
        <v>38</v>
      </c>
      <c r="C100" s="9" t="s">
        <v>293</v>
      </c>
      <c r="D100" s="8">
        <v>1800</v>
      </c>
      <c r="E100" s="8">
        <v>1514</v>
      </c>
      <c r="F100" s="13"/>
    </row>
    <row r="101" spans="1:13" ht="21" customHeight="1" x14ac:dyDescent="0.3">
      <c r="A101" s="10"/>
      <c r="B101" s="11" t="s">
        <v>148</v>
      </c>
      <c r="C101" s="9" t="s">
        <v>293</v>
      </c>
      <c r="D101" s="8">
        <v>2000</v>
      </c>
      <c r="E101" s="9">
        <v>121</v>
      </c>
      <c r="F101" s="13"/>
    </row>
    <row r="102" spans="1:13" ht="21" customHeight="1" x14ac:dyDescent="0.3">
      <c r="A102" s="10"/>
      <c r="B102" s="14"/>
      <c r="C102" s="15"/>
      <c r="D102" s="15"/>
      <c r="E102" s="15"/>
      <c r="F102" s="14"/>
    </row>
    <row r="103" spans="1:13" ht="21" customHeight="1" x14ac:dyDescent="0.3">
      <c r="A103" s="16">
        <v>46220</v>
      </c>
      <c r="B103" s="6" t="s">
        <v>294</v>
      </c>
      <c r="C103" s="7" t="s">
        <v>295</v>
      </c>
      <c r="D103" s="6"/>
      <c r="E103" s="9">
        <v>384</v>
      </c>
      <c r="F103" s="8">
        <v>2976000</v>
      </c>
      <c r="G103" s="8">
        <v>2968250</v>
      </c>
      <c r="H103" s="8">
        <v>7750</v>
      </c>
      <c r="I103" s="8">
        <v>2976000</v>
      </c>
      <c r="J103" s="8">
        <v>2951040</v>
      </c>
      <c r="K103" s="8">
        <v>24960</v>
      </c>
      <c r="L103" s="9">
        <v>1</v>
      </c>
      <c r="M103" s="6"/>
    </row>
    <row r="104" spans="1:13" ht="21" customHeight="1" x14ac:dyDescent="0.3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1:13" ht="21" customHeight="1" x14ac:dyDescent="0.3">
      <c r="A105" s="10"/>
      <c r="B105" s="11" t="s">
        <v>27</v>
      </c>
      <c r="C105" s="9" t="s">
        <v>296</v>
      </c>
      <c r="D105" s="8">
        <v>7750</v>
      </c>
      <c r="E105" s="8">
        <v>2951040</v>
      </c>
      <c r="F105" s="13"/>
    </row>
    <row r="106" spans="1:13" ht="21" customHeight="1" x14ac:dyDescent="0.3">
      <c r="A106" s="10"/>
      <c r="B106" s="14"/>
      <c r="C106" s="15"/>
      <c r="D106" s="15"/>
      <c r="E106" s="15"/>
      <c r="F106" s="14"/>
    </row>
    <row r="107" spans="1:13" ht="21" customHeight="1" x14ac:dyDescent="0.3">
      <c r="A107" s="16">
        <v>46220</v>
      </c>
      <c r="B107" s="6" t="s">
        <v>163</v>
      </c>
      <c r="C107" s="7" t="s">
        <v>297</v>
      </c>
      <c r="D107" s="6"/>
      <c r="E107" s="9">
        <v>1</v>
      </c>
      <c r="F107" s="8">
        <v>13200</v>
      </c>
      <c r="G107" s="8">
        <v>13200</v>
      </c>
      <c r="H107" s="9">
        <v>0</v>
      </c>
      <c r="I107" s="8">
        <v>13200</v>
      </c>
      <c r="J107" s="8">
        <v>13501</v>
      </c>
      <c r="K107" s="9">
        <v>-301</v>
      </c>
      <c r="L107" s="9">
        <v>-2</v>
      </c>
      <c r="M107" s="6"/>
    </row>
    <row r="108" spans="1:13" ht="21" customHeight="1" x14ac:dyDescent="0.3">
      <c r="A108" s="10"/>
      <c r="B108" s="3" t="s">
        <v>17</v>
      </c>
      <c r="C108" s="4" t="s">
        <v>18</v>
      </c>
      <c r="D108" s="4" t="s">
        <v>19</v>
      </c>
      <c r="E108" s="4" t="s">
        <v>11</v>
      </c>
      <c r="F108" s="3" t="s">
        <v>20</v>
      </c>
    </row>
    <row r="109" spans="1:13" ht="21" customHeight="1" x14ac:dyDescent="0.3">
      <c r="A109" s="10"/>
      <c r="B109" s="11" t="s">
        <v>28</v>
      </c>
      <c r="C109" s="9" t="s">
        <v>266</v>
      </c>
      <c r="D109" s="8">
        <v>13200</v>
      </c>
      <c r="E109" s="8">
        <v>13501</v>
      </c>
      <c r="F109" s="13"/>
    </row>
    <row r="110" spans="1:13" ht="21" customHeight="1" x14ac:dyDescent="0.3">
      <c r="A110" s="10"/>
      <c r="B110" s="14"/>
      <c r="C110" s="15"/>
      <c r="D110" s="15"/>
      <c r="E110" s="15"/>
      <c r="F110" s="14"/>
    </row>
    <row r="111" spans="1:13" ht="21" customHeight="1" x14ac:dyDescent="0.3">
      <c r="A111" s="16">
        <v>46220</v>
      </c>
      <c r="B111" s="6" t="s">
        <v>25</v>
      </c>
      <c r="C111" s="7" t="s">
        <v>298</v>
      </c>
      <c r="D111" s="6"/>
      <c r="E111" s="9">
        <v>200</v>
      </c>
      <c r="F111" s="8">
        <v>1000000</v>
      </c>
      <c r="G111" s="8">
        <v>1000000</v>
      </c>
      <c r="H111" s="9">
        <v>0</v>
      </c>
      <c r="I111" s="8">
        <v>1000000</v>
      </c>
      <c r="J111" s="8">
        <v>1040000</v>
      </c>
      <c r="K111" s="8">
        <v>-40000</v>
      </c>
      <c r="L111" s="9">
        <v>-4</v>
      </c>
      <c r="M111" s="6"/>
    </row>
    <row r="112" spans="1:13" ht="21" customHeight="1" x14ac:dyDescent="0.3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1:13" ht="21" customHeight="1" x14ac:dyDescent="0.3">
      <c r="A113" s="10"/>
      <c r="B113" s="11" t="s">
        <v>24</v>
      </c>
      <c r="C113" s="9" t="s">
        <v>299</v>
      </c>
      <c r="D113" s="8">
        <v>5000</v>
      </c>
      <c r="E113" s="8">
        <v>1040000</v>
      </c>
      <c r="F113" s="13"/>
    </row>
    <row r="114" spans="1:13" ht="21" customHeight="1" x14ac:dyDescent="0.3">
      <c r="A114" s="10"/>
      <c r="B114" s="14"/>
      <c r="C114" s="15"/>
      <c r="D114" s="15"/>
      <c r="E114" s="15"/>
      <c r="F114" s="14"/>
    </row>
    <row r="115" spans="1:13" ht="21" customHeight="1" x14ac:dyDescent="0.3">
      <c r="A115" s="16">
        <v>46220</v>
      </c>
      <c r="B115" s="6" t="s">
        <v>163</v>
      </c>
      <c r="C115" s="7" t="s">
        <v>300</v>
      </c>
      <c r="D115" s="6"/>
      <c r="E115" s="9">
        <v>12</v>
      </c>
      <c r="F115" s="8">
        <v>84625</v>
      </c>
      <c r="G115" s="8">
        <v>73825</v>
      </c>
      <c r="H115" s="8">
        <v>10800</v>
      </c>
      <c r="I115" s="8">
        <v>84625</v>
      </c>
      <c r="J115" s="8">
        <v>79894</v>
      </c>
      <c r="K115" s="8">
        <v>4731</v>
      </c>
      <c r="L115" s="9">
        <v>6</v>
      </c>
      <c r="M115" s="6"/>
    </row>
    <row r="116" spans="1:13" ht="21" customHeight="1" x14ac:dyDescent="0.3">
      <c r="A116" s="10"/>
      <c r="B116" s="3" t="s">
        <v>17</v>
      </c>
      <c r="C116" s="4" t="s">
        <v>18</v>
      </c>
      <c r="D116" s="4" t="s">
        <v>19</v>
      </c>
      <c r="E116" s="4" t="s">
        <v>11</v>
      </c>
      <c r="F116" s="3" t="s">
        <v>20</v>
      </c>
    </row>
    <row r="117" spans="1:13" ht="21" customHeight="1" x14ac:dyDescent="0.3">
      <c r="A117" s="10"/>
      <c r="B117" s="11" t="s">
        <v>93</v>
      </c>
      <c r="C117" s="9" t="s">
        <v>301</v>
      </c>
      <c r="D117" s="8">
        <v>11600</v>
      </c>
      <c r="E117" s="8">
        <v>44520</v>
      </c>
      <c r="F117" s="13"/>
    </row>
    <row r="118" spans="1:13" ht="21" customHeight="1" x14ac:dyDescent="0.3">
      <c r="A118" s="10"/>
      <c r="B118" s="11" t="s">
        <v>100</v>
      </c>
      <c r="C118" s="9" t="s">
        <v>275</v>
      </c>
      <c r="D118" s="8">
        <v>11480</v>
      </c>
      <c r="E118" s="8">
        <v>10915</v>
      </c>
      <c r="F118" s="13"/>
    </row>
    <row r="119" spans="1:13" ht="21" customHeight="1" x14ac:dyDescent="0.3">
      <c r="A119" s="10"/>
      <c r="B119" s="11" t="s">
        <v>71</v>
      </c>
      <c r="C119" s="9" t="s">
        <v>275</v>
      </c>
      <c r="D119" s="8">
        <v>15945</v>
      </c>
      <c r="E119" s="8">
        <v>15375</v>
      </c>
      <c r="F119" s="13"/>
    </row>
    <row r="120" spans="1:13" ht="21" customHeight="1" x14ac:dyDescent="0.3">
      <c r="A120" s="10"/>
      <c r="B120" s="11" t="s">
        <v>38</v>
      </c>
      <c r="C120" s="9" t="s">
        <v>289</v>
      </c>
      <c r="D120" s="8">
        <v>1800</v>
      </c>
      <c r="E120" s="8">
        <v>9084</v>
      </c>
      <c r="F120" s="13"/>
    </row>
    <row r="121" spans="1:13" ht="21" customHeight="1" x14ac:dyDescent="0.3">
      <c r="A121" s="10"/>
      <c r="B121" s="14"/>
      <c r="C121" s="15"/>
      <c r="D121" s="15"/>
      <c r="E121" s="15"/>
      <c r="F121" s="14"/>
    </row>
    <row r="122" spans="1:13" ht="21" customHeight="1" x14ac:dyDescent="0.3">
      <c r="A122" s="16">
        <v>46220</v>
      </c>
      <c r="B122" s="6" t="s">
        <v>29</v>
      </c>
      <c r="C122" s="7" t="s">
        <v>302</v>
      </c>
      <c r="D122" s="6"/>
      <c r="E122" s="9">
        <v>4</v>
      </c>
      <c r="F122" s="8">
        <v>39680</v>
      </c>
      <c r="G122" s="8">
        <v>39680</v>
      </c>
      <c r="H122" s="9">
        <v>0</v>
      </c>
      <c r="I122" s="8">
        <v>39680</v>
      </c>
      <c r="J122" s="8">
        <v>34772</v>
      </c>
      <c r="K122" s="8">
        <v>4908</v>
      </c>
      <c r="L122" s="9">
        <v>12</v>
      </c>
      <c r="M122" s="6"/>
    </row>
    <row r="123" spans="1:13" ht="21" customHeight="1" x14ac:dyDescent="0.3">
      <c r="A123" s="10"/>
      <c r="B123" s="3" t="s">
        <v>17</v>
      </c>
      <c r="C123" s="4" t="s">
        <v>18</v>
      </c>
      <c r="D123" s="4" t="s">
        <v>19</v>
      </c>
      <c r="E123" s="4" t="s">
        <v>11</v>
      </c>
      <c r="F123" s="3" t="s">
        <v>20</v>
      </c>
    </row>
    <row r="124" spans="1:13" ht="21" customHeight="1" x14ac:dyDescent="0.3">
      <c r="A124" s="10"/>
      <c r="B124" s="11" t="s">
        <v>77</v>
      </c>
      <c r="C124" s="9" t="s">
        <v>274</v>
      </c>
      <c r="D124" s="8">
        <v>17840</v>
      </c>
      <c r="E124" s="8">
        <v>34530</v>
      </c>
      <c r="F124" s="13"/>
    </row>
    <row r="125" spans="1:13" ht="21" customHeight="1" x14ac:dyDescent="0.3">
      <c r="A125" s="10"/>
      <c r="B125" s="11" t="s">
        <v>148</v>
      </c>
      <c r="C125" s="9" t="s">
        <v>303</v>
      </c>
      <c r="D125" s="8">
        <v>2000</v>
      </c>
      <c r="E125" s="9">
        <v>242</v>
      </c>
      <c r="F125" s="13"/>
    </row>
    <row r="126" spans="1:13" ht="21" customHeight="1" x14ac:dyDescent="0.3">
      <c r="A126" s="10"/>
      <c r="B126" s="14"/>
      <c r="C126" s="15"/>
      <c r="D126" s="15"/>
      <c r="E126" s="15"/>
      <c r="F126" s="14"/>
    </row>
    <row r="127" spans="1:13" ht="21" customHeight="1" x14ac:dyDescent="0.3">
      <c r="A127" s="16">
        <v>46221</v>
      </c>
      <c r="B127" s="6" t="s">
        <v>66</v>
      </c>
      <c r="C127" s="7" t="s">
        <v>304</v>
      </c>
      <c r="D127" s="6"/>
      <c r="E127" s="9">
        <v>800</v>
      </c>
      <c r="F127" s="8">
        <v>5551300</v>
      </c>
      <c r="G127" s="8">
        <v>5551300</v>
      </c>
      <c r="H127" s="9">
        <v>0</v>
      </c>
      <c r="I127" s="8">
        <v>5551300</v>
      </c>
      <c r="J127" s="8">
        <v>5216327</v>
      </c>
      <c r="K127" s="8">
        <v>334973</v>
      </c>
      <c r="L127" s="9">
        <v>6</v>
      </c>
      <c r="M127" s="6" t="s">
        <v>305</v>
      </c>
    </row>
    <row r="128" spans="1:13" ht="21" customHeight="1" x14ac:dyDescent="0.3">
      <c r="A128" s="10"/>
      <c r="B128" s="3" t="s">
        <v>17</v>
      </c>
      <c r="C128" s="4" t="s">
        <v>18</v>
      </c>
      <c r="D128" s="4" t="s">
        <v>19</v>
      </c>
      <c r="E128" s="4" t="s">
        <v>11</v>
      </c>
      <c r="F128" s="3" t="s">
        <v>20</v>
      </c>
    </row>
    <row r="129" spans="1:13" ht="21" customHeight="1" x14ac:dyDescent="0.3">
      <c r="A129" s="10"/>
      <c r="B129" s="11" t="s">
        <v>45</v>
      </c>
      <c r="C129" s="9" t="s">
        <v>306</v>
      </c>
      <c r="D129" s="8">
        <v>12730</v>
      </c>
      <c r="E129" s="8">
        <v>1784548</v>
      </c>
      <c r="F129" s="13"/>
    </row>
    <row r="130" spans="1:13" ht="21" customHeight="1" x14ac:dyDescent="0.3">
      <c r="A130" s="10"/>
      <c r="B130" s="11" t="s">
        <v>44</v>
      </c>
      <c r="C130" s="9" t="s">
        <v>306</v>
      </c>
      <c r="D130" s="8">
        <v>8990</v>
      </c>
      <c r="E130" s="8">
        <v>1258600</v>
      </c>
      <c r="F130" s="13"/>
    </row>
    <row r="131" spans="1:13" ht="21" customHeight="1" x14ac:dyDescent="0.3">
      <c r="A131" s="10"/>
      <c r="B131" s="11" t="s">
        <v>36</v>
      </c>
      <c r="C131" s="9" t="s">
        <v>307</v>
      </c>
      <c r="D131" s="8">
        <v>14900</v>
      </c>
      <c r="E131" s="8">
        <v>894000</v>
      </c>
      <c r="F131" s="13"/>
    </row>
    <row r="132" spans="1:13" ht="21" customHeight="1" x14ac:dyDescent="0.3">
      <c r="A132" s="10"/>
      <c r="B132" s="11" t="s">
        <v>113</v>
      </c>
      <c r="C132" s="9" t="s">
        <v>307</v>
      </c>
      <c r="D132" s="8">
        <v>14475</v>
      </c>
      <c r="E132" s="8">
        <v>868500</v>
      </c>
      <c r="F132" s="13"/>
    </row>
    <row r="133" spans="1:13" ht="21" customHeight="1" x14ac:dyDescent="0.3">
      <c r="A133" s="10"/>
      <c r="B133" s="11" t="s">
        <v>148</v>
      </c>
      <c r="C133" s="9" t="s">
        <v>308</v>
      </c>
      <c r="D133" s="8">
        <v>2000</v>
      </c>
      <c r="E133" s="8">
        <v>17034</v>
      </c>
      <c r="F133" s="13"/>
    </row>
    <row r="134" spans="1:13" ht="21" customHeight="1" x14ac:dyDescent="0.3">
      <c r="A134" s="10"/>
      <c r="B134" s="11" t="s">
        <v>38</v>
      </c>
      <c r="C134" s="9" t="s">
        <v>309</v>
      </c>
      <c r="D134" s="8">
        <v>1800</v>
      </c>
      <c r="E134" s="8">
        <v>393645</v>
      </c>
      <c r="F134" s="13"/>
    </row>
    <row r="135" spans="1:13" ht="21" customHeight="1" x14ac:dyDescent="0.3">
      <c r="A135" s="10"/>
      <c r="B135" s="14"/>
      <c r="C135" s="15"/>
      <c r="D135" s="15"/>
      <c r="E135" s="15"/>
      <c r="F135" s="14"/>
    </row>
    <row r="136" spans="1:13" ht="21" customHeight="1" x14ac:dyDescent="0.3">
      <c r="A136" s="16">
        <v>46221</v>
      </c>
      <c r="B136" s="6" t="s">
        <v>25</v>
      </c>
      <c r="C136" s="7" t="s">
        <v>310</v>
      </c>
      <c r="D136" s="6"/>
      <c r="E136" s="9">
        <v>65</v>
      </c>
      <c r="F136" s="8">
        <v>931650</v>
      </c>
      <c r="G136" s="8">
        <v>931650</v>
      </c>
      <c r="H136" s="9">
        <v>0</v>
      </c>
      <c r="I136" s="8">
        <v>931650</v>
      </c>
      <c r="J136" s="8">
        <v>931035</v>
      </c>
      <c r="K136" s="9">
        <v>615</v>
      </c>
      <c r="L136" s="9">
        <v>0</v>
      </c>
      <c r="M136" s="6"/>
    </row>
    <row r="137" spans="1:13" ht="21" customHeight="1" x14ac:dyDescent="0.3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1:13" ht="21" customHeight="1" x14ac:dyDescent="0.3">
      <c r="A138" s="10"/>
      <c r="B138" s="11" t="s">
        <v>28</v>
      </c>
      <c r="C138" s="9" t="s">
        <v>311</v>
      </c>
      <c r="D138" s="8">
        <v>13150</v>
      </c>
      <c r="E138" s="8">
        <v>607563</v>
      </c>
      <c r="F138" s="13"/>
    </row>
    <row r="139" spans="1:13" ht="21" customHeight="1" x14ac:dyDescent="0.3">
      <c r="A139" s="10"/>
      <c r="B139" s="11" t="s">
        <v>31</v>
      </c>
      <c r="C139" s="9" t="s">
        <v>312</v>
      </c>
      <c r="D139" s="8">
        <v>17845</v>
      </c>
      <c r="E139" s="8">
        <v>171000</v>
      </c>
      <c r="F139" s="13"/>
    </row>
    <row r="140" spans="1:13" ht="21" customHeight="1" x14ac:dyDescent="0.3">
      <c r="A140" s="10"/>
      <c r="B140" s="11" t="s">
        <v>32</v>
      </c>
      <c r="C140" s="9" t="s">
        <v>312</v>
      </c>
      <c r="D140" s="8">
        <v>16145</v>
      </c>
      <c r="E140" s="8">
        <v>152472</v>
      </c>
      <c r="F140" s="13"/>
    </row>
    <row r="141" spans="1:13" ht="21" customHeight="1" x14ac:dyDescent="0.3">
      <c r="A141" s="10"/>
      <c r="B141" s="14"/>
      <c r="C141" s="15"/>
      <c r="D141" s="15"/>
      <c r="E141" s="15"/>
      <c r="F141" s="14"/>
    </row>
    <row r="142" spans="1:13" ht="21" customHeight="1" x14ac:dyDescent="0.3">
      <c r="A142" s="16">
        <v>46221</v>
      </c>
      <c r="B142" s="6" t="s">
        <v>25</v>
      </c>
      <c r="C142" s="7" t="s">
        <v>313</v>
      </c>
      <c r="D142" s="6"/>
      <c r="E142" s="9">
        <v>30</v>
      </c>
      <c r="F142" s="8">
        <v>361600</v>
      </c>
      <c r="G142" s="8">
        <v>361600</v>
      </c>
      <c r="H142" s="9">
        <v>0</v>
      </c>
      <c r="I142" s="8">
        <v>361600</v>
      </c>
      <c r="J142" s="8">
        <v>263839</v>
      </c>
      <c r="K142" s="8">
        <v>97761</v>
      </c>
      <c r="L142" s="9">
        <v>27</v>
      </c>
      <c r="M142" s="6"/>
    </row>
    <row r="143" spans="1:13" ht="21" customHeight="1" x14ac:dyDescent="0.3">
      <c r="A143" s="10"/>
      <c r="B143" s="3" t="s">
        <v>17</v>
      </c>
      <c r="C143" s="4" t="s">
        <v>18</v>
      </c>
      <c r="D143" s="4" t="s">
        <v>19</v>
      </c>
      <c r="E143" s="4" t="s">
        <v>11</v>
      </c>
      <c r="F143" s="3" t="s">
        <v>20</v>
      </c>
    </row>
    <row r="144" spans="1:13" ht="21" customHeight="1" x14ac:dyDescent="0.3">
      <c r="A144" s="10"/>
      <c r="B144" s="11" t="s">
        <v>70</v>
      </c>
      <c r="C144" s="9" t="s">
        <v>312</v>
      </c>
      <c r="D144" s="8">
        <v>13460</v>
      </c>
      <c r="E144" s="8">
        <v>128550</v>
      </c>
      <c r="F144" s="13"/>
    </row>
    <row r="145" spans="1:13" ht="21" customHeight="1" x14ac:dyDescent="0.3">
      <c r="A145" s="10"/>
      <c r="B145" s="11" t="s">
        <v>43</v>
      </c>
      <c r="C145" s="9" t="s">
        <v>314</v>
      </c>
      <c r="D145" s="8">
        <v>17700</v>
      </c>
      <c r="E145" s="8">
        <v>171500</v>
      </c>
      <c r="F145" s="13"/>
    </row>
    <row r="146" spans="1:13" ht="21" customHeight="1" x14ac:dyDescent="0.3">
      <c r="A146" s="10"/>
      <c r="B146" s="11" t="s">
        <v>49</v>
      </c>
      <c r="C146" s="9" t="s">
        <v>315</v>
      </c>
      <c r="D146" s="8">
        <v>5000</v>
      </c>
      <c r="E146" s="8">
        <v>-36211</v>
      </c>
      <c r="F146" s="13"/>
    </row>
    <row r="147" spans="1:13" ht="21" customHeight="1" x14ac:dyDescent="0.3">
      <c r="A147" s="10"/>
      <c r="B147" s="14"/>
      <c r="C147" s="15"/>
      <c r="D147" s="15"/>
      <c r="E147" s="15"/>
      <c r="F147" s="14"/>
    </row>
    <row r="148" spans="1:13" ht="21" customHeight="1" x14ac:dyDescent="0.3">
      <c r="A148" s="16">
        <v>46221</v>
      </c>
      <c r="B148" s="6" t="s">
        <v>104</v>
      </c>
      <c r="C148" s="7" t="s">
        <v>316</v>
      </c>
      <c r="D148" s="6"/>
      <c r="E148" s="9">
        <v>1</v>
      </c>
      <c r="F148" s="9">
        <v>750</v>
      </c>
      <c r="G148" s="9">
        <v>0</v>
      </c>
      <c r="H148" s="9">
        <v>750</v>
      </c>
      <c r="I148" s="9">
        <v>750</v>
      </c>
      <c r="J148" s="9">
        <v>577</v>
      </c>
      <c r="K148" s="9">
        <v>173</v>
      </c>
      <c r="L148" s="9">
        <v>23</v>
      </c>
      <c r="M148" s="6"/>
    </row>
    <row r="149" spans="1:13" ht="21" customHeight="1" x14ac:dyDescent="0.3">
      <c r="A149" s="10"/>
      <c r="B149" s="3" t="s">
        <v>17</v>
      </c>
      <c r="C149" s="4" t="s">
        <v>18</v>
      </c>
      <c r="D149" s="4" t="s">
        <v>19</v>
      </c>
      <c r="E149" s="4" t="s">
        <v>11</v>
      </c>
      <c r="F149" s="3" t="s">
        <v>20</v>
      </c>
    </row>
    <row r="150" spans="1:13" ht="21" customHeight="1" x14ac:dyDescent="0.3">
      <c r="A150" s="10"/>
      <c r="B150" s="11" t="s">
        <v>174</v>
      </c>
      <c r="C150" s="9" t="s">
        <v>293</v>
      </c>
      <c r="D150" s="9">
        <v>750</v>
      </c>
      <c r="E150" s="9">
        <v>577</v>
      </c>
      <c r="F150" s="13"/>
    </row>
    <row r="151" spans="1:13" ht="21" customHeight="1" x14ac:dyDescent="0.3">
      <c r="A151" s="10"/>
      <c r="B151" s="14"/>
      <c r="C151" s="15"/>
      <c r="D151" s="15"/>
      <c r="E151" s="15"/>
      <c r="F151" s="14"/>
    </row>
    <row r="152" spans="1:13" ht="21" customHeight="1" x14ac:dyDescent="0.3">
      <c r="A152" s="16">
        <v>46221</v>
      </c>
      <c r="B152" s="6" t="s">
        <v>50</v>
      </c>
      <c r="C152" s="7" t="s">
        <v>317</v>
      </c>
      <c r="D152" s="6"/>
      <c r="E152" s="9">
        <v>40</v>
      </c>
      <c r="F152" s="8">
        <v>212000</v>
      </c>
      <c r="G152" s="8">
        <v>212000</v>
      </c>
      <c r="H152" s="9">
        <v>0</v>
      </c>
      <c r="I152" s="8">
        <v>212000</v>
      </c>
      <c r="J152" s="8">
        <v>203415</v>
      </c>
      <c r="K152" s="8">
        <v>8585</v>
      </c>
      <c r="L152" s="9">
        <v>4</v>
      </c>
      <c r="M152" s="6"/>
    </row>
    <row r="153" spans="1:13" ht="21" customHeight="1" x14ac:dyDescent="0.3">
      <c r="A153" s="10"/>
      <c r="B153" s="3" t="s">
        <v>17</v>
      </c>
      <c r="C153" s="4" t="s">
        <v>18</v>
      </c>
      <c r="D153" s="4" t="s">
        <v>19</v>
      </c>
      <c r="E153" s="4" t="s">
        <v>11</v>
      </c>
      <c r="F153" s="3" t="s">
        <v>20</v>
      </c>
    </row>
    <row r="154" spans="1:13" ht="21" customHeight="1" x14ac:dyDescent="0.3">
      <c r="A154" s="10"/>
      <c r="B154" s="11" t="s">
        <v>22</v>
      </c>
      <c r="C154" s="9" t="s">
        <v>318</v>
      </c>
      <c r="D154" s="8">
        <v>8800</v>
      </c>
      <c r="E154" s="8">
        <v>173135</v>
      </c>
      <c r="F154" s="13"/>
    </row>
    <row r="155" spans="1:13" ht="21" customHeight="1" x14ac:dyDescent="0.3">
      <c r="A155" s="10"/>
      <c r="B155" s="11" t="s">
        <v>38</v>
      </c>
      <c r="C155" s="9" t="s">
        <v>319</v>
      </c>
      <c r="D155" s="8">
        <v>1800</v>
      </c>
      <c r="E155" s="8">
        <v>30280</v>
      </c>
      <c r="F155" s="13"/>
    </row>
    <row r="156" spans="1:13" ht="21" customHeight="1" x14ac:dyDescent="0.3">
      <c r="A156" s="10"/>
      <c r="B156" s="14"/>
      <c r="C156" s="15"/>
      <c r="D156" s="15"/>
      <c r="E156" s="15"/>
      <c r="F156" s="14"/>
    </row>
    <row r="157" spans="1:13" ht="21" customHeight="1" x14ac:dyDescent="0.3">
      <c r="A157" s="16">
        <v>46221</v>
      </c>
      <c r="B157" s="6" t="s">
        <v>50</v>
      </c>
      <c r="C157" s="7" t="s">
        <v>320</v>
      </c>
      <c r="D157" s="6"/>
      <c r="E157" s="9">
        <v>60</v>
      </c>
      <c r="F157" s="8">
        <v>440700</v>
      </c>
      <c r="G157" s="8">
        <v>440700</v>
      </c>
      <c r="H157" s="9">
        <v>0</v>
      </c>
      <c r="I157" s="8">
        <v>440700</v>
      </c>
      <c r="J157" s="8">
        <v>383808</v>
      </c>
      <c r="K157" s="8">
        <v>56892</v>
      </c>
      <c r="L157" s="9">
        <v>13</v>
      </c>
      <c r="M157" s="6"/>
    </row>
    <row r="158" spans="1:13" ht="21" customHeight="1" x14ac:dyDescent="0.3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1:13" ht="21" customHeight="1" x14ac:dyDescent="0.3">
      <c r="A159" s="10"/>
      <c r="B159" s="11" t="s">
        <v>93</v>
      </c>
      <c r="C159" s="9" t="s">
        <v>314</v>
      </c>
      <c r="D159" s="8">
        <v>11600</v>
      </c>
      <c r="E159" s="8">
        <v>111300</v>
      </c>
      <c r="F159" s="13"/>
    </row>
    <row r="160" spans="1:13" ht="21" customHeight="1" x14ac:dyDescent="0.3">
      <c r="A160" s="10"/>
      <c r="B160" s="11" t="s">
        <v>45</v>
      </c>
      <c r="C160" s="9" t="s">
        <v>318</v>
      </c>
      <c r="D160" s="8">
        <v>13335</v>
      </c>
      <c r="E160" s="8">
        <v>254935</v>
      </c>
      <c r="F160" s="13"/>
    </row>
    <row r="161" spans="1:13" ht="21" customHeight="1" x14ac:dyDescent="0.3">
      <c r="A161" s="10"/>
      <c r="B161" s="11" t="s">
        <v>148</v>
      </c>
      <c r="C161" s="9" t="s">
        <v>319</v>
      </c>
      <c r="D161" s="8">
        <v>2000</v>
      </c>
      <c r="E161" s="8">
        <v>2433</v>
      </c>
      <c r="F161" s="13"/>
    </row>
    <row r="162" spans="1:13" ht="21" customHeight="1" x14ac:dyDescent="0.3">
      <c r="A162" s="10"/>
      <c r="B162" s="11" t="s">
        <v>38</v>
      </c>
      <c r="C162" s="9" t="s">
        <v>315</v>
      </c>
      <c r="D162" s="8">
        <v>1800</v>
      </c>
      <c r="E162" s="8">
        <v>15140</v>
      </c>
      <c r="F162" s="13"/>
    </row>
    <row r="163" spans="1:13" ht="21" customHeight="1" x14ac:dyDescent="0.3">
      <c r="A163" s="10"/>
      <c r="B163" s="14"/>
      <c r="C163" s="15"/>
      <c r="D163" s="15"/>
      <c r="E163" s="15"/>
      <c r="F163" s="14"/>
    </row>
    <row r="164" spans="1:13" ht="21" customHeight="1" x14ac:dyDescent="0.3">
      <c r="A164" s="16">
        <v>46221</v>
      </c>
      <c r="B164" s="6" t="s">
        <v>29</v>
      </c>
      <c r="C164" s="7" t="s">
        <v>321</v>
      </c>
      <c r="D164" s="6"/>
      <c r="E164" s="9">
        <v>2</v>
      </c>
      <c r="F164" s="8">
        <v>17760</v>
      </c>
      <c r="G164" s="8">
        <v>17760</v>
      </c>
      <c r="H164" s="9">
        <v>0</v>
      </c>
      <c r="I164" s="8">
        <v>17760</v>
      </c>
      <c r="J164" s="8">
        <v>17050</v>
      </c>
      <c r="K164" s="9">
        <v>710</v>
      </c>
      <c r="L164" s="9">
        <v>4</v>
      </c>
      <c r="M164" s="6"/>
    </row>
    <row r="165" spans="1:13" ht="21" customHeight="1" x14ac:dyDescent="0.3">
      <c r="A165" s="10"/>
      <c r="B165" s="3" t="s">
        <v>17</v>
      </c>
      <c r="C165" s="4" t="s">
        <v>18</v>
      </c>
      <c r="D165" s="4" t="s">
        <v>19</v>
      </c>
      <c r="E165" s="4" t="s">
        <v>11</v>
      </c>
      <c r="F165" s="3" t="s">
        <v>20</v>
      </c>
    </row>
    <row r="166" spans="1:13" ht="21" customHeight="1" x14ac:dyDescent="0.3">
      <c r="A166" s="10"/>
      <c r="B166" s="11" t="s">
        <v>37</v>
      </c>
      <c r="C166" s="9" t="s">
        <v>274</v>
      </c>
      <c r="D166" s="8">
        <v>8880</v>
      </c>
      <c r="E166" s="8">
        <v>17050</v>
      </c>
      <c r="F166" s="13"/>
    </row>
    <row r="167" spans="1:13" ht="21" customHeight="1" x14ac:dyDescent="0.3">
      <c r="A167" s="10"/>
      <c r="B167" s="14"/>
      <c r="C167" s="15"/>
      <c r="D167" s="15"/>
      <c r="E167" s="15"/>
      <c r="F167" s="14"/>
    </row>
    <row r="168" spans="1:13" ht="21" customHeight="1" x14ac:dyDescent="0.3">
      <c r="A168" s="16">
        <v>46221</v>
      </c>
      <c r="B168" s="6" t="s">
        <v>29</v>
      </c>
      <c r="C168" s="7" t="s">
        <v>322</v>
      </c>
      <c r="D168" s="6"/>
      <c r="E168" s="9">
        <v>76</v>
      </c>
      <c r="F168" s="8">
        <v>458900</v>
      </c>
      <c r="G168" s="8">
        <v>458900</v>
      </c>
      <c r="H168" s="9">
        <v>0</v>
      </c>
      <c r="I168" s="8">
        <v>458900</v>
      </c>
      <c r="J168" s="8">
        <v>440712</v>
      </c>
      <c r="K168" s="8">
        <v>18188</v>
      </c>
      <c r="L168" s="9">
        <v>4</v>
      </c>
      <c r="M168" s="6"/>
    </row>
    <row r="169" spans="1:13" ht="21" customHeight="1" x14ac:dyDescent="0.3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1:13" ht="21" customHeight="1" x14ac:dyDescent="0.3">
      <c r="A170" s="10"/>
      <c r="B170" s="11" t="s">
        <v>44</v>
      </c>
      <c r="C170" s="9" t="s">
        <v>270</v>
      </c>
      <c r="D170" s="8">
        <v>9200</v>
      </c>
      <c r="E170" s="8">
        <v>44950</v>
      </c>
      <c r="F170" s="13"/>
    </row>
    <row r="171" spans="1:13" ht="21" customHeight="1" x14ac:dyDescent="0.3">
      <c r="A171" s="10"/>
      <c r="B171" s="11" t="s">
        <v>22</v>
      </c>
      <c r="C171" s="9" t="s">
        <v>314</v>
      </c>
      <c r="D171" s="8">
        <v>8800</v>
      </c>
      <c r="E171" s="8">
        <v>86567</v>
      </c>
      <c r="F171" s="13"/>
    </row>
    <row r="172" spans="1:13" ht="21" customHeight="1" x14ac:dyDescent="0.3">
      <c r="A172" s="10"/>
      <c r="B172" s="11" t="s">
        <v>45</v>
      </c>
      <c r="C172" s="9" t="s">
        <v>323</v>
      </c>
      <c r="D172" s="8">
        <v>13335</v>
      </c>
      <c r="E172" s="8">
        <v>38240</v>
      </c>
      <c r="F172" s="13"/>
    </row>
    <row r="173" spans="1:13" ht="21" customHeight="1" x14ac:dyDescent="0.3">
      <c r="A173" s="10"/>
      <c r="B173" s="11" t="s">
        <v>113</v>
      </c>
      <c r="C173" s="9" t="s">
        <v>275</v>
      </c>
      <c r="D173" s="8">
        <v>14575</v>
      </c>
      <c r="E173" s="8">
        <v>14475</v>
      </c>
      <c r="F173" s="13"/>
    </row>
    <row r="174" spans="1:13" ht="21" customHeight="1" x14ac:dyDescent="0.3">
      <c r="A174" s="10"/>
      <c r="B174" s="11" t="s">
        <v>37</v>
      </c>
      <c r="C174" s="9" t="s">
        <v>274</v>
      </c>
      <c r="D174" s="8">
        <v>8880</v>
      </c>
      <c r="E174" s="8">
        <v>17050</v>
      </c>
      <c r="F174" s="13"/>
    </row>
    <row r="175" spans="1:13" ht="21" customHeight="1" x14ac:dyDescent="0.3">
      <c r="A175" s="10"/>
      <c r="B175" s="11" t="s">
        <v>80</v>
      </c>
      <c r="C175" s="9" t="s">
        <v>275</v>
      </c>
      <c r="D175" s="8">
        <v>9345</v>
      </c>
      <c r="E175" s="8">
        <v>8970</v>
      </c>
      <c r="F175" s="13"/>
    </row>
    <row r="176" spans="1:13" ht="21" customHeight="1" x14ac:dyDescent="0.3">
      <c r="A176" s="10"/>
      <c r="B176" s="11" t="s">
        <v>87</v>
      </c>
      <c r="C176" s="9" t="s">
        <v>275</v>
      </c>
      <c r="D176" s="8">
        <v>21400</v>
      </c>
      <c r="E176" s="8">
        <v>20440</v>
      </c>
      <c r="F176" s="13"/>
    </row>
    <row r="177" spans="1:13" ht="21" customHeight="1" x14ac:dyDescent="0.3">
      <c r="A177" s="10"/>
      <c r="B177" s="11" t="s">
        <v>36</v>
      </c>
      <c r="C177" s="9" t="s">
        <v>274</v>
      </c>
      <c r="D177" s="8">
        <v>15525</v>
      </c>
      <c r="E177" s="8">
        <v>29800</v>
      </c>
      <c r="F177" s="13"/>
    </row>
    <row r="178" spans="1:13" ht="21" customHeight="1" x14ac:dyDescent="0.3">
      <c r="A178" s="10"/>
      <c r="B178" s="11" t="s">
        <v>65</v>
      </c>
      <c r="C178" s="9" t="s">
        <v>274</v>
      </c>
      <c r="D178" s="8">
        <v>11910</v>
      </c>
      <c r="E178" s="8">
        <v>22630</v>
      </c>
      <c r="F178" s="13"/>
    </row>
    <row r="179" spans="1:13" ht="21" customHeight="1" x14ac:dyDescent="0.3">
      <c r="A179" s="10"/>
      <c r="B179" s="11" t="s">
        <v>71</v>
      </c>
      <c r="C179" s="9" t="s">
        <v>275</v>
      </c>
      <c r="D179" s="8">
        <v>15945</v>
      </c>
      <c r="E179" s="8">
        <v>15375</v>
      </c>
      <c r="F179" s="13"/>
    </row>
    <row r="180" spans="1:13" ht="21" customHeight="1" x14ac:dyDescent="0.3">
      <c r="A180" s="10"/>
      <c r="B180" s="11" t="s">
        <v>24</v>
      </c>
      <c r="C180" s="9" t="s">
        <v>324</v>
      </c>
      <c r="D180" s="8">
        <v>5000</v>
      </c>
      <c r="E180" s="8">
        <v>104000</v>
      </c>
      <c r="F180" s="13"/>
    </row>
    <row r="181" spans="1:13" ht="21" customHeight="1" x14ac:dyDescent="0.3">
      <c r="A181" s="10"/>
      <c r="B181" s="11" t="s">
        <v>38</v>
      </c>
      <c r="C181" s="9" t="s">
        <v>272</v>
      </c>
      <c r="D181" s="8">
        <v>1800</v>
      </c>
      <c r="E181" s="8">
        <v>37850</v>
      </c>
      <c r="F181" s="13"/>
    </row>
    <row r="182" spans="1:13" ht="21" customHeight="1" x14ac:dyDescent="0.3">
      <c r="A182" s="10"/>
      <c r="B182" s="11" t="s">
        <v>148</v>
      </c>
      <c r="C182" s="9" t="s">
        <v>325</v>
      </c>
      <c r="D182" s="8">
        <v>2000</v>
      </c>
      <c r="E182" s="9">
        <v>365</v>
      </c>
      <c r="F182" s="13"/>
    </row>
    <row r="183" spans="1:13" ht="21" customHeight="1" x14ac:dyDescent="0.3">
      <c r="A183" s="10"/>
      <c r="B183" s="14"/>
      <c r="C183" s="15"/>
      <c r="D183" s="15"/>
      <c r="E183" s="15"/>
      <c r="F183" s="14"/>
    </row>
    <row r="184" spans="1:13" ht="21" customHeight="1" x14ac:dyDescent="0.3">
      <c r="A184" s="16">
        <v>46221</v>
      </c>
      <c r="B184" s="6" t="s">
        <v>326</v>
      </c>
      <c r="C184" s="7" t="s">
        <v>327</v>
      </c>
      <c r="D184" s="6"/>
      <c r="E184" s="9">
        <v>820</v>
      </c>
      <c r="F184" s="8">
        <v>5201650</v>
      </c>
      <c r="G184" s="8">
        <v>5104960</v>
      </c>
      <c r="H184" s="8">
        <v>96690</v>
      </c>
      <c r="I184" s="8">
        <v>5201650</v>
      </c>
      <c r="J184" s="8">
        <v>4840911</v>
      </c>
      <c r="K184" s="8">
        <v>360739</v>
      </c>
      <c r="L184" s="9">
        <v>7</v>
      </c>
      <c r="M184" s="6" t="s">
        <v>328</v>
      </c>
    </row>
    <row r="185" spans="1:13" ht="21" customHeight="1" x14ac:dyDescent="0.3">
      <c r="A185" s="10"/>
      <c r="B185" s="3" t="s">
        <v>17</v>
      </c>
      <c r="C185" s="4" t="s">
        <v>18</v>
      </c>
      <c r="D185" s="4" t="s">
        <v>19</v>
      </c>
      <c r="E185" s="4" t="s">
        <v>11</v>
      </c>
      <c r="F185" s="3" t="s">
        <v>20</v>
      </c>
    </row>
    <row r="186" spans="1:13" ht="21" customHeight="1" x14ac:dyDescent="0.3">
      <c r="A186" s="10"/>
      <c r="B186" s="11" t="s">
        <v>22</v>
      </c>
      <c r="C186" s="9" t="s">
        <v>306</v>
      </c>
      <c r="D186" s="8">
        <v>8500</v>
      </c>
      <c r="E186" s="8">
        <v>1211944</v>
      </c>
      <c r="F186" s="13"/>
    </row>
    <row r="187" spans="1:13" ht="21" customHeight="1" x14ac:dyDescent="0.3">
      <c r="A187" s="10"/>
      <c r="B187" s="11" t="s">
        <v>45</v>
      </c>
      <c r="C187" s="9" t="s">
        <v>306</v>
      </c>
      <c r="D187" s="8">
        <v>12830</v>
      </c>
      <c r="E187" s="8">
        <v>1784548</v>
      </c>
      <c r="F187" s="13"/>
    </row>
    <row r="188" spans="1:13" ht="21" customHeight="1" x14ac:dyDescent="0.3">
      <c r="A188" s="10"/>
      <c r="B188" s="11" t="s">
        <v>37</v>
      </c>
      <c r="C188" s="9" t="s">
        <v>329</v>
      </c>
      <c r="D188" s="8">
        <v>8880</v>
      </c>
      <c r="E188" s="8">
        <v>596750</v>
      </c>
      <c r="F188" s="13"/>
    </row>
    <row r="189" spans="1:13" ht="21" customHeight="1" x14ac:dyDescent="0.3">
      <c r="A189" s="10"/>
      <c r="B189" s="11" t="s">
        <v>113</v>
      </c>
      <c r="C189" s="9" t="s">
        <v>330</v>
      </c>
      <c r="D189" s="8">
        <v>14575</v>
      </c>
      <c r="E189" s="8">
        <v>434250</v>
      </c>
      <c r="F189" s="13"/>
    </row>
    <row r="190" spans="1:13" ht="21" customHeight="1" x14ac:dyDescent="0.3">
      <c r="A190" s="10"/>
      <c r="B190" s="11" t="s">
        <v>101</v>
      </c>
      <c r="C190" s="9" t="s">
        <v>330</v>
      </c>
      <c r="D190" s="8">
        <v>13020</v>
      </c>
      <c r="E190" s="8">
        <v>387600</v>
      </c>
      <c r="F190" s="13"/>
    </row>
    <row r="191" spans="1:13" ht="21" customHeight="1" x14ac:dyDescent="0.3">
      <c r="A191" s="10"/>
      <c r="B191" s="11" t="s">
        <v>148</v>
      </c>
      <c r="C191" s="9" t="s">
        <v>308</v>
      </c>
      <c r="D191" s="8">
        <v>2000</v>
      </c>
      <c r="E191" s="8">
        <v>17034</v>
      </c>
      <c r="F191" s="13"/>
    </row>
    <row r="192" spans="1:13" ht="21" customHeight="1" x14ac:dyDescent="0.3">
      <c r="A192" s="10"/>
      <c r="B192" s="11" t="s">
        <v>38</v>
      </c>
      <c r="C192" s="9" t="s">
        <v>331</v>
      </c>
      <c r="D192" s="8">
        <v>1800</v>
      </c>
      <c r="E192" s="8">
        <v>408785</v>
      </c>
      <c r="F192" s="13"/>
    </row>
    <row r="193" spans="1:13" ht="21" customHeight="1" x14ac:dyDescent="0.3">
      <c r="A193" s="10"/>
      <c r="B193" s="14"/>
      <c r="C193" s="15"/>
      <c r="D193" s="15"/>
      <c r="E193" s="15"/>
      <c r="F193" s="14"/>
    </row>
    <row r="194" spans="1:13" ht="21" customHeight="1" x14ac:dyDescent="0.3">
      <c r="A194" s="16">
        <v>46221</v>
      </c>
      <c r="B194" s="6" t="s">
        <v>50</v>
      </c>
      <c r="C194" s="7" t="s">
        <v>332</v>
      </c>
      <c r="D194" s="6"/>
      <c r="E194" s="9">
        <v>10</v>
      </c>
      <c r="F194" s="8">
        <v>50000</v>
      </c>
      <c r="G194" s="8">
        <v>50000</v>
      </c>
      <c r="H194" s="9">
        <v>0</v>
      </c>
      <c r="I194" s="8">
        <v>50000</v>
      </c>
      <c r="J194" s="8">
        <v>52000</v>
      </c>
      <c r="K194" s="8">
        <v>-2000</v>
      </c>
      <c r="L194" s="9">
        <v>-4</v>
      </c>
      <c r="M194" s="6"/>
    </row>
    <row r="195" spans="1:13" ht="21" customHeight="1" x14ac:dyDescent="0.3">
      <c r="A195" s="10"/>
      <c r="B195" s="3" t="s">
        <v>17</v>
      </c>
      <c r="C195" s="4" t="s">
        <v>18</v>
      </c>
      <c r="D195" s="4" t="s">
        <v>19</v>
      </c>
      <c r="E195" s="4" t="s">
        <v>11</v>
      </c>
      <c r="F195" s="3" t="s">
        <v>20</v>
      </c>
    </row>
    <row r="196" spans="1:13" ht="21" customHeight="1" x14ac:dyDescent="0.3">
      <c r="A196" s="10"/>
      <c r="B196" s="11" t="s">
        <v>24</v>
      </c>
      <c r="C196" s="9" t="s">
        <v>333</v>
      </c>
      <c r="D196" s="8">
        <v>5000</v>
      </c>
      <c r="E196" s="8">
        <v>52000</v>
      </c>
      <c r="F196" s="13"/>
    </row>
    <row r="197" spans="1:13" ht="21" customHeight="1" x14ac:dyDescent="0.3">
      <c r="A197" s="10"/>
      <c r="B197" s="14"/>
      <c r="C197" s="15"/>
      <c r="D197" s="15"/>
      <c r="E197" s="15"/>
      <c r="F197" s="14"/>
    </row>
    <row r="198" spans="1:13" ht="21" customHeight="1" x14ac:dyDescent="0.3">
      <c r="A198" s="16">
        <v>46221</v>
      </c>
      <c r="B198" s="6" t="s">
        <v>334</v>
      </c>
      <c r="C198" s="7" t="s">
        <v>335</v>
      </c>
      <c r="D198" s="6"/>
      <c r="E198" s="9">
        <v>60</v>
      </c>
      <c r="F198" s="8">
        <v>564900</v>
      </c>
      <c r="G198" s="8">
        <v>564900</v>
      </c>
      <c r="H198" s="9">
        <v>0</v>
      </c>
      <c r="I198" s="8">
        <v>564900</v>
      </c>
      <c r="J198" s="8">
        <v>375618</v>
      </c>
      <c r="K198" s="8">
        <v>189282</v>
      </c>
      <c r="L198" s="9">
        <v>34</v>
      </c>
      <c r="M198" s="6"/>
    </row>
    <row r="199" spans="1:13" ht="21" customHeight="1" x14ac:dyDescent="0.3">
      <c r="A199" s="10"/>
      <c r="B199" s="3" t="s">
        <v>17</v>
      </c>
      <c r="C199" s="4" t="s">
        <v>18</v>
      </c>
      <c r="D199" s="4" t="s">
        <v>19</v>
      </c>
      <c r="E199" s="4" t="s">
        <v>11</v>
      </c>
      <c r="F199" s="3" t="s">
        <v>20</v>
      </c>
    </row>
    <row r="200" spans="1:13" ht="21" customHeight="1" x14ac:dyDescent="0.3">
      <c r="A200" s="10"/>
      <c r="B200" s="11" t="s">
        <v>43</v>
      </c>
      <c r="C200" s="9" t="s">
        <v>318</v>
      </c>
      <c r="D200" s="8">
        <v>17800</v>
      </c>
      <c r="E200" s="8">
        <v>343000</v>
      </c>
      <c r="F200" s="13"/>
    </row>
    <row r="201" spans="1:13" ht="21" customHeight="1" x14ac:dyDescent="0.3">
      <c r="A201" s="10"/>
      <c r="B201" s="11" t="s">
        <v>44</v>
      </c>
      <c r="C201" s="9" t="s">
        <v>314</v>
      </c>
      <c r="D201" s="8">
        <v>9090</v>
      </c>
      <c r="E201" s="8">
        <v>89900</v>
      </c>
      <c r="F201" s="13"/>
    </row>
    <row r="202" spans="1:13" ht="21" customHeight="1" x14ac:dyDescent="0.3">
      <c r="A202" s="10"/>
      <c r="B202" s="11" t="s">
        <v>49</v>
      </c>
      <c r="C202" s="9" t="s">
        <v>319</v>
      </c>
      <c r="D202" s="8">
        <v>5000</v>
      </c>
      <c r="E202" s="8">
        <v>-72422</v>
      </c>
      <c r="F202" s="13"/>
    </row>
    <row r="203" spans="1:13" ht="21" customHeight="1" x14ac:dyDescent="0.3">
      <c r="A203" s="10"/>
      <c r="B203" s="11" t="s">
        <v>38</v>
      </c>
      <c r="C203" s="9" t="s">
        <v>315</v>
      </c>
      <c r="D203" s="8">
        <v>1800</v>
      </c>
      <c r="E203" s="8">
        <v>15140</v>
      </c>
      <c r="F203" s="13"/>
    </row>
    <row r="204" spans="1:13" ht="21" customHeight="1" x14ac:dyDescent="0.3">
      <c r="A204" s="10"/>
      <c r="B204" s="14"/>
      <c r="C204" s="15"/>
      <c r="D204" s="15"/>
      <c r="E204" s="15"/>
      <c r="F204" s="14"/>
    </row>
    <row r="205" spans="1:13" ht="21" customHeight="1" x14ac:dyDescent="0.3">
      <c r="A205" s="16">
        <v>46221</v>
      </c>
      <c r="B205" s="6" t="s">
        <v>336</v>
      </c>
      <c r="C205" s="7" t="s">
        <v>337</v>
      </c>
      <c r="D205" s="6"/>
      <c r="E205" s="9">
        <v>3</v>
      </c>
      <c r="F205" s="8">
        <v>40835</v>
      </c>
      <c r="G205" s="8">
        <v>40835</v>
      </c>
      <c r="H205" s="9">
        <v>0</v>
      </c>
      <c r="I205" s="8">
        <v>40835</v>
      </c>
      <c r="J205" s="8">
        <v>38554</v>
      </c>
      <c r="K205" s="8">
        <v>2281</v>
      </c>
      <c r="L205" s="9">
        <v>6</v>
      </c>
      <c r="M205" s="6"/>
    </row>
    <row r="206" spans="1:13" ht="21" customHeight="1" x14ac:dyDescent="0.3">
      <c r="A206" s="10"/>
      <c r="B206" s="3" t="s">
        <v>17</v>
      </c>
      <c r="C206" s="4" t="s">
        <v>18</v>
      </c>
      <c r="D206" s="4" t="s">
        <v>19</v>
      </c>
      <c r="E206" s="4" t="s">
        <v>11</v>
      </c>
      <c r="F206" s="3" t="s">
        <v>20</v>
      </c>
    </row>
    <row r="207" spans="1:13" ht="21" customHeight="1" x14ac:dyDescent="0.3">
      <c r="A207" s="10"/>
      <c r="B207" s="11" t="s">
        <v>43</v>
      </c>
      <c r="C207" s="9" t="s">
        <v>275</v>
      </c>
      <c r="D207" s="8">
        <v>18300</v>
      </c>
      <c r="E207" s="8">
        <v>17150</v>
      </c>
      <c r="F207" s="13"/>
    </row>
    <row r="208" spans="1:13" ht="21" customHeight="1" x14ac:dyDescent="0.3">
      <c r="A208" s="10"/>
      <c r="B208" s="11" t="s">
        <v>45</v>
      </c>
      <c r="C208" s="9" t="s">
        <v>275</v>
      </c>
      <c r="D208" s="8">
        <v>13335</v>
      </c>
      <c r="E208" s="8">
        <v>12747</v>
      </c>
      <c r="F208" s="13"/>
    </row>
    <row r="209" spans="1:13" ht="21" customHeight="1" x14ac:dyDescent="0.3">
      <c r="A209" s="10"/>
      <c r="B209" s="11" t="s">
        <v>22</v>
      </c>
      <c r="C209" s="9" t="s">
        <v>275</v>
      </c>
      <c r="D209" s="8">
        <v>9200</v>
      </c>
      <c r="E209" s="8">
        <v>8657</v>
      </c>
      <c r="F209" s="13"/>
    </row>
    <row r="210" spans="1:13" ht="21" customHeight="1" x14ac:dyDescent="0.3">
      <c r="A210" s="10"/>
      <c r="B210" s="14"/>
      <c r="C210" s="15"/>
      <c r="D210" s="15"/>
      <c r="E210" s="15"/>
      <c r="F210" s="14"/>
    </row>
    <row r="211" spans="1:13" ht="21" customHeight="1" x14ac:dyDescent="0.3">
      <c r="A211" s="16">
        <v>46221</v>
      </c>
      <c r="B211" s="6" t="s">
        <v>102</v>
      </c>
      <c r="C211" s="7" t="s">
        <v>338</v>
      </c>
      <c r="D211" s="6"/>
      <c r="E211" s="9">
        <v>1</v>
      </c>
      <c r="F211" s="8">
        <v>9500</v>
      </c>
      <c r="G211" s="8">
        <v>9500</v>
      </c>
      <c r="H211" s="9">
        <v>0</v>
      </c>
      <c r="I211" s="8">
        <v>9500</v>
      </c>
      <c r="J211" s="8">
        <v>8525</v>
      </c>
      <c r="K211" s="9">
        <v>975</v>
      </c>
      <c r="L211" s="9">
        <v>10</v>
      </c>
      <c r="M211" s="6"/>
    </row>
    <row r="212" spans="1:13" ht="21" customHeight="1" x14ac:dyDescent="0.3">
      <c r="A212" s="10"/>
      <c r="B212" s="3" t="s">
        <v>17</v>
      </c>
      <c r="C212" s="4" t="s">
        <v>18</v>
      </c>
      <c r="D212" s="4" t="s">
        <v>19</v>
      </c>
      <c r="E212" s="4" t="s">
        <v>11</v>
      </c>
      <c r="F212" s="3" t="s">
        <v>20</v>
      </c>
    </row>
    <row r="213" spans="1:13" ht="21" customHeight="1" x14ac:dyDescent="0.3">
      <c r="A213" s="10"/>
      <c r="B213" s="11" t="s">
        <v>37</v>
      </c>
      <c r="C213" s="9" t="s">
        <v>275</v>
      </c>
      <c r="D213" s="8">
        <v>9500</v>
      </c>
      <c r="E213" s="8">
        <v>8525</v>
      </c>
      <c r="F213" s="13"/>
    </row>
    <row r="214" spans="1:13" ht="21" customHeight="1" x14ac:dyDescent="0.3">
      <c r="A214" s="10"/>
      <c r="B214" s="14"/>
      <c r="C214" s="15"/>
      <c r="D214" s="15"/>
      <c r="E214" s="15"/>
      <c r="F214" s="14"/>
    </row>
    <row r="215" spans="1:13" ht="21" customHeight="1" x14ac:dyDescent="0.3">
      <c r="A215" s="16">
        <v>46221</v>
      </c>
      <c r="B215" s="6" t="s">
        <v>334</v>
      </c>
      <c r="C215" s="7" t="s">
        <v>339</v>
      </c>
      <c r="D215" s="6"/>
      <c r="E215" s="9">
        <v>140</v>
      </c>
      <c r="F215" s="8">
        <v>679000</v>
      </c>
      <c r="G215" s="8">
        <v>679000</v>
      </c>
      <c r="H215" s="9">
        <v>0</v>
      </c>
      <c r="I215" s="8">
        <v>679000</v>
      </c>
      <c r="J215" s="8">
        <v>680531</v>
      </c>
      <c r="K215" s="8">
        <v>-1531</v>
      </c>
      <c r="L215" s="9">
        <v>0</v>
      </c>
      <c r="M215" s="6"/>
    </row>
    <row r="216" spans="1:13" ht="21" customHeight="1" x14ac:dyDescent="0.3">
      <c r="A216" s="10"/>
      <c r="B216" s="3" t="s">
        <v>17</v>
      </c>
      <c r="C216" s="4" t="s">
        <v>18</v>
      </c>
      <c r="D216" s="4" t="s">
        <v>19</v>
      </c>
      <c r="E216" s="4" t="s">
        <v>11</v>
      </c>
      <c r="F216" s="3" t="s">
        <v>20</v>
      </c>
    </row>
    <row r="217" spans="1:13" ht="21" customHeight="1" x14ac:dyDescent="0.3">
      <c r="A217" s="10"/>
      <c r="B217" s="11" t="s">
        <v>21</v>
      </c>
      <c r="C217" s="9" t="s">
        <v>329</v>
      </c>
      <c r="D217" s="8">
        <v>8100</v>
      </c>
      <c r="E217" s="8">
        <v>568531</v>
      </c>
      <c r="F217" s="13"/>
    </row>
    <row r="218" spans="1:13" ht="21" customHeight="1" x14ac:dyDescent="0.3">
      <c r="A218" s="10"/>
      <c r="B218" s="11" t="s">
        <v>48</v>
      </c>
      <c r="C218" s="9" t="s">
        <v>340</v>
      </c>
      <c r="D218" s="8">
        <v>1600</v>
      </c>
      <c r="E218" s="8">
        <v>112000</v>
      </c>
      <c r="F218" s="13"/>
    </row>
    <row r="219" spans="1:13" ht="21" customHeight="1" x14ac:dyDescent="0.3">
      <c r="A219" s="10"/>
      <c r="B219" s="14"/>
      <c r="C219" s="15"/>
      <c r="D219" s="15"/>
      <c r="E219" s="15"/>
      <c r="F219" s="14"/>
    </row>
    <row r="220" spans="1:13" ht="21" customHeight="1" x14ac:dyDescent="0.3">
      <c r="A220" s="16">
        <v>46221</v>
      </c>
      <c r="B220" s="6" t="s">
        <v>341</v>
      </c>
      <c r="C220" s="7" t="s">
        <v>342</v>
      </c>
      <c r="D220" s="6"/>
      <c r="E220" s="9">
        <v>8</v>
      </c>
      <c r="F220" s="8">
        <v>74680</v>
      </c>
      <c r="G220" s="9">
        <v>0</v>
      </c>
      <c r="H220" s="8">
        <v>74680</v>
      </c>
      <c r="I220" s="8">
        <v>74680</v>
      </c>
      <c r="J220" s="8">
        <v>69254</v>
      </c>
      <c r="K220" s="8">
        <v>5426</v>
      </c>
      <c r="L220" s="9">
        <v>7</v>
      </c>
      <c r="M220" s="6"/>
    </row>
    <row r="221" spans="1:13" ht="21" customHeight="1" x14ac:dyDescent="0.3">
      <c r="A221" s="10"/>
      <c r="B221" s="3" t="s">
        <v>17</v>
      </c>
      <c r="C221" s="4" t="s">
        <v>18</v>
      </c>
      <c r="D221" s="4" t="s">
        <v>19</v>
      </c>
      <c r="E221" s="4" t="s">
        <v>11</v>
      </c>
      <c r="F221" s="3" t="s">
        <v>20</v>
      </c>
    </row>
    <row r="222" spans="1:13" ht="21" customHeight="1" x14ac:dyDescent="0.3">
      <c r="A222" s="10"/>
      <c r="B222" s="11" t="s">
        <v>22</v>
      </c>
      <c r="C222" s="9" t="s">
        <v>343</v>
      </c>
      <c r="D222" s="8">
        <v>9335</v>
      </c>
      <c r="E222" s="8">
        <v>69254</v>
      </c>
      <c r="F222" s="13"/>
    </row>
    <row r="223" spans="1:13" ht="21" customHeight="1" x14ac:dyDescent="0.3">
      <c r="A223" s="10"/>
      <c r="B223" s="14"/>
      <c r="C223" s="15"/>
      <c r="D223" s="15"/>
      <c r="E223" s="15"/>
      <c r="F223" s="14"/>
    </row>
    <row r="224" spans="1:13" ht="21" customHeight="1" x14ac:dyDescent="0.3">
      <c r="A224" s="23">
        <v>46223</v>
      </c>
      <c r="B224" s="6" t="s">
        <v>212</v>
      </c>
      <c r="C224" s="7" t="s">
        <v>344</v>
      </c>
      <c r="D224" s="6"/>
      <c r="E224" s="9">
        <v>6</v>
      </c>
      <c r="F224" s="8">
        <v>54600</v>
      </c>
      <c r="G224" s="8">
        <v>54600</v>
      </c>
      <c r="H224" s="9">
        <v>0</v>
      </c>
      <c r="I224" s="8">
        <v>54600</v>
      </c>
      <c r="J224" s="8">
        <v>50336</v>
      </c>
      <c r="K224" s="8">
        <v>4264</v>
      </c>
      <c r="L224" s="9">
        <v>8</v>
      </c>
      <c r="M224" s="6"/>
    </row>
    <row r="225" spans="1:13" ht="21" customHeight="1" x14ac:dyDescent="0.3">
      <c r="A225" s="10"/>
      <c r="B225" s="3" t="s">
        <v>17</v>
      </c>
      <c r="C225" s="4" t="s">
        <v>18</v>
      </c>
      <c r="D225" s="4" t="s">
        <v>19</v>
      </c>
      <c r="E225" s="4" t="s">
        <v>11</v>
      </c>
      <c r="F225" s="3" t="s">
        <v>20</v>
      </c>
    </row>
    <row r="226" spans="1:13" ht="21" customHeight="1" x14ac:dyDescent="0.3">
      <c r="A226" s="10"/>
      <c r="B226" s="11" t="s">
        <v>22</v>
      </c>
      <c r="C226" s="9" t="s">
        <v>323</v>
      </c>
      <c r="D226" s="8">
        <v>9200</v>
      </c>
      <c r="E226" s="8">
        <v>25970</v>
      </c>
      <c r="F226" s="13"/>
    </row>
    <row r="227" spans="1:13" ht="21" customHeight="1" x14ac:dyDescent="0.3">
      <c r="A227" s="10"/>
      <c r="B227" s="11" t="s">
        <v>21</v>
      </c>
      <c r="C227" s="9" t="s">
        <v>323</v>
      </c>
      <c r="D227" s="8">
        <v>9000</v>
      </c>
      <c r="E227" s="8">
        <v>24366</v>
      </c>
      <c r="F227" s="13"/>
    </row>
    <row r="228" spans="1:13" ht="21" customHeight="1" x14ac:dyDescent="0.3">
      <c r="A228" s="10"/>
      <c r="B228" s="14"/>
      <c r="C228" s="15"/>
      <c r="D228" s="15"/>
      <c r="E228" s="15"/>
      <c r="F228" s="14"/>
    </row>
    <row r="229" spans="1:13" ht="21" customHeight="1" x14ac:dyDescent="0.3">
      <c r="A229" s="16">
        <v>46223</v>
      </c>
      <c r="B229" s="6" t="s">
        <v>50</v>
      </c>
      <c r="C229" s="7" t="s">
        <v>345</v>
      </c>
      <c r="D229" s="6"/>
      <c r="E229" s="9">
        <v>248</v>
      </c>
      <c r="F229" s="8">
        <v>1240000</v>
      </c>
      <c r="G229" s="8">
        <v>1240000</v>
      </c>
      <c r="H229" s="9">
        <v>0</v>
      </c>
      <c r="I229" s="8">
        <v>1240000</v>
      </c>
      <c r="J229" s="8">
        <v>1289600</v>
      </c>
      <c r="K229" s="8">
        <v>-49600</v>
      </c>
      <c r="L229" s="9">
        <v>-4</v>
      </c>
      <c r="M229" s="6"/>
    </row>
    <row r="230" spans="1:13" ht="21" customHeight="1" x14ac:dyDescent="0.3">
      <c r="A230" s="10"/>
      <c r="B230" s="3" t="s">
        <v>17</v>
      </c>
      <c r="C230" s="4" t="s">
        <v>18</v>
      </c>
      <c r="D230" s="4" t="s">
        <v>19</v>
      </c>
      <c r="E230" s="4" t="s">
        <v>11</v>
      </c>
      <c r="F230" s="3" t="s">
        <v>20</v>
      </c>
    </row>
    <row r="231" spans="1:13" ht="21" customHeight="1" x14ac:dyDescent="0.3">
      <c r="A231" s="10"/>
      <c r="B231" s="11" t="s">
        <v>24</v>
      </c>
      <c r="C231" s="9" t="s">
        <v>346</v>
      </c>
      <c r="D231" s="8">
        <v>5000</v>
      </c>
      <c r="E231" s="8">
        <v>1289600</v>
      </c>
      <c r="F231" s="13"/>
    </row>
    <row r="232" spans="1:13" ht="21" customHeight="1" x14ac:dyDescent="0.3">
      <c r="A232" s="10"/>
      <c r="B232" s="14"/>
      <c r="C232" s="15"/>
      <c r="D232" s="15"/>
      <c r="E232" s="15"/>
      <c r="F232" s="14"/>
    </row>
    <row r="233" spans="1:13" ht="21" customHeight="1" x14ac:dyDescent="0.3">
      <c r="A233" s="16">
        <v>46223</v>
      </c>
      <c r="B233" s="6" t="s">
        <v>152</v>
      </c>
      <c r="C233" s="7" t="s">
        <v>347</v>
      </c>
      <c r="D233" s="6"/>
      <c r="E233" s="9">
        <v>420</v>
      </c>
      <c r="F233" s="8">
        <v>3611300</v>
      </c>
      <c r="G233" s="9">
        <v>0</v>
      </c>
      <c r="H233" s="8">
        <v>3611300</v>
      </c>
      <c r="I233" s="8">
        <v>3611300</v>
      </c>
      <c r="J233" s="8">
        <v>3659161</v>
      </c>
      <c r="K233" s="8">
        <v>-47861</v>
      </c>
      <c r="L233" s="9">
        <v>-1</v>
      </c>
      <c r="M233" s="6"/>
    </row>
    <row r="234" spans="1:13" ht="21" customHeight="1" x14ac:dyDescent="0.3">
      <c r="A234" s="10"/>
      <c r="B234" s="3" t="s">
        <v>17</v>
      </c>
      <c r="C234" s="4" t="s">
        <v>18</v>
      </c>
      <c r="D234" s="4" t="s">
        <v>19</v>
      </c>
      <c r="E234" s="4" t="s">
        <v>11</v>
      </c>
      <c r="F234" s="3" t="s">
        <v>20</v>
      </c>
    </row>
    <row r="235" spans="1:13" ht="21" customHeight="1" x14ac:dyDescent="0.3">
      <c r="A235" s="10"/>
      <c r="B235" s="11" t="s">
        <v>22</v>
      </c>
      <c r="C235" s="9" t="s">
        <v>348</v>
      </c>
      <c r="D235" s="8">
        <v>8500</v>
      </c>
      <c r="E235" s="8">
        <v>3029861</v>
      </c>
      <c r="F235" s="13"/>
    </row>
    <row r="236" spans="1:13" ht="21" customHeight="1" x14ac:dyDescent="0.3">
      <c r="A236" s="10"/>
      <c r="B236" s="11" t="s">
        <v>44</v>
      </c>
      <c r="C236" s="9" t="s">
        <v>329</v>
      </c>
      <c r="D236" s="8">
        <v>9090</v>
      </c>
      <c r="E236" s="8">
        <v>629300</v>
      </c>
      <c r="F236" s="13"/>
    </row>
    <row r="237" spans="1:13" ht="21" customHeight="1" x14ac:dyDescent="0.3">
      <c r="A237" s="10"/>
      <c r="B237" s="14"/>
      <c r="C237" s="15"/>
      <c r="D237" s="15"/>
      <c r="E237" s="15"/>
      <c r="F237" s="14"/>
    </row>
    <row r="238" spans="1:13" ht="21" customHeight="1" x14ac:dyDescent="0.3">
      <c r="A238" s="16">
        <v>46223</v>
      </c>
      <c r="B238" s="6" t="s">
        <v>25</v>
      </c>
      <c r="C238" s="7" t="s">
        <v>349</v>
      </c>
      <c r="D238" s="6"/>
      <c r="E238" s="9">
        <v>90</v>
      </c>
      <c r="F238" s="8">
        <v>459000</v>
      </c>
      <c r="G238" s="8">
        <v>459000</v>
      </c>
      <c r="H238" s="9">
        <v>0</v>
      </c>
      <c r="I238" s="8">
        <v>459000</v>
      </c>
      <c r="J238" s="8">
        <v>444217</v>
      </c>
      <c r="K238" s="8">
        <v>14783</v>
      </c>
      <c r="L238" s="9">
        <v>3</v>
      </c>
      <c r="M238" s="6"/>
    </row>
    <row r="239" spans="1:13" ht="21" customHeight="1" x14ac:dyDescent="0.3">
      <c r="A239" s="10"/>
      <c r="B239" s="3" t="s">
        <v>17</v>
      </c>
      <c r="C239" s="4" t="s">
        <v>18</v>
      </c>
      <c r="D239" s="4" t="s">
        <v>19</v>
      </c>
      <c r="E239" s="4" t="s">
        <v>11</v>
      </c>
      <c r="F239" s="3" t="s">
        <v>20</v>
      </c>
    </row>
    <row r="240" spans="1:13" ht="21" customHeight="1" x14ac:dyDescent="0.3">
      <c r="A240" s="10"/>
      <c r="B240" s="11" t="s">
        <v>21</v>
      </c>
      <c r="C240" s="9" t="s">
        <v>330</v>
      </c>
      <c r="D240" s="8">
        <v>8200</v>
      </c>
      <c r="E240" s="8">
        <v>243656</v>
      </c>
      <c r="F240" s="13"/>
    </row>
    <row r="241" spans="1:13" ht="21" customHeight="1" x14ac:dyDescent="0.3">
      <c r="A241" s="10"/>
      <c r="B241" s="11" t="s">
        <v>22</v>
      </c>
      <c r="C241" s="9" t="s">
        <v>350</v>
      </c>
      <c r="D241" s="8">
        <v>9200</v>
      </c>
      <c r="E241" s="8">
        <v>129851</v>
      </c>
      <c r="F241" s="13"/>
    </row>
    <row r="242" spans="1:13" ht="21" customHeight="1" x14ac:dyDescent="0.3">
      <c r="A242" s="10"/>
      <c r="B242" s="11" t="s">
        <v>48</v>
      </c>
      <c r="C242" s="9" t="s">
        <v>271</v>
      </c>
      <c r="D242" s="8">
        <v>1600</v>
      </c>
      <c r="E242" s="8">
        <v>48000</v>
      </c>
      <c r="F242" s="13"/>
    </row>
    <row r="243" spans="1:13" ht="21" customHeight="1" x14ac:dyDescent="0.3">
      <c r="A243" s="10"/>
      <c r="B243" s="11" t="s">
        <v>38</v>
      </c>
      <c r="C243" s="9" t="s">
        <v>351</v>
      </c>
      <c r="D243" s="8">
        <v>1800</v>
      </c>
      <c r="E243" s="8">
        <v>22710</v>
      </c>
      <c r="F243" s="13"/>
    </row>
    <row r="244" spans="1:13" ht="21" customHeight="1" x14ac:dyDescent="0.3">
      <c r="A244" s="10"/>
      <c r="B244" s="14"/>
      <c r="C244" s="15"/>
      <c r="D244" s="15"/>
      <c r="E244" s="15"/>
      <c r="F244" s="14"/>
    </row>
    <row r="245" spans="1:13" ht="21" customHeight="1" x14ac:dyDescent="0.3">
      <c r="A245" s="16">
        <v>46223</v>
      </c>
      <c r="B245" s="6" t="s">
        <v>154</v>
      </c>
      <c r="C245" s="7" t="s">
        <v>352</v>
      </c>
      <c r="D245" s="6"/>
      <c r="E245" s="9">
        <v>20</v>
      </c>
      <c r="F245" s="8">
        <v>154540</v>
      </c>
      <c r="G245" s="8">
        <v>150000</v>
      </c>
      <c r="H245" s="8">
        <v>4540</v>
      </c>
      <c r="I245" s="8">
        <v>154540</v>
      </c>
      <c r="J245" s="8">
        <v>136150</v>
      </c>
      <c r="K245" s="8">
        <v>18390</v>
      </c>
      <c r="L245" s="9">
        <v>12</v>
      </c>
      <c r="M245" s="6" t="s">
        <v>353</v>
      </c>
    </row>
    <row r="246" spans="1:13" ht="21" customHeight="1" x14ac:dyDescent="0.3">
      <c r="A246" s="10"/>
      <c r="B246" s="3" t="s">
        <v>17</v>
      </c>
      <c r="C246" s="4" t="s">
        <v>18</v>
      </c>
      <c r="D246" s="4" t="s">
        <v>19</v>
      </c>
      <c r="E246" s="4" t="s">
        <v>11</v>
      </c>
      <c r="F246" s="3" t="s">
        <v>20</v>
      </c>
    </row>
    <row r="247" spans="1:13" ht="21" customHeight="1" x14ac:dyDescent="0.3">
      <c r="A247" s="10"/>
      <c r="B247" s="11" t="s">
        <v>45</v>
      </c>
      <c r="C247" s="9" t="s">
        <v>301</v>
      </c>
      <c r="D247" s="8">
        <v>13335</v>
      </c>
      <c r="E247" s="8">
        <v>50987</v>
      </c>
      <c r="F247" s="13"/>
    </row>
    <row r="248" spans="1:13" ht="21" customHeight="1" x14ac:dyDescent="0.3">
      <c r="A248" s="10"/>
      <c r="B248" s="11" t="s">
        <v>150</v>
      </c>
      <c r="C248" s="9" t="s">
        <v>274</v>
      </c>
      <c r="D248" s="8">
        <v>10315</v>
      </c>
      <c r="E248" s="8">
        <v>19850</v>
      </c>
      <c r="F248" s="13"/>
    </row>
    <row r="249" spans="1:13" ht="21" customHeight="1" x14ac:dyDescent="0.3">
      <c r="A249" s="10"/>
      <c r="B249" s="11" t="s">
        <v>87</v>
      </c>
      <c r="C249" s="9" t="s">
        <v>274</v>
      </c>
      <c r="D249" s="8">
        <v>21485</v>
      </c>
      <c r="E249" s="8">
        <v>40880</v>
      </c>
      <c r="F249" s="13"/>
    </row>
    <row r="250" spans="1:13" ht="21" customHeight="1" x14ac:dyDescent="0.3">
      <c r="A250" s="10"/>
      <c r="B250" s="11" t="s">
        <v>22</v>
      </c>
      <c r="C250" s="9" t="s">
        <v>275</v>
      </c>
      <c r="D250" s="8">
        <v>9200</v>
      </c>
      <c r="E250" s="8">
        <v>8657</v>
      </c>
      <c r="F250" s="13"/>
    </row>
    <row r="251" spans="1:13" ht="21" customHeight="1" x14ac:dyDescent="0.3">
      <c r="A251" s="10"/>
      <c r="B251" s="11" t="s">
        <v>44</v>
      </c>
      <c r="C251" s="9" t="s">
        <v>275</v>
      </c>
      <c r="D251" s="8">
        <v>9200</v>
      </c>
      <c r="E251" s="8">
        <v>8990</v>
      </c>
      <c r="F251" s="13"/>
    </row>
    <row r="252" spans="1:13" ht="21" customHeight="1" x14ac:dyDescent="0.3">
      <c r="A252" s="10"/>
      <c r="B252" s="11" t="s">
        <v>38</v>
      </c>
      <c r="C252" s="9" t="s">
        <v>354</v>
      </c>
      <c r="D252" s="8">
        <v>1800</v>
      </c>
      <c r="E252" s="8">
        <v>6056</v>
      </c>
      <c r="F252" s="13"/>
    </row>
    <row r="253" spans="1:13" ht="21" customHeight="1" x14ac:dyDescent="0.3">
      <c r="A253" s="10"/>
      <c r="B253" s="11" t="s">
        <v>148</v>
      </c>
      <c r="C253" s="9" t="s">
        <v>289</v>
      </c>
      <c r="D253" s="8">
        <v>2000</v>
      </c>
      <c r="E253" s="9">
        <v>730</v>
      </c>
      <c r="F253" s="13"/>
    </row>
    <row r="254" spans="1:13" ht="21" customHeight="1" x14ac:dyDescent="0.3">
      <c r="A254" s="10"/>
      <c r="B254" s="14"/>
      <c r="C254" s="15"/>
      <c r="D254" s="15"/>
      <c r="E254" s="15"/>
      <c r="F254" s="14"/>
    </row>
    <row r="255" spans="1:13" ht="21" customHeight="1" x14ac:dyDescent="0.3">
      <c r="A255" s="16">
        <v>46223</v>
      </c>
      <c r="B255" s="6" t="s">
        <v>29</v>
      </c>
      <c r="C255" s="7" t="s">
        <v>355</v>
      </c>
      <c r="D255" s="6"/>
      <c r="E255" s="9">
        <v>5</v>
      </c>
      <c r="F255" s="8">
        <v>89140</v>
      </c>
      <c r="G255" s="8">
        <v>89140</v>
      </c>
      <c r="H255" s="9">
        <v>0</v>
      </c>
      <c r="I255" s="8">
        <v>89140</v>
      </c>
      <c r="J255" s="8">
        <v>88142</v>
      </c>
      <c r="K255" s="9">
        <v>998</v>
      </c>
      <c r="L255" s="9">
        <v>1</v>
      </c>
      <c r="M255" s="6"/>
    </row>
    <row r="256" spans="1:13" ht="21" customHeight="1" x14ac:dyDescent="0.3">
      <c r="A256" s="10"/>
      <c r="B256" s="3" t="s">
        <v>17</v>
      </c>
      <c r="C256" s="4" t="s">
        <v>18</v>
      </c>
      <c r="D256" s="4" t="s">
        <v>19</v>
      </c>
      <c r="E256" s="4" t="s">
        <v>11</v>
      </c>
      <c r="F256" s="3" t="s">
        <v>20</v>
      </c>
    </row>
    <row r="257" spans="1:13" ht="21" customHeight="1" x14ac:dyDescent="0.3">
      <c r="A257" s="10"/>
      <c r="B257" s="11" t="s">
        <v>31</v>
      </c>
      <c r="C257" s="9" t="s">
        <v>356</v>
      </c>
      <c r="D257" s="8">
        <v>17100</v>
      </c>
      <c r="E257" s="8">
        <v>51300</v>
      </c>
      <c r="F257" s="13"/>
    </row>
    <row r="258" spans="1:13" ht="21" customHeight="1" x14ac:dyDescent="0.3">
      <c r="A258" s="10"/>
      <c r="B258" s="11" t="s">
        <v>34</v>
      </c>
      <c r="C258" s="9" t="s">
        <v>266</v>
      </c>
      <c r="D258" s="8">
        <v>21695</v>
      </c>
      <c r="E258" s="8">
        <v>21595</v>
      </c>
      <c r="F258" s="13"/>
    </row>
    <row r="259" spans="1:13" ht="21" customHeight="1" x14ac:dyDescent="0.3">
      <c r="A259" s="10"/>
      <c r="B259" s="11" t="s">
        <v>32</v>
      </c>
      <c r="C259" s="9" t="s">
        <v>266</v>
      </c>
      <c r="D259" s="8">
        <v>16145</v>
      </c>
      <c r="E259" s="8">
        <v>15247</v>
      </c>
      <c r="F259" s="13"/>
    </row>
    <row r="260" spans="1:13" ht="21" customHeight="1" x14ac:dyDescent="0.3">
      <c r="A260" s="10"/>
      <c r="B260" s="14"/>
      <c r="C260" s="15"/>
      <c r="D260" s="15"/>
      <c r="E260" s="15"/>
      <c r="F260" s="14"/>
    </row>
    <row r="261" spans="1:13" ht="21" customHeight="1" x14ac:dyDescent="0.3">
      <c r="A261" s="16">
        <v>46223</v>
      </c>
      <c r="B261" s="6" t="s">
        <v>29</v>
      </c>
      <c r="C261" s="7" t="s">
        <v>357</v>
      </c>
      <c r="D261" s="6"/>
      <c r="E261" s="9">
        <v>132</v>
      </c>
      <c r="F261" s="8">
        <v>888995</v>
      </c>
      <c r="G261" s="8">
        <v>888995</v>
      </c>
      <c r="H261" s="9">
        <v>0</v>
      </c>
      <c r="I261" s="8">
        <v>888995</v>
      </c>
      <c r="J261" s="8">
        <v>899546</v>
      </c>
      <c r="K261" s="8">
        <v>-10551</v>
      </c>
      <c r="L261" s="9">
        <v>-1</v>
      </c>
      <c r="M261" s="6"/>
    </row>
    <row r="262" spans="1:13" ht="21" customHeight="1" x14ac:dyDescent="0.3">
      <c r="A262" s="10"/>
      <c r="B262" s="3" t="s">
        <v>17</v>
      </c>
      <c r="C262" s="4" t="s">
        <v>18</v>
      </c>
      <c r="D262" s="4" t="s">
        <v>19</v>
      </c>
      <c r="E262" s="4" t="s">
        <v>11</v>
      </c>
      <c r="F262" s="3" t="s">
        <v>20</v>
      </c>
    </row>
    <row r="263" spans="1:13" ht="21" customHeight="1" x14ac:dyDescent="0.3">
      <c r="A263" s="10"/>
      <c r="B263" s="11" t="s">
        <v>44</v>
      </c>
      <c r="C263" s="9" t="s">
        <v>358</v>
      </c>
      <c r="D263" s="8">
        <v>9200</v>
      </c>
      <c r="E263" s="8">
        <v>98890</v>
      </c>
      <c r="F263" s="13"/>
    </row>
    <row r="264" spans="1:13" ht="21" customHeight="1" x14ac:dyDescent="0.3">
      <c r="A264" s="10"/>
      <c r="B264" s="11" t="s">
        <v>22</v>
      </c>
      <c r="C264" s="9" t="s">
        <v>274</v>
      </c>
      <c r="D264" s="8">
        <v>8800</v>
      </c>
      <c r="E264" s="8">
        <v>17313</v>
      </c>
      <c r="F264" s="13"/>
    </row>
    <row r="265" spans="1:13" ht="21" customHeight="1" x14ac:dyDescent="0.3">
      <c r="A265" s="10"/>
      <c r="B265" s="11" t="s">
        <v>65</v>
      </c>
      <c r="C265" s="9" t="s">
        <v>274</v>
      </c>
      <c r="D265" s="8">
        <v>11910</v>
      </c>
      <c r="E265" s="8">
        <v>22630</v>
      </c>
      <c r="F265" s="13"/>
    </row>
    <row r="266" spans="1:13" ht="21" customHeight="1" x14ac:dyDescent="0.3">
      <c r="A266" s="10"/>
      <c r="B266" s="11" t="s">
        <v>113</v>
      </c>
      <c r="C266" s="9" t="s">
        <v>275</v>
      </c>
      <c r="D266" s="8">
        <v>14575</v>
      </c>
      <c r="E266" s="8">
        <v>14475</v>
      </c>
      <c r="F266" s="13"/>
    </row>
    <row r="267" spans="1:13" ht="21" customHeight="1" x14ac:dyDescent="0.3">
      <c r="A267" s="10"/>
      <c r="B267" s="11" t="s">
        <v>24</v>
      </c>
      <c r="C267" s="9" t="s">
        <v>359</v>
      </c>
      <c r="D267" s="8">
        <v>5000</v>
      </c>
      <c r="E267" s="8">
        <v>416000</v>
      </c>
      <c r="F267" s="13"/>
    </row>
    <row r="268" spans="1:13" ht="21" customHeight="1" x14ac:dyDescent="0.3">
      <c r="A268" s="10"/>
      <c r="B268" s="11" t="s">
        <v>28</v>
      </c>
      <c r="C268" s="9" t="s">
        <v>312</v>
      </c>
      <c r="D268" s="8">
        <v>13200</v>
      </c>
      <c r="E268" s="8">
        <v>135014</v>
      </c>
      <c r="F268" s="13"/>
    </row>
    <row r="269" spans="1:13" ht="21" customHeight="1" x14ac:dyDescent="0.3">
      <c r="A269" s="10"/>
      <c r="B269" s="11" t="s">
        <v>31</v>
      </c>
      <c r="C269" s="9" t="s">
        <v>312</v>
      </c>
      <c r="D269" s="8">
        <v>17100</v>
      </c>
      <c r="E269" s="8">
        <v>171000</v>
      </c>
      <c r="F269" s="13"/>
    </row>
    <row r="270" spans="1:13" ht="21" customHeight="1" x14ac:dyDescent="0.3">
      <c r="A270" s="10"/>
      <c r="B270" s="11" t="s">
        <v>38</v>
      </c>
      <c r="C270" s="9" t="s">
        <v>360</v>
      </c>
      <c r="D270" s="8">
        <v>1800</v>
      </c>
      <c r="E270" s="8">
        <v>24224</v>
      </c>
      <c r="F270" s="13"/>
    </row>
    <row r="271" spans="1:13" ht="21" customHeight="1" x14ac:dyDescent="0.3">
      <c r="A271" s="10"/>
      <c r="B271" s="14"/>
      <c r="C271" s="15"/>
      <c r="D271" s="15"/>
      <c r="E271" s="15"/>
      <c r="F271" s="14"/>
    </row>
    <row r="272" spans="1:13" ht="21" customHeight="1" x14ac:dyDescent="0.3">
      <c r="A272" s="16">
        <v>46223</v>
      </c>
      <c r="B272" s="6" t="s">
        <v>152</v>
      </c>
      <c r="C272" s="7" t="s">
        <v>361</v>
      </c>
      <c r="D272" s="6"/>
      <c r="E272" s="9">
        <v>420</v>
      </c>
      <c r="F272" s="8">
        <v>756000</v>
      </c>
      <c r="G272" s="8">
        <v>619200</v>
      </c>
      <c r="H272" s="8">
        <v>136800</v>
      </c>
      <c r="I272" s="8">
        <v>756000</v>
      </c>
      <c r="J272" s="8">
        <v>635888</v>
      </c>
      <c r="K272" s="8">
        <v>120112</v>
      </c>
      <c r="L272" s="9">
        <v>16</v>
      </c>
      <c r="M272" s="6"/>
    </row>
    <row r="273" spans="1:13" ht="21" customHeight="1" x14ac:dyDescent="0.3">
      <c r="A273" s="10"/>
      <c r="B273" s="3" t="s">
        <v>17</v>
      </c>
      <c r="C273" s="4" t="s">
        <v>18</v>
      </c>
      <c r="D273" s="4" t="s">
        <v>19</v>
      </c>
      <c r="E273" s="4" t="s">
        <v>11</v>
      </c>
      <c r="F273" s="3" t="s">
        <v>20</v>
      </c>
    </row>
    <row r="274" spans="1:13" ht="21" customHeight="1" x14ac:dyDescent="0.3">
      <c r="A274" s="10"/>
      <c r="B274" s="11" t="s">
        <v>38</v>
      </c>
      <c r="C274" s="9" t="s">
        <v>362</v>
      </c>
      <c r="D274" s="8">
        <v>1800</v>
      </c>
      <c r="E274" s="8">
        <v>635888</v>
      </c>
      <c r="F274" s="13"/>
    </row>
    <row r="275" spans="1:13" ht="21" customHeight="1" x14ac:dyDescent="0.3">
      <c r="A275" s="10"/>
      <c r="B275" s="14"/>
      <c r="C275" s="15"/>
      <c r="D275" s="15"/>
      <c r="E275" s="15"/>
      <c r="F275" s="14"/>
    </row>
    <row r="276" spans="1:13" ht="21" customHeight="1" x14ac:dyDescent="0.3">
      <c r="A276" s="16">
        <v>46223</v>
      </c>
      <c r="B276" s="6" t="s">
        <v>78</v>
      </c>
      <c r="C276" s="7" t="s">
        <v>363</v>
      </c>
      <c r="D276" s="6"/>
      <c r="E276" s="9">
        <v>1</v>
      </c>
      <c r="F276" s="8">
        <v>12885</v>
      </c>
      <c r="G276" s="9">
        <v>0</v>
      </c>
      <c r="H276" s="8">
        <v>12885</v>
      </c>
      <c r="I276" s="8">
        <v>12885</v>
      </c>
      <c r="J276" s="8">
        <v>12120</v>
      </c>
      <c r="K276" s="9">
        <v>765</v>
      </c>
      <c r="L276" s="9">
        <v>6</v>
      </c>
      <c r="M276" s="6"/>
    </row>
    <row r="277" spans="1:13" ht="21" customHeight="1" x14ac:dyDescent="0.3">
      <c r="A277" s="10"/>
      <c r="B277" s="3" t="s">
        <v>17</v>
      </c>
      <c r="C277" s="4" t="s">
        <v>18</v>
      </c>
      <c r="D277" s="4" t="s">
        <v>19</v>
      </c>
      <c r="E277" s="4" t="s">
        <v>11</v>
      </c>
      <c r="F277" s="3" t="s">
        <v>20</v>
      </c>
    </row>
    <row r="278" spans="1:13" ht="21" customHeight="1" x14ac:dyDescent="0.3">
      <c r="A278" s="10"/>
      <c r="B278" s="11" t="s">
        <v>61</v>
      </c>
      <c r="C278" s="9" t="s">
        <v>266</v>
      </c>
      <c r="D278" s="8">
        <v>12885</v>
      </c>
      <c r="E278" s="8">
        <v>12120</v>
      </c>
      <c r="F278" s="13"/>
    </row>
    <row r="279" spans="1:13" ht="21" customHeight="1" x14ac:dyDescent="0.3">
      <c r="A279" s="10"/>
      <c r="B279" s="14"/>
      <c r="C279" s="15"/>
      <c r="D279" s="15"/>
      <c r="E279" s="15"/>
      <c r="F279" s="14"/>
    </row>
    <row r="280" spans="1:13" ht="21" customHeight="1" x14ac:dyDescent="0.3">
      <c r="A280" s="16">
        <v>46223</v>
      </c>
      <c r="B280" s="6" t="s">
        <v>15</v>
      </c>
      <c r="C280" s="7" t="s">
        <v>364</v>
      </c>
      <c r="D280" s="6"/>
      <c r="E280" s="9">
        <v>2</v>
      </c>
      <c r="F280" s="8">
        <v>10600</v>
      </c>
      <c r="G280" s="8">
        <v>10600</v>
      </c>
      <c r="H280" s="9">
        <v>0</v>
      </c>
      <c r="I280" s="8">
        <v>10600</v>
      </c>
      <c r="J280" s="8">
        <v>10400</v>
      </c>
      <c r="K280" s="9">
        <v>200</v>
      </c>
      <c r="L280" s="9">
        <v>2</v>
      </c>
      <c r="M280" s="6"/>
    </row>
    <row r="281" spans="1:13" ht="21" customHeight="1" x14ac:dyDescent="0.3">
      <c r="A281" s="10"/>
      <c r="B281" s="3" t="s">
        <v>17</v>
      </c>
      <c r="C281" s="4" t="s">
        <v>18</v>
      </c>
      <c r="D281" s="4" t="s">
        <v>19</v>
      </c>
      <c r="E281" s="4" t="s">
        <v>11</v>
      </c>
      <c r="F281" s="3" t="s">
        <v>20</v>
      </c>
    </row>
    <row r="282" spans="1:13" ht="21" customHeight="1" x14ac:dyDescent="0.3">
      <c r="A282" s="10"/>
      <c r="B282" s="11" t="s">
        <v>24</v>
      </c>
      <c r="C282" s="9" t="s">
        <v>265</v>
      </c>
      <c r="D282" s="8">
        <v>5300</v>
      </c>
      <c r="E282" s="8">
        <v>10400</v>
      </c>
      <c r="F282" s="13"/>
    </row>
    <row r="283" spans="1:13" ht="21" customHeight="1" x14ac:dyDescent="0.3">
      <c r="A283" s="10"/>
      <c r="B283" s="14"/>
      <c r="C283" s="15"/>
      <c r="D283" s="15"/>
      <c r="E283" s="15"/>
      <c r="F283" s="14"/>
    </row>
    <row r="284" spans="1:13" ht="21" customHeight="1" x14ac:dyDescent="0.3">
      <c r="A284" s="16">
        <v>46223</v>
      </c>
      <c r="B284" s="6" t="s">
        <v>139</v>
      </c>
      <c r="C284" s="7" t="s">
        <v>365</v>
      </c>
      <c r="D284" s="6"/>
      <c r="E284" s="9">
        <v>674</v>
      </c>
      <c r="F284" s="8">
        <v>4121490</v>
      </c>
      <c r="G284" s="8">
        <v>4110925</v>
      </c>
      <c r="H284" s="8">
        <v>10565</v>
      </c>
      <c r="I284" s="8">
        <v>4121490</v>
      </c>
      <c r="J284" s="8">
        <v>3907090</v>
      </c>
      <c r="K284" s="8">
        <v>214400</v>
      </c>
      <c r="L284" s="9">
        <v>5</v>
      </c>
      <c r="M284" s="6"/>
    </row>
    <row r="285" spans="1:13" ht="21" customHeight="1" x14ac:dyDescent="0.3">
      <c r="A285" s="10"/>
      <c r="B285" s="3" t="s">
        <v>17</v>
      </c>
      <c r="C285" s="4" t="s">
        <v>18</v>
      </c>
      <c r="D285" s="4" t="s">
        <v>19</v>
      </c>
      <c r="E285" s="4" t="s">
        <v>11</v>
      </c>
      <c r="F285" s="3" t="s">
        <v>20</v>
      </c>
    </row>
    <row r="286" spans="1:13" ht="21" customHeight="1" x14ac:dyDescent="0.3">
      <c r="A286" s="10"/>
      <c r="B286" s="11" t="s">
        <v>45</v>
      </c>
      <c r="C286" s="9" t="s">
        <v>366</v>
      </c>
      <c r="D286" s="8">
        <v>12930</v>
      </c>
      <c r="E286" s="8">
        <v>650085</v>
      </c>
      <c r="F286" s="13"/>
    </row>
    <row r="287" spans="1:13" ht="21" customHeight="1" x14ac:dyDescent="0.3">
      <c r="A287" s="10"/>
      <c r="B287" s="11" t="s">
        <v>22</v>
      </c>
      <c r="C287" s="9" t="s">
        <v>367</v>
      </c>
      <c r="D287" s="8">
        <v>8600</v>
      </c>
      <c r="E287" s="8">
        <v>1428363</v>
      </c>
      <c r="F287" s="13"/>
    </row>
    <row r="288" spans="1:13" ht="21" customHeight="1" x14ac:dyDescent="0.3">
      <c r="A288" s="10"/>
      <c r="B288" s="11" t="s">
        <v>101</v>
      </c>
      <c r="C288" s="9" t="s">
        <v>318</v>
      </c>
      <c r="D288" s="8">
        <v>13020</v>
      </c>
      <c r="E288" s="8">
        <v>258400</v>
      </c>
      <c r="F288" s="13"/>
    </row>
    <row r="289" spans="1:13" ht="21" customHeight="1" x14ac:dyDescent="0.3">
      <c r="A289" s="10"/>
      <c r="B289" s="11" t="s">
        <v>93</v>
      </c>
      <c r="C289" s="9" t="s">
        <v>350</v>
      </c>
      <c r="D289" s="8">
        <v>11330</v>
      </c>
      <c r="E289" s="8">
        <v>166950</v>
      </c>
      <c r="F289" s="13"/>
    </row>
    <row r="290" spans="1:13" ht="21" customHeight="1" x14ac:dyDescent="0.3">
      <c r="A290" s="10"/>
      <c r="B290" s="11" t="s">
        <v>65</v>
      </c>
      <c r="C290" s="9" t="s">
        <v>358</v>
      </c>
      <c r="D290" s="8">
        <v>11415</v>
      </c>
      <c r="E290" s="8">
        <v>124465</v>
      </c>
      <c r="F290" s="13"/>
    </row>
    <row r="291" spans="1:13" ht="21" customHeight="1" x14ac:dyDescent="0.3">
      <c r="A291" s="10"/>
      <c r="B291" s="11" t="s">
        <v>113</v>
      </c>
      <c r="C291" s="9" t="s">
        <v>270</v>
      </c>
      <c r="D291" s="8">
        <v>14675</v>
      </c>
      <c r="E291" s="8">
        <v>72375</v>
      </c>
      <c r="F291" s="13"/>
    </row>
    <row r="292" spans="1:13" ht="21" customHeight="1" x14ac:dyDescent="0.3">
      <c r="A292" s="10"/>
      <c r="B292" s="11" t="s">
        <v>87</v>
      </c>
      <c r="C292" s="9" t="s">
        <v>358</v>
      </c>
      <c r="D292" s="8">
        <v>20540</v>
      </c>
      <c r="E292" s="8">
        <v>224840</v>
      </c>
      <c r="F292" s="13"/>
    </row>
    <row r="293" spans="1:13" ht="21" customHeight="1" x14ac:dyDescent="0.3">
      <c r="A293" s="10"/>
      <c r="B293" s="11" t="s">
        <v>150</v>
      </c>
      <c r="C293" s="9" t="s">
        <v>314</v>
      </c>
      <c r="D293" s="8">
        <v>10125</v>
      </c>
      <c r="E293" s="8">
        <v>99250</v>
      </c>
      <c r="F293" s="13"/>
    </row>
    <row r="294" spans="1:13" ht="21" customHeight="1" x14ac:dyDescent="0.3">
      <c r="A294" s="10"/>
      <c r="B294" s="11" t="s">
        <v>21</v>
      </c>
      <c r="C294" s="9" t="s">
        <v>343</v>
      </c>
      <c r="D294" s="8">
        <v>8300</v>
      </c>
      <c r="E294" s="8">
        <v>64975</v>
      </c>
      <c r="F294" s="13"/>
    </row>
    <row r="295" spans="1:13" ht="21" customHeight="1" x14ac:dyDescent="0.3">
      <c r="A295" s="10"/>
      <c r="B295" s="11" t="s">
        <v>24</v>
      </c>
      <c r="C295" s="9" t="s">
        <v>368</v>
      </c>
      <c r="D295" s="8">
        <v>5000</v>
      </c>
      <c r="E295" s="8">
        <v>26000</v>
      </c>
      <c r="F295" s="13"/>
    </row>
    <row r="296" spans="1:13" ht="21" customHeight="1" x14ac:dyDescent="0.3">
      <c r="A296" s="10"/>
      <c r="B296" s="11" t="s">
        <v>27</v>
      </c>
      <c r="C296" s="9" t="s">
        <v>369</v>
      </c>
      <c r="D296" s="8">
        <v>8020</v>
      </c>
      <c r="E296" s="8">
        <v>115275</v>
      </c>
      <c r="F296" s="13"/>
    </row>
    <row r="297" spans="1:13" ht="21" customHeight="1" x14ac:dyDescent="0.3">
      <c r="A297" s="10"/>
      <c r="B297" s="11" t="s">
        <v>37</v>
      </c>
      <c r="C297" s="9" t="s">
        <v>330</v>
      </c>
      <c r="D297" s="8">
        <v>8800</v>
      </c>
      <c r="E297" s="8">
        <v>255750</v>
      </c>
      <c r="F297" s="13"/>
    </row>
    <row r="298" spans="1:13" ht="21" customHeight="1" x14ac:dyDescent="0.3">
      <c r="A298" s="10"/>
      <c r="B298" s="11" t="s">
        <v>100</v>
      </c>
      <c r="C298" s="9" t="s">
        <v>275</v>
      </c>
      <c r="D298" s="8">
        <v>11480</v>
      </c>
      <c r="E298" s="8">
        <v>10915</v>
      </c>
      <c r="F298" s="13"/>
    </row>
    <row r="299" spans="1:13" ht="21" customHeight="1" x14ac:dyDescent="0.3">
      <c r="A299" s="10"/>
      <c r="B299" s="11" t="s">
        <v>148</v>
      </c>
      <c r="C299" s="9" t="s">
        <v>370</v>
      </c>
      <c r="D299" s="8">
        <v>2000</v>
      </c>
      <c r="E299" s="8">
        <v>7544</v>
      </c>
      <c r="F299" s="13"/>
    </row>
    <row r="300" spans="1:13" ht="21" customHeight="1" x14ac:dyDescent="0.3">
      <c r="A300" s="10"/>
      <c r="B300" s="11" t="s">
        <v>38</v>
      </c>
      <c r="C300" s="9" t="s">
        <v>371</v>
      </c>
      <c r="D300" s="8">
        <v>1800</v>
      </c>
      <c r="E300" s="8">
        <v>389103</v>
      </c>
      <c r="F300" s="13"/>
    </row>
    <row r="301" spans="1:13" ht="21" customHeight="1" x14ac:dyDescent="0.3">
      <c r="A301" s="10"/>
      <c r="B301" s="11" t="s">
        <v>48</v>
      </c>
      <c r="C301" s="9" t="s">
        <v>372</v>
      </c>
      <c r="D301" s="8">
        <v>1600</v>
      </c>
      <c r="E301" s="8">
        <v>12800</v>
      </c>
      <c r="F301" s="13"/>
    </row>
    <row r="302" spans="1:13" ht="21" customHeight="1" x14ac:dyDescent="0.3">
      <c r="A302" s="10"/>
      <c r="B302" s="14"/>
      <c r="C302" s="15"/>
      <c r="D302" s="15"/>
      <c r="E302" s="15"/>
      <c r="F302" s="14"/>
    </row>
    <row r="303" spans="1:13" ht="21" customHeight="1" x14ac:dyDescent="0.3">
      <c r="A303" s="16">
        <v>46224</v>
      </c>
      <c r="B303" s="6" t="s">
        <v>50</v>
      </c>
      <c r="C303" s="7" t="s">
        <v>373</v>
      </c>
      <c r="D303" s="6"/>
      <c r="E303" s="9">
        <v>120</v>
      </c>
      <c r="F303" s="8">
        <v>600000</v>
      </c>
      <c r="G303" s="8">
        <v>600000</v>
      </c>
      <c r="H303" s="9">
        <v>0</v>
      </c>
      <c r="I303" s="8">
        <v>600000</v>
      </c>
      <c r="J303" s="8">
        <v>624000</v>
      </c>
      <c r="K303" s="8">
        <v>-24000</v>
      </c>
      <c r="L303" s="9">
        <v>-4</v>
      </c>
      <c r="M303" s="6"/>
    </row>
    <row r="304" spans="1:13" ht="21" customHeight="1" x14ac:dyDescent="0.3">
      <c r="A304" s="10"/>
      <c r="B304" s="3" t="s">
        <v>17</v>
      </c>
      <c r="C304" s="4" t="s">
        <v>18</v>
      </c>
      <c r="D304" s="4" t="s">
        <v>19</v>
      </c>
      <c r="E304" s="4" t="s">
        <v>11</v>
      </c>
      <c r="F304" s="3" t="s">
        <v>20</v>
      </c>
    </row>
    <row r="305" spans="1:13" ht="21" customHeight="1" x14ac:dyDescent="0.3">
      <c r="A305" s="10"/>
      <c r="B305" s="11" t="s">
        <v>24</v>
      </c>
      <c r="C305" s="9" t="s">
        <v>374</v>
      </c>
      <c r="D305" s="8">
        <v>5000</v>
      </c>
      <c r="E305" s="8">
        <v>624000</v>
      </c>
      <c r="F305" s="13"/>
    </row>
    <row r="306" spans="1:13" ht="21" customHeight="1" x14ac:dyDescent="0.3">
      <c r="A306" s="10"/>
      <c r="B306" s="14"/>
      <c r="C306" s="15"/>
      <c r="D306" s="15"/>
      <c r="E306" s="15"/>
      <c r="F306" s="14"/>
    </row>
    <row r="307" spans="1:13" ht="21" customHeight="1" x14ac:dyDescent="0.3">
      <c r="A307" s="16">
        <v>46224</v>
      </c>
      <c r="B307" s="6" t="s">
        <v>50</v>
      </c>
      <c r="C307" s="7" t="s">
        <v>375</v>
      </c>
      <c r="D307" s="6"/>
      <c r="E307" s="9">
        <v>46</v>
      </c>
      <c r="F307" s="8">
        <v>326615</v>
      </c>
      <c r="G307" s="8">
        <v>326615</v>
      </c>
      <c r="H307" s="9">
        <v>0</v>
      </c>
      <c r="I307" s="8">
        <v>326615</v>
      </c>
      <c r="J307" s="8">
        <v>300088</v>
      </c>
      <c r="K307" s="8">
        <v>26527</v>
      </c>
      <c r="L307" s="9">
        <v>8</v>
      </c>
      <c r="M307" s="6"/>
    </row>
    <row r="308" spans="1:13" ht="21" customHeight="1" x14ac:dyDescent="0.3">
      <c r="A308" s="10"/>
      <c r="B308" s="3" t="s">
        <v>17</v>
      </c>
      <c r="C308" s="4" t="s">
        <v>18</v>
      </c>
      <c r="D308" s="4" t="s">
        <v>19</v>
      </c>
      <c r="E308" s="4" t="s">
        <v>11</v>
      </c>
      <c r="F308" s="3" t="s">
        <v>20</v>
      </c>
    </row>
    <row r="309" spans="1:13" ht="21" customHeight="1" x14ac:dyDescent="0.3">
      <c r="A309" s="10"/>
      <c r="B309" s="11" t="s">
        <v>44</v>
      </c>
      <c r="C309" s="9" t="s">
        <v>314</v>
      </c>
      <c r="D309" s="8">
        <v>9200</v>
      </c>
      <c r="E309" s="8">
        <v>89900</v>
      </c>
      <c r="F309" s="13"/>
    </row>
    <row r="310" spans="1:13" ht="21" customHeight="1" x14ac:dyDescent="0.3">
      <c r="A310" s="10"/>
      <c r="B310" s="11" t="s">
        <v>87</v>
      </c>
      <c r="C310" s="9" t="s">
        <v>270</v>
      </c>
      <c r="D310" s="8">
        <v>21400</v>
      </c>
      <c r="E310" s="8">
        <v>102200</v>
      </c>
      <c r="F310" s="13"/>
    </row>
    <row r="311" spans="1:13" ht="21" customHeight="1" x14ac:dyDescent="0.3">
      <c r="A311" s="10"/>
      <c r="B311" s="11" t="s">
        <v>37</v>
      </c>
      <c r="C311" s="9" t="s">
        <v>270</v>
      </c>
      <c r="D311" s="8">
        <v>9200</v>
      </c>
      <c r="E311" s="8">
        <v>42625</v>
      </c>
      <c r="F311" s="13"/>
    </row>
    <row r="312" spans="1:13" ht="21" customHeight="1" x14ac:dyDescent="0.3">
      <c r="A312" s="10"/>
      <c r="B312" s="11" t="s">
        <v>69</v>
      </c>
      <c r="C312" s="9" t="s">
        <v>274</v>
      </c>
      <c r="D312" s="8">
        <v>14450</v>
      </c>
      <c r="E312" s="8">
        <v>27560</v>
      </c>
      <c r="F312" s="13"/>
    </row>
    <row r="313" spans="1:13" ht="21" customHeight="1" x14ac:dyDescent="0.3">
      <c r="A313" s="10"/>
      <c r="B313" s="11" t="s">
        <v>150</v>
      </c>
      <c r="C313" s="9" t="s">
        <v>275</v>
      </c>
      <c r="D313" s="8">
        <v>10315</v>
      </c>
      <c r="E313" s="8">
        <v>9925</v>
      </c>
      <c r="F313" s="13"/>
    </row>
    <row r="314" spans="1:13" ht="21" customHeight="1" x14ac:dyDescent="0.3">
      <c r="A314" s="10"/>
      <c r="B314" s="11" t="s">
        <v>38</v>
      </c>
      <c r="C314" s="9" t="s">
        <v>376</v>
      </c>
      <c r="D314" s="8">
        <v>1800</v>
      </c>
      <c r="E314" s="8">
        <v>27260</v>
      </c>
      <c r="F314" s="13"/>
    </row>
    <row r="315" spans="1:13" ht="21" customHeight="1" x14ac:dyDescent="0.3">
      <c r="A315" s="10"/>
      <c r="B315" s="11" t="s">
        <v>148</v>
      </c>
      <c r="C315" s="9" t="s">
        <v>377</v>
      </c>
      <c r="D315" s="8">
        <v>2000</v>
      </c>
      <c r="E315" s="9">
        <v>618</v>
      </c>
      <c r="F315" s="13"/>
    </row>
    <row r="316" spans="1:13" ht="21" customHeight="1" x14ac:dyDescent="0.3">
      <c r="A316" s="10"/>
      <c r="B316" s="14"/>
      <c r="C316" s="15"/>
      <c r="D316" s="15"/>
      <c r="E316" s="15"/>
      <c r="F316" s="14"/>
    </row>
    <row r="317" spans="1:13" ht="21" customHeight="1" x14ac:dyDescent="0.3">
      <c r="A317" s="16">
        <v>46224</v>
      </c>
      <c r="B317" s="6" t="s">
        <v>29</v>
      </c>
      <c r="C317" s="7" t="s">
        <v>378</v>
      </c>
      <c r="D317" s="6"/>
      <c r="E317" s="9">
        <v>57</v>
      </c>
      <c r="F317" s="8">
        <v>411125</v>
      </c>
      <c r="G317" s="8">
        <v>411125</v>
      </c>
      <c r="H317" s="9">
        <v>0</v>
      </c>
      <c r="I317" s="8">
        <v>411125</v>
      </c>
      <c r="J317" s="8">
        <v>390100</v>
      </c>
      <c r="K317" s="8">
        <v>21025</v>
      </c>
      <c r="L317" s="9">
        <v>5</v>
      </c>
      <c r="M317" s="6"/>
    </row>
    <row r="318" spans="1:13" ht="21" customHeight="1" x14ac:dyDescent="0.3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1:13" ht="21" customHeight="1" x14ac:dyDescent="0.3">
      <c r="A319" s="10"/>
      <c r="B319" s="11" t="s">
        <v>22</v>
      </c>
      <c r="C319" s="9" t="s">
        <v>379</v>
      </c>
      <c r="D319" s="8">
        <v>8800</v>
      </c>
      <c r="E319" s="8">
        <v>155821</v>
      </c>
      <c r="F319" s="13"/>
    </row>
    <row r="320" spans="1:13" ht="21" customHeight="1" x14ac:dyDescent="0.3">
      <c r="A320" s="10"/>
      <c r="B320" s="11" t="s">
        <v>45</v>
      </c>
      <c r="C320" s="9" t="s">
        <v>301</v>
      </c>
      <c r="D320" s="8">
        <v>13335</v>
      </c>
      <c r="E320" s="8">
        <v>50987</v>
      </c>
      <c r="F320" s="13"/>
    </row>
    <row r="321" spans="1:13" ht="21" customHeight="1" x14ac:dyDescent="0.3">
      <c r="A321" s="10"/>
      <c r="B321" s="11" t="s">
        <v>28</v>
      </c>
      <c r="C321" s="9" t="s">
        <v>356</v>
      </c>
      <c r="D321" s="8">
        <v>13200</v>
      </c>
      <c r="E321" s="8">
        <v>40504</v>
      </c>
      <c r="F321" s="13"/>
    </row>
    <row r="322" spans="1:13" ht="21" customHeight="1" x14ac:dyDescent="0.3">
      <c r="A322" s="10"/>
      <c r="B322" s="11" t="s">
        <v>70</v>
      </c>
      <c r="C322" s="9" t="s">
        <v>380</v>
      </c>
      <c r="D322" s="8">
        <v>13460</v>
      </c>
      <c r="E322" s="8">
        <v>25710</v>
      </c>
      <c r="F322" s="13"/>
    </row>
    <row r="323" spans="1:13" ht="21" customHeight="1" x14ac:dyDescent="0.3">
      <c r="A323" s="10"/>
      <c r="B323" s="11" t="s">
        <v>61</v>
      </c>
      <c r="C323" s="9" t="s">
        <v>266</v>
      </c>
      <c r="D323" s="8">
        <v>12885</v>
      </c>
      <c r="E323" s="8">
        <v>12120</v>
      </c>
      <c r="F323" s="13"/>
    </row>
    <row r="324" spans="1:13" ht="21" customHeight="1" x14ac:dyDescent="0.3">
      <c r="A324" s="10"/>
      <c r="B324" s="11" t="s">
        <v>32</v>
      </c>
      <c r="C324" s="9" t="s">
        <v>380</v>
      </c>
      <c r="D324" s="8">
        <v>16145</v>
      </c>
      <c r="E324" s="8">
        <v>30494</v>
      </c>
      <c r="F324" s="13"/>
    </row>
    <row r="325" spans="1:13" ht="21" customHeight="1" x14ac:dyDescent="0.3">
      <c r="A325" s="10"/>
      <c r="B325" s="11" t="s">
        <v>33</v>
      </c>
      <c r="C325" s="9" t="s">
        <v>380</v>
      </c>
      <c r="D325" s="8">
        <v>16145</v>
      </c>
      <c r="E325" s="8">
        <v>31110</v>
      </c>
      <c r="F325" s="13"/>
    </row>
    <row r="326" spans="1:13" ht="21" customHeight="1" x14ac:dyDescent="0.3">
      <c r="A326" s="10"/>
      <c r="B326" s="11" t="s">
        <v>24</v>
      </c>
      <c r="C326" s="9" t="s">
        <v>381</v>
      </c>
      <c r="D326" s="8">
        <v>5000</v>
      </c>
      <c r="E326" s="8">
        <v>15600</v>
      </c>
      <c r="F326" s="13"/>
    </row>
    <row r="327" spans="1:13" ht="21" customHeight="1" x14ac:dyDescent="0.3">
      <c r="A327" s="10"/>
      <c r="B327" s="11" t="s">
        <v>38</v>
      </c>
      <c r="C327" s="9" t="s">
        <v>376</v>
      </c>
      <c r="D327" s="8">
        <v>1800</v>
      </c>
      <c r="E327" s="8">
        <v>27260</v>
      </c>
      <c r="F327" s="13"/>
    </row>
    <row r="328" spans="1:13" ht="21" customHeight="1" x14ac:dyDescent="0.3">
      <c r="A328" s="10"/>
      <c r="B328" s="11" t="s">
        <v>148</v>
      </c>
      <c r="C328" s="9" t="s">
        <v>354</v>
      </c>
      <c r="D328" s="8">
        <v>2000</v>
      </c>
      <c r="E328" s="9">
        <v>494</v>
      </c>
      <c r="F328" s="13"/>
    </row>
    <row r="329" spans="1:13" ht="21" customHeight="1" x14ac:dyDescent="0.3">
      <c r="A329" s="10"/>
      <c r="B329" s="14"/>
      <c r="C329" s="15"/>
      <c r="D329" s="15"/>
      <c r="E329" s="15"/>
      <c r="F329" s="14"/>
    </row>
    <row r="330" spans="1:13" ht="21" customHeight="1" x14ac:dyDescent="0.3">
      <c r="A330" s="16">
        <v>46224</v>
      </c>
      <c r="B330" s="6" t="s">
        <v>25</v>
      </c>
      <c r="C330" s="7" t="s">
        <v>382</v>
      </c>
      <c r="D330" s="6"/>
      <c r="E330" s="9">
        <v>240</v>
      </c>
      <c r="F330" s="8">
        <v>1200000</v>
      </c>
      <c r="G330" s="8">
        <v>1200000</v>
      </c>
      <c r="H330" s="9">
        <v>0</v>
      </c>
      <c r="I330" s="8">
        <v>1200000</v>
      </c>
      <c r="J330" s="8">
        <v>1248000</v>
      </c>
      <c r="K330" s="8">
        <v>-48000</v>
      </c>
      <c r="L330" s="9">
        <v>-4</v>
      </c>
      <c r="M330" s="6"/>
    </row>
    <row r="331" spans="1:13" ht="21" customHeight="1" x14ac:dyDescent="0.3">
      <c r="A331" s="10"/>
      <c r="B331" s="3" t="s">
        <v>17</v>
      </c>
      <c r="C331" s="4" t="s">
        <v>18</v>
      </c>
      <c r="D331" s="4" t="s">
        <v>19</v>
      </c>
      <c r="E331" s="4" t="s">
        <v>11</v>
      </c>
      <c r="F331" s="3" t="s">
        <v>20</v>
      </c>
    </row>
    <row r="332" spans="1:13" ht="21" customHeight="1" x14ac:dyDescent="0.3">
      <c r="A332" s="10"/>
      <c r="B332" s="11" t="s">
        <v>24</v>
      </c>
      <c r="C332" s="9" t="s">
        <v>383</v>
      </c>
      <c r="D332" s="8">
        <v>5000</v>
      </c>
      <c r="E332" s="8">
        <v>1248000</v>
      </c>
      <c r="F332" s="13"/>
    </row>
    <row r="333" spans="1:13" ht="21" customHeight="1" x14ac:dyDescent="0.3">
      <c r="A333" s="10"/>
      <c r="B333" s="14"/>
      <c r="C333" s="15"/>
      <c r="D333" s="15"/>
      <c r="E333" s="15"/>
      <c r="F333" s="14"/>
    </row>
    <row r="334" spans="1:13" ht="21" customHeight="1" x14ac:dyDescent="0.3">
      <c r="A334" s="16">
        <v>46224</v>
      </c>
      <c r="B334" s="6" t="s">
        <v>85</v>
      </c>
      <c r="C334" s="7" t="s">
        <v>384</v>
      </c>
      <c r="D334" s="6"/>
      <c r="E334" s="9">
        <v>19</v>
      </c>
      <c r="F334" s="8">
        <v>196980</v>
      </c>
      <c r="G334" s="8">
        <v>196980</v>
      </c>
      <c r="H334" s="9">
        <v>0</v>
      </c>
      <c r="I334" s="8">
        <v>196980</v>
      </c>
      <c r="J334" s="8">
        <v>169864</v>
      </c>
      <c r="K334" s="8">
        <v>27116</v>
      </c>
      <c r="L334" s="9">
        <v>14</v>
      </c>
      <c r="M334" s="6"/>
    </row>
    <row r="335" spans="1:13" ht="21" customHeight="1" x14ac:dyDescent="0.3">
      <c r="A335" s="10"/>
      <c r="B335" s="3" t="s">
        <v>17</v>
      </c>
      <c r="C335" s="4" t="s">
        <v>18</v>
      </c>
      <c r="D335" s="4" t="s">
        <v>19</v>
      </c>
      <c r="E335" s="4" t="s">
        <v>11</v>
      </c>
      <c r="F335" s="3" t="s">
        <v>20</v>
      </c>
    </row>
    <row r="336" spans="1:13" ht="21" customHeight="1" x14ac:dyDescent="0.3">
      <c r="A336" s="10"/>
      <c r="B336" s="11" t="s">
        <v>34</v>
      </c>
      <c r="C336" s="9" t="s">
        <v>266</v>
      </c>
      <c r="D336" s="8">
        <v>22740</v>
      </c>
      <c r="E336" s="8">
        <v>21595</v>
      </c>
      <c r="F336" s="13"/>
    </row>
    <row r="337" spans="1:13" ht="21" customHeight="1" x14ac:dyDescent="0.3">
      <c r="A337" s="10"/>
      <c r="B337" s="11" t="s">
        <v>87</v>
      </c>
      <c r="C337" s="9" t="s">
        <v>323</v>
      </c>
      <c r="D337" s="8">
        <v>22565</v>
      </c>
      <c r="E337" s="8">
        <v>61320</v>
      </c>
      <c r="F337" s="13"/>
    </row>
    <row r="338" spans="1:13" ht="21" customHeight="1" x14ac:dyDescent="0.3">
      <c r="A338" s="10"/>
      <c r="B338" s="11" t="s">
        <v>113</v>
      </c>
      <c r="C338" s="9" t="s">
        <v>323</v>
      </c>
      <c r="D338" s="8">
        <v>15765</v>
      </c>
      <c r="E338" s="8">
        <v>43425</v>
      </c>
      <c r="F338" s="13"/>
    </row>
    <row r="339" spans="1:13" ht="21" customHeight="1" x14ac:dyDescent="0.3">
      <c r="A339" s="10"/>
      <c r="B339" s="11" t="s">
        <v>45</v>
      </c>
      <c r="C339" s="9" t="s">
        <v>323</v>
      </c>
      <c r="D339" s="8">
        <v>13950</v>
      </c>
      <c r="E339" s="8">
        <v>38240</v>
      </c>
      <c r="F339" s="13"/>
    </row>
    <row r="340" spans="1:13" ht="21" customHeight="1" x14ac:dyDescent="0.3">
      <c r="A340" s="10"/>
      <c r="B340" s="11" t="s">
        <v>148</v>
      </c>
      <c r="C340" s="9" t="s">
        <v>289</v>
      </c>
      <c r="D340" s="8">
        <v>2000</v>
      </c>
      <c r="E340" s="9">
        <v>741</v>
      </c>
      <c r="F340" s="13"/>
    </row>
    <row r="341" spans="1:13" ht="21" customHeight="1" x14ac:dyDescent="0.3">
      <c r="A341" s="10"/>
      <c r="B341" s="11" t="s">
        <v>38</v>
      </c>
      <c r="C341" s="9" t="s">
        <v>325</v>
      </c>
      <c r="D341" s="8">
        <v>1800</v>
      </c>
      <c r="E341" s="8">
        <v>4543</v>
      </c>
      <c r="F341" s="13"/>
    </row>
    <row r="342" spans="1:13" ht="21" customHeight="1" x14ac:dyDescent="0.3">
      <c r="A342" s="10"/>
      <c r="B342" s="14"/>
      <c r="C342" s="15"/>
      <c r="D342" s="15"/>
      <c r="E342" s="15"/>
      <c r="F342" s="14"/>
    </row>
    <row r="343" spans="1:13" ht="21" customHeight="1" x14ac:dyDescent="0.3">
      <c r="A343" s="16">
        <v>46224</v>
      </c>
      <c r="B343" s="6" t="s">
        <v>122</v>
      </c>
      <c r="C343" s="7" t="s">
        <v>385</v>
      </c>
      <c r="D343" s="6"/>
      <c r="E343" s="9">
        <v>5</v>
      </c>
      <c r="F343" s="8">
        <v>46650</v>
      </c>
      <c r="G343" s="8">
        <v>46650</v>
      </c>
      <c r="H343" s="9">
        <v>0</v>
      </c>
      <c r="I343" s="8">
        <v>46650</v>
      </c>
      <c r="J343" s="8">
        <v>43716</v>
      </c>
      <c r="K343" s="8">
        <v>2934</v>
      </c>
      <c r="L343" s="9">
        <v>6</v>
      </c>
      <c r="M343" s="6"/>
    </row>
    <row r="344" spans="1:13" ht="21" customHeight="1" x14ac:dyDescent="0.3">
      <c r="A344" s="10"/>
      <c r="B344" s="3" t="s">
        <v>17</v>
      </c>
      <c r="C344" s="4" t="s">
        <v>18</v>
      </c>
      <c r="D344" s="4" t="s">
        <v>19</v>
      </c>
      <c r="E344" s="4" t="s">
        <v>11</v>
      </c>
      <c r="F344" s="3" t="s">
        <v>20</v>
      </c>
    </row>
    <row r="345" spans="1:13" ht="21" customHeight="1" x14ac:dyDescent="0.3">
      <c r="A345" s="10"/>
      <c r="B345" s="11" t="s">
        <v>21</v>
      </c>
      <c r="C345" s="9" t="s">
        <v>275</v>
      </c>
      <c r="D345" s="8">
        <v>9000</v>
      </c>
      <c r="E345" s="8">
        <v>8122</v>
      </c>
      <c r="F345" s="13"/>
    </row>
    <row r="346" spans="1:13" ht="21" customHeight="1" x14ac:dyDescent="0.3">
      <c r="A346" s="10"/>
      <c r="B346" s="11" t="s">
        <v>45</v>
      </c>
      <c r="C346" s="9" t="s">
        <v>275</v>
      </c>
      <c r="D346" s="8">
        <v>13950</v>
      </c>
      <c r="E346" s="8">
        <v>12747</v>
      </c>
      <c r="F346" s="13"/>
    </row>
    <row r="347" spans="1:13" ht="21" customHeight="1" x14ac:dyDescent="0.3">
      <c r="A347" s="10"/>
      <c r="B347" s="11" t="s">
        <v>44</v>
      </c>
      <c r="C347" s="9" t="s">
        <v>275</v>
      </c>
      <c r="D347" s="8">
        <v>9200</v>
      </c>
      <c r="E347" s="8">
        <v>8990</v>
      </c>
      <c r="F347" s="13"/>
    </row>
    <row r="348" spans="1:13" ht="21" customHeight="1" x14ac:dyDescent="0.3">
      <c r="A348" s="10"/>
      <c r="B348" s="11" t="s">
        <v>22</v>
      </c>
      <c r="C348" s="9" t="s">
        <v>275</v>
      </c>
      <c r="D348" s="8">
        <v>9200</v>
      </c>
      <c r="E348" s="8">
        <v>8657</v>
      </c>
      <c r="F348" s="13"/>
    </row>
    <row r="349" spans="1:13" ht="21" customHeight="1" x14ac:dyDescent="0.3">
      <c r="A349" s="10"/>
      <c r="B349" s="11" t="s">
        <v>24</v>
      </c>
      <c r="C349" s="9" t="s">
        <v>257</v>
      </c>
      <c r="D349" s="8">
        <v>5300</v>
      </c>
      <c r="E349" s="8">
        <v>5200</v>
      </c>
      <c r="F349" s="13"/>
    </row>
    <row r="350" spans="1:13" ht="21" customHeight="1" x14ac:dyDescent="0.3">
      <c r="A350" s="10"/>
      <c r="B350" s="14"/>
      <c r="C350" s="15"/>
      <c r="D350" s="15"/>
      <c r="E350" s="15"/>
      <c r="F350" s="14"/>
    </row>
    <row r="351" spans="1:13" ht="21" customHeight="1" x14ac:dyDescent="0.3">
      <c r="A351" s="16">
        <v>46224</v>
      </c>
      <c r="B351" s="6" t="s">
        <v>336</v>
      </c>
      <c r="C351" s="7" t="s">
        <v>386</v>
      </c>
      <c r="D351" s="6"/>
      <c r="E351" s="9">
        <v>5</v>
      </c>
      <c r="F351" s="8">
        <v>48735</v>
      </c>
      <c r="G351" s="8">
        <v>48735</v>
      </c>
      <c r="H351" s="9">
        <v>0</v>
      </c>
      <c r="I351" s="8">
        <v>48735</v>
      </c>
      <c r="J351" s="8">
        <v>46304</v>
      </c>
      <c r="K351" s="8">
        <v>2431</v>
      </c>
      <c r="L351" s="9">
        <v>5</v>
      </c>
      <c r="M351" s="6"/>
    </row>
    <row r="352" spans="1:13" ht="21" customHeight="1" x14ac:dyDescent="0.3">
      <c r="A352" s="10"/>
      <c r="B352" s="3" t="s">
        <v>17</v>
      </c>
      <c r="C352" s="4" t="s">
        <v>18</v>
      </c>
      <c r="D352" s="4" t="s">
        <v>19</v>
      </c>
      <c r="E352" s="4" t="s">
        <v>11</v>
      </c>
      <c r="F352" s="3" t="s">
        <v>20</v>
      </c>
    </row>
    <row r="353" spans="1:13" ht="21" customHeight="1" x14ac:dyDescent="0.3">
      <c r="A353" s="10"/>
      <c r="B353" s="11" t="s">
        <v>21</v>
      </c>
      <c r="C353" s="9" t="s">
        <v>274</v>
      </c>
      <c r="D353" s="8">
        <v>8500</v>
      </c>
      <c r="E353" s="8">
        <v>16244</v>
      </c>
      <c r="F353" s="13"/>
    </row>
    <row r="354" spans="1:13" ht="21" customHeight="1" x14ac:dyDescent="0.3">
      <c r="A354" s="10"/>
      <c r="B354" s="11" t="s">
        <v>45</v>
      </c>
      <c r="C354" s="9" t="s">
        <v>275</v>
      </c>
      <c r="D354" s="8">
        <v>13335</v>
      </c>
      <c r="E354" s="8">
        <v>12747</v>
      </c>
      <c r="F354" s="13"/>
    </row>
    <row r="355" spans="1:13" ht="21" customHeight="1" x14ac:dyDescent="0.3">
      <c r="A355" s="10"/>
      <c r="B355" s="11" t="s">
        <v>22</v>
      </c>
      <c r="C355" s="9" t="s">
        <v>274</v>
      </c>
      <c r="D355" s="8">
        <v>9200</v>
      </c>
      <c r="E355" s="8">
        <v>17313</v>
      </c>
      <c r="F355" s="13"/>
    </row>
    <row r="356" spans="1:13" ht="21" customHeight="1" x14ac:dyDescent="0.3">
      <c r="A356" s="10"/>
      <c r="B356" s="14"/>
      <c r="C356" s="15"/>
      <c r="D356" s="15"/>
      <c r="E356" s="15"/>
      <c r="F356" s="14"/>
    </row>
    <row r="357" spans="1:13" ht="21" customHeight="1" x14ac:dyDescent="0.3">
      <c r="A357" s="16">
        <v>46224</v>
      </c>
      <c r="B357" s="6" t="s">
        <v>154</v>
      </c>
      <c r="C357" s="7" t="s">
        <v>387</v>
      </c>
      <c r="D357" s="6"/>
      <c r="E357" s="9">
        <v>1</v>
      </c>
      <c r="F357" s="8">
        <v>5000</v>
      </c>
      <c r="G357" s="9">
        <v>0</v>
      </c>
      <c r="H357" s="8">
        <v>5000</v>
      </c>
      <c r="I357" s="8">
        <v>5000</v>
      </c>
      <c r="J357" s="8">
        <v>5200</v>
      </c>
      <c r="K357" s="9">
        <v>-200</v>
      </c>
      <c r="L357" s="9">
        <v>-4</v>
      </c>
      <c r="M357" s="6"/>
    </row>
    <row r="358" spans="1:13" ht="21" customHeight="1" x14ac:dyDescent="0.3">
      <c r="A358" s="10"/>
      <c r="B358" s="3" t="s">
        <v>17</v>
      </c>
      <c r="C358" s="4" t="s">
        <v>18</v>
      </c>
      <c r="D358" s="4" t="s">
        <v>19</v>
      </c>
      <c r="E358" s="4" t="s">
        <v>11</v>
      </c>
      <c r="F358" s="3" t="s">
        <v>20</v>
      </c>
    </row>
    <row r="359" spans="1:13" ht="21" customHeight="1" x14ac:dyDescent="0.3">
      <c r="A359" s="10"/>
      <c r="B359" s="11" t="s">
        <v>24</v>
      </c>
      <c r="C359" s="9" t="s">
        <v>257</v>
      </c>
      <c r="D359" s="8">
        <v>5000</v>
      </c>
      <c r="E359" s="8">
        <v>5200</v>
      </c>
      <c r="F359" s="13"/>
    </row>
    <row r="360" spans="1:13" ht="21" customHeight="1" x14ac:dyDescent="0.3">
      <c r="A360" s="10"/>
      <c r="B360" s="14"/>
      <c r="C360" s="15"/>
      <c r="D360" s="15"/>
      <c r="E360" s="15"/>
      <c r="F360" s="14"/>
    </row>
    <row r="361" spans="1:13" ht="21" customHeight="1" x14ac:dyDescent="0.3">
      <c r="A361" s="16">
        <v>46224</v>
      </c>
      <c r="B361" s="6" t="s">
        <v>95</v>
      </c>
      <c r="C361" s="7" t="s">
        <v>388</v>
      </c>
      <c r="D361" s="6"/>
      <c r="E361" s="9">
        <v>20</v>
      </c>
      <c r="F361" s="8">
        <v>115100</v>
      </c>
      <c r="G361" s="9">
        <v>0</v>
      </c>
      <c r="H361" s="8">
        <v>115100</v>
      </c>
      <c r="I361" s="8">
        <v>115100</v>
      </c>
      <c r="J361" s="8">
        <v>116425</v>
      </c>
      <c r="K361" s="8">
        <v>-1325</v>
      </c>
      <c r="L361" s="9">
        <v>-1</v>
      </c>
      <c r="M361" s="6"/>
    </row>
    <row r="362" spans="1:13" ht="21" customHeight="1" x14ac:dyDescent="0.3">
      <c r="A362" s="10"/>
      <c r="B362" s="3" t="s">
        <v>17</v>
      </c>
      <c r="C362" s="4" t="s">
        <v>18</v>
      </c>
      <c r="D362" s="4" t="s">
        <v>19</v>
      </c>
      <c r="E362" s="4" t="s">
        <v>11</v>
      </c>
      <c r="F362" s="3" t="s">
        <v>20</v>
      </c>
    </row>
    <row r="363" spans="1:13" ht="21" customHeight="1" x14ac:dyDescent="0.3">
      <c r="A363" s="10"/>
      <c r="B363" s="11" t="s">
        <v>24</v>
      </c>
      <c r="C363" s="9" t="s">
        <v>369</v>
      </c>
      <c r="D363" s="8">
        <v>5000</v>
      </c>
      <c r="E363" s="8">
        <v>78000</v>
      </c>
      <c r="F363" s="13"/>
    </row>
    <row r="364" spans="1:13" ht="21" customHeight="1" x14ac:dyDescent="0.3">
      <c r="A364" s="10"/>
      <c r="B364" s="11" t="s">
        <v>27</v>
      </c>
      <c r="C364" s="9" t="s">
        <v>368</v>
      </c>
      <c r="D364" s="8">
        <v>8020</v>
      </c>
      <c r="E364" s="8">
        <v>38425</v>
      </c>
      <c r="F364" s="13"/>
    </row>
    <row r="365" spans="1:13" ht="21" customHeight="1" x14ac:dyDescent="0.3">
      <c r="A365" s="10"/>
      <c r="B365" s="14"/>
      <c r="C365" s="15"/>
      <c r="D365" s="15"/>
      <c r="E365" s="15"/>
      <c r="F365" s="14"/>
    </row>
    <row r="366" spans="1:13" ht="21" customHeight="1" x14ac:dyDescent="0.3">
      <c r="A366" s="16">
        <v>46224</v>
      </c>
      <c r="B366" s="6" t="s">
        <v>154</v>
      </c>
      <c r="C366" s="7" t="s">
        <v>389</v>
      </c>
      <c r="D366" s="6"/>
      <c r="E366" s="9">
        <v>4</v>
      </c>
      <c r="F366" s="8">
        <v>32550</v>
      </c>
      <c r="G366" s="9">
        <v>0</v>
      </c>
      <c r="H366" s="8">
        <v>32550</v>
      </c>
      <c r="I366" s="8">
        <v>32550</v>
      </c>
      <c r="J366" s="8">
        <v>31979</v>
      </c>
      <c r="K366" s="9">
        <v>571</v>
      </c>
      <c r="L366" s="9">
        <v>2</v>
      </c>
      <c r="M366" s="6"/>
    </row>
    <row r="367" spans="1:13" ht="21" customHeight="1" x14ac:dyDescent="0.3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1:13" ht="21" customHeight="1" x14ac:dyDescent="0.3">
      <c r="A368" s="10"/>
      <c r="B368" s="11" t="s">
        <v>113</v>
      </c>
      <c r="C368" s="9" t="s">
        <v>274</v>
      </c>
      <c r="D368" s="8">
        <v>14475</v>
      </c>
      <c r="E368" s="8">
        <v>28950</v>
      </c>
      <c r="F368" s="13"/>
    </row>
    <row r="369" spans="1:13" ht="21" customHeight="1" x14ac:dyDescent="0.3">
      <c r="A369" s="10"/>
      <c r="B369" s="11" t="s">
        <v>38</v>
      </c>
      <c r="C369" s="9" t="s">
        <v>303</v>
      </c>
      <c r="D369" s="8">
        <v>1800</v>
      </c>
      <c r="E369" s="8">
        <v>3029</v>
      </c>
      <c r="F369" s="13"/>
    </row>
    <row r="370" spans="1:13" ht="21" customHeight="1" x14ac:dyDescent="0.3">
      <c r="A370" s="10"/>
      <c r="B370" s="14"/>
      <c r="C370" s="15"/>
      <c r="D370" s="15"/>
      <c r="E370" s="15"/>
      <c r="F370" s="14"/>
    </row>
    <row r="371" spans="1:13" ht="21" customHeight="1" x14ac:dyDescent="0.3">
      <c r="A371" s="23">
        <v>46225</v>
      </c>
      <c r="B371" s="6" t="s">
        <v>50</v>
      </c>
      <c r="C371" s="7" t="s">
        <v>390</v>
      </c>
      <c r="D371" s="6"/>
      <c r="E371" s="9">
        <v>105</v>
      </c>
      <c r="F371" s="8">
        <v>1654475</v>
      </c>
      <c r="G371" s="8">
        <v>1428710</v>
      </c>
      <c r="H371" s="8">
        <v>225765</v>
      </c>
      <c r="I371" s="8">
        <v>1654475</v>
      </c>
      <c r="J371" s="8">
        <v>1636458</v>
      </c>
      <c r="K371" s="8">
        <v>18017</v>
      </c>
      <c r="L371" s="9">
        <v>1</v>
      </c>
      <c r="M371" s="6"/>
    </row>
    <row r="372" spans="1:13" ht="21" customHeight="1" x14ac:dyDescent="0.3">
      <c r="A372" s="10"/>
      <c r="B372" s="3" t="s">
        <v>17</v>
      </c>
      <c r="C372" s="4" t="s">
        <v>18</v>
      </c>
      <c r="D372" s="4" t="s">
        <v>19</v>
      </c>
      <c r="E372" s="4" t="s">
        <v>11</v>
      </c>
      <c r="F372" s="3" t="s">
        <v>20</v>
      </c>
    </row>
    <row r="373" spans="1:13" ht="21" customHeight="1" x14ac:dyDescent="0.3">
      <c r="A373" s="10"/>
      <c r="B373" s="11" t="s">
        <v>33</v>
      </c>
      <c r="C373" s="9" t="s">
        <v>260</v>
      </c>
      <c r="D373" s="8">
        <v>15655</v>
      </c>
      <c r="E373" s="8">
        <v>466650</v>
      </c>
      <c r="F373" s="13"/>
    </row>
    <row r="374" spans="1:13" ht="21" customHeight="1" x14ac:dyDescent="0.3">
      <c r="A374" s="10"/>
      <c r="B374" s="11" t="s">
        <v>32</v>
      </c>
      <c r="C374" s="9" t="s">
        <v>261</v>
      </c>
      <c r="D374" s="8">
        <v>15655</v>
      </c>
      <c r="E374" s="8">
        <v>228708</v>
      </c>
      <c r="F374" s="13"/>
    </row>
    <row r="375" spans="1:13" ht="21" customHeight="1" x14ac:dyDescent="0.3">
      <c r="A375" s="10"/>
      <c r="B375" s="11" t="s">
        <v>70</v>
      </c>
      <c r="C375" s="9" t="s">
        <v>263</v>
      </c>
      <c r="D375" s="8">
        <v>13100</v>
      </c>
      <c r="E375" s="8">
        <v>257100</v>
      </c>
      <c r="F375" s="13"/>
    </row>
    <row r="376" spans="1:13" ht="21" customHeight="1" x14ac:dyDescent="0.3">
      <c r="A376" s="10"/>
      <c r="B376" s="11" t="s">
        <v>31</v>
      </c>
      <c r="C376" s="9" t="s">
        <v>391</v>
      </c>
      <c r="D376" s="8">
        <v>17200</v>
      </c>
      <c r="E376" s="8">
        <v>684000</v>
      </c>
      <c r="F376" s="13"/>
    </row>
    <row r="377" spans="1:13" ht="21" customHeight="1" x14ac:dyDescent="0.3">
      <c r="A377" s="10"/>
      <c r="B377" s="14"/>
      <c r="C377" s="15"/>
      <c r="D377" s="15"/>
      <c r="E377" s="15"/>
      <c r="F377" s="14"/>
    </row>
    <row r="378" spans="1:13" ht="21" customHeight="1" x14ac:dyDescent="0.3">
      <c r="A378" s="16">
        <v>46225</v>
      </c>
      <c r="B378" s="6" t="s">
        <v>75</v>
      </c>
      <c r="C378" s="7" t="s">
        <v>392</v>
      </c>
      <c r="D378" s="6"/>
      <c r="E378" s="9">
        <v>40</v>
      </c>
      <c r="F378" s="8">
        <v>200000</v>
      </c>
      <c r="G378" s="9">
        <v>0</v>
      </c>
      <c r="H378" s="8">
        <v>200000</v>
      </c>
      <c r="I378" s="8">
        <v>200000</v>
      </c>
      <c r="J378" s="8">
        <v>208000</v>
      </c>
      <c r="K378" s="8">
        <v>-8000</v>
      </c>
      <c r="L378" s="9">
        <v>-4</v>
      </c>
      <c r="M378" s="6"/>
    </row>
    <row r="379" spans="1:13" ht="21" customHeight="1" x14ac:dyDescent="0.3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1:13" ht="21" customHeight="1" x14ac:dyDescent="0.3">
      <c r="A380" s="10"/>
      <c r="B380" s="11" t="s">
        <v>24</v>
      </c>
      <c r="C380" s="9" t="s">
        <v>393</v>
      </c>
      <c r="D380" s="8">
        <v>5000</v>
      </c>
      <c r="E380" s="8">
        <v>208000</v>
      </c>
      <c r="F380" s="13"/>
    </row>
    <row r="381" spans="1:13" ht="21" customHeight="1" x14ac:dyDescent="0.3">
      <c r="A381" s="10"/>
      <c r="B381" s="14"/>
      <c r="C381" s="15"/>
      <c r="D381" s="15"/>
      <c r="E381" s="15"/>
      <c r="F381" s="14"/>
    </row>
    <row r="382" spans="1:13" ht="21" customHeight="1" x14ac:dyDescent="0.3">
      <c r="A382" s="16">
        <v>46225</v>
      </c>
      <c r="B382" s="6" t="s">
        <v>394</v>
      </c>
      <c r="C382" s="7" t="s">
        <v>395</v>
      </c>
      <c r="D382" s="6"/>
      <c r="E382" s="9">
        <v>100</v>
      </c>
      <c r="F382" s="8">
        <v>500000</v>
      </c>
      <c r="G382" s="8">
        <v>250000</v>
      </c>
      <c r="H382" s="8">
        <v>250000</v>
      </c>
      <c r="I382" s="8">
        <v>500000</v>
      </c>
      <c r="J382" s="8">
        <v>520000</v>
      </c>
      <c r="K382" s="8">
        <v>-20000</v>
      </c>
      <c r="L382" s="9">
        <v>-4</v>
      </c>
      <c r="M382" s="6"/>
    </row>
    <row r="383" spans="1:13" ht="21" customHeight="1" x14ac:dyDescent="0.3">
      <c r="A383" s="10"/>
      <c r="B383" s="3" t="s">
        <v>17</v>
      </c>
      <c r="C383" s="4" t="s">
        <v>18</v>
      </c>
      <c r="D383" s="4" t="s">
        <v>19</v>
      </c>
      <c r="E383" s="4" t="s">
        <v>11</v>
      </c>
      <c r="F383" s="3" t="s">
        <v>20</v>
      </c>
    </row>
    <row r="384" spans="1:13" ht="21" customHeight="1" x14ac:dyDescent="0.3">
      <c r="A384" s="10"/>
      <c r="B384" s="11" t="s">
        <v>24</v>
      </c>
      <c r="C384" s="9" t="s">
        <v>259</v>
      </c>
      <c r="D384" s="8">
        <v>5000</v>
      </c>
      <c r="E384" s="8">
        <v>520000</v>
      </c>
      <c r="F384" s="13"/>
    </row>
    <row r="385" spans="1:13" ht="21" customHeight="1" x14ac:dyDescent="0.3">
      <c r="A385" s="10"/>
      <c r="B385" s="14"/>
      <c r="C385" s="15"/>
      <c r="D385" s="15"/>
      <c r="E385" s="15"/>
      <c r="F385" s="14"/>
    </row>
    <row r="386" spans="1:13" ht="21" customHeight="1" x14ac:dyDescent="0.3">
      <c r="A386" s="16">
        <v>46225</v>
      </c>
      <c r="B386" s="6" t="s">
        <v>15</v>
      </c>
      <c r="C386" s="7" t="s">
        <v>396</v>
      </c>
      <c r="D386" s="6"/>
      <c r="E386" s="9">
        <v>2</v>
      </c>
      <c r="F386" s="8">
        <v>19000</v>
      </c>
      <c r="G386" s="8">
        <v>19000</v>
      </c>
      <c r="H386" s="9">
        <v>0</v>
      </c>
      <c r="I386" s="8">
        <v>19000</v>
      </c>
      <c r="J386" s="8">
        <v>17313</v>
      </c>
      <c r="K386" s="8">
        <v>1687</v>
      </c>
      <c r="L386" s="9">
        <v>9</v>
      </c>
      <c r="M386" s="6"/>
    </row>
    <row r="387" spans="1:13" ht="21" customHeight="1" x14ac:dyDescent="0.3">
      <c r="A387" s="10"/>
      <c r="B387" s="3" t="s">
        <v>17</v>
      </c>
      <c r="C387" s="4" t="s">
        <v>18</v>
      </c>
      <c r="D387" s="4" t="s">
        <v>19</v>
      </c>
      <c r="E387" s="4" t="s">
        <v>11</v>
      </c>
      <c r="F387" s="3" t="s">
        <v>20</v>
      </c>
    </row>
    <row r="388" spans="1:13" ht="21" customHeight="1" x14ac:dyDescent="0.3">
      <c r="A388" s="10"/>
      <c r="B388" s="11" t="s">
        <v>22</v>
      </c>
      <c r="C388" s="9" t="s">
        <v>274</v>
      </c>
      <c r="D388" s="8">
        <v>9500</v>
      </c>
      <c r="E388" s="8">
        <v>17313</v>
      </c>
      <c r="F388" s="13"/>
    </row>
    <row r="389" spans="1:13" ht="21" customHeight="1" x14ac:dyDescent="0.3">
      <c r="A389" s="10"/>
      <c r="B389" s="14"/>
      <c r="C389" s="15"/>
      <c r="D389" s="15"/>
      <c r="E389" s="15"/>
      <c r="F389" s="14"/>
    </row>
    <row r="390" spans="1:13" ht="21" customHeight="1" x14ac:dyDescent="0.3">
      <c r="A390" s="16">
        <v>46225</v>
      </c>
      <c r="B390" s="6" t="s">
        <v>50</v>
      </c>
      <c r="C390" s="7" t="s">
        <v>397</v>
      </c>
      <c r="D390" s="6"/>
      <c r="E390" s="9">
        <v>248</v>
      </c>
      <c r="F390" s="8">
        <v>1240000</v>
      </c>
      <c r="G390" s="8">
        <v>1240000</v>
      </c>
      <c r="H390" s="9">
        <v>0</v>
      </c>
      <c r="I390" s="8">
        <v>1240000</v>
      </c>
      <c r="J390" s="8">
        <v>1289600</v>
      </c>
      <c r="K390" s="8">
        <v>-49600</v>
      </c>
      <c r="L390" s="9">
        <v>-4</v>
      </c>
      <c r="M390" s="6"/>
    </row>
    <row r="391" spans="1:13" ht="21" customHeight="1" x14ac:dyDescent="0.3">
      <c r="A391" s="10"/>
      <c r="B391" s="3" t="s">
        <v>17</v>
      </c>
      <c r="C391" s="4" t="s">
        <v>18</v>
      </c>
      <c r="D391" s="4" t="s">
        <v>19</v>
      </c>
      <c r="E391" s="4" t="s">
        <v>11</v>
      </c>
      <c r="F391" s="3" t="s">
        <v>20</v>
      </c>
    </row>
    <row r="392" spans="1:13" ht="21" customHeight="1" x14ac:dyDescent="0.3">
      <c r="A392" s="10"/>
      <c r="B392" s="11" t="s">
        <v>24</v>
      </c>
      <c r="C392" s="9" t="s">
        <v>346</v>
      </c>
      <c r="D392" s="8">
        <v>5000</v>
      </c>
      <c r="E392" s="8">
        <v>1289600</v>
      </c>
      <c r="F392" s="13"/>
    </row>
    <row r="393" spans="1:13" ht="21" customHeight="1" x14ac:dyDescent="0.3">
      <c r="A393" s="10"/>
      <c r="B393" s="14"/>
      <c r="C393" s="15"/>
      <c r="D393" s="15"/>
      <c r="E393" s="15"/>
      <c r="F393" s="14"/>
    </row>
    <row r="394" spans="1:13" ht="21" customHeight="1" x14ac:dyDescent="0.3">
      <c r="A394" s="16">
        <v>46225</v>
      </c>
      <c r="B394" s="6" t="s">
        <v>25</v>
      </c>
      <c r="C394" s="7" t="s">
        <v>398</v>
      </c>
      <c r="D394" s="6"/>
      <c r="E394" s="9">
        <v>2</v>
      </c>
      <c r="F394" s="8">
        <v>52680</v>
      </c>
      <c r="G394" s="8">
        <v>52680</v>
      </c>
      <c r="H394" s="9">
        <v>0</v>
      </c>
      <c r="I394" s="8">
        <v>52680</v>
      </c>
      <c r="J394" s="8">
        <v>48180</v>
      </c>
      <c r="K394" s="8">
        <v>4500</v>
      </c>
      <c r="L394" s="9">
        <v>9</v>
      </c>
      <c r="M394" s="6"/>
    </row>
    <row r="395" spans="1:13" ht="21" customHeight="1" x14ac:dyDescent="0.3">
      <c r="A395" s="10"/>
      <c r="B395" s="3" t="s">
        <v>17</v>
      </c>
      <c r="C395" s="4" t="s">
        <v>18</v>
      </c>
      <c r="D395" s="4" t="s">
        <v>19</v>
      </c>
      <c r="E395" s="4" t="s">
        <v>11</v>
      </c>
      <c r="F395" s="3" t="s">
        <v>20</v>
      </c>
    </row>
    <row r="396" spans="1:13" ht="21" customHeight="1" x14ac:dyDescent="0.3">
      <c r="A396" s="10"/>
      <c r="B396" s="11" t="s">
        <v>190</v>
      </c>
      <c r="C396" s="9" t="s">
        <v>399</v>
      </c>
      <c r="D396" s="8">
        <v>28445</v>
      </c>
      <c r="E396" s="8">
        <v>25930</v>
      </c>
      <c r="F396" s="13"/>
    </row>
    <row r="397" spans="1:13" ht="21" customHeight="1" x14ac:dyDescent="0.3">
      <c r="A397" s="10"/>
      <c r="B397" s="11" t="s">
        <v>56</v>
      </c>
      <c r="C397" s="9" t="s">
        <v>399</v>
      </c>
      <c r="D397" s="8">
        <v>24235</v>
      </c>
      <c r="E397" s="8">
        <v>22250</v>
      </c>
      <c r="F397" s="13"/>
    </row>
    <row r="398" spans="1:13" ht="21" customHeight="1" x14ac:dyDescent="0.3">
      <c r="A398" s="10"/>
      <c r="B398" s="14"/>
      <c r="C398" s="15"/>
      <c r="D398" s="15"/>
      <c r="E398" s="15"/>
      <c r="F398" s="14"/>
    </row>
    <row r="399" spans="1:13" ht="21" customHeight="1" x14ac:dyDescent="0.3">
      <c r="A399" s="16">
        <v>46225</v>
      </c>
      <c r="B399" s="6" t="s">
        <v>25</v>
      </c>
      <c r="C399" s="7" t="s">
        <v>400</v>
      </c>
      <c r="D399" s="6"/>
      <c r="E399" s="9">
        <v>210</v>
      </c>
      <c r="F399" s="8">
        <v>1050000</v>
      </c>
      <c r="G399" s="8">
        <v>1050000</v>
      </c>
      <c r="H399" s="9">
        <v>0</v>
      </c>
      <c r="I399" s="8">
        <v>1050000</v>
      </c>
      <c r="J399" s="8">
        <v>1092000</v>
      </c>
      <c r="K399" s="8">
        <v>-42000</v>
      </c>
      <c r="L399" s="9">
        <v>-4</v>
      </c>
      <c r="M399" s="6"/>
    </row>
    <row r="400" spans="1:13" ht="21" customHeight="1" x14ac:dyDescent="0.3">
      <c r="A400" s="10"/>
      <c r="B400" s="3" t="s">
        <v>17</v>
      </c>
      <c r="C400" s="4" t="s">
        <v>18</v>
      </c>
      <c r="D400" s="4" t="s">
        <v>19</v>
      </c>
      <c r="E400" s="4" t="s">
        <v>11</v>
      </c>
      <c r="F400" s="3" t="s">
        <v>20</v>
      </c>
    </row>
    <row r="401" spans="1:13" ht="21" customHeight="1" x14ac:dyDescent="0.3">
      <c r="A401" s="10"/>
      <c r="B401" s="11" t="s">
        <v>24</v>
      </c>
      <c r="C401" s="9" t="s">
        <v>401</v>
      </c>
      <c r="D401" s="8">
        <v>5000</v>
      </c>
      <c r="E401" s="8">
        <v>1092000</v>
      </c>
      <c r="F401" s="13"/>
    </row>
    <row r="402" spans="1:13" ht="21" customHeight="1" x14ac:dyDescent="0.3">
      <c r="A402" s="10"/>
      <c r="B402" s="14"/>
      <c r="C402" s="15"/>
      <c r="D402" s="15"/>
      <c r="E402" s="15"/>
      <c r="F402" s="14"/>
    </row>
    <row r="403" spans="1:13" ht="21" customHeight="1" x14ac:dyDescent="0.3">
      <c r="A403" s="16">
        <v>46225</v>
      </c>
      <c r="B403" s="6" t="s">
        <v>15</v>
      </c>
      <c r="C403" s="7" t="s">
        <v>402</v>
      </c>
      <c r="D403" s="6"/>
      <c r="E403" s="9">
        <v>4</v>
      </c>
      <c r="F403" s="8">
        <v>41950</v>
      </c>
      <c r="G403" s="8">
        <v>41950</v>
      </c>
      <c r="H403" s="9">
        <v>0</v>
      </c>
      <c r="I403" s="8">
        <v>41950</v>
      </c>
      <c r="J403" s="8">
        <v>38516</v>
      </c>
      <c r="K403" s="8">
        <v>3434</v>
      </c>
      <c r="L403" s="9">
        <v>8</v>
      </c>
      <c r="M403" s="6"/>
    </row>
    <row r="404" spans="1:13" ht="21" customHeight="1" x14ac:dyDescent="0.3">
      <c r="A404" s="10"/>
      <c r="B404" s="3" t="s">
        <v>17</v>
      </c>
      <c r="C404" s="4" t="s">
        <v>18</v>
      </c>
      <c r="D404" s="4" t="s">
        <v>19</v>
      </c>
      <c r="E404" s="4" t="s">
        <v>11</v>
      </c>
      <c r="F404" s="3" t="s">
        <v>20</v>
      </c>
    </row>
    <row r="405" spans="1:13" ht="21" customHeight="1" x14ac:dyDescent="0.3">
      <c r="A405" s="10"/>
      <c r="B405" s="11" t="s">
        <v>21</v>
      </c>
      <c r="C405" s="9" t="s">
        <v>275</v>
      </c>
      <c r="D405" s="8">
        <v>9000</v>
      </c>
      <c r="E405" s="8">
        <v>8122</v>
      </c>
      <c r="F405" s="13"/>
    </row>
    <row r="406" spans="1:13" ht="21" customHeight="1" x14ac:dyDescent="0.3">
      <c r="A406" s="10"/>
      <c r="B406" s="11" t="s">
        <v>22</v>
      </c>
      <c r="C406" s="9" t="s">
        <v>275</v>
      </c>
      <c r="D406" s="8">
        <v>9500</v>
      </c>
      <c r="E406" s="8">
        <v>8657</v>
      </c>
      <c r="F406" s="13"/>
    </row>
    <row r="407" spans="1:13" ht="21" customHeight="1" x14ac:dyDescent="0.3">
      <c r="A407" s="10"/>
      <c r="B407" s="11" t="s">
        <v>44</v>
      </c>
      <c r="C407" s="9" t="s">
        <v>275</v>
      </c>
      <c r="D407" s="8">
        <v>9500</v>
      </c>
      <c r="E407" s="8">
        <v>8990</v>
      </c>
      <c r="F407" s="13"/>
    </row>
    <row r="408" spans="1:13" ht="21" customHeight="1" x14ac:dyDescent="0.3">
      <c r="A408" s="10"/>
      <c r="B408" s="11" t="s">
        <v>45</v>
      </c>
      <c r="C408" s="9" t="s">
        <v>275</v>
      </c>
      <c r="D408" s="8">
        <v>13950</v>
      </c>
      <c r="E408" s="8">
        <v>12747</v>
      </c>
      <c r="F408" s="13"/>
    </row>
    <row r="409" spans="1:13" ht="21" customHeight="1" x14ac:dyDescent="0.3">
      <c r="A409" s="10"/>
      <c r="B409" s="14"/>
      <c r="C409" s="15"/>
      <c r="D409" s="15"/>
      <c r="E409" s="15"/>
      <c r="F409" s="14"/>
    </row>
    <row r="410" spans="1:13" ht="21" customHeight="1" x14ac:dyDescent="0.3">
      <c r="A410" s="16">
        <v>46225</v>
      </c>
      <c r="B410" s="6" t="s">
        <v>75</v>
      </c>
      <c r="C410" s="7" t="s">
        <v>403</v>
      </c>
      <c r="D410" s="6"/>
      <c r="E410" s="9">
        <v>60</v>
      </c>
      <c r="F410" s="8">
        <v>552000</v>
      </c>
      <c r="G410" s="9">
        <v>0</v>
      </c>
      <c r="H410" s="8">
        <v>552000</v>
      </c>
      <c r="I410" s="8">
        <v>552000</v>
      </c>
      <c r="J410" s="8">
        <v>519405</v>
      </c>
      <c r="K410" s="8">
        <v>32595</v>
      </c>
      <c r="L410" s="9">
        <v>6</v>
      </c>
      <c r="M410" s="6" t="s">
        <v>404</v>
      </c>
    </row>
    <row r="411" spans="1:13" ht="21" customHeight="1" x14ac:dyDescent="0.3">
      <c r="A411" s="10"/>
      <c r="B411" s="3" t="s">
        <v>17</v>
      </c>
      <c r="C411" s="4" t="s">
        <v>18</v>
      </c>
      <c r="D411" s="4" t="s">
        <v>19</v>
      </c>
      <c r="E411" s="4" t="s">
        <v>11</v>
      </c>
      <c r="F411" s="3" t="s">
        <v>20</v>
      </c>
    </row>
    <row r="412" spans="1:13" ht="21" customHeight="1" x14ac:dyDescent="0.3">
      <c r="A412" s="10"/>
      <c r="B412" s="11" t="s">
        <v>22</v>
      </c>
      <c r="C412" s="9" t="s">
        <v>307</v>
      </c>
      <c r="D412" s="8">
        <v>9200</v>
      </c>
      <c r="E412" s="8">
        <v>519405</v>
      </c>
      <c r="F412" s="13"/>
    </row>
    <row r="413" spans="1:13" ht="21" customHeight="1" x14ac:dyDescent="0.3">
      <c r="A413" s="10"/>
      <c r="B413" s="14"/>
      <c r="C413" s="15"/>
      <c r="D413" s="15"/>
      <c r="E413" s="15"/>
      <c r="F413" s="14"/>
    </row>
    <row r="414" spans="1:13" ht="21" customHeight="1" x14ac:dyDescent="0.3">
      <c r="A414" s="16">
        <v>46225</v>
      </c>
      <c r="B414" s="6" t="s">
        <v>122</v>
      </c>
      <c r="C414" s="7" t="s">
        <v>405</v>
      </c>
      <c r="D414" s="6"/>
      <c r="E414" s="9">
        <v>5</v>
      </c>
      <c r="F414" s="8">
        <v>54810</v>
      </c>
      <c r="G414" s="8">
        <v>54810</v>
      </c>
      <c r="H414" s="9">
        <v>0</v>
      </c>
      <c r="I414" s="8">
        <v>54810</v>
      </c>
      <c r="J414" s="8">
        <v>51371</v>
      </c>
      <c r="K414" s="8">
        <v>3439</v>
      </c>
      <c r="L414" s="9">
        <v>6</v>
      </c>
      <c r="M414" s="6"/>
    </row>
    <row r="415" spans="1:13" ht="21" customHeight="1" x14ac:dyDescent="0.3">
      <c r="A415" s="10"/>
      <c r="B415" s="3" t="s">
        <v>17</v>
      </c>
      <c r="C415" s="4" t="s">
        <v>18</v>
      </c>
      <c r="D415" s="4" t="s">
        <v>19</v>
      </c>
      <c r="E415" s="4" t="s">
        <v>11</v>
      </c>
      <c r="F415" s="3" t="s">
        <v>20</v>
      </c>
    </row>
    <row r="416" spans="1:13" ht="21" customHeight="1" x14ac:dyDescent="0.3">
      <c r="A416" s="10"/>
      <c r="B416" s="11" t="s">
        <v>70</v>
      </c>
      <c r="C416" s="9" t="s">
        <v>266</v>
      </c>
      <c r="D416" s="8">
        <v>13460</v>
      </c>
      <c r="E416" s="8">
        <v>12855</v>
      </c>
      <c r="F416" s="13"/>
    </row>
    <row r="417" spans="1:13" ht="21" customHeight="1" x14ac:dyDescent="0.3">
      <c r="A417" s="10"/>
      <c r="B417" s="11" t="s">
        <v>45</v>
      </c>
      <c r="C417" s="9" t="s">
        <v>275</v>
      </c>
      <c r="D417" s="8">
        <v>13950</v>
      </c>
      <c r="E417" s="8">
        <v>12747</v>
      </c>
      <c r="F417" s="13"/>
    </row>
    <row r="418" spans="1:13" ht="21" customHeight="1" x14ac:dyDescent="0.3">
      <c r="A418" s="10"/>
      <c r="B418" s="11" t="s">
        <v>44</v>
      </c>
      <c r="C418" s="9" t="s">
        <v>275</v>
      </c>
      <c r="D418" s="8">
        <v>9200</v>
      </c>
      <c r="E418" s="8">
        <v>8990</v>
      </c>
      <c r="F418" s="13"/>
    </row>
    <row r="419" spans="1:13" ht="21" customHeight="1" x14ac:dyDescent="0.3">
      <c r="A419" s="10"/>
      <c r="B419" s="11" t="s">
        <v>22</v>
      </c>
      <c r="C419" s="9" t="s">
        <v>275</v>
      </c>
      <c r="D419" s="8">
        <v>9200</v>
      </c>
      <c r="E419" s="8">
        <v>8657</v>
      </c>
      <c r="F419" s="13"/>
    </row>
    <row r="420" spans="1:13" ht="21" customHeight="1" x14ac:dyDescent="0.3">
      <c r="A420" s="10"/>
      <c r="B420" s="11" t="s">
        <v>21</v>
      </c>
      <c r="C420" s="9" t="s">
        <v>275</v>
      </c>
      <c r="D420" s="8">
        <v>9000</v>
      </c>
      <c r="E420" s="8">
        <v>8122</v>
      </c>
      <c r="F420" s="13"/>
    </row>
    <row r="421" spans="1:13" ht="21" customHeight="1" x14ac:dyDescent="0.3">
      <c r="A421" s="10"/>
      <c r="B421" s="14"/>
      <c r="C421" s="15"/>
      <c r="D421" s="15"/>
      <c r="E421" s="15"/>
      <c r="F421" s="14"/>
    </row>
    <row r="422" spans="1:13" ht="21" customHeight="1" x14ac:dyDescent="0.3">
      <c r="A422" s="16">
        <v>46225</v>
      </c>
      <c r="B422" s="6" t="s">
        <v>15</v>
      </c>
      <c r="C422" s="7" t="s">
        <v>406</v>
      </c>
      <c r="D422" s="6"/>
      <c r="E422" s="9">
        <v>2</v>
      </c>
      <c r="F422" s="8">
        <v>23100</v>
      </c>
      <c r="G422" s="8">
        <v>23100</v>
      </c>
      <c r="H422" s="9">
        <v>0</v>
      </c>
      <c r="I422" s="8">
        <v>23100</v>
      </c>
      <c r="J422" s="8">
        <v>20915</v>
      </c>
      <c r="K422" s="8">
        <v>2185</v>
      </c>
      <c r="L422" s="9">
        <v>9</v>
      </c>
      <c r="M422" s="6"/>
    </row>
    <row r="423" spans="1:13" ht="21" customHeight="1" x14ac:dyDescent="0.3">
      <c r="A423" s="10"/>
      <c r="B423" s="3" t="s">
        <v>17</v>
      </c>
      <c r="C423" s="4" t="s">
        <v>18</v>
      </c>
      <c r="D423" s="4" t="s">
        <v>19</v>
      </c>
      <c r="E423" s="4" t="s">
        <v>11</v>
      </c>
      <c r="F423" s="3" t="s">
        <v>20</v>
      </c>
    </row>
    <row r="424" spans="1:13" ht="21" customHeight="1" x14ac:dyDescent="0.3">
      <c r="A424" s="10"/>
      <c r="B424" s="11" t="s">
        <v>119</v>
      </c>
      <c r="C424" s="9" t="s">
        <v>275</v>
      </c>
      <c r="D424" s="8">
        <v>13900</v>
      </c>
      <c r="E424" s="8">
        <v>12390</v>
      </c>
      <c r="F424" s="13"/>
    </row>
    <row r="425" spans="1:13" ht="21" customHeight="1" x14ac:dyDescent="0.3">
      <c r="A425" s="10"/>
      <c r="B425" s="11" t="s">
        <v>37</v>
      </c>
      <c r="C425" s="9" t="s">
        <v>275</v>
      </c>
      <c r="D425" s="8">
        <v>9200</v>
      </c>
      <c r="E425" s="8">
        <v>8525</v>
      </c>
      <c r="F425" s="13"/>
    </row>
    <row r="426" spans="1:13" ht="21" customHeight="1" x14ac:dyDescent="0.3">
      <c r="A426" s="10"/>
      <c r="B426" s="14"/>
      <c r="C426" s="15"/>
      <c r="D426" s="15"/>
      <c r="E426" s="15"/>
      <c r="F426" s="14"/>
    </row>
    <row r="427" spans="1:13" ht="21" customHeight="1" x14ac:dyDescent="0.3">
      <c r="A427" s="23">
        <v>46226</v>
      </c>
      <c r="B427" s="6" t="s">
        <v>50</v>
      </c>
      <c r="C427" s="7" t="s">
        <v>407</v>
      </c>
      <c r="D427" s="6"/>
      <c r="E427" s="9">
        <v>496</v>
      </c>
      <c r="F427" s="8">
        <v>2480000</v>
      </c>
      <c r="G427" s="8">
        <v>2480000</v>
      </c>
      <c r="H427" s="9">
        <v>0</v>
      </c>
      <c r="I427" s="8">
        <v>2480000</v>
      </c>
      <c r="J427" s="8">
        <v>2579200</v>
      </c>
      <c r="K427" s="8">
        <v>-99200</v>
      </c>
      <c r="L427" s="9">
        <v>-4</v>
      </c>
      <c r="M427" s="6"/>
    </row>
    <row r="428" spans="1:13" ht="21" customHeight="1" x14ac:dyDescent="0.3">
      <c r="A428" s="10"/>
      <c r="B428" s="3" t="s">
        <v>17</v>
      </c>
      <c r="C428" s="4" t="s">
        <v>18</v>
      </c>
      <c r="D428" s="4" t="s">
        <v>19</v>
      </c>
      <c r="E428" s="4" t="s">
        <v>11</v>
      </c>
      <c r="F428" s="3" t="s">
        <v>20</v>
      </c>
    </row>
    <row r="429" spans="1:13" ht="21" customHeight="1" x14ac:dyDescent="0.3">
      <c r="A429" s="10"/>
      <c r="B429" s="11" t="s">
        <v>24</v>
      </c>
      <c r="C429" s="9" t="s">
        <v>408</v>
      </c>
      <c r="D429" s="8">
        <v>5000</v>
      </c>
      <c r="E429" s="8">
        <v>2579200</v>
      </c>
      <c r="F429" s="13"/>
    </row>
    <row r="430" spans="1:13" ht="21" customHeight="1" x14ac:dyDescent="0.3">
      <c r="A430" s="10"/>
      <c r="B430" s="14"/>
      <c r="C430" s="15"/>
      <c r="D430" s="15"/>
      <c r="E430" s="15"/>
      <c r="F430" s="14"/>
    </row>
    <row r="431" spans="1:13" ht="21" customHeight="1" x14ac:dyDescent="0.3">
      <c r="A431" s="16">
        <v>46226</v>
      </c>
      <c r="B431" s="6" t="s">
        <v>50</v>
      </c>
      <c r="C431" s="7" t="s">
        <v>409</v>
      </c>
      <c r="D431" s="6"/>
      <c r="E431" s="9">
        <v>5</v>
      </c>
      <c r="F431" s="8">
        <v>67750</v>
      </c>
      <c r="G431" s="8">
        <v>67750</v>
      </c>
      <c r="H431" s="9">
        <v>0</v>
      </c>
      <c r="I431" s="8">
        <v>67750</v>
      </c>
      <c r="J431" s="8">
        <v>64600</v>
      </c>
      <c r="K431" s="8">
        <v>3150</v>
      </c>
      <c r="L431" s="9">
        <v>5</v>
      </c>
      <c r="M431" s="6"/>
    </row>
    <row r="432" spans="1:13" ht="21" customHeight="1" x14ac:dyDescent="0.3">
      <c r="A432" s="10"/>
      <c r="B432" s="3" t="s">
        <v>17</v>
      </c>
      <c r="C432" s="4" t="s">
        <v>18</v>
      </c>
      <c r="D432" s="4" t="s">
        <v>19</v>
      </c>
      <c r="E432" s="4" t="s">
        <v>11</v>
      </c>
      <c r="F432" s="3" t="s">
        <v>20</v>
      </c>
    </row>
    <row r="433" spans="1:13" ht="21" customHeight="1" x14ac:dyDescent="0.3">
      <c r="A433" s="10"/>
      <c r="B433" s="11" t="s">
        <v>101</v>
      </c>
      <c r="C433" s="9" t="s">
        <v>270</v>
      </c>
      <c r="D433" s="8">
        <v>13550</v>
      </c>
      <c r="E433" s="8">
        <v>64600</v>
      </c>
      <c r="F433" s="13"/>
    </row>
    <row r="434" spans="1:13" ht="21" customHeight="1" x14ac:dyDescent="0.3">
      <c r="A434" s="10"/>
      <c r="B434" s="11" t="s">
        <v>38</v>
      </c>
      <c r="C434" s="9" t="s">
        <v>410</v>
      </c>
      <c r="D434" s="8">
        <v>1800</v>
      </c>
      <c r="E434" s="9">
        <v>0</v>
      </c>
      <c r="F434" s="13"/>
    </row>
    <row r="435" spans="1:13" ht="21" customHeight="1" x14ac:dyDescent="0.3">
      <c r="A435" s="10"/>
      <c r="B435" s="14"/>
      <c r="C435" s="15"/>
      <c r="D435" s="15"/>
      <c r="E435" s="15"/>
      <c r="F435" s="14"/>
    </row>
    <row r="436" spans="1:13" ht="21" customHeight="1" x14ac:dyDescent="0.3">
      <c r="A436" s="16">
        <v>46226</v>
      </c>
      <c r="B436" s="6" t="s">
        <v>25</v>
      </c>
      <c r="C436" s="7" t="s">
        <v>411</v>
      </c>
      <c r="D436" s="6"/>
      <c r="E436" s="9">
        <v>248</v>
      </c>
      <c r="F436" s="8">
        <v>1240000</v>
      </c>
      <c r="G436" s="8">
        <v>1240000</v>
      </c>
      <c r="H436" s="9">
        <v>0</v>
      </c>
      <c r="I436" s="8">
        <v>1240000</v>
      </c>
      <c r="J436" s="8">
        <v>1289600</v>
      </c>
      <c r="K436" s="8">
        <v>-49600</v>
      </c>
      <c r="L436" s="9">
        <v>-4</v>
      </c>
      <c r="M436" s="6"/>
    </row>
    <row r="437" spans="1:13" ht="21" customHeight="1" x14ac:dyDescent="0.3">
      <c r="A437" s="10"/>
      <c r="B437" s="3" t="s">
        <v>17</v>
      </c>
      <c r="C437" s="4" t="s">
        <v>18</v>
      </c>
      <c r="D437" s="4" t="s">
        <v>19</v>
      </c>
      <c r="E437" s="4" t="s">
        <v>11</v>
      </c>
      <c r="F437" s="3" t="s">
        <v>20</v>
      </c>
    </row>
    <row r="438" spans="1:13" ht="21" customHeight="1" x14ac:dyDescent="0.3">
      <c r="A438" s="10"/>
      <c r="B438" s="11" t="s">
        <v>24</v>
      </c>
      <c r="C438" s="9" t="s">
        <v>346</v>
      </c>
      <c r="D438" s="8">
        <v>5000</v>
      </c>
      <c r="E438" s="8">
        <v>1289600</v>
      </c>
      <c r="F438" s="13"/>
    </row>
    <row r="439" spans="1:13" ht="21" customHeight="1" x14ac:dyDescent="0.3">
      <c r="A439" s="10"/>
      <c r="B439" s="14"/>
      <c r="C439" s="15"/>
      <c r="D439" s="15"/>
      <c r="E439" s="15"/>
      <c r="F439" s="14"/>
    </row>
    <row r="440" spans="1:13" ht="21" customHeight="1" x14ac:dyDescent="0.3">
      <c r="A440" s="16">
        <v>46226</v>
      </c>
      <c r="B440" s="6" t="s">
        <v>341</v>
      </c>
      <c r="C440" s="7" t="s">
        <v>412</v>
      </c>
      <c r="D440" s="6"/>
      <c r="E440" s="9">
        <v>4</v>
      </c>
      <c r="F440" s="8">
        <v>37340</v>
      </c>
      <c r="G440" s="9">
        <v>0</v>
      </c>
      <c r="H440" s="8">
        <v>37340</v>
      </c>
      <c r="I440" s="8">
        <v>37340</v>
      </c>
      <c r="J440" s="8">
        <v>34627</v>
      </c>
      <c r="K440" s="8">
        <v>2713</v>
      </c>
      <c r="L440" s="9">
        <v>7</v>
      </c>
      <c r="M440" s="6" t="s">
        <v>413</v>
      </c>
    </row>
    <row r="441" spans="1:13" ht="21" customHeight="1" x14ac:dyDescent="0.3">
      <c r="A441" s="10"/>
      <c r="B441" s="3" t="s">
        <v>17</v>
      </c>
      <c r="C441" s="4" t="s">
        <v>18</v>
      </c>
      <c r="D441" s="4" t="s">
        <v>19</v>
      </c>
      <c r="E441" s="4" t="s">
        <v>11</v>
      </c>
      <c r="F441" s="3" t="s">
        <v>20</v>
      </c>
    </row>
    <row r="442" spans="1:13" ht="21" customHeight="1" x14ac:dyDescent="0.3">
      <c r="A442" s="10"/>
      <c r="B442" s="11" t="s">
        <v>22</v>
      </c>
      <c r="C442" s="9" t="s">
        <v>301</v>
      </c>
      <c r="D442" s="8">
        <v>9335</v>
      </c>
      <c r="E442" s="8">
        <v>34627</v>
      </c>
      <c r="F442" s="13"/>
    </row>
    <row r="443" spans="1:13" ht="21" customHeight="1" x14ac:dyDescent="0.3">
      <c r="A443" s="10"/>
      <c r="B443" s="14"/>
      <c r="C443" s="15"/>
      <c r="D443" s="15"/>
      <c r="E443" s="15"/>
      <c r="F443" s="14"/>
    </row>
    <row r="444" spans="1:13" ht="21" customHeight="1" x14ac:dyDescent="0.3">
      <c r="A444" s="16">
        <v>46226</v>
      </c>
      <c r="B444" s="6" t="s">
        <v>29</v>
      </c>
      <c r="C444" s="7" t="s">
        <v>414</v>
      </c>
      <c r="D444" s="6"/>
      <c r="E444" s="9">
        <v>61</v>
      </c>
      <c r="F444" s="8">
        <v>391605</v>
      </c>
      <c r="G444" s="8">
        <v>391605</v>
      </c>
      <c r="H444" s="9">
        <v>0</v>
      </c>
      <c r="I444" s="8">
        <v>391605</v>
      </c>
      <c r="J444" s="8">
        <v>363016</v>
      </c>
      <c r="K444" s="8">
        <v>28589</v>
      </c>
      <c r="L444" s="9">
        <v>7</v>
      </c>
      <c r="M444" s="6"/>
    </row>
    <row r="445" spans="1:13" ht="21" customHeight="1" x14ac:dyDescent="0.3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1:13" ht="21" customHeight="1" x14ac:dyDescent="0.3">
      <c r="A446" s="10"/>
      <c r="B446" s="11" t="s">
        <v>45</v>
      </c>
      <c r="C446" s="9" t="s">
        <v>270</v>
      </c>
      <c r="D446" s="8">
        <v>13335</v>
      </c>
      <c r="E446" s="8">
        <v>63734</v>
      </c>
      <c r="F446" s="13"/>
    </row>
    <row r="447" spans="1:13" ht="21" customHeight="1" x14ac:dyDescent="0.3">
      <c r="A447" s="10"/>
      <c r="B447" s="11" t="s">
        <v>44</v>
      </c>
      <c r="C447" s="9" t="s">
        <v>314</v>
      </c>
      <c r="D447" s="8">
        <v>9200</v>
      </c>
      <c r="E447" s="8">
        <v>89900</v>
      </c>
      <c r="F447" s="13"/>
    </row>
    <row r="448" spans="1:13" ht="21" customHeight="1" x14ac:dyDescent="0.3">
      <c r="A448" s="10"/>
      <c r="B448" s="11" t="s">
        <v>22</v>
      </c>
      <c r="C448" s="9" t="s">
        <v>314</v>
      </c>
      <c r="D448" s="8">
        <v>8800</v>
      </c>
      <c r="E448" s="8">
        <v>86567</v>
      </c>
      <c r="F448" s="13"/>
    </row>
    <row r="449" spans="1:13" ht="21" customHeight="1" x14ac:dyDescent="0.3">
      <c r="A449" s="10"/>
      <c r="B449" s="11" t="s">
        <v>87</v>
      </c>
      <c r="C449" s="9" t="s">
        <v>275</v>
      </c>
      <c r="D449" s="8">
        <v>21400</v>
      </c>
      <c r="E449" s="8">
        <v>20440</v>
      </c>
      <c r="F449" s="13"/>
    </row>
    <row r="450" spans="1:13" ht="21" customHeight="1" x14ac:dyDescent="0.3">
      <c r="A450" s="10"/>
      <c r="B450" s="11" t="s">
        <v>36</v>
      </c>
      <c r="C450" s="9" t="s">
        <v>274</v>
      </c>
      <c r="D450" s="8">
        <v>15525</v>
      </c>
      <c r="E450" s="8">
        <v>29800</v>
      </c>
      <c r="F450" s="13"/>
    </row>
    <row r="451" spans="1:13" ht="21" customHeight="1" x14ac:dyDescent="0.3">
      <c r="A451" s="10"/>
      <c r="B451" s="11" t="s">
        <v>70</v>
      </c>
      <c r="C451" s="9" t="s">
        <v>266</v>
      </c>
      <c r="D451" s="8">
        <v>13460</v>
      </c>
      <c r="E451" s="8">
        <v>12855</v>
      </c>
      <c r="F451" s="13"/>
    </row>
    <row r="452" spans="1:13" ht="21" customHeight="1" x14ac:dyDescent="0.3">
      <c r="A452" s="10"/>
      <c r="B452" s="11" t="s">
        <v>65</v>
      </c>
      <c r="C452" s="9" t="s">
        <v>274</v>
      </c>
      <c r="D452" s="8">
        <v>11910</v>
      </c>
      <c r="E452" s="8">
        <v>22630</v>
      </c>
      <c r="F452" s="13"/>
    </row>
    <row r="453" spans="1:13" ht="21" customHeight="1" x14ac:dyDescent="0.3">
      <c r="A453" s="10"/>
      <c r="B453" s="11" t="s">
        <v>148</v>
      </c>
      <c r="C453" s="9" t="s">
        <v>289</v>
      </c>
      <c r="D453" s="8">
        <v>2000</v>
      </c>
      <c r="E453" s="9">
        <v>741</v>
      </c>
      <c r="F453" s="13"/>
    </row>
    <row r="454" spans="1:13" ht="21" customHeight="1" x14ac:dyDescent="0.3">
      <c r="A454" s="10"/>
      <c r="B454" s="11" t="s">
        <v>38</v>
      </c>
      <c r="C454" s="9" t="s">
        <v>415</v>
      </c>
      <c r="D454" s="8">
        <v>1800</v>
      </c>
      <c r="E454" s="8">
        <v>36349</v>
      </c>
      <c r="F454" s="13"/>
    </row>
    <row r="455" spans="1:13" ht="21" customHeight="1" x14ac:dyDescent="0.3">
      <c r="A455" s="10"/>
      <c r="B455" s="14"/>
      <c r="C455" s="15"/>
      <c r="D455" s="15"/>
      <c r="E455" s="15"/>
      <c r="F455" s="14"/>
    </row>
    <row r="456" spans="1:13" ht="21" customHeight="1" x14ac:dyDescent="0.3">
      <c r="A456" s="16">
        <v>46226</v>
      </c>
      <c r="B456" s="6" t="s">
        <v>157</v>
      </c>
      <c r="C456" s="7" t="s">
        <v>416</v>
      </c>
      <c r="D456" s="6"/>
      <c r="E456" s="9">
        <v>78</v>
      </c>
      <c r="F456" s="8">
        <v>449590</v>
      </c>
      <c r="G456" s="8">
        <v>157885</v>
      </c>
      <c r="H456" s="8">
        <v>291705</v>
      </c>
      <c r="I456" s="8">
        <v>449590</v>
      </c>
      <c r="J456" s="8">
        <v>413960</v>
      </c>
      <c r="K456" s="8">
        <v>35630</v>
      </c>
      <c r="L456" s="9">
        <v>8</v>
      </c>
      <c r="M456" s="6"/>
    </row>
    <row r="457" spans="1:13" ht="21" customHeight="1" x14ac:dyDescent="0.3">
      <c r="A457" s="10"/>
      <c r="B457" s="3" t="s">
        <v>17</v>
      </c>
      <c r="C457" s="4" t="s">
        <v>18</v>
      </c>
      <c r="D457" s="4" t="s">
        <v>19</v>
      </c>
      <c r="E457" s="4" t="s">
        <v>11</v>
      </c>
      <c r="F457" s="3" t="s">
        <v>20</v>
      </c>
    </row>
    <row r="458" spans="1:13" ht="21" customHeight="1" x14ac:dyDescent="0.3">
      <c r="A458" s="10"/>
      <c r="B458" s="11" t="s">
        <v>22</v>
      </c>
      <c r="C458" s="9" t="s">
        <v>318</v>
      </c>
      <c r="D458" s="8">
        <v>9200</v>
      </c>
      <c r="E458" s="8">
        <v>173135</v>
      </c>
      <c r="F458" s="13"/>
    </row>
    <row r="459" spans="1:13" ht="21" customHeight="1" x14ac:dyDescent="0.3">
      <c r="A459" s="10"/>
      <c r="B459" s="11" t="s">
        <v>44</v>
      </c>
      <c r="C459" s="9" t="s">
        <v>284</v>
      </c>
      <c r="D459" s="8">
        <v>9200</v>
      </c>
      <c r="E459" s="8">
        <v>53940</v>
      </c>
      <c r="F459" s="13"/>
    </row>
    <row r="460" spans="1:13" ht="21" customHeight="1" x14ac:dyDescent="0.3">
      <c r="A460" s="10"/>
      <c r="B460" s="11" t="s">
        <v>37</v>
      </c>
      <c r="C460" s="9" t="s">
        <v>270</v>
      </c>
      <c r="D460" s="8">
        <v>8880</v>
      </c>
      <c r="E460" s="8">
        <v>42625</v>
      </c>
      <c r="F460" s="13"/>
    </row>
    <row r="461" spans="1:13" ht="21" customHeight="1" x14ac:dyDescent="0.3">
      <c r="A461" s="10"/>
      <c r="B461" s="11" t="s">
        <v>100</v>
      </c>
      <c r="C461" s="9" t="s">
        <v>274</v>
      </c>
      <c r="D461" s="8">
        <v>11480</v>
      </c>
      <c r="E461" s="8">
        <v>21830</v>
      </c>
      <c r="F461" s="13"/>
    </row>
    <row r="462" spans="1:13" ht="21" customHeight="1" x14ac:dyDescent="0.3">
      <c r="A462" s="10"/>
      <c r="B462" s="11" t="s">
        <v>80</v>
      </c>
      <c r="C462" s="9" t="s">
        <v>274</v>
      </c>
      <c r="D462" s="8">
        <v>9345</v>
      </c>
      <c r="E462" s="8">
        <v>17940</v>
      </c>
      <c r="F462" s="13"/>
    </row>
    <row r="463" spans="1:13" ht="21" customHeight="1" x14ac:dyDescent="0.3">
      <c r="A463" s="10"/>
      <c r="B463" s="11" t="s">
        <v>45</v>
      </c>
      <c r="C463" s="9" t="s">
        <v>301</v>
      </c>
      <c r="D463" s="8">
        <v>13335</v>
      </c>
      <c r="E463" s="8">
        <v>50987</v>
      </c>
      <c r="F463" s="13"/>
    </row>
    <row r="464" spans="1:13" ht="21" customHeight="1" x14ac:dyDescent="0.3">
      <c r="A464" s="10"/>
      <c r="B464" s="11" t="s">
        <v>38</v>
      </c>
      <c r="C464" s="9" t="s">
        <v>417</v>
      </c>
      <c r="D464" s="8">
        <v>1800</v>
      </c>
      <c r="E464" s="8">
        <v>53009</v>
      </c>
      <c r="F464" s="13"/>
    </row>
    <row r="465" spans="1:13" ht="21" customHeight="1" x14ac:dyDescent="0.3">
      <c r="A465" s="10"/>
      <c r="B465" s="11" t="s">
        <v>148</v>
      </c>
      <c r="C465" s="9" t="s">
        <v>354</v>
      </c>
      <c r="D465" s="8">
        <v>2000</v>
      </c>
      <c r="E465" s="9">
        <v>494</v>
      </c>
      <c r="F465" s="13"/>
    </row>
    <row r="466" spans="1:13" ht="21" customHeight="1" x14ac:dyDescent="0.3">
      <c r="A466" s="10"/>
      <c r="B466" s="14"/>
      <c r="C466" s="15"/>
      <c r="D466" s="15"/>
      <c r="E466" s="15"/>
      <c r="F466" s="14"/>
    </row>
    <row r="467" spans="1:13" ht="21" customHeight="1" x14ac:dyDescent="0.3">
      <c r="A467" s="16">
        <v>46226</v>
      </c>
      <c r="B467" s="6" t="s">
        <v>29</v>
      </c>
      <c r="C467" s="7" t="s">
        <v>418</v>
      </c>
      <c r="D467" s="6"/>
      <c r="E467" s="9">
        <v>60</v>
      </c>
      <c r="F467" s="8">
        <v>300000</v>
      </c>
      <c r="G467" s="8">
        <v>300000</v>
      </c>
      <c r="H467" s="9">
        <v>0</v>
      </c>
      <c r="I467" s="8">
        <v>300000</v>
      </c>
      <c r="J467" s="8">
        <v>312000</v>
      </c>
      <c r="K467" s="8">
        <v>-12000</v>
      </c>
      <c r="L467" s="9">
        <v>-4</v>
      </c>
      <c r="M467" s="6"/>
    </row>
    <row r="468" spans="1:13" ht="21" customHeight="1" x14ac:dyDescent="0.3">
      <c r="A468" s="10"/>
      <c r="B468" s="3" t="s">
        <v>17</v>
      </c>
      <c r="C468" s="4" t="s">
        <v>18</v>
      </c>
      <c r="D468" s="4" t="s">
        <v>19</v>
      </c>
      <c r="E468" s="4" t="s">
        <v>11</v>
      </c>
      <c r="F468" s="3" t="s">
        <v>20</v>
      </c>
    </row>
    <row r="469" spans="1:13" ht="21" customHeight="1" x14ac:dyDescent="0.3">
      <c r="A469" s="10"/>
      <c r="B469" s="11" t="s">
        <v>24</v>
      </c>
      <c r="C469" s="9" t="s">
        <v>419</v>
      </c>
      <c r="D469" s="8">
        <v>5000</v>
      </c>
      <c r="E469" s="8">
        <v>312000</v>
      </c>
      <c r="F469" s="13"/>
    </row>
    <row r="470" spans="1:13" ht="21" customHeight="1" x14ac:dyDescent="0.3">
      <c r="A470" s="10"/>
      <c r="B470" s="14"/>
      <c r="C470" s="15"/>
      <c r="D470" s="15"/>
      <c r="E470" s="15"/>
      <c r="F470" s="14"/>
    </row>
    <row r="471" spans="1:13" ht="21" customHeight="1" x14ac:dyDescent="0.3">
      <c r="A471" s="16">
        <v>46226</v>
      </c>
      <c r="B471" s="6" t="s">
        <v>336</v>
      </c>
      <c r="C471" s="7" t="s">
        <v>420</v>
      </c>
      <c r="D471" s="6"/>
      <c r="E471" s="9">
        <v>3</v>
      </c>
      <c r="F471" s="8">
        <v>26900</v>
      </c>
      <c r="G471" s="8">
        <v>26900</v>
      </c>
      <c r="H471" s="9">
        <v>0</v>
      </c>
      <c r="I471" s="8">
        <v>26900</v>
      </c>
      <c r="J471" s="8">
        <v>25435</v>
      </c>
      <c r="K471" s="8">
        <v>1465</v>
      </c>
      <c r="L471" s="9">
        <v>5</v>
      </c>
      <c r="M471" s="6"/>
    </row>
    <row r="472" spans="1:13" ht="21" customHeight="1" x14ac:dyDescent="0.3">
      <c r="A472" s="10"/>
      <c r="B472" s="3" t="s">
        <v>17</v>
      </c>
      <c r="C472" s="4" t="s">
        <v>18</v>
      </c>
      <c r="D472" s="4" t="s">
        <v>19</v>
      </c>
      <c r="E472" s="4" t="s">
        <v>11</v>
      </c>
      <c r="F472" s="3" t="s">
        <v>20</v>
      </c>
    </row>
    <row r="473" spans="1:13" ht="21" customHeight="1" x14ac:dyDescent="0.3">
      <c r="A473" s="10"/>
      <c r="B473" s="11" t="s">
        <v>22</v>
      </c>
      <c r="C473" s="9" t="s">
        <v>274</v>
      </c>
      <c r="D473" s="8">
        <v>9200</v>
      </c>
      <c r="E473" s="8">
        <v>17313</v>
      </c>
      <c r="F473" s="13"/>
    </row>
    <row r="474" spans="1:13" ht="21" customHeight="1" x14ac:dyDescent="0.3">
      <c r="A474" s="10"/>
      <c r="B474" s="11" t="s">
        <v>21</v>
      </c>
      <c r="C474" s="9" t="s">
        <v>275</v>
      </c>
      <c r="D474" s="8">
        <v>8500</v>
      </c>
      <c r="E474" s="8">
        <v>8122</v>
      </c>
      <c r="F474" s="13"/>
    </row>
    <row r="475" spans="1:13" ht="21" customHeight="1" x14ac:dyDescent="0.3">
      <c r="A475" s="10"/>
      <c r="B475" s="14"/>
      <c r="C475" s="15"/>
      <c r="D475" s="15"/>
      <c r="E475" s="15"/>
      <c r="F475" s="14"/>
    </row>
    <row r="476" spans="1:13" ht="21" customHeight="1" x14ac:dyDescent="0.3">
      <c r="A476" s="16">
        <v>46226</v>
      </c>
      <c r="B476" s="6" t="s">
        <v>25</v>
      </c>
      <c r="C476" s="7" t="s">
        <v>421</v>
      </c>
      <c r="D476" s="6"/>
      <c r="E476" s="9">
        <v>60</v>
      </c>
      <c r="F476" s="8">
        <v>316500</v>
      </c>
      <c r="G476" s="8">
        <v>316500</v>
      </c>
      <c r="H476" s="9">
        <v>0</v>
      </c>
      <c r="I476" s="8">
        <v>316500</v>
      </c>
      <c r="J476" s="8">
        <v>298397</v>
      </c>
      <c r="K476" s="8">
        <v>18103</v>
      </c>
      <c r="L476" s="9">
        <v>6</v>
      </c>
      <c r="M476" s="6"/>
    </row>
    <row r="477" spans="1:13" ht="21" customHeight="1" x14ac:dyDescent="0.3">
      <c r="A477" s="10"/>
      <c r="B477" s="3" t="s">
        <v>17</v>
      </c>
      <c r="C477" s="4" t="s">
        <v>18</v>
      </c>
      <c r="D477" s="4" t="s">
        <v>19</v>
      </c>
      <c r="E477" s="4" t="s">
        <v>11</v>
      </c>
      <c r="F477" s="3" t="s">
        <v>20</v>
      </c>
    </row>
    <row r="478" spans="1:13" ht="21" customHeight="1" x14ac:dyDescent="0.3">
      <c r="A478" s="10"/>
      <c r="B478" s="11" t="s">
        <v>22</v>
      </c>
      <c r="C478" s="9" t="s">
        <v>350</v>
      </c>
      <c r="D478" s="8">
        <v>9200</v>
      </c>
      <c r="E478" s="8">
        <v>129851</v>
      </c>
      <c r="F478" s="13"/>
    </row>
    <row r="479" spans="1:13" ht="21" customHeight="1" x14ac:dyDescent="0.3">
      <c r="A479" s="10"/>
      <c r="B479" s="11" t="s">
        <v>21</v>
      </c>
      <c r="C479" s="9" t="s">
        <v>350</v>
      </c>
      <c r="D479" s="8">
        <v>8200</v>
      </c>
      <c r="E479" s="8">
        <v>121828</v>
      </c>
      <c r="F479" s="13"/>
    </row>
    <row r="480" spans="1:13" ht="21" customHeight="1" x14ac:dyDescent="0.3">
      <c r="A480" s="10"/>
      <c r="B480" s="11" t="s">
        <v>48</v>
      </c>
      <c r="C480" s="9" t="s">
        <v>351</v>
      </c>
      <c r="D480" s="8">
        <v>1900</v>
      </c>
      <c r="E480" s="8">
        <v>24000</v>
      </c>
      <c r="F480" s="13"/>
    </row>
    <row r="481" spans="1:13" ht="21" customHeight="1" x14ac:dyDescent="0.3">
      <c r="A481" s="10"/>
      <c r="B481" s="11" t="s">
        <v>38</v>
      </c>
      <c r="C481" s="9" t="s">
        <v>351</v>
      </c>
      <c r="D481" s="8">
        <v>1800</v>
      </c>
      <c r="E481" s="8">
        <v>22718</v>
      </c>
      <c r="F481" s="13"/>
    </row>
    <row r="482" spans="1:13" ht="21" customHeight="1" x14ac:dyDescent="0.3">
      <c r="A482" s="10"/>
      <c r="B482" s="14"/>
      <c r="C482" s="15"/>
      <c r="D482" s="15"/>
      <c r="E482" s="15"/>
      <c r="F482" s="14"/>
    </row>
    <row r="483" spans="1:13" ht="21" customHeight="1" x14ac:dyDescent="0.3">
      <c r="A483" s="23">
        <v>46227</v>
      </c>
      <c r="B483" s="6" t="s">
        <v>66</v>
      </c>
      <c r="C483" s="7" t="s">
        <v>422</v>
      </c>
      <c r="D483" s="6"/>
      <c r="E483" s="9">
        <v>840</v>
      </c>
      <c r="F483" s="8">
        <v>4463200</v>
      </c>
      <c r="G483" s="8">
        <v>3698700</v>
      </c>
      <c r="H483" s="8">
        <v>764500</v>
      </c>
      <c r="I483" s="8">
        <v>4463200</v>
      </c>
      <c r="J483" s="8">
        <v>4365251</v>
      </c>
      <c r="K483" s="8">
        <v>97949</v>
      </c>
      <c r="L483" s="9">
        <v>2</v>
      </c>
      <c r="M483" s="6" t="s">
        <v>423</v>
      </c>
    </row>
    <row r="484" spans="1:13" ht="21" customHeight="1" x14ac:dyDescent="0.3">
      <c r="A484" s="10"/>
      <c r="B484" s="3" t="s">
        <v>17</v>
      </c>
      <c r="C484" s="4" t="s">
        <v>18</v>
      </c>
      <c r="D484" s="4" t="s">
        <v>19</v>
      </c>
      <c r="E484" s="4" t="s">
        <v>11</v>
      </c>
      <c r="F484" s="3" t="s">
        <v>20</v>
      </c>
    </row>
    <row r="485" spans="1:13" ht="21" customHeight="1" x14ac:dyDescent="0.3">
      <c r="A485" s="10"/>
      <c r="B485" s="11" t="s">
        <v>22</v>
      </c>
      <c r="C485" s="9" t="s">
        <v>306</v>
      </c>
      <c r="D485" s="8">
        <v>8500</v>
      </c>
      <c r="E485" s="8">
        <v>1211944</v>
      </c>
      <c r="F485" s="13"/>
    </row>
    <row r="486" spans="1:13" ht="21" customHeight="1" x14ac:dyDescent="0.3">
      <c r="A486" s="10"/>
      <c r="B486" s="11" t="s">
        <v>44</v>
      </c>
      <c r="C486" s="9" t="s">
        <v>424</v>
      </c>
      <c r="D486" s="8">
        <v>8990</v>
      </c>
      <c r="E486" s="8">
        <v>2517200</v>
      </c>
      <c r="F486" s="13"/>
    </row>
    <row r="487" spans="1:13" ht="21" customHeight="1" x14ac:dyDescent="0.3">
      <c r="A487" s="10"/>
      <c r="B487" s="11" t="s">
        <v>38</v>
      </c>
      <c r="C487" s="9" t="s">
        <v>362</v>
      </c>
      <c r="D487" s="8">
        <v>1800</v>
      </c>
      <c r="E487" s="8">
        <v>636107</v>
      </c>
      <c r="F487" s="13"/>
    </row>
    <row r="488" spans="1:13" ht="21" customHeight="1" x14ac:dyDescent="0.3">
      <c r="A488" s="10"/>
      <c r="B488" s="14"/>
      <c r="C488" s="15"/>
      <c r="D488" s="15"/>
      <c r="E488" s="15"/>
      <c r="F488" s="14"/>
    </row>
    <row r="489" spans="1:13" ht="21" customHeight="1" x14ac:dyDescent="0.3">
      <c r="A489" s="16">
        <v>46227</v>
      </c>
      <c r="B489" s="6" t="s">
        <v>102</v>
      </c>
      <c r="C489" s="7" t="s">
        <v>425</v>
      </c>
      <c r="D489" s="6"/>
      <c r="E489" s="9">
        <v>1</v>
      </c>
      <c r="F489" s="8">
        <v>9500</v>
      </c>
      <c r="G489" s="8">
        <v>9500</v>
      </c>
      <c r="H489" s="9">
        <v>0</v>
      </c>
      <c r="I489" s="8">
        <v>9500</v>
      </c>
      <c r="J489" s="8">
        <v>8657</v>
      </c>
      <c r="K489" s="9">
        <v>843</v>
      </c>
      <c r="L489" s="9">
        <v>9</v>
      </c>
      <c r="M489" s="6"/>
    </row>
    <row r="490" spans="1:13" ht="21" customHeight="1" x14ac:dyDescent="0.3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1:13" ht="21" customHeight="1" x14ac:dyDescent="0.3">
      <c r="A491" s="10"/>
      <c r="B491" s="11" t="s">
        <v>22</v>
      </c>
      <c r="C491" s="9" t="s">
        <v>275</v>
      </c>
      <c r="D491" s="8">
        <v>9500</v>
      </c>
      <c r="E491" s="8">
        <v>8657</v>
      </c>
      <c r="F491" s="13"/>
    </row>
    <row r="492" spans="1:13" ht="21" customHeight="1" x14ac:dyDescent="0.3">
      <c r="A492" s="10"/>
      <c r="B492" s="14"/>
      <c r="C492" s="15"/>
      <c r="D492" s="15"/>
      <c r="E492" s="15"/>
      <c r="F492" s="14"/>
    </row>
    <row r="493" spans="1:13" ht="21" customHeight="1" x14ac:dyDescent="0.3">
      <c r="A493" s="16">
        <v>46227</v>
      </c>
      <c r="B493" s="6" t="s">
        <v>102</v>
      </c>
      <c r="C493" s="7" t="s">
        <v>426</v>
      </c>
      <c r="D493" s="6"/>
      <c r="E493" s="9">
        <v>1</v>
      </c>
      <c r="F493" s="8">
        <v>13950</v>
      </c>
      <c r="G493" s="8">
        <v>13950</v>
      </c>
      <c r="H493" s="9">
        <v>0</v>
      </c>
      <c r="I493" s="8">
        <v>13950</v>
      </c>
      <c r="J493" s="8">
        <v>12747</v>
      </c>
      <c r="K493" s="8">
        <v>1203</v>
      </c>
      <c r="L493" s="9">
        <v>9</v>
      </c>
      <c r="M493" s="6"/>
    </row>
    <row r="494" spans="1:13" ht="21" customHeight="1" x14ac:dyDescent="0.3">
      <c r="A494" s="10"/>
      <c r="B494" s="3" t="s">
        <v>17</v>
      </c>
      <c r="C494" s="4" t="s">
        <v>18</v>
      </c>
      <c r="D494" s="4" t="s">
        <v>19</v>
      </c>
      <c r="E494" s="4" t="s">
        <v>11</v>
      </c>
      <c r="F494" s="3" t="s">
        <v>20</v>
      </c>
    </row>
    <row r="495" spans="1:13" ht="21" customHeight="1" x14ac:dyDescent="0.3">
      <c r="A495" s="10"/>
      <c r="B495" s="11" t="s">
        <v>45</v>
      </c>
      <c r="C495" s="9" t="s">
        <v>275</v>
      </c>
      <c r="D495" s="8">
        <v>13950</v>
      </c>
      <c r="E495" s="8">
        <v>12747</v>
      </c>
      <c r="F495" s="13"/>
    </row>
    <row r="496" spans="1:13" ht="21" customHeight="1" x14ac:dyDescent="0.3">
      <c r="A496" s="10"/>
      <c r="B496" s="14"/>
      <c r="C496" s="15"/>
      <c r="D496" s="15"/>
      <c r="E496" s="15"/>
      <c r="F496" s="14"/>
    </row>
    <row r="497" spans="1:13" ht="21" customHeight="1" x14ac:dyDescent="0.3">
      <c r="A497" s="16">
        <v>46227</v>
      </c>
      <c r="B497" s="6" t="s">
        <v>29</v>
      </c>
      <c r="C497" s="7" t="s">
        <v>427</v>
      </c>
      <c r="D497" s="6"/>
      <c r="E497" s="9">
        <v>71</v>
      </c>
      <c r="F497" s="8">
        <v>416280</v>
      </c>
      <c r="G497" s="8">
        <v>264505</v>
      </c>
      <c r="H497" s="8">
        <v>151775</v>
      </c>
      <c r="I497" s="8">
        <v>416280</v>
      </c>
      <c r="J497" s="8">
        <v>398010</v>
      </c>
      <c r="K497" s="8">
        <v>18270</v>
      </c>
      <c r="L497" s="9">
        <v>4</v>
      </c>
      <c r="M497" s="6"/>
    </row>
    <row r="498" spans="1:13" ht="21" customHeight="1" x14ac:dyDescent="0.3">
      <c r="A498" s="10"/>
      <c r="B498" s="3" t="s">
        <v>17</v>
      </c>
      <c r="C498" s="4" t="s">
        <v>18</v>
      </c>
      <c r="D498" s="4" t="s">
        <v>19</v>
      </c>
      <c r="E498" s="4" t="s">
        <v>11</v>
      </c>
      <c r="F498" s="3" t="s">
        <v>20</v>
      </c>
    </row>
    <row r="499" spans="1:13" ht="21" customHeight="1" x14ac:dyDescent="0.3">
      <c r="A499" s="10"/>
      <c r="B499" s="11" t="s">
        <v>22</v>
      </c>
      <c r="C499" s="9" t="s">
        <v>318</v>
      </c>
      <c r="D499" s="8">
        <v>8800</v>
      </c>
      <c r="E499" s="8">
        <v>173135</v>
      </c>
      <c r="F499" s="13"/>
    </row>
    <row r="500" spans="1:13" ht="21" customHeight="1" x14ac:dyDescent="0.3">
      <c r="A500" s="10"/>
      <c r="B500" s="11" t="s">
        <v>24</v>
      </c>
      <c r="C500" s="9" t="s">
        <v>368</v>
      </c>
      <c r="D500" s="8">
        <v>5000</v>
      </c>
      <c r="E500" s="8">
        <v>26000</v>
      </c>
      <c r="F500" s="13"/>
    </row>
    <row r="501" spans="1:13" ht="21" customHeight="1" x14ac:dyDescent="0.3">
      <c r="A501" s="10"/>
      <c r="B501" s="11" t="s">
        <v>87</v>
      </c>
      <c r="C501" s="9" t="s">
        <v>275</v>
      </c>
      <c r="D501" s="8">
        <v>21400</v>
      </c>
      <c r="E501" s="8">
        <v>20440</v>
      </c>
      <c r="F501" s="13"/>
    </row>
    <row r="502" spans="1:13" ht="21" customHeight="1" x14ac:dyDescent="0.3">
      <c r="A502" s="10"/>
      <c r="B502" s="11" t="s">
        <v>101</v>
      </c>
      <c r="C502" s="9" t="s">
        <v>323</v>
      </c>
      <c r="D502" s="8">
        <v>13020</v>
      </c>
      <c r="E502" s="8">
        <v>38760</v>
      </c>
      <c r="F502" s="13"/>
    </row>
    <row r="503" spans="1:13" ht="21" customHeight="1" x14ac:dyDescent="0.3">
      <c r="A503" s="10"/>
      <c r="B503" s="11" t="s">
        <v>44</v>
      </c>
      <c r="C503" s="9" t="s">
        <v>284</v>
      </c>
      <c r="D503" s="8">
        <v>9200</v>
      </c>
      <c r="E503" s="8">
        <v>53940</v>
      </c>
      <c r="F503" s="13"/>
    </row>
    <row r="504" spans="1:13" ht="21" customHeight="1" x14ac:dyDescent="0.3">
      <c r="A504" s="10"/>
      <c r="B504" s="11" t="s">
        <v>113</v>
      </c>
      <c r="C504" s="9" t="s">
        <v>275</v>
      </c>
      <c r="D504" s="8">
        <v>14575</v>
      </c>
      <c r="E504" s="8">
        <v>14475</v>
      </c>
      <c r="F504" s="13"/>
    </row>
    <row r="505" spans="1:13" ht="21" customHeight="1" x14ac:dyDescent="0.3">
      <c r="A505" s="10"/>
      <c r="B505" s="11" t="s">
        <v>65</v>
      </c>
      <c r="C505" s="9" t="s">
        <v>275</v>
      </c>
      <c r="D505" s="8">
        <v>11910</v>
      </c>
      <c r="E505" s="8">
        <v>11315</v>
      </c>
      <c r="F505" s="13"/>
    </row>
    <row r="506" spans="1:13" ht="21" customHeight="1" x14ac:dyDescent="0.3">
      <c r="A506" s="10"/>
      <c r="B506" s="11" t="s">
        <v>45</v>
      </c>
      <c r="C506" s="9" t="s">
        <v>275</v>
      </c>
      <c r="D506" s="8">
        <v>13335</v>
      </c>
      <c r="E506" s="8">
        <v>12747</v>
      </c>
      <c r="F506" s="13"/>
    </row>
    <row r="507" spans="1:13" ht="21" customHeight="1" x14ac:dyDescent="0.3">
      <c r="A507" s="10"/>
      <c r="B507" s="11" t="s">
        <v>148</v>
      </c>
      <c r="C507" s="9" t="s">
        <v>303</v>
      </c>
      <c r="D507" s="8">
        <v>2000</v>
      </c>
      <c r="E507" s="9">
        <v>247</v>
      </c>
      <c r="F507" s="13"/>
    </row>
    <row r="508" spans="1:13" ht="21" customHeight="1" x14ac:dyDescent="0.3">
      <c r="A508" s="10"/>
      <c r="B508" s="11" t="s">
        <v>38</v>
      </c>
      <c r="C508" s="9" t="s">
        <v>428</v>
      </c>
      <c r="D508" s="8">
        <v>1800</v>
      </c>
      <c r="E508" s="8">
        <v>46951</v>
      </c>
      <c r="F508" s="13"/>
    </row>
    <row r="509" spans="1:13" ht="21" customHeight="1" x14ac:dyDescent="0.3">
      <c r="A509" s="10"/>
      <c r="B509" s="14"/>
      <c r="C509" s="15"/>
      <c r="D509" s="15"/>
      <c r="E509" s="15"/>
      <c r="F509" s="14"/>
    </row>
    <row r="510" spans="1:13" ht="21" customHeight="1" x14ac:dyDescent="0.3">
      <c r="A510" s="16">
        <v>46227</v>
      </c>
      <c r="B510" s="6" t="s">
        <v>15</v>
      </c>
      <c r="C510" s="7" t="s">
        <v>429</v>
      </c>
      <c r="D510" s="6"/>
      <c r="E510" s="9">
        <v>2</v>
      </c>
      <c r="F510" s="8">
        <v>19000</v>
      </c>
      <c r="G510" s="8">
        <v>19000</v>
      </c>
      <c r="H510" s="9">
        <v>0</v>
      </c>
      <c r="I510" s="8">
        <v>19000</v>
      </c>
      <c r="J510" s="8">
        <v>17515</v>
      </c>
      <c r="K510" s="8">
        <v>1485</v>
      </c>
      <c r="L510" s="9">
        <v>8</v>
      </c>
      <c r="M510" s="6"/>
    </row>
    <row r="511" spans="1:13" ht="21" customHeight="1" x14ac:dyDescent="0.3">
      <c r="A511" s="10"/>
      <c r="B511" s="3" t="s">
        <v>17</v>
      </c>
      <c r="C511" s="4" t="s">
        <v>18</v>
      </c>
      <c r="D511" s="4" t="s">
        <v>19</v>
      </c>
      <c r="E511" s="4" t="s">
        <v>11</v>
      </c>
      <c r="F511" s="3" t="s">
        <v>20</v>
      </c>
    </row>
    <row r="512" spans="1:13" ht="21" customHeight="1" x14ac:dyDescent="0.3">
      <c r="A512" s="10"/>
      <c r="B512" s="11" t="s">
        <v>44</v>
      </c>
      <c r="C512" s="9" t="s">
        <v>275</v>
      </c>
      <c r="D512" s="8">
        <v>9500</v>
      </c>
      <c r="E512" s="8">
        <v>8990</v>
      </c>
      <c r="F512" s="13"/>
    </row>
    <row r="513" spans="1:13" ht="21" customHeight="1" x14ac:dyDescent="0.3">
      <c r="A513" s="10"/>
      <c r="B513" s="11" t="s">
        <v>37</v>
      </c>
      <c r="C513" s="9" t="s">
        <v>275</v>
      </c>
      <c r="D513" s="8">
        <v>9500</v>
      </c>
      <c r="E513" s="8">
        <v>8525</v>
      </c>
      <c r="F513" s="13"/>
    </row>
    <row r="514" spans="1:13" ht="21" customHeight="1" x14ac:dyDescent="0.3">
      <c r="A514" s="10"/>
      <c r="B514" s="14"/>
      <c r="C514" s="15"/>
      <c r="D514" s="15"/>
      <c r="E514" s="15"/>
      <c r="F514" s="14"/>
    </row>
    <row r="515" spans="1:13" ht="21" customHeight="1" x14ac:dyDescent="0.3">
      <c r="A515" s="16">
        <v>46227</v>
      </c>
      <c r="B515" s="6" t="s">
        <v>25</v>
      </c>
      <c r="C515" s="7" t="s">
        <v>430</v>
      </c>
      <c r="D515" s="6"/>
      <c r="E515" s="9">
        <v>270</v>
      </c>
      <c r="F515" s="8">
        <v>1350000</v>
      </c>
      <c r="G515" s="8">
        <v>1350000</v>
      </c>
      <c r="H515" s="9">
        <v>0</v>
      </c>
      <c r="I515" s="8">
        <v>1350000</v>
      </c>
      <c r="J515" s="8">
        <v>1404000</v>
      </c>
      <c r="K515" s="8">
        <v>-54000</v>
      </c>
      <c r="L515" s="9">
        <v>-4</v>
      </c>
      <c r="M515" s="6"/>
    </row>
    <row r="516" spans="1:13" ht="21" customHeight="1" x14ac:dyDescent="0.3">
      <c r="A516" s="10"/>
      <c r="B516" s="3" t="s">
        <v>17</v>
      </c>
      <c r="C516" s="4" t="s">
        <v>18</v>
      </c>
      <c r="D516" s="4" t="s">
        <v>19</v>
      </c>
      <c r="E516" s="4" t="s">
        <v>11</v>
      </c>
      <c r="F516" s="3" t="s">
        <v>20</v>
      </c>
    </row>
    <row r="517" spans="1:13" ht="21" customHeight="1" x14ac:dyDescent="0.3">
      <c r="A517" s="10"/>
      <c r="B517" s="11" t="s">
        <v>24</v>
      </c>
      <c r="C517" s="9" t="s">
        <v>431</v>
      </c>
      <c r="D517" s="8">
        <v>5000</v>
      </c>
      <c r="E517" s="8">
        <v>1404000</v>
      </c>
      <c r="F517" s="13"/>
    </row>
    <row r="518" spans="1:13" ht="21" customHeight="1" x14ac:dyDescent="0.3">
      <c r="A518" s="10"/>
      <c r="B518" s="14"/>
      <c r="C518" s="15"/>
      <c r="D518" s="15"/>
      <c r="E518" s="15"/>
      <c r="F518" s="14"/>
    </row>
    <row r="519" spans="1:13" ht="21" customHeight="1" x14ac:dyDescent="0.3">
      <c r="A519" s="16">
        <v>46227</v>
      </c>
      <c r="B519" s="6" t="s">
        <v>104</v>
      </c>
      <c r="C519" s="7" t="s">
        <v>432</v>
      </c>
      <c r="D519" s="6"/>
      <c r="E519" s="9">
        <v>65</v>
      </c>
      <c r="F519" s="8">
        <v>383075</v>
      </c>
      <c r="G519" s="9">
        <v>0</v>
      </c>
      <c r="H519" s="8">
        <v>383075</v>
      </c>
      <c r="I519" s="8">
        <v>383075</v>
      </c>
      <c r="J519" s="8">
        <v>358735</v>
      </c>
      <c r="K519" s="8">
        <v>24340</v>
      </c>
      <c r="L519" s="9">
        <v>6</v>
      </c>
      <c r="M519" s="6"/>
    </row>
    <row r="520" spans="1:13" ht="21" customHeight="1" x14ac:dyDescent="0.3">
      <c r="A520" s="10"/>
      <c r="B520" s="3" t="s">
        <v>17</v>
      </c>
      <c r="C520" s="4" t="s">
        <v>18</v>
      </c>
      <c r="D520" s="4" t="s">
        <v>19</v>
      </c>
      <c r="E520" s="4" t="s">
        <v>11</v>
      </c>
      <c r="F520" s="3" t="s">
        <v>20</v>
      </c>
    </row>
    <row r="521" spans="1:13" ht="21" customHeight="1" x14ac:dyDescent="0.3">
      <c r="A521" s="10"/>
      <c r="B521" s="11" t="s">
        <v>24</v>
      </c>
      <c r="C521" s="9" t="s">
        <v>369</v>
      </c>
      <c r="D521" s="8">
        <v>5000</v>
      </c>
      <c r="E521" s="8">
        <v>78000</v>
      </c>
      <c r="F521" s="13"/>
    </row>
    <row r="522" spans="1:13" ht="21" customHeight="1" x14ac:dyDescent="0.3">
      <c r="A522" s="10"/>
      <c r="B522" s="11" t="s">
        <v>22</v>
      </c>
      <c r="C522" s="9" t="s">
        <v>314</v>
      </c>
      <c r="D522" s="8">
        <v>9200</v>
      </c>
      <c r="E522" s="8">
        <v>86567</v>
      </c>
      <c r="F522" s="13"/>
    </row>
    <row r="523" spans="1:13" ht="21" customHeight="1" x14ac:dyDescent="0.3">
      <c r="A523" s="10"/>
      <c r="B523" s="11" t="s">
        <v>44</v>
      </c>
      <c r="C523" s="9" t="s">
        <v>270</v>
      </c>
      <c r="D523" s="8">
        <v>9200</v>
      </c>
      <c r="E523" s="8">
        <v>44950</v>
      </c>
      <c r="F523" s="13"/>
    </row>
    <row r="524" spans="1:13" ht="21" customHeight="1" x14ac:dyDescent="0.3">
      <c r="A524" s="10"/>
      <c r="B524" s="11" t="s">
        <v>45</v>
      </c>
      <c r="C524" s="9" t="s">
        <v>270</v>
      </c>
      <c r="D524" s="8">
        <v>13335</v>
      </c>
      <c r="E524" s="8">
        <v>63734</v>
      </c>
      <c r="F524" s="13"/>
    </row>
    <row r="525" spans="1:13" ht="21" customHeight="1" x14ac:dyDescent="0.3">
      <c r="A525" s="10"/>
      <c r="B525" s="11" t="s">
        <v>100</v>
      </c>
      <c r="C525" s="9" t="s">
        <v>270</v>
      </c>
      <c r="D525" s="8">
        <v>11480</v>
      </c>
      <c r="E525" s="8">
        <v>54575</v>
      </c>
      <c r="F525" s="13"/>
    </row>
    <row r="526" spans="1:13" ht="21" customHeight="1" x14ac:dyDescent="0.3">
      <c r="A526" s="10"/>
      <c r="B526" s="11" t="s">
        <v>148</v>
      </c>
      <c r="C526" s="9" t="s">
        <v>377</v>
      </c>
      <c r="D526" s="8">
        <v>2000</v>
      </c>
      <c r="E526" s="9">
        <v>618</v>
      </c>
      <c r="F526" s="13"/>
    </row>
    <row r="527" spans="1:13" ht="21" customHeight="1" x14ac:dyDescent="0.3">
      <c r="A527" s="10"/>
      <c r="B527" s="11" t="s">
        <v>38</v>
      </c>
      <c r="C527" s="9" t="s">
        <v>319</v>
      </c>
      <c r="D527" s="8">
        <v>1800</v>
      </c>
      <c r="E527" s="8">
        <v>30291</v>
      </c>
      <c r="F527" s="13"/>
    </row>
    <row r="528" spans="1:13" ht="21" customHeight="1" x14ac:dyDescent="0.3">
      <c r="A528" s="10"/>
      <c r="B528" s="14"/>
      <c r="C528" s="15"/>
      <c r="D528" s="15"/>
      <c r="E528" s="15"/>
      <c r="F528" s="14"/>
    </row>
    <row r="529" spans="1:13" ht="21" customHeight="1" x14ac:dyDescent="0.3">
      <c r="A529" s="16">
        <v>46227</v>
      </c>
      <c r="B529" s="6" t="s">
        <v>75</v>
      </c>
      <c r="C529" s="7" t="s">
        <v>433</v>
      </c>
      <c r="D529" s="6"/>
      <c r="E529" s="9">
        <v>2</v>
      </c>
      <c r="F529" s="8">
        <v>18670</v>
      </c>
      <c r="G529" s="8">
        <v>1800</v>
      </c>
      <c r="H529" s="8">
        <v>16870</v>
      </c>
      <c r="I529" s="8">
        <v>18670</v>
      </c>
      <c r="J529" s="8">
        <v>17313</v>
      </c>
      <c r="K529" s="8">
        <v>1357</v>
      </c>
      <c r="L529" s="9">
        <v>7</v>
      </c>
      <c r="M529" s="6" t="s">
        <v>413</v>
      </c>
    </row>
    <row r="530" spans="1:13" ht="21" customHeight="1" x14ac:dyDescent="0.3">
      <c r="A530" s="10"/>
      <c r="B530" s="3" t="s">
        <v>17</v>
      </c>
      <c r="C530" s="4" t="s">
        <v>18</v>
      </c>
      <c r="D530" s="4" t="s">
        <v>19</v>
      </c>
      <c r="E530" s="4" t="s">
        <v>11</v>
      </c>
      <c r="F530" s="3" t="s">
        <v>20</v>
      </c>
    </row>
    <row r="531" spans="1:13" ht="21" customHeight="1" x14ac:dyDescent="0.3">
      <c r="A531" s="10"/>
      <c r="B531" s="11" t="s">
        <v>22</v>
      </c>
      <c r="C531" s="9" t="s">
        <v>274</v>
      </c>
      <c r="D531" s="8">
        <v>9335</v>
      </c>
      <c r="E531" s="8">
        <v>17313</v>
      </c>
      <c r="F531" s="13"/>
    </row>
    <row r="532" spans="1:13" ht="21" customHeight="1" x14ac:dyDescent="0.3">
      <c r="A532" s="10"/>
      <c r="B532" s="14"/>
      <c r="C532" s="15"/>
      <c r="D532" s="15"/>
      <c r="E532" s="15"/>
      <c r="F532" s="14"/>
    </row>
    <row r="533" spans="1:13" ht="21" customHeight="1" x14ac:dyDescent="0.3">
      <c r="A533" s="16">
        <v>46227</v>
      </c>
      <c r="B533" s="6" t="s">
        <v>212</v>
      </c>
      <c r="C533" s="7" t="s">
        <v>434</v>
      </c>
      <c r="D533" s="6"/>
      <c r="E533" s="9">
        <v>14</v>
      </c>
      <c r="F533" s="8">
        <v>154730</v>
      </c>
      <c r="G533" s="8">
        <v>154730</v>
      </c>
      <c r="H533" s="9">
        <v>0</v>
      </c>
      <c r="I533" s="8">
        <v>154730</v>
      </c>
      <c r="J533" s="8">
        <v>143894</v>
      </c>
      <c r="K533" s="8">
        <v>10836</v>
      </c>
      <c r="L533" s="9">
        <v>7</v>
      </c>
      <c r="M533" s="6"/>
    </row>
    <row r="534" spans="1:13" ht="21" customHeight="1" x14ac:dyDescent="0.3">
      <c r="A534" s="10"/>
      <c r="B534" s="3" t="s">
        <v>17</v>
      </c>
      <c r="C534" s="4" t="s">
        <v>18</v>
      </c>
      <c r="D534" s="4" t="s">
        <v>19</v>
      </c>
      <c r="E534" s="4" t="s">
        <v>11</v>
      </c>
      <c r="F534" s="3" t="s">
        <v>20</v>
      </c>
    </row>
    <row r="535" spans="1:13" ht="21" customHeight="1" x14ac:dyDescent="0.3">
      <c r="A535" s="10"/>
      <c r="B535" s="11" t="s">
        <v>65</v>
      </c>
      <c r="C535" s="9" t="s">
        <v>274</v>
      </c>
      <c r="D535" s="8">
        <v>11910</v>
      </c>
      <c r="E535" s="8">
        <v>22630</v>
      </c>
      <c r="F535" s="13"/>
    </row>
    <row r="536" spans="1:13" ht="21" customHeight="1" x14ac:dyDescent="0.3">
      <c r="A536" s="10"/>
      <c r="B536" s="11" t="s">
        <v>101</v>
      </c>
      <c r="C536" s="9" t="s">
        <v>274</v>
      </c>
      <c r="D536" s="8">
        <v>13550</v>
      </c>
      <c r="E536" s="8">
        <v>25840</v>
      </c>
      <c r="F536" s="13"/>
    </row>
    <row r="537" spans="1:13" ht="21" customHeight="1" x14ac:dyDescent="0.3">
      <c r="A537" s="10"/>
      <c r="B537" s="11" t="s">
        <v>45</v>
      </c>
      <c r="C537" s="9" t="s">
        <v>301</v>
      </c>
      <c r="D537" s="8">
        <v>13950</v>
      </c>
      <c r="E537" s="8">
        <v>50987</v>
      </c>
      <c r="F537" s="13"/>
    </row>
    <row r="538" spans="1:13" ht="21" customHeight="1" x14ac:dyDescent="0.3">
      <c r="A538" s="10"/>
      <c r="B538" s="11" t="s">
        <v>22</v>
      </c>
      <c r="C538" s="9" t="s">
        <v>274</v>
      </c>
      <c r="D538" s="8">
        <v>9200</v>
      </c>
      <c r="E538" s="8">
        <v>17313</v>
      </c>
      <c r="F538" s="13"/>
    </row>
    <row r="539" spans="1:13" ht="21" customHeight="1" x14ac:dyDescent="0.3">
      <c r="A539" s="10"/>
      <c r="B539" s="11" t="s">
        <v>21</v>
      </c>
      <c r="C539" s="9" t="s">
        <v>274</v>
      </c>
      <c r="D539" s="8">
        <v>9000</v>
      </c>
      <c r="E539" s="8">
        <v>16244</v>
      </c>
      <c r="F539" s="13"/>
    </row>
    <row r="540" spans="1:13" ht="21" customHeight="1" x14ac:dyDescent="0.3">
      <c r="A540" s="10"/>
      <c r="B540" s="11" t="s">
        <v>235</v>
      </c>
      <c r="C540" s="9" t="s">
        <v>275</v>
      </c>
      <c r="D540" s="8">
        <v>9710</v>
      </c>
      <c r="E540" s="8">
        <v>9280</v>
      </c>
      <c r="F540" s="13"/>
    </row>
    <row r="541" spans="1:13" ht="21" customHeight="1" x14ac:dyDescent="0.3">
      <c r="A541" s="10"/>
      <c r="B541" s="11" t="s">
        <v>48</v>
      </c>
      <c r="C541" s="9" t="s">
        <v>293</v>
      </c>
      <c r="D541" s="8">
        <v>1900</v>
      </c>
      <c r="E541" s="8">
        <v>1600</v>
      </c>
      <c r="F541" s="13"/>
    </row>
    <row r="542" spans="1:13" ht="21" customHeight="1" x14ac:dyDescent="0.3">
      <c r="A542" s="10"/>
      <c r="B542" s="14"/>
      <c r="C542" s="15"/>
      <c r="D542" s="15"/>
      <c r="E542" s="15"/>
      <c r="F542" s="14"/>
    </row>
    <row r="543" spans="1:13" ht="21" customHeight="1" x14ac:dyDescent="0.3">
      <c r="A543" s="16">
        <v>46227</v>
      </c>
      <c r="B543" s="6" t="s">
        <v>15</v>
      </c>
      <c r="C543" s="7" t="s">
        <v>435</v>
      </c>
      <c r="D543" s="6"/>
      <c r="E543" s="9">
        <v>10</v>
      </c>
      <c r="F543" s="8">
        <v>58225</v>
      </c>
      <c r="G543" s="8">
        <v>58225</v>
      </c>
      <c r="H543" s="9">
        <v>0</v>
      </c>
      <c r="I543" s="8">
        <v>58225</v>
      </c>
      <c r="J543" s="8">
        <v>53628</v>
      </c>
      <c r="K543" s="8">
        <v>4597</v>
      </c>
      <c r="L543" s="9">
        <v>8</v>
      </c>
      <c r="M543" s="6" t="s">
        <v>436</v>
      </c>
    </row>
    <row r="544" spans="1:13" ht="21" customHeight="1" x14ac:dyDescent="0.3">
      <c r="A544" s="10"/>
      <c r="B544" s="3" t="s">
        <v>17</v>
      </c>
      <c r="C544" s="4" t="s">
        <v>18</v>
      </c>
      <c r="D544" s="4" t="s">
        <v>19</v>
      </c>
      <c r="E544" s="4" t="s">
        <v>11</v>
      </c>
      <c r="F544" s="3" t="s">
        <v>20</v>
      </c>
    </row>
    <row r="545" spans="1:13" ht="21" customHeight="1" x14ac:dyDescent="0.3">
      <c r="A545" s="10"/>
      <c r="B545" s="11" t="s">
        <v>21</v>
      </c>
      <c r="C545" s="9" t="s">
        <v>275</v>
      </c>
      <c r="D545" s="8">
        <v>9000</v>
      </c>
      <c r="E545" s="8">
        <v>8122</v>
      </c>
      <c r="F545" s="13"/>
    </row>
    <row r="546" spans="1:13" ht="21" customHeight="1" x14ac:dyDescent="0.3">
      <c r="A546" s="10"/>
      <c r="B546" s="11" t="s">
        <v>22</v>
      </c>
      <c r="C546" s="9" t="s">
        <v>275</v>
      </c>
      <c r="D546" s="8">
        <v>9500</v>
      </c>
      <c r="E546" s="8">
        <v>8657</v>
      </c>
      <c r="F546" s="13"/>
    </row>
    <row r="547" spans="1:13" ht="21" customHeight="1" x14ac:dyDescent="0.3">
      <c r="A547" s="10"/>
      <c r="B547" s="11" t="s">
        <v>44</v>
      </c>
      <c r="C547" s="9" t="s">
        <v>275</v>
      </c>
      <c r="D547" s="8">
        <v>9500</v>
      </c>
      <c r="E547" s="8">
        <v>8990</v>
      </c>
      <c r="F547" s="13"/>
    </row>
    <row r="548" spans="1:13" ht="21" customHeight="1" x14ac:dyDescent="0.3">
      <c r="A548" s="10"/>
      <c r="B548" s="11" t="s">
        <v>65</v>
      </c>
      <c r="C548" s="9" t="s">
        <v>275</v>
      </c>
      <c r="D548" s="8">
        <v>12525</v>
      </c>
      <c r="E548" s="8">
        <v>11315</v>
      </c>
      <c r="F548" s="13"/>
    </row>
    <row r="549" spans="1:13" ht="21" customHeight="1" x14ac:dyDescent="0.3">
      <c r="A549" s="10"/>
      <c r="B549" s="11" t="s">
        <v>24</v>
      </c>
      <c r="C549" s="9" t="s">
        <v>265</v>
      </c>
      <c r="D549" s="8">
        <v>5200</v>
      </c>
      <c r="E549" s="8">
        <v>10400</v>
      </c>
      <c r="F549" s="13"/>
    </row>
    <row r="550" spans="1:13" ht="21" customHeight="1" x14ac:dyDescent="0.3">
      <c r="A550" s="10"/>
      <c r="B550" s="11" t="s">
        <v>48</v>
      </c>
      <c r="C550" s="9" t="s">
        <v>293</v>
      </c>
      <c r="D550" s="8">
        <v>1900</v>
      </c>
      <c r="E550" s="8">
        <v>1600</v>
      </c>
      <c r="F550" s="13"/>
    </row>
    <row r="551" spans="1:13" ht="21" customHeight="1" x14ac:dyDescent="0.3">
      <c r="A551" s="10"/>
      <c r="B551" s="11" t="s">
        <v>38</v>
      </c>
      <c r="C551" s="9" t="s">
        <v>325</v>
      </c>
      <c r="D551" s="8">
        <v>1800</v>
      </c>
      <c r="E551" s="8">
        <v>4544</v>
      </c>
      <c r="F551" s="13"/>
    </row>
    <row r="552" spans="1:13" ht="21" customHeight="1" x14ac:dyDescent="0.3">
      <c r="A552" s="10"/>
      <c r="B552" s="14"/>
      <c r="C552" s="15"/>
      <c r="D552" s="15"/>
      <c r="E552" s="15"/>
      <c r="F552" s="14"/>
    </row>
    <row r="553" spans="1:13" ht="21" customHeight="1" x14ac:dyDescent="0.3">
      <c r="A553" s="16">
        <v>46227</v>
      </c>
      <c r="B553" s="6" t="s">
        <v>394</v>
      </c>
      <c r="C553" s="7" t="s">
        <v>437</v>
      </c>
      <c r="D553" s="6"/>
      <c r="E553" s="9">
        <v>25</v>
      </c>
      <c r="F553" s="8">
        <v>230000</v>
      </c>
      <c r="G553" s="8">
        <v>200000</v>
      </c>
      <c r="H553" s="8">
        <v>30000</v>
      </c>
      <c r="I553" s="8">
        <v>230000</v>
      </c>
      <c r="J553" s="8">
        <v>218085</v>
      </c>
      <c r="K553" s="8">
        <v>11915</v>
      </c>
      <c r="L553" s="9">
        <v>5</v>
      </c>
      <c r="M553" s="6"/>
    </row>
    <row r="554" spans="1:13" ht="21" customHeight="1" x14ac:dyDescent="0.3">
      <c r="A554" s="10"/>
      <c r="B554" s="3" t="s">
        <v>17</v>
      </c>
      <c r="C554" s="4" t="s">
        <v>18</v>
      </c>
      <c r="D554" s="4" t="s">
        <v>19</v>
      </c>
      <c r="E554" s="4" t="s">
        <v>11</v>
      </c>
      <c r="F554" s="3" t="s">
        <v>20</v>
      </c>
    </row>
    <row r="555" spans="1:13" ht="21" customHeight="1" x14ac:dyDescent="0.3">
      <c r="A555" s="10"/>
      <c r="B555" s="11" t="s">
        <v>22</v>
      </c>
      <c r="C555" s="9" t="s">
        <v>318</v>
      </c>
      <c r="D555" s="8">
        <v>9200</v>
      </c>
      <c r="E555" s="8">
        <v>173135</v>
      </c>
      <c r="F555" s="13"/>
    </row>
    <row r="556" spans="1:13" ht="21" customHeight="1" x14ac:dyDescent="0.3">
      <c r="A556" s="10"/>
      <c r="B556" s="11" t="s">
        <v>44</v>
      </c>
      <c r="C556" s="9" t="s">
        <v>270</v>
      </c>
      <c r="D556" s="8">
        <v>9200</v>
      </c>
      <c r="E556" s="8">
        <v>44950</v>
      </c>
      <c r="F556" s="13"/>
    </row>
    <row r="557" spans="1:13" ht="21" customHeight="1" x14ac:dyDescent="0.3">
      <c r="A557" s="10"/>
      <c r="B557" s="14"/>
      <c r="C557" s="15"/>
      <c r="D557" s="15"/>
      <c r="E557" s="15"/>
      <c r="F557" s="14"/>
    </row>
    <row r="558" spans="1:13" ht="21" customHeight="1" x14ac:dyDescent="0.3">
      <c r="A558" s="16">
        <v>46227</v>
      </c>
      <c r="B558" s="6" t="s">
        <v>75</v>
      </c>
      <c r="C558" s="7" t="s">
        <v>438</v>
      </c>
      <c r="D558" s="6"/>
      <c r="E558" s="9">
        <v>3</v>
      </c>
      <c r="F558" s="8">
        <v>20470</v>
      </c>
      <c r="G558" s="9">
        <v>0</v>
      </c>
      <c r="H558" s="8">
        <v>20470</v>
      </c>
      <c r="I558" s="8">
        <v>20470</v>
      </c>
      <c r="J558" s="8">
        <v>18828</v>
      </c>
      <c r="K558" s="8">
        <v>1642</v>
      </c>
      <c r="L558" s="9">
        <v>8</v>
      </c>
      <c r="M558" s="6" t="s">
        <v>439</v>
      </c>
    </row>
    <row r="559" spans="1:13" ht="21" customHeight="1" x14ac:dyDescent="0.3">
      <c r="A559" s="10"/>
      <c r="B559" s="3" t="s">
        <v>17</v>
      </c>
      <c r="C559" s="4" t="s">
        <v>18</v>
      </c>
      <c r="D559" s="4" t="s">
        <v>19</v>
      </c>
      <c r="E559" s="4" t="s">
        <v>11</v>
      </c>
      <c r="F559" s="3" t="s">
        <v>20</v>
      </c>
    </row>
    <row r="560" spans="1:13" ht="21" customHeight="1" x14ac:dyDescent="0.3">
      <c r="A560" s="10"/>
      <c r="B560" s="11" t="s">
        <v>22</v>
      </c>
      <c r="C560" s="9" t="s">
        <v>274</v>
      </c>
      <c r="D560" s="8">
        <v>9335</v>
      </c>
      <c r="E560" s="8">
        <v>17313</v>
      </c>
      <c r="F560" s="13"/>
    </row>
    <row r="561" spans="1:13" ht="21" customHeight="1" x14ac:dyDescent="0.3">
      <c r="A561" s="10"/>
      <c r="B561" s="11" t="s">
        <v>38</v>
      </c>
      <c r="C561" s="9" t="s">
        <v>293</v>
      </c>
      <c r="D561" s="8">
        <v>1800</v>
      </c>
      <c r="E561" s="8">
        <v>1515</v>
      </c>
      <c r="F561" s="13"/>
    </row>
    <row r="562" spans="1:13" ht="21" customHeight="1" x14ac:dyDescent="0.3">
      <c r="A562" s="10"/>
      <c r="B562" s="14"/>
      <c r="C562" s="15"/>
      <c r="D562" s="15"/>
      <c r="E562" s="15"/>
      <c r="F562" s="14"/>
    </row>
    <row r="563" spans="1:13" ht="21" customHeight="1" x14ac:dyDescent="0.3">
      <c r="A563" s="16">
        <v>46227</v>
      </c>
      <c r="B563" s="6" t="s">
        <v>75</v>
      </c>
      <c r="C563" s="7" t="s">
        <v>440</v>
      </c>
      <c r="D563" s="6"/>
      <c r="E563" s="9">
        <v>60</v>
      </c>
      <c r="F563" s="8">
        <v>560100</v>
      </c>
      <c r="G563" s="9">
        <v>0</v>
      </c>
      <c r="H563" s="8">
        <v>560100</v>
      </c>
      <c r="I563" s="8">
        <v>560100</v>
      </c>
      <c r="J563" s="8">
        <v>519405</v>
      </c>
      <c r="K563" s="8">
        <v>40695</v>
      </c>
      <c r="L563" s="9">
        <v>7</v>
      </c>
      <c r="M563" s="6" t="s">
        <v>441</v>
      </c>
    </row>
    <row r="564" spans="1:13" ht="21" customHeight="1" x14ac:dyDescent="0.3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1:13" ht="21" customHeight="1" x14ac:dyDescent="0.3">
      <c r="A565" s="10"/>
      <c r="B565" s="11" t="s">
        <v>22</v>
      </c>
      <c r="C565" s="9" t="s">
        <v>307</v>
      </c>
      <c r="D565" s="8">
        <v>9335</v>
      </c>
      <c r="E565" s="8">
        <v>519405</v>
      </c>
      <c r="F565" s="13"/>
    </row>
    <row r="566" spans="1:13" ht="21" customHeight="1" x14ac:dyDescent="0.3">
      <c r="A566" s="10"/>
      <c r="B566" s="14"/>
      <c r="C566" s="15"/>
      <c r="D566" s="15"/>
      <c r="E566" s="15"/>
      <c r="F566" s="14"/>
    </row>
    <row r="567" spans="1:13" ht="21" customHeight="1" x14ac:dyDescent="0.3">
      <c r="A567" s="16">
        <v>46227</v>
      </c>
      <c r="B567" s="6" t="s">
        <v>75</v>
      </c>
      <c r="C567" s="7" t="s">
        <v>442</v>
      </c>
      <c r="D567" s="6"/>
      <c r="E567" s="9">
        <v>10</v>
      </c>
      <c r="F567" s="8">
        <v>18000</v>
      </c>
      <c r="G567" s="9">
        <v>0</v>
      </c>
      <c r="H567" s="8">
        <v>18000</v>
      </c>
      <c r="I567" s="8">
        <v>18000</v>
      </c>
      <c r="J567" s="8">
        <v>15145</v>
      </c>
      <c r="K567" s="8">
        <v>2855</v>
      </c>
      <c r="L567" s="9">
        <v>16</v>
      </c>
      <c r="M567" s="6" t="s">
        <v>443</v>
      </c>
    </row>
    <row r="568" spans="1:13" ht="21" customHeight="1" x14ac:dyDescent="0.3">
      <c r="A568" s="10"/>
      <c r="B568" s="3" t="s">
        <v>17</v>
      </c>
      <c r="C568" s="4" t="s">
        <v>18</v>
      </c>
      <c r="D568" s="4" t="s">
        <v>19</v>
      </c>
      <c r="E568" s="4" t="s">
        <v>11</v>
      </c>
      <c r="F568" s="3" t="s">
        <v>20</v>
      </c>
    </row>
    <row r="569" spans="1:13" ht="21" customHeight="1" x14ac:dyDescent="0.3">
      <c r="A569" s="10"/>
      <c r="B569" s="11" t="s">
        <v>38</v>
      </c>
      <c r="C569" s="9" t="s">
        <v>315</v>
      </c>
      <c r="D569" s="8">
        <v>1800</v>
      </c>
      <c r="E569" s="8">
        <v>15145</v>
      </c>
      <c r="F569" s="13"/>
    </row>
    <row r="570" spans="1:13" ht="21" customHeight="1" x14ac:dyDescent="0.3">
      <c r="A570" s="10"/>
      <c r="B570" s="14"/>
      <c r="C570" s="15"/>
      <c r="D570" s="15"/>
      <c r="E570" s="15"/>
      <c r="F570" s="14"/>
    </row>
    <row r="571" spans="1:13" ht="21" customHeight="1" x14ac:dyDescent="0.3">
      <c r="A571" s="23">
        <v>46228</v>
      </c>
      <c r="B571" s="6" t="s">
        <v>104</v>
      </c>
      <c r="C571" s="7" t="s">
        <v>444</v>
      </c>
      <c r="D571" s="6"/>
      <c r="E571" s="9">
        <v>3</v>
      </c>
      <c r="F571" s="8">
        <v>49775</v>
      </c>
      <c r="G571" s="9">
        <v>0</v>
      </c>
      <c r="H571" s="8">
        <v>49775</v>
      </c>
      <c r="I571" s="8">
        <v>49775</v>
      </c>
      <c r="J571" s="8">
        <v>47480</v>
      </c>
      <c r="K571" s="8">
        <v>2295</v>
      </c>
      <c r="L571" s="9">
        <v>5</v>
      </c>
      <c r="M571" s="6"/>
    </row>
    <row r="572" spans="1:13" ht="21" customHeight="1" x14ac:dyDescent="0.3">
      <c r="A572" s="10"/>
      <c r="B572" s="3" t="s">
        <v>17</v>
      </c>
      <c r="C572" s="4" t="s">
        <v>18</v>
      </c>
      <c r="D572" s="4" t="s">
        <v>19</v>
      </c>
      <c r="E572" s="4" t="s">
        <v>11</v>
      </c>
      <c r="F572" s="3" t="s">
        <v>20</v>
      </c>
    </row>
    <row r="573" spans="1:13" ht="21" customHeight="1" x14ac:dyDescent="0.3">
      <c r="A573" s="10"/>
      <c r="B573" s="11" t="s">
        <v>87</v>
      </c>
      <c r="C573" s="9" t="s">
        <v>275</v>
      </c>
      <c r="D573" s="8">
        <v>21485</v>
      </c>
      <c r="E573" s="8">
        <v>20440</v>
      </c>
      <c r="F573" s="13"/>
    </row>
    <row r="574" spans="1:13" ht="21" customHeight="1" x14ac:dyDescent="0.3">
      <c r="A574" s="10"/>
      <c r="B574" s="11" t="s">
        <v>141</v>
      </c>
      <c r="C574" s="9" t="s">
        <v>274</v>
      </c>
      <c r="D574" s="8">
        <v>14145</v>
      </c>
      <c r="E574" s="8">
        <v>27040</v>
      </c>
      <c r="F574" s="13"/>
    </row>
    <row r="575" spans="1:13" ht="21" customHeight="1" x14ac:dyDescent="0.3">
      <c r="A575" s="10"/>
      <c r="B575" s="14"/>
      <c r="C575" s="15"/>
      <c r="D575" s="15"/>
      <c r="E575" s="15"/>
      <c r="F575" s="14"/>
    </row>
    <row r="576" spans="1:13" ht="21" customHeight="1" x14ac:dyDescent="0.3">
      <c r="A576" s="16">
        <v>46228</v>
      </c>
      <c r="B576" s="6" t="s">
        <v>15</v>
      </c>
      <c r="C576" s="7" t="s">
        <v>445</v>
      </c>
      <c r="D576" s="6"/>
      <c r="E576" s="9">
        <v>1</v>
      </c>
      <c r="F576" s="8">
        <v>5300</v>
      </c>
      <c r="G576" s="8">
        <v>5300</v>
      </c>
      <c r="H576" s="9">
        <v>0</v>
      </c>
      <c r="I576" s="8">
        <v>5300</v>
      </c>
      <c r="J576" s="8">
        <v>5200</v>
      </c>
      <c r="K576" s="9">
        <v>100</v>
      </c>
      <c r="L576" s="9">
        <v>2</v>
      </c>
      <c r="M576" s="6"/>
    </row>
    <row r="577" spans="1:13" ht="21" customHeight="1" x14ac:dyDescent="0.3">
      <c r="A577" s="10"/>
      <c r="B577" s="3" t="s">
        <v>17</v>
      </c>
      <c r="C577" s="4" t="s">
        <v>18</v>
      </c>
      <c r="D577" s="4" t="s">
        <v>19</v>
      </c>
      <c r="E577" s="4" t="s">
        <v>11</v>
      </c>
      <c r="F577" s="3" t="s">
        <v>20</v>
      </c>
    </row>
    <row r="578" spans="1:13" ht="21" customHeight="1" x14ac:dyDescent="0.3">
      <c r="A578" s="10"/>
      <c r="B578" s="11" t="s">
        <v>24</v>
      </c>
      <c r="C578" s="9" t="s">
        <v>257</v>
      </c>
      <c r="D578" s="8">
        <v>5300</v>
      </c>
      <c r="E578" s="8">
        <v>5200</v>
      </c>
      <c r="F578" s="13"/>
    </row>
    <row r="579" spans="1:13" ht="21" customHeight="1" x14ac:dyDescent="0.3">
      <c r="A579" s="10"/>
      <c r="B579" s="14"/>
      <c r="C579" s="15"/>
      <c r="D579" s="15"/>
      <c r="E579" s="15"/>
      <c r="F579" s="14"/>
    </row>
    <row r="580" spans="1:13" ht="21" customHeight="1" x14ac:dyDescent="0.3">
      <c r="A580" s="16">
        <v>46228</v>
      </c>
      <c r="B580" s="6" t="s">
        <v>59</v>
      </c>
      <c r="C580" s="7" t="s">
        <v>446</v>
      </c>
      <c r="D580" s="6"/>
      <c r="E580" s="9">
        <v>260</v>
      </c>
      <c r="F580" s="8">
        <v>1300000</v>
      </c>
      <c r="G580" s="8">
        <v>1300000</v>
      </c>
      <c r="H580" s="9">
        <v>0</v>
      </c>
      <c r="I580" s="8">
        <v>1300000</v>
      </c>
      <c r="J580" s="8">
        <v>1352000</v>
      </c>
      <c r="K580" s="8">
        <v>-52000</v>
      </c>
      <c r="L580" s="9">
        <v>-4</v>
      </c>
      <c r="M580" s="6"/>
    </row>
    <row r="581" spans="1:13" ht="21" customHeight="1" x14ac:dyDescent="0.3">
      <c r="A581" s="10"/>
      <c r="B581" s="3" t="s">
        <v>17</v>
      </c>
      <c r="C581" s="4" t="s">
        <v>18</v>
      </c>
      <c r="D581" s="4" t="s">
        <v>19</v>
      </c>
      <c r="E581" s="4" t="s">
        <v>11</v>
      </c>
      <c r="F581" s="3" t="s">
        <v>20</v>
      </c>
    </row>
    <row r="582" spans="1:13" ht="21" customHeight="1" x14ac:dyDescent="0.3">
      <c r="A582" s="10"/>
      <c r="B582" s="11" t="s">
        <v>24</v>
      </c>
      <c r="C582" s="9" t="s">
        <v>447</v>
      </c>
      <c r="D582" s="8">
        <v>5000</v>
      </c>
      <c r="E582" s="8">
        <v>1352000</v>
      </c>
      <c r="F582" s="13"/>
    </row>
    <row r="583" spans="1:13" ht="21" customHeight="1" x14ac:dyDescent="0.3">
      <c r="A583" s="10"/>
      <c r="B583" s="14"/>
      <c r="C583" s="15"/>
      <c r="D583" s="15"/>
      <c r="E583" s="15"/>
      <c r="F583" s="14"/>
    </row>
    <row r="584" spans="1:13" ht="21" customHeight="1" x14ac:dyDescent="0.3">
      <c r="A584" s="16">
        <v>46228</v>
      </c>
      <c r="B584" s="6" t="s">
        <v>104</v>
      </c>
      <c r="C584" s="7" t="s">
        <v>448</v>
      </c>
      <c r="D584" s="6"/>
      <c r="E584" s="9">
        <v>25</v>
      </c>
      <c r="F584" s="8">
        <v>135000</v>
      </c>
      <c r="G584" s="9">
        <v>0</v>
      </c>
      <c r="H584" s="8">
        <v>135000</v>
      </c>
      <c r="I584" s="8">
        <v>135000</v>
      </c>
      <c r="J584" s="8">
        <v>127716</v>
      </c>
      <c r="K584" s="8">
        <v>7284</v>
      </c>
      <c r="L584" s="9">
        <v>5</v>
      </c>
      <c r="M584" s="6"/>
    </row>
    <row r="585" spans="1:13" ht="21" customHeight="1" x14ac:dyDescent="0.3">
      <c r="A585" s="10"/>
      <c r="B585" s="3" t="s">
        <v>17</v>
      </c>
      <c r="C585" s="4" t="s">
        <v>18</v>
      </c>
      <c r="D585" s="4" t="s">
        <v>19</v>
      </c>
      <c r="E585" s="4" t="s">
        <v>11</v>
      </c>
      <c r="F585" s="3" t="s">
        <v>20</v>
      </c>
    </row>
    <row r="586" spans="1:13" ht="21" customHeight="1" x14ac:dyDescent="0.3">
      <c r="A586" s="10"/>
      <c r="B586" s="11" t="s">
        <v>22</v>
      </c>
      <c r="C586" s="9" t="s">
        <v>314</v>
      </c>
      <c r="D586" s="8">
        <v>9200</v>
      </c>
      <c r="E586" s="8">
        <v>86567</v>
      </c>
      <c r="F586" s="13"/>
    </row>
    <row r="587" spans="1:13" ht="21" customHeight="1" x14ac:dyDescent="0.3">
      <c r="A587" s="10"/>
      <c r="B587" s="11" t="s">
        <v>24</v>
      </c>
      <c r="C587" s="9" t="s">
        <v>368</v>
      </c>
      <c r="D587" s="8">
        <v>5000</v>
      </c>
      <c r="E587" s="8">
        <v>26000</v>
      </c>
      <c r="F587" s="13"/>
    </row>
    <row r="588" spans="1:13" ht="21" customHeight="1" x14ac:dyDescent="0.3">
      <c r="A588" s="10"/>
      <c r="B588" s="11" t="s">
        <v>38</v>
      </c>
      <c r="C588" s="9" t="s">
        <v>315</v>
      </c>
      <c r="D588" s="8">
        <v>1800</v>
      </c>
      <c r="E588" s="8">
        <v>15149</v>
      </c>
      <c r="F588" s="13"/>
    </row>
    <row r="589" spans="1:13" ht="21" customHeight="1" x14ac:dyDescent="0.3">
      <c r="A589" s="10"/>
      <c r="B589" s="14"/>
      <c r="C589" s="15"/>
      <c r="D589" s="15"/>
      <c r="E589" s="15"/>
      <c r="F589" s="14"/>
    </row>
    <row r="590" spans="1:13" ht="21" customHeight="1" x14ac:dyDescent="0.3">
      <c r="A590" s="16">
        <v>46228</v>
      </c>
      <c r="B590" s="6" t="s">
        <v>253</v>
      </c>
      <c r="C590" s="7" t="s">
        <v>449</v>
      </c>
      <c r="D590" s="6"/>
      <c r="E590" s="9">
        <v>8</v>
      </c>
      <c r="F590" s="8">
        <v>177210</v>
      </c>
      <c r="G590" s="9">
        <v>0</v>
      </c>
      <c r="H590" s="8">
        <v>177210</v>
      </c>
      <c r="I590" s="8">
        <v>177210</v>
      </c>
      <c r="J590" s="8">
        <v>169190</v>
      </c>
      <c r="K590" s="8">
        <v>8020</v>
      </c>
      <c r="L590" s="9">
        <v>5</v>
      </c>
      <c r="M590" s="6"/>
    </row>
    <row r="591" spans="1:13" ht="21" customHeight="1" x14ac:dyDescent="0.3">
      <c r="A591" s="10"/>
      <c r="B591" s="3" t="s">
        <v>17</v>
      </c>
      <c r="C591" s="4" t="s">
        <v>18</v>
      </c>
      <c r="D591" s="4" t="s">
        <v>19</v>
      </c>
      <c r="E591" s="4" t="s">
        <v>11</v>
      </c>
      <c r="F591" s="3" t="s">
        <v>20</v>
      </c>
    </row>
    <row r="592" spans="1:13" ht="21" customHeight="1" x14ac:dyDescent="0.3">
      <c r="A592" s="10"/>
      <c r="B592" s="11" t="s">
        <v>34</v>
      </c>
      <c r="C592" s="9" t="s">
        <v>255</v>
      </c>
      <c r="D592" s="8">
        <v>22740</v>
      </c>
      <c r="E592" s="8">
        <v>107975</v>
      </c>
      <c r="F592" s="13"/>
    </row>
    <row r="593" spans="1:13" ht="21" customHeight="1" x14ac:dyDescent="0.3">
      <c r="A593" s="10"/>
      <c r="B593" s="11" t="s">
        <v>35</v>
      </c>
      <c r="C593" s="9" t="s">
        <v>356</v>
      </c>
      <c r="D593" s="8">
        <v>21170</v>
      </c>
      <c r="E593" s="8">
        <v>61215</v>
      </c>
      <c r="F593" s="13"/>
    </row>
    <row r="594" spans="1:13" ht="21" customHeight="1" x14ac:dyDescent="0.3">
      <c r="A594" s="10"/>
      <c r="B594" s="14"/>
      <c r="C594" s="15"/>
      <c r="D594" s="15"/>
      <c r="E594" s="15"/>
      <c r="F594" s="14"/>
    </row>
    <row r="595" spans="1:13" ht="21" customHeight="1" x14ac:dyDescent="0.3">
      <c r="A595" s="16">
        <v>46228</v>
      </c>
      <c r="B595" s="6" t="s">
        <v>154</v>
      </c>
      <c r="C595" s="7" t="s">
        <v>450</v>
      </c>
      <c r="D595" s="6"/>
      <c r="E595" s="9">
        <v>20</v>
      </c>
      <c r="F595" s="8">
        <v>110000</v>
      </c>
      <c r="G595" s="8">
        <v>18000</v>
      </c>
      <c r="H595" s="8">
        <v>92000</v>
      </c>
      <c r="I595" s="8">
        <v>110000</v>
      </c>
      <c r="J595" s="8">
        <v>101716</v>
      </c>
      <c r="K595" s="8">
        <v>8284</v>
      </c>
      <c r="L595" s="9">
        <v>8</v>
      </c>
      <c r="M595" s="6"/>
    </row>
    <row r="596" spans="1:13" ht="21" customHeight="1" x14ac:dyDescent="0.3">
      <c r="A596" s="10"/>
      <c r="B596" s="3" t="s">
        <v>17</v>
      </c>
      <c r="C596" s="4" t="s">
        <v>18</v>
      </c>
      <c r="D596" s="4" t="s">
        <v>19</v>
      </c>
      <c r="E596" s="4" t="s">
        <v>11</v>
      </c>
      <c r="F596" s="3" t="s">
        <v>20</v>
      </c>
    </row>
    <row r="597" spans="1:13" ht="21" customHeight="1" x14ac:dyDescent="0.3">
      <c r="A597" s="10"/>
      <c r="B597" s="11" t="s">
        <v>22</v>
      </c>
      <c r="C597" s="9" t="s">
        <v>314</v>
      </c>
      <c r="D597" s="8">
        <v>9200</v>
      </c>
      <c r="E597" s="8">
        <v>86567</v>
      </c>
      <c r="F597" s="13"/>
    </row>
    <row r="598" spans="1:13" ht="21" customHeight="1" x14ac:dyDescent="0.3">
      <c r="A598" s="10"/>
      <c r="B598" s="11" t="s">
        <v>38</v>
      </c>
      <c r="C598" s="9" t="s">
        <v>315</v>
      </c>
      <c r="D598" s="8">
        <v>1800</v>
      </c>
      <c r="E598" s="8">
        <v>15149</v>
      </c>
      <c r="F598" s="13"/>
    </row>
    <row r="599" spans="1:13" ht="21" customHeight="1" x14ac:dyDescent="0.3">
      <c r="A599" s="10"/>
      <c r="B599" s="14"/>
      <c r="C599" s="15"/>
      <c r="D599" s="15"/>
      <c r="E599" s="15"/>
      <c r="F599" s="14"/>
    </row>
    <row r="600" spans="1:13" ht="21" customHeight="1" x14ac:dyDescent="0.3">
      <c r="A600" s="16">
        <v>46228</v>
      </c>
      <c r="B600" s="6" t="s">
        <v>212</v>
      </c>
      <c r="C600" s="7" t="s">
        <v>451</v>
      </c>
      <c r="D600" s="6"/>
      <c r="E600" s="9">
        <v>3</v>
      </c>
      <c r="F600" s="8">
        <v>27600</v>
      </c>
      <c r="G600" s="8">
        <v>27600</v>
      </c>
      <c r="H600" s="9">
        <v>0</v>
      </c>
      <c r="I600" s="8">
        <v>27600</v>
      </c>
      <c r="J600" s="8">
        <v>25970</v>
      </c>
      <c r="K600" s="8">
        <v>1630</v>
      </c>
      <c r="L600" s="9">
        <v>6</v>
      </c>
      <c r="M600" s="6"/>
    </row>
    <row r="601" spans="1:13" ht="21" customHeight="1" x14ac:dyDescent="0.3">
      <c r="A601" s="10"/>
      <c r="B601" s="3" t="s">
        <v>17</v>
      </c>
      <c r="C601" s="4" t="s">
        <v>18</v>
      </c>
      <c r="D601" s="4" t="s">
        <v>19</v>
      </c>
      <c r="E601" s="4" t="s">
        <v>11</v>
      </c>
      <c r="F601" s="3" t="s">
        <v>20</v>
      </c>
    </row>
    <row r="602" spans="1:13" ht="21" customHeight="1" x14ac:dyDescent="0.3">
      <c r="A602" s="10"/>
      <c r="B602" s="11" t="s">
        <v>22</v>
      </c>
      <c r="C602" s="9" t="s">
        <v>323</v>
      </c>
      <c r="D602" s="8">
        <v>9200</v>
      </c>
      <c r="E602" s="8">
        <v>25970</v>
      </c>
      <c r="F602" s="13"/>
    </row>
    <row r="603" spans="1:13" ht="21" customHeight="1" x14ac:dyDescent="0.3">
      <c r="A603" s="10"/>
      <c r="B603" s="14"/>
      <c r="C603" s="15"/>
      <c r="D603" s="15"/>
      <c r="E603" s="15"/>
      <c r="F603" s="14"/>
    </row>
    <row r="604" spans="1:13" ht="21" customHeight="1" x14ac:dyDescent="0.3">
      <c r="A604" s="16">
        <v>46228</v>
      </c>
      <c r="B604" s="6" t="s">
        <v>29</v>
      </c>
      <c r="C604" s="7" t="s">
        <v>452</v>
      </c>
      <c r="D604" s="6"/>
      <c r="E604" s="9">
        <v>110</v>
      </c>
      <c r="F604" s="8">
        <v>611475</v>
      </c>
      <c r="G604" s="8">
        <v>600800</v>
      </c>
      <c r="H604" s="8">
        <v>10675</v>
      </c>
      <c r="I604" s="8">
        <v>611475</v>
      </c>
      <c r="J604" s="8">
        <v>574981</v>
      </c>
      <c r="K604" s="8">
        <v>36494</v>
      </c>
      <c r="L604" s="9">
        <v>6</v>
      </c>
      <c r="M604" s="6"/>
    </row>
    <row r="605" spans="1:13" ht="21" customHeight="1" x14ac:dyDescent="0.3">
      <c r="A605" s="10"/>
      <c r="B605" s="3" t="s">
        <v>17</v>
      </c>
      <c r="C605" s="4" t="s">
        <v>18</v>
      </c>
      <c r="D605" s="4" t="s">
        <v>19</v>
      </c>
      <c r="E605" s="4" t="s">
        <v>11</v>
      </c>
      <c r="F605" s="3" t="s">
        <v>20</v>
      </c>
    </row>
    <row r="606" spans="1:13" ht="21" customHeight="1" x14ac:dyDescent="0.3">
      <c r="A606" s="10"/>
      <c r="B606" s="11" t="s">
        <v>22</v>
      </c>
      <c r="C606" s="9" t="s">
        <v>330</v>
      </c>
      <c r="D606" s="8">
        <v>8800</v>
      </c>
      <c r="E606" s="8">
        <v>259702</v>
      </c>
      <c r="F606" s="13"/>
    </row>
    <row r="607" spans="1:13" ht="21" customHeight="1" x14ac:dyDescent="0.3">
      <c r="A607" s="10"/>
      <c r="B607" s="11" t="s">
        <v>37</v>
      </c>
      <c r="C607" s="9" t="s">
        <v>314</v>
      </c>
      <c r="D607" s="8">
        <v>8880</v>
      </c>
      <c r="E607" s="8">
        <v>85250</v>
      </c>
      <c r="F607" s="13"/>
    </row>
    <row r="608" spans="1:13" ht="21" customHeight="1" x14ac:dyDescent="0.3">
      <c r="A608" s="10"/>
      <c r="B608" s="11" t="s">
        <v>44</v>
      </c>
      <c r="C608" s="9" t="s">
        <v>314</v>
      </c>
      <c r="D608" s="8">
        <v>9200</v>
      </c>
      <c r="E608" s="8">
        <v>89900</v>
      </c>
      <c r="F608" s="13"/>
    </row>
    <row r="609" spans="1:13" ht="21" customHeight="1" x14ac:dyDescent="0.3">
      <c r="A609" s="10"/>
      <c r="B609" s="11" t="s">
        <v>45</v>
      </c>
      <c r="C609" s="9" t="s">
        <v>270</v>
      </c>
      <c r="D609" s="8">
        <v>13335</v>
      </c>
      <c r="E609" s="8">
        <v>63734</v>
      </c>
      <c r="F609" s="13"/>
    </row>
    <row r="610" spans="1:13" ht="21" customHeight="1" x14ac:dyDescent="0.3">
      <c r="A610" s="10"/>
      <c r="B610" s="11" t="s">
        <v>38</v>
      </c>
      <c r="C610" s="9" t="s">
        <v>453</v>
      </c>
      <c r="D610" s="8">
        <v>1800</v>
      </c>
      <c r="E610" s="8">
        <v>75747</v>
      </c>
      <c r="F610" s="13"/>
    </row>
    <row r="611" spans="1:13" ht="21" customHeight="1" x14ac:dyDescent="0.3">
      <c r="A611" s="10"/>
      <c r="B611" s="11" t="s">
        <v>148</v>
      </c>
      <c r="C611" s="9" t="s">
        <v>377</v>
      </c>
      <c r="D611" s="8">
        <v>2000</v>
      </c>
      <c r="E611" s="9">
        <v>648</v>
      </c>
      <c r="F611" s="13"/>
    </row>
    <row r="612" spans="1:13" ht="21" customHeight="1" x14ac:dyDescent="0.3">
      <c r="A612" s="10"/>
      <c r="B612" s="14"/>
      <c r="C612" s="15"/>
      <c r="D612" s="15"/>
      <c r="E612" s="15"/>
      <c r="F612" s="14"/>
    </row>
    <row r="613" spans="1:13" ht="21" customHeight="1" x14ac:dyDescent="0.3">
      <c r="A613" s="16">
        <v>46228</v>
      </c>
      <c r="B613" s="6" t="s">
        <v>75</v>
      </c>
      <c r="C613" s="7" t="s">
        <v>454</v>
      </c>
      <c r="D613" s="6"/>
      <c r="E613" s="9">
        <v>1</v>
      </c>
      <c r="F613" s="8">
        <v>9335</v>
      </c>
      <c r="G613" s="9">
        <v>0</v>
      </c>
      <c r="H613" s="8">
        <v>9335</v>
      </c>
      <c r="I613" s="8">
        <v>9335</v>
      </c>
      <c r="J613" s="8">
        <v>8657</v>
      </c>
      <c r="K613" s="9">
        <v>678</v>
      </c>
      <c r="L613" s="9">
        <v>7</v>
      </c>
      <c r="M613" s="6" t="s">
        <v>455</v>
      </c>
    </row>
    <row r="614" spans="1:13" ht="21" customHeight="1" x14ac:dyDescent="0.3">
      <c r="A614" s="10"/>
      <c r="B614" s="3" t="s">
        <v>17</v>
      </c>
      <c r="C614" s="4" t="s">
        <v>18</v>
      </c>
      <c r="D614" s="4" t="s">
        <v>19</v>
      </c>
      <c r="E614" s="4" t="s">
        <v>11</v>
      </c>
      <c r="F614" s="3" t="s">
        <v>20</v>
      </c>
    </row>
    <row r="615" spans="1:13" ht="21" customHeight="1" x14ac:dyDescent="0.3">
      <c r="A615" s="10"/>
      <c r="B615" s="11" t="s">
        <v>22</v>
      </c>
      <c r="C615" s="9" t="s">
        <v>275</v>
      </c>
      <c r="D615" s="8">
        <v>9335</v>
      </c>
      <c r="E615" s="8">
        <v>8657</v>
      </c>
      <c r="F615" s="13"/>
    </row>
    <row r="616" spans="1:13" ht="21" customHeight="1" x14ac:dyDescent="0.3">
      <c r="A616" s="10"/>
      <c r="B616" s="14"/>
      <c r="C616" s="15"/>
      <c r="D616" s="15"/>
      <c r="E616" s="15"/>
      <c r="F616" s="14"/>
    </row>
    <row r="617" spans="1:13" ht="21" customHeight="1" x14ac:dyDescent="0.3">
      <c r="A617" s="16">
        <v>46228</v>
      </c>
      <c r="B617" s="6" t="s">
        <v>75</v>
      </c>
      <c r="C617" s="7" t="s">
        <v>456</v>
      </c>
      <c r="D617" s="6"/>
      <c r="E617" s="9">
        <v>6</v>
      </c>
      <c r="F617" s="8">
        <v>31800</v>
      </c>
      <c r="G617" s="8">
        <v>5400</v>
      </c>
      <c r="H617" s="8">
        <v>26400</v>
      </c>
      <c r="I617" s="8">
        <v>31800</v>
      </c>
      <c r="J617" s="8">
        <v>30515</v>
      </c>
      <c r="K617" s="8">
        <v>1285</v>
      </c>
      <c r="L617" s="9">
        <v>4</v>
      </c>
      <c r="M617" s="6" t="s">
        <v>457</v>
      </c>
    </row>
    <row r="618" spans="1:13" ht="21" customHeight="1" x14ac:dyDescent="0.3">
      <c r="A618" s="10"/>
      <c r="B618" s="3" t="s">
        <v>17</v>
      </c>
      <c r="C618" s="4" t="s">
        <v>18</v>
      </c>
      <c r="D618" s="4" t="s">
        <v>19</v>
      </c>
      <c r="E618" s="4" t="s">
        <v>11</v>
      </c>
      <c r="F618" s="3" t="s">
        <v>20</v>
      </c>
    </row>
    <row r="619" spans="1:13" ht="21" customHeight="1" x14ac:dyDescent="0.3">
      <c r="A619" s="10"/>
      <c r="B619" s="11" t="s">
        <v>22</v>
      </c>
      <c r="C619" s="9" t="s">
        <v>323</v>
      </c>
      <c r="D619" s="8">
        <v>8800</v>
      </c>
      <c r="E619" s="8">
        <v>25970</v>
      </c>
      <c r="F619" s="13"/>
    </row>
    <row r="620" spans="1:13" ht="21" customHeight="1" x14ac:dyDescent="0.3">
      <c r="A620" s="10"/>
      <c r="B620" s="11" t="s">
        <v>38</v>
      </c>
      <c r="C620" s="9" t="s">
        <v>325</v>
      </c>
      <c r="D620" s="8">
        <v>1800</v>
      </c>
      <c r="E620" s="8">
        <v>4545</v>
      </c>
      <c r="F620" s="13"/>
    </row>
    <row r="621" spans="1:13" ht="21" customHeight="1" x14ac:dyDescent="0.3">
      <c r="A621" s="10"/>
      <c r="B621" s="14"/>
      <c r="C621" s="15"/>
      <c r="D621" s="15"/>
      <c r="E621" s="15"/>
      <c r="F621" s="14"/>
    </row>
    <row r="622" spans="1:13" ht="21" customHeight="1" x14ac:dyDescent="0.3">
      <c r="A622" s="16">
        <v>46228</v>
      </c>
      <c r="B622" s="6" t="s">
        <v>458</v>
      </c>
      <c r="C622" s="7" t="s">
        <v>459</v>
      </c>
      <c r="D622" s="6"/>
      <c r="E622" s="9">
        <v>6</v>
      </c>
      <c r="F622" s="8">
        <v>74120</v>
      </c>
      <c r="G622" s="9">
        <v>0</v>
      </c>
      <c r="H622" s="8">
        <v>74120</v>
      </c>
      <c r="I622" s="8">
        <v>74120</v>
      </c>
      <c r="J622" s="8">
        <v>70676</v>
      </c>
      <c r="K622" s="8">
        <v>3444</v>
      </c>
      <c r="L622" s="9">
        <v>5</v>
      </c>
      <c r="M622" s="6"/>
    </row>
    <row r="623" spans="1:13" ht="21" customHeight="1" x14ac:dyDescent="0.3">
      <c r="A623" s="10"/>
      <c r="B623" s="3" t="s">
        <v>17</v>
      </c>
      <c r="C623" s="4" t="s">
        <v>18</v>
      </c>
      <c r="D623" s="4" t="s">
        <v>19</v>
      </c>
      <c r="E623" s="4" t="s">
        <v>11</v>
      </c>
      <c r="F623" s="3" t="s">
        <v>20</v>
      </c>
    </row>
    <row r="624" spans="1:13" ht="21" customHeight="1" x14ac:dyDescent="0.3">
      <c r="A624" s="10"/>
      <c r="B624" s="11" t="s">
        <v>45</v>
      </c>
      <c r="C624" s="9" t="s">
        <v>275</v>
      </c>
      <c r="D624" s="8">
        <v>13335</v>
      </c>
      <c r="E624" s="8">
        <v>12747</v>
      </c>
      <c r="F624" s="13"/>
    </row>
    <row r="625" spans="1:13" ht="21" customHeight="1" x14ac:dyDescent="0.3">
      <c r="A625" s="10"/>
      <c r="B625" s="11" t="s">
        <v>21</v>
      </c>
      <c r="C625" s="9" t="s">
        <v>275</v>
      </c>
      <c r="D625" s="8">
        <v>8500</v>
      </c>
      <c r="E625" s="8">
        <v>8122</v>
      </c>
      <c r="F625" s="13"/>
    </row>
    <row r="626" spans="1:13" ht="21" customHeight="1" x14ac:dyDescent="0.3">
      <c r="A626" s="10"/>
      <c r="B626" s="11" t="s">
        <v>22</v>
      </c>
      <c r="C626" s="9" t="s">
        <v>275</v>
      </c>
      <c r="D626" s="8">
        <v>9200</v>
      </c>
      <c r="E626" s="8">
        <v>8657</v>
      </c>
      <c r="F626" s="13"/>
    </row>
    <row r="627" spans="1:13" ht="21" customHeight="1" x14ac:dyDescent="0.3">
      <c r="A627" s="10"/>
      <c r="B627" s="11" t="s">
        <v>34</v>
      </c>
      <c r="C627" s="9" t="s">
        <v>266</v>
      </c>
      <c r="D627" s="8">
        <v>22740</v>
      </c>
      <c r="E627" s="8">
        <v>21595</v>
      </c>
      <c r="F627" s="13"/>
    </row>
    <row r="628" spans="1:13" ht="21" customHeight="1" x14ac:dyDescent="0.3">
      <c r="A628" s="10"/>
      <c r="B628" s="11" t="s">
        <v>460</v>
      </c>
      <c r="C628" s="9" t="s">
        <v>257</v>
      </c>
      <c r="D628" s="8">
        <v>4200</v>
      </c>
      <c r="E628" s="8">
        <v>4000</v>
      </c>
      <c r="F628" s="13"/>
    </row>
    <row r="629" spans="1:13" ht="21" customHeight="1" x14ac:dyDescent="0.3">
      <c r="A629" s="10"/>
      <c r="B629" s="11" t="s">
        <v>33</v>
      </c>
      <c r="C629" s="9" t="s">
        <v>266</v>
      </c>
      <c r="D629" s="8">
        <v>16145</v>
      </c>
      <c r="E629" s="8">
        <v>15555</v>
      </c>
      <c r="F629" s="13"/>
    </row>
    <row r="630" spans="1:13" ht="21" customHeight="1" x14ac:dyDescent="0.3">
      <c r="A630" s="10"/>
      <c r="B630" s="14"/>
      <c r="C630" s="15"/>
      <c r="D630" s="15"/>
      <c r="E630" s="15"/>
      <c r="F630" s="14"/>
    </row>
    <row r="631" spans="1:13" ht="21" customHeight="1" x14ac:dyDescent="0.3">
      <c r="A631" s="16">
        <v>46228</v>
      </c>
      <c r="B631" s="6" t="s">
        <v>15</v>
      </c>
      <c r="C631" s="7" t="s">
        <v>461</v>
      </c>
      <c r="D631" s="6"/>
      <c r="E631" s="9">
        <v>1</v>
      </c>
      <c r="F631" s="8">
        <v>5300</v>
      </c>
      <c r="G631" s="8">
        <v>5300</v>
      </c>
      <c r="H631" s="9">
        <v>0</v>
      </c>
      <c r="I631" s="8">
        <v>5300</v>
      </c>
      <c r="J631" s="8">
        <v>5200</v>
      </c>
      <c r="K631" s="9">
        <v>100</v>
      </c>
      <c r="L631" s="9">
        <v>2</v>
      </c>
      <c r="M631" s="6"/>
    </row>
    <row r="632" spans="1:13" ht="21" customHeight="1" x14ac:dyDescent="0.3">
      <c r="A632" s="10"/>
      <c r="B632" s="3" t="s">
        <v>17</v>
      </c>
      <c r="C632" s="4" t="s">
        <v>18</v>
      </c>
      <c r="D632" s="4" t="s">
        <v>19</v>
      </c>
      <c r="E632" s="4" t="s">
        <v>11</v>
      </c>
      <c r="F632" s="3" t="s">
        <v>20</v>
      </c>
    </row>
    <row r="633" spans="1:13" ht="21" customHeight="1" x14ac:dyDescent="0.3">
      <c r="A633" s="10"/>
      <c r="B633" s="11" t="s">
        <v>24</v>
      </c>
      <c r="C633" s="9" t="s">
        <v>257</v>
      </c>
      <c r="D633" s="8">
        <v>5300</v>
      </c>
      <c r="E633" s="8">
        <v>5200</v>
      </c>
      <c r="F633" s="13"/>
    </row>
    <row r="634" spans="1:13" ht="21" customHeight="1" x14ac:dyDescent="0.3">
      <c r="A634" s="10"/>
      <c r="B634" s="14"/>
      <c r="C634" s="15"/>
      <c r="D634" s="15"/>
      <c r="E634" s="15"/>
      <c r="F634" s="14"/>
    </row>
    <row r="635" spans="1:13" ht="21" customHeight="1" x14ac:dyDescent="0.3">
      <c r="A635" s="16">
        <v>46228</v>
      </c>
      <c r="B635" s="6" t="s">
        <v>104</v>
      </c>
      <c r="C635" s="7" t="s">
        <v>462</v>
      </c>
      <c r="D635" s="6"/>
      <c r="E635" s="9">
        <v>5</v>
      </c>
      <c r="F635" s="8">
        <v>80725</v>
      </c>
      <c r="G635" s="9">
        <v>0</v>
      </c>
      <c r="H635" s="8">
        <v>80725</v>
      </c>
      <c r="I635" s="8">
        <v>80725</v>
      </c>
      <c r="J635" s="8">
        <v>76236</v>
      </c>
      <c r="K635" s="8">
        <v>4489</v>
      </c>
      <c r="L635" s="9">
        <v>6</v>
      </c>
      <c r="M635" s="6"/>
    </row>
    <row r="636" spans="1:13" ht="21" customHeight="1" x14ac:dyDescent="0.3">
      <c r="A636" s="10"/>
      <c r="B636" s="3" t="s">
        <v>17</v>
      </c>
      <c r="C636" s="4" t="s">
        <v>18</v>
      </c>
      <c r="D636" s="4" t="s">
        <v>19</v>
      </c>
      <c r="E636" s="4" t="s">
        <v>11</v>
      </c>
      <c r="F636" s="3" t="s">
        <v>20</v>
      </c>
    </row>
    <row r="637" spans="1:13" ht="21" customHeight="1" x14ac:dyDescent="0.3">
      <c r="A637" s="10"/>
      <c r="B637" s="11" t="s">
        <v>32</v>
      </c>
      <c r="C637" s="9" t="s">
        <v>255</v>
      </c>
      <c r="D637" s="8">
        <v>16145</v>
      </c>
      <c r="E637" s="8">
        <v>76236</v>
      </c>
      <c r="F637" s="13"/>
    </row>
    <row r="638" spans="1:13" ht="21" customHeight="1" x14ac:dyDescent="0.3">
      <c r="A638" s="10"/>
      <c r="B638" s="14"/>
      <c r="C638" s="15"/>
      <c r="D638" s="15"/>
      <c r="E638" s="15"/>
      <c r="F638" s="14"/>
    </row>
    <row r="639" spans="1:13" ht="21" customHeight="1" x14ac:dyDescent="0.3">
      <c r="A639" s="16">
        <v>46228</v>
      </c>
      <c r="B639" s="6" t="s">
        <v>122</v>
      </c>
      <c r="C639" s="7" t="s">
        <v>463</v>
      </c>
      <c r="D639" s="6"/>
      <c r="E639" s="9">
        <v>4</v>
      </c>
      <c r="F639" s="8">
        <v>36600</v>
      </c>
      <c r="G639" s="8">
        <v>36600</v>
      </c>
      <c r="H639" s="9">
        <v>0</v>
      </c>
      <c r="I639" s="8">
        <v>36600</v>
      </c>
      <c r="J639" s="8">
        <v>33960</v>
      </c>
      <c r="K639" s="8">
        <v>2640</v>
      </c>
      <c r="L639" s="9">
        <v>7</v>
      </c>
      <c r="M639" s="6"/>
    </row>
    <row r="640" spans="1:13" ht="21" customHeight="1" x14ac:dyDescent="0.3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1:13" ht="21" customHeight="1" x14ac:dyDescent="0.3">
      <c r="A641" s="10"/>
      <c r="B641" s="11" t="s">
        <v>22</v>
      </c>
      <c r="C641" s="9" t="s">
        <v>274</v>
      </c>
      <c r="D641" s="8">
        <v>9200</v>
      </c>
      <c r="E641" s="8">
        <v>17313</v>
      </c>
      <c r="F641" s="13"/>
    </row>
    <row r="642" spans="1:13" ht="21" customHeight="1" x14ac:dyDescent="0.3">
      <c r="A642" s="10"/>
      <c r="B642" s="11" t="s">
        <v>37</v>
      </c>
      <c r="C642" s="9" t="s">
        <v>275</v>
      </c>
      <c r="D642" s="8">
        <v>9200</v>
      </c>
      <c r="E642" s="8">
        <v>8525</v>
      </c>
      <c r="F642" s="13"/>
    </row>
    <row r="643" spans="1:13" ht="21" customHeight="1" x14ac:dyDescent="0.3">
      <c r="A643" s="10"/>
      <c r="B643" s="11" t="s">
        <v>21</v>
      </c>
      <c r="C643" s="9" t="s">
        <v>275</v>
      </c>
      <c r="D643" s="8">
        <v>9000</v>
      </c>
      <c r="E643" s="8">
        <v>8122</v>
      </c>
      <c r="F643" s="13"/>
    </row>
    <row r="644" spans="1:13" ht="21" customHeight="1" x14ac:dyDescent="0.3">
      <c r="A644" s="10"/>
      <c r="B644" s="14"/>
      <c r="C644" s="15"/>
      <c r="D644" s="15"/>
      <c r="E644" s="15"/>
      <c r="F644" s="14"/>
    </row>
    <row r="645" spans="1:13" ht="21" customHeight="1" x14ac:dyDescent="0.3">
      <c r="A645" s="16">
        <v>46228</v>
      </c>
      <c r="B645" s="6" t="s">
        <v>102</v>
      </c>
      <c r="C645" s="7" t="s">
        <v>464</v>
      </c>
      <c r="D645" s="6"/>
      <c r="E645" s="9">
        <v>1</v>
      </c>
      <c r="F645" s="8">
        <v>9500</v>
      </c>
      <c r="G645" s="8">
        <v>9500</v>
      </c>
      <c r="H645" s="9">
        <v>0</v>
      </c>
      <c r="I645" s="8">
        <v>9500</v>
      </c>
      <c r="J645" s="8">
        <v>8657</v>
      </c>
      <c r="K645" s="9">
        <v>843</v>
      </c>
      <c r="L645" s="9">
        <v>9</v>
      </c>
      <c r="M645" s="6"/>
    </row>
    <row r="646" spans="1:13" ht="21" customHeight="1" x14ac:dyDescent="0.3">
      <c r="A646" s="10"/>
      <c r="B646" s="3" t="s">
        <v>17</v>
      </c>
      <c r="C646" s="4" t="s">
        <v>18</v>
      </c>
      <c r="D646" s="4" t="s">
        <v>19</v>
      </c>
      <c r="E646" s="4" t="s">
        <v>11</v>
      </c>
      <c r="F646" s="3" t="s">
        <v>20</v>
      </c>
    </row>
    <row r="647" spans="1:13" ht="21" customHeight="1" x14ac:dyDescent="0.3">
      <c r="A647" s="10"/>
      <c r="B647" s="11" t="s">
        <v>22</v>
      </c>
      <c r="C647" s="9" t="s">
        <v>275</v>
      </c>
      <c r="D647" s="8">
        <v>9500</v>
      </c>
      <c r="E647" s="8">
        <v>8657</v>
      </c>
      <c r="F647" s="13"/>
    </row>
    <row r="648" spans="1:13" ht="21" customHeight="1" x14ac:dyDescent="0.3">
      <c r="A648" s="10"/>
      <c r="B648" s="14"/>
      <c r="C648" s="15"/>
      <c r="D648" s="15"/>
      <c r="E648" s="15"/>
      <c r="F648" s="14"/>
    </row>
    <row r="649" spans="1:13" ht="21" customHeight="1" x14ac:dyDescent="0.3">
      <c r="A649" s="16">
        <v>46228</v>
      </c>
      <c r="B649" s="6" t="s">
        <v>102</v>
      </c>
      <c r="C649" s="7" t="s">
        <v>465</v>
      </c>
      <c r="D649" s="6"/>
      <c r="E649" s="9">
        <v>1</v>
      </c>
      <c r="F649" s="8">
        <v>13950</v>
      </c>
      <c r="G649" s="8">
        <v>13950</v>
      </c>
      <c r="H649" s="9">
        <v>0</v>
      </c>
      <c r="I649" s="8">
        <v>13950</v>
      </c>
      <c r="J649" s="8">
        <v>12747</v>
      </c>
      <c r="K649" s="8">
        <v>1203</v>
      </c>
      <c r="L649" s="9">
        <v>9</v>
      </c>
      <c r="M649" s="6"/>
    </row>
    <row r="650" spans="1:13" ht="21" customHeight="1" x14ac:dyDescent="0.3">
      <c r="A650" s="10"/>
      <c r="B650" s="3" t="s">
        <v>17</v>
      </c>
      <c r="C650" s="4" t="s">
        <v>18</v>
      </c>
      <c r="D650" s="4" t="s">
        <v>19</v>
      </c>
      <c r="E650" s="4" t="s">
        <v>11</v>
      </c>
      <c r="F650" s="3" t="s">
        <v>20</v>
      </c>
    </row>
    <row r="651" spans="1:13" ht="21" customHeight="1" x14ac:dyDescent="0.3">
      <c r="A651" s="10"/>
      <c r="B651" s="11" t="s">
        <v>45</v>
      </c>
      <c r="C651" s="9" t="s">
        <v>275</v>
      </c>
      <c r="D651" s="8">
        <v>13950</v>
      </c>
      <c r="E651" s="8">
        <v>12747</v>
      </c>
      <c r="F651" s="13"/>
    </row>
    <row r="652" spans="1:13" ht="21" customHeight="1" x14ac:dyDescent="0.3">
      <c r="A652" s="10"/>
      <c r="B652" s="14"/>
      <c r="C652" s="15"/>
      <c r="D652" s="15"/>
      <c r="E652" s="15"/>
      <c r="F652" s="14"/>
    </row>
    <row r="653" spans="1:13" ht="21" customHeight="1" x14ac:dyDescent="0.3">
      <c r="A653" s="16">
        <v>46228</v>
      </c>
      <c r="B653" s="6" t="s">
        <v>15</v>
      </c>
      <c r="C653" s="7" t="s">
        <v>466</v>
      </c>
      <c r="D653" s="6"/>
      <c r="E653" s="9">
        <v>2</v>
      </c>
      <c r="F653" s="8">
        <v>21950</v>
      </c>
      <c r="G653" s="8">
        <v>21950</v>
      </c>
      <c r="H653" s="9">
        <v>0</v>
      </c>
      <c r="I653" s="8">
        <v>21950</v>
      </c>
      <c r="J653" s="8">
        <v>12729</v>
      </c>
      <c r="K653" s="8">
        <v>9221</v>
      </c>
      <c r="L653" s="9">
        <v>42</v>
      </c>
      <c r="M653" s="6"/>
    </row>
    <row r="654" spans="1:13" ht="21" customHeight="1" x14ac:dyDescent="0.3">
      <c r="A654" s="10"/>
      <c r="B654" s="3" t="s">
        <v>17</v>
      </c>
      <c r="C654" s="4" t="s">
        <v>18</v>
      </c>
      <c r="D654" s="4" t="s">
        <v>19</v>
      </c>
      <c r="E654" s="4" t="s">
        <v>11</v>
      </c>
      <c r="F654" s="3" t="s">
        <v>20</v>
      </c>
    </row>
    <row r="655" spans="1:13" ht="21" customHeight="1" x14ac:dyDescent="0.3">
      <c r="A655" s="10"/>
      <c r="B655" s="11" t="s">
        <v>181</v>
      </c>
      <c r="C655" s="9" t="s">
        <v>275</v>
      </c>
      <c r="D655" s="8">
        <v>16950</v>
      </c>
      <c r="E655" s="8">
        <v>16350</v>
      </c>
      <c r="F655" s="13"/>
    </row>
    <row r="656" spans="1:13" ht="21" customHeight="1" x14ac:dyDescent="0.3">
      <c r="A656" s="10"/>
      <c r="B656" s="11" t="s">
        <v>49</v>
      </c>
      <c r="C656" s="9" t="s">
        <v>293</v>
      </c>
      <c r="D656" s="8">
        <v>5000</v>
      </c>
      <c r="E656" s="8">
        <v>-3621</v>
      </c>
      <c r="F656" s="13"/>
    </row>
    <row r="657" spans="1:13" ht="21" customHeight="1" x14ac:dyDescent="0.3">
      <c r="A657" s="10"/>
      <c r="B657" s="14"/>
      <c r="C657" s="15"/>
      <c r="D657" s="15"/>
      <c r="E657" s="15"/>
      <c r="F657" s="14"/>
    </row>
    <row r="658" spans="1:13" ht="21" customHeight="1" x14ac:dyDescent="0.3">
      <c r="A658" s="16">
        <v>46228</v>
      </c>
      <c r="B658" s="6" t="s">
        <v>95</v>
      </c>
      <c r="C658" s="7" t="s">
        <v>467</v>
      </c>
      <c r="D658" s="6"/>
      <c r="E658" s="9">
        <v>6</v>
      </c>
      <c r="F658" s="8">
        <v>59335</v>
      </c>
      <c r="G658" s="9">
        <v>0</v>
      </c>
      <c r="H658" s="8">
        <v>59335</v>
      </c>
      <c r="I658" s="8">
        <v>59335</v>
      </c>
      <c r="J658" s="8">
        <v>56697</v>
      </c>
      <c r="K658" s="8">
        <v>2638</v>
      </c>
      <c r="L658" s="9">
        <v>4</v>
      </c>
      <c r="M658" s="6"/>
    </row>
    <row r="659" spans="1:13" ht="21" customHeight="1" x14ac:dyDescent="0.3">
      <c r="A659" s="10"/>
      <c r="B659" s="3" t="s">
        <v>17</v>
      </c>
      <c r="C659" s="4" t="s">
        <v>18</v>
      </c>
      <c r="D659" s="4" t="s">
        <v>19</v>
      </c>
      <c r="E659" s="4" t="s">
        <v>11</v>
      </c>
      <c r="F659" s="3" t="s">
        <v>20</v>
      </c>
    </row>
    <row r="660" spans="1:13" ht="21" customHeight="1" x14ac:dyDescent="0.3">
      <c r="A660" s="10"/>
      <c r="B660" s="11" t="s">
        <v>22</v>
      </c>
      <c r="C660" s="9" t="s">
        <v>323</v>
      </c>
      <c r="D660" s="8">
        <v>9200</v>
      </c>
      <c r="E660" s="8">
        <v>25970</v>
      </c>
      <c r="F660" s="13"/>
    </row>
    <row r="661" spans="1:13" ht="21" customHeight="1" x14ac:dyDescent="0.3">
      <c r="A661" s="10"/>
      <c r="B661" s="11" t="s">
        <v>44</v>
      </c>
      <c r="C661" s="9" t="s">
        <v>274</v>
      </c>
      <c r="D661" s="8">
        <v>9200</v>
      </c>
      <c r="E661" s="8">
        <v>17980</v>
      </c>
      <c r="F661" s="13"/>
    </row>
    <row r="662" spans="1:13" ht="21" customHeight="1" x14ac:dyDescent="0.3">
      <c r="A662" s="10"/>
      <c r="B662" s="11" t="s">
        <v>45</v>
      </c>
      <c r="C662" s="9" t="s">
        <v>275</v>
      </c>
      <c r="D662" s="8">
        <v>13335</v>
      </c>
      <c r="E662" s="8">
        <v>12747</v>
      </c>
      <c r="F662" s="13"/>
    </row>
    <row r="663" spans="1:13" ht="21" customHeight="1" x14ac:dyDescent="0.3">
      <c r="A663" s="10"/>
      <c r="B663" s="14"/>
      <c r="C663" s="15"/>
      <c r="D663" s="15"/>
      <c r="E663" s="15"/>
      <c r="F663" s="14"/>
    </row>
    <row r="664" spans="1:13" ht="21" customHeight="1" x14ac:dyDescent="0.3">
      <c r="A664" s="23">
        <v>46230</v>
      </c>
      <c r="B664" s="6" t="s">
        <v>15</v>
      </c>
      <c r="C664" s="7" t="s">
        <v>468</v>
      </c>
      <c r="D664" s="6"/>
      <c r="E664" s="9">
        <v>2</v>
      </c>
      <c r="F664" s="8">
        <v>10600</v>
      </c>
      <c r="G664" s="8">
        <v>10600</v>
      </c>
      <c r="H664" s="9">
        <v>0</v>
      </c>
      <c r="I664" s="8">
        <v>10600</v>
      </c>
      <c r="J664" s="8">
        <v>10400</v>
      </c>
      <c r="K664" s="9">
        <v>200</v>
      </c>
      <c r="L664" s="9">
        <v>2</v>
      </c>
      <c r="M664" s="6"/>
    </row>
    <row r="665" spans="1:13" ht="21" customHeight="1" x14ac:dyDescent="0.3">
      <c r="A665" s="10"/>
      <c r="B665" s="3" t="s">
        <v>17</v>
      </c>
      <c r="C665" s="4" t="s">
        <v>18</v>
      </c>
      <c r="D665" s="4" t="s">
        <v>19</v>
      </c>
      <c r="E665" s="4" t="s">
        <v>11</v>
      </c>
      <c r="F665" s="3" t="s">
        <v>20</v>
      </c>
    </row>
    <row r="666" spans="1:13" ht="21" customHeight="1" x14ac:dyDescent="0.3">
      <c r="A666" s="10"/>
      <c r="B666" s="11" t="s">
        <v>24</v>
      </c>
      <c r="C666" s="9" t="s">
        <v>265</v>
      </c>
      <c r="D666" s="8">
        <v>5300</v>
      </c>
      <c r="E666" s="8">
        <v>10400</v>
      </c>
      <c r="F666" s="13"/>
    </row>
    <row r="667" spans="1:13" ht="21" customHeight="1" x14ac:dyDescent="0.3">
      <c r="A667" s="10"/>
      <c r="B667" s="14"/>
      <c r="C667" s="15"/>
      <c r="D667" s="15"/>
      <c r="E667" s="15"/>
      <c r="F667" s="14"/>
    </row>
    <row r="668" spans="1:13" ht="21" customHeight="1" x14ac:dyDescent="0.3">
      <c r="A668" s="16">
        <v>46230</v>
      </c>
      <c r="B668" s="6" t="s">
        <v>104</v>
      </c>
      <c r="C668" s="7" t="s">
        <v>469</v>
      </c>
      <c r="D668" s="6"/>
      <c r="E668" s="9">
        <v>1</v>
      </c>
      <c r="F668" s="8">
        <v>16145</v>
      </c>
      <c r="G668" s="8">
        <v>14400</v>
      </c>
      <c r="H668" s="8">
        <v>1745</v>
      </c>
      <c r="I668" s="8">
        <v>16145</v>
      </c>
      <c r="J668" s="8">
        <v>15247</v>
      </c>
      <c r="K668" s="9">
        <v>898</v>
      </c>
      <c r="L668" s="9">
        <v>6</v>
      </c>
      <c r="M668" s="6"/>
    </row>
    <row r="669" spans="1:13" ht="21" customHeight="1" x14ac:dyDescent="0.3">
      <c r="A669" s="10"/>
      <c r="B669" s="3" t="s">
        <v>17</v>
      </c>
      <c r="C669" s="4" t="s">
        <v>18</v>
      </c>
      <c r="D669" s="4" t="s">
        <v>19</v>
      </c>
      <c r="E669" s="4" t="s">
        <v>11</v>
      </c>
      <c r="F669" s="3" t="s">
        <v>20</v>
      </c>
    </row>
    <row r="670" spans="1:13" ht="21" customHeight="1" x14ac:dyDescent="0.3">
      <c r="A670" s="10"/>
      <c r="B670" s="11" t="s">
        <v>32</v>
      </c>
      <c r="C670" s="9" t="s">
        <v>266</v>
      </c>
      <c r="D670" s="8">
        <v>16145</v>
      </c>
      <c r="E670" s="8">
        <v>15247</v>
      </c>
      <c r="F670" s="13"/>
    </row>
    <row r="671" spans="1:13" ht="21" customHeight="1" x14ac:dyDescent="0.3">
      <c r="A671" s="10"/>
      <c r="B671" s="14"/>
      <c r="C671" s="15"/>
      <c r="D671" s="15"/>
      <c r="E671" s="15"/>
      <c r="F671" s="14"/>
    </row>
    <row r="672" spans="1:13" ht="21" customHeight="1" x14ac:dyDescent="0.3">
      <c r="A672" s="16">
        <v>46230</v>
      </c>
      <c r="B672" s="6" t="s">
        <v>29</v>
      </c>
      <c r="C672" s="7" t="s">
        <v>470</v>
      </c>
      <c r="D672" s="6"/>
      <c r="E672" s="9">
        <v>40</v>
      </c>
      <c r="F672" s="8">
        <v>366800</v>
      </c>
      <c r="G672" s="8">
        <v>18000</v>
      </c>
      <c r="H672" s="8">
        <v>348800</v>
      </c>
      <c r="I672" s="8">
        <v>366800</v>
      </c>
      <c r="J672" s="8">
        <v>329598</v>
      </c>
      <c r="K672" s="8">
        <v>37202</v>
      </c>
      <c r="L672" s="9">
        <v>10</v>
      </c>
      <c r="M672" s="6"/>
    </row>
    <row r="673" spans="1:13" ht="21" customHeight="1" x14ac:dyDescent="0.3">
      <c r="A673" s="10"/>
      <c r="B673" s="3" t="s">
        <v>17</v>
      </c>
      <c r="C673" s="4" t="s">
        <v>18</v>
      </c>
      <c r="D673" s="4" t="s">
        <v>19</v>
      </c>
      <c r="E673" s="4" t="s">
        <v>11</v>
      </c>
      <c r="F673" s="3" t="s">
        <v>20</v>
      </c>
    </row>
    <row r="674" spans="1:13" ht="21" customHeight="1" x14ac:dyDescent="0.3">
      <c r="A674" s="10"/>
      <c r="B674" s="11" t="s">
        <v>100</v>
      </c>
      <c r="C674" s="9" t="s">
        <v>314</v>
      </c>
      <c r="D674" s="8">
        <v>11480</v>
      </c>
      <c r="E674" s="8">
        <v>109150</v>
      </c>
      <c r="F674" s="13"/>
    </row>
    <row r="675" spans="1:13" ht="21" customHeight="1" x14ac:dyDescent="0.3">
      <c r="A675" s="10"/>
      <c r="B675" s="11" t="s">
        <v>87</v>
      </c>
      <c r="C675" s="9" t="s">
        <v>314</v>
      </c>
      <c r="D675" s="8">
        <v>21400</v>
      </c>
      <c r="E675" s="8">
        <v>204400</v>
      </c>
      <c r="F675" s="13"/>
    </row>
    <row r="676" spans="1:13" ht="21" customHeight="1" x14ac:dyDescent="0.3">
      <c r="A676" s="10"/>
      <c r="B676" s="11" t="s">
        <v>38</v>
      </c>
      <c r="C676" s="9" t="s">
        <v>315</v>
      </c>
      <c r="D676" s="8">
        <v>1800</v>
      </c>
      <c r="E676" s="8">
        <v>15193</v>
      </c>
      <c r="F676" s="13"/>
    </row>
    <row r="677" spans="1:13" ht="21" customHeight="1" x14ac:dyDescent="0.3">
      <c r="A677" s="10"/>
      <c r="B677" s="11" t="s">
        <v>148</v>
      </c>
      <c r="C677" s="9" t="s">
        <v>315</v>
      </c>
      <c r="D677" s="8">
        <v>2000</v>
      </c>
      <c r="E677" s="9">
        <v>855</v>
      </c>
      <c r="F677" s="13"/>
    </row>
    <row r="678" spans="1:13" ht="21" customHeight="1" x14ac:dyDescent="0.3">
      <c r="A678" s="10"/>
      <c r="B678" s="14"/>
      <c r="C678" s="15"/>
      <c r="D678" s="15"/>
      <c r="E678" s="15"/>
      <c r="F678" s="14"/>
    </row>
    <row r="679" spans="1:13" ht="21" customHeight="1" x14ac:dyDescent="0.3">
      <c r="A679" s="16">
        <v>46230</v>
      </c>
      <c r="B679" s="6" t="s">
        <v>212</v>
      </c>
      <c r="C679" s="7" t="s">
        <v>471</v>
      </c>
      <c r="D679" s="6"/>
      <c r="E679" s="9">
        <v>4</v>
      </c>
      <c r="F679" s="8">
        <v>45300</v>
      </c>
      <c r="G679" s="8">
        <v>45300</v>
      </c>
      <c r="H679" s="9">
        <v>0</v>
      </c>
      <c r="I679" s="8">
        <v>45300</v>
      </c>
      <c r="J679" s="8">
        <v>41503</v>
      </c>
      <c r="K679" s="8">
        <v>3797</v>
      </c>
      <c r="L679" s="9">
        <v>8</v>
      </c>
      <c r="M679" s="6"/>
    </row>
    <row r="680" spans="1:13" ht="21" customHeight="1" x14ac:dyDescent="0.3">
      <c r="A680" s="10"/>
      <c r="B680" s="3" t="s">
        <v>17</v>
      </c>
      <c r="C680" s="4" t="s">
        <v>18</v>
      </c>
      <c r="D680" s="4" t="s">
        <v>19</v>
      </c>
      <c r="E680" s="4" t="s">
        <v>11</v>
      </c>
      <c r="F680" s="3" t="s">
        <v>20</v>
      </c>
    </row>
    <row r="681" spans="1:13" ht="21" customHeight="1" x14ac:dyDescent="0.3">
      <c r="A681" s="10"/>
      <c r="B681" s="11" t="s">
        <v>21</v>
      </c>
      <c r="C681" s="9" t="s">
        <v>323</v>
      </c>
      <c r="D681" s="8">
        <v>9000</v>
      </c>
      <c r="E681" s="8">
        <v>24353</v>
      </c>
      <c r="F681" s="13"/>
    </row>
    <row r="682" spans="1:13" ht="21" customHeight="1" x14ac:dyDescent="0.3">
      <c r="A682" s="10"/>
      <c r="B682" s="11" t="s">
        <v>43</v>
      </c>
      <c r="C682" s="9" t="s">
        <v>275</v>
      </c>
      <c r="D682" s="8">
        <v>18300</v>
      </c>
      <c r="E682" s="8">
        <v>17150</v>
      </c>
      <c r="F682" s="13"/>
    </row>
    <row r="683" spans="1:13" ht="21" customHeight="1" x14ac:dyDescent="0.3">
      <c r="A683" s="10"/>
      <c r="B683" s="14"/>
      <c r="C683" s="15"/>
      <c r="D683" s="15"/>
      <c r="E683" s="15"/>
      <c r="F683" s="14"/>
    </row>
    <row r="684" spans="1:13" ht="21" customHeight="1" x14ac:dyDescent="0.3">
      <c r="A684" s="16">
        <v>46230</v>
      </c>
      <c r="B684" s="6" t="s">
        <v>152</v>
      </c>
      <c r="C684" s="7" t="s">
        <v>472</v>
      </c>
      <c r="D684" s="6"/>
      <c r="E684" s="9">
        <v>100</v>
      </c>
      <c r="F684" s="8">
        <v>746500</v>
      </c>
      <c r="G684" s="8">
        <v>100000</v>
      </c>
      <c r="H684" s="8">
        <v>646500</v>
      </c>
      <c r="I684" s="8">
        <v>746500</v>
      </c>
      <c r="J684" s="8">
        <v>641582</v>
      </c>
      <c r="K684" s="8">
        <v>104918</v>
      </c>
      <c r="L684" s="9">
        <v>14</v>
      </c>
      <c r="M684" s="6"/>
    </row>
    <row r="685" spans="1:13" ht="21" customHeight="1" x14ac:dyDescent="0.3">
      <c r="A685" s="10"/>
      <c r="B685" s="3" t="s">
        <v>17</v>
      </c>
      <c r="C685" s="4" t="s">
        <v>18</v>
      </c>
      <c r="D685" s="4" t="s">
        <v>19</v>
      </c>
      <c r="E685" s="4" t="s">
        <v>11</v>
      </c>
      <c r="F685" s="3" t="s">
        <v>20</v>
      </c>
    </row>
    <row r="686" spans="1:13" ht="21" customHeight="1" x14ac:dyDescent="0.3">
      <c r="A686" s="10"/>
      <c r="B686" s="11" t="s">
        <v>45</v>
      </c>
      <c r="C686" s="9" t="s">
        <v>473</v>
      </c>
      <c r="D686" s="8">
        <v>12930</v>
      </c>
      <c r="E686" s="8">
        <v>637309</v>
      </c>
      <c r="F686" s="13"/>
    </row>
    <row r="687" spans="1:13" ht="21" customHeight="1" x14ac:dyDescent="0.3">
      <c r="A687" s="10"/>
      <c r="B687" s="11" t="s">
        <v>148</v>
      </c>
      <c r="C687" s="9" t="s">
        <v>453</v>
      </c>
      <c r="D687" s="8">
        <v>2000</v>
      </c>
      <c r="E687" s="8">
        <v>4273</v>
      </c>
      <c r="F687" s="13"/>
    </row>
    <row r="688" spans="1:13" ht="21" customHeight="1" x14ac:dyDescent="0.3">
      <c r="A688" s="10"/>
      <c r="B688" s="14"/>
      <c r="C688" s="15"/>
      <c r="D688" s="15"/>
      <c r="E688" s="15"/>
      <c r="F688" s="14"/>
    </row>
    <row r="689" spans="1:13" ht="21" customHeight="1" x14ac:dyDescent="0.3">
      <c r="A689" s="16">
        <v>46230</v>
      </c>
      <c r="B689" s="6" t="s">
        <v>25</v>
      </c>
      <c r="C689" s="7" t="s">
        <v>474</v>
      </c>
      <c r="D689" s="6"/>
      <c r="E689" s="9">
        <v>210</v>
      </c>
      <c r="F689" s="8">
        <v>1050000</v>
      </c>
      <c r="G689" s="9">
        <v>0</v>
      </c>
      <c r="H689" s="8">
        <v>1050000</v>
      </c>
      <c r="I689" s="8">
        <v>1050000</v>
      </c>
      <c r="J689" s="8">
        <v>1092000</v>
      </c>
      <c r="K689" s="8">
        <v>-42000</v>
      </c>
      <c r="L689" s="9">
        <v>-4</v>
      </c>
      <c r="M689" s="6"/>
    </row>
    <row r="690" spans="1:13" ht="21" customHeight="1" x14ac:dyDescent="0.3">
      <c r="A690" s="10"/>
      <c r="B690" s="3" t="s">
        <v>17</v>
      </c>
      <c r="C690" s="4" t="s">
        <v>18</v>
      </c>
      <c r="D690" s="4" t="s">
        <v>19</v>
      </c>
      <c r="E690" s="4" t="s">
        <v>11</v>
      </c>
      <c r="F690" s="3" t="s">
        <v>20</v>
      </c>
    </row>
    <row r="691" spans="1:13" ht="21" customHeight="1" x14ac:dyDescent="0.3">
      <c r="A691" s="10"/>
      <c r="B691" s="11" t="s">
        <v>24</v>
      </c>
      <c r="C691" s="9" t="s">
        <v>401</v>
      </c>
      <c r="D691" s="8">
        <v>5000</v>
      </c>
      <c r="E691" s="8">
        <v>1092000</v>
      </c>
      <c r="F691" s="13"/>
    </row>
    <row r="692" spans="1:13" ht="21" customHeight="1" x14ac:dyDescent="0.3">
      <c r="A692" s="10"/>
      <c r="B692" s="14"/>
      <c r="C692" s="15"/>
      <c r="D692" s="15"/>
      <c r="E692" s="15"/>
      <c r="F692" s="14"/>
    </row>
    <row r="693" spans="1:13" ht="21" customHeight="1" x14ac:dyDescent="0.3">
      <c r="A693" s="16">
        <v>46230</v>
      </c>
      <c r="B693" s="6" t="s">
        <v>165</v>
      </c>
      <c r="C693" s="7" t="s">
        <v>475</v>
      </c>
      <c r="D693" s="6"/>
      <c r="E693" s="9">
        <v>700</v>
      </c>
      <c r="F693" s="8">
        <v>4026900</v>
      </c>
      <c r="G693" s="8">
        <v>2700000</v>
      </c>
      <c r="H693" s="8">
        <v>1326900</v>
      </c>
      <c r="I693" s="8">
        <v>4026900</v>
      </c>
      <c r="J693" s="8">
        <v>3693066</v>
      </c>
      <c r="K693" s="8">
        <v>333834</v>
      </c>
      <c r="L693" s="9">
        <v>8</v>
      </c>
      <c r="M693" s="6"/>
    </row>
    <row r="694" spans="1:13" ht="21" customHeight="1" x14ac:dyDescent="0.3">
      <c r="A694" s="10"/>
      <c r="B694" s="3" t="s">
        <v>17</v>
      </c>
      <c r="C694" s="4" t="s">
        <v>18</v>
      </c>
      <c r="D694" s="4" t="s">
        <v>19</v>
      </c>
      <c r="E694" s="4" t="s">
        <v>11</v>
      </c>
      <c r="F694" s="3" t="s">
        <v>20</v>
      </c>
    </row>
    <row r="695" spans="1:13" ht="21" customHeight="1" x14ac:dyDescent="0.3">
      <c r="A695" s="10"/>
      <c r="B695" s="11" t="s">
        <v>22</v>
      </c>
      <c r="C695" s="9" t="s">
        <v>476</v>
      </c>
      <c r="D695" s="8">
        <v>8500</v>
      </c>
      <c r="E695" s="8">
        <v>1731349</v>
      </c>
      <c r="F695" s="13"/>
    </row>
    <row r="696" spans="1:13" ht="21" customHeight="1" x14ac:dyDescent="0.3">
      <c r="A696" s="10"/>
      <c r="B696" s="11" t="s">
        <v>37</v>
      </c>
      <c r="C696" s="9" t="s">
        <v>477</v>
      </c>
      <c r="D696" s="8">
        <v>8880</v>
      </c>
      <c r="E696" s="8">
        <v>852500</v>
      </c>
      <c r="F696" s="13"/>
    </row>
    <row r="697" spans="1:13" ht="21" customHeight="1" x14ac:dyDescent="0.3">
      <c r="A697" s="10"/>
      <c r="B697" s="11" t="s">
        <v>45</v>
      </c>
      <c r="C697" s="9" t="s">
        <v>330</v>
      </c>
      <c r="D697" s="8">
        <v>12830</v>
      </c>
      <c r="E697" s="8">
        <v>382385</v>
      </c>
      <c r="F697" s="13"/>
    </row>
    <row r="698" spans="1:13" ht="21" customHeight="1" x14ac:dyDescent="0.3">
      <c r="A698" s="10"/>
      <c r="B698" s="11" t="s">
        <v>43</v>
      </c>
      <c r="C698" s="9" t="s">
        <v>318</v>
      </c>
      <c r="D698" s="8">
        <v>17700</v>
      </c>
      <c r="E698" s="8">
        <v>343000</v>
      </c>
      <c r="F698" s="13"/>
    </row>
    <row r="699" spans="1:13" ht="21" customHeight="1" x14ac:dyDescent="0.3">
      <c r="A699" s="10"/>
      <c r="B699" s="11" t="s">
        <v>38</v>
      </c>
      <c r="C699" s="9" t="s">
        <v>478</v>
      </c>
      <c r="D699" s="8">
        <v>1800</v>
      </c>
      <c r="E699" s="8">
        <v>455783</v>
      </c>
      <c r="F699" s="13"/>
    </row>
    <row r="700" spans="1:13" ht="21" customHeight="1" x14ac:dyDescent="0.3">
      <c r="A700" s="10"/>
      <c r="B700" s="11" t="s">
        <v>148</v>
      </c>
      <c r="C700" s="9" t="s">
        <v>271</v>
      </c>
      <c r="D700" s="8">
        <v>2000</v>
      </c>
      <c r="E700" s="8">
        <v>2564</v>
      </c>
      <c r="F700" s="13"/>
    </row>
    <row r="701" spans="1:13" ht="21" customHeight="1" x14ac:dyDescent="0.3">
      <c r="A701" s="10"/>
      <c r="B701" s="11" t="s">
        <v>49</v>
      </c>
      <c r="C701" s="9" t="s">
        <v>319</v>
      </c>
      <c r="D701" s="8">
        <v>5000</v>
      </c>
      <c r="E701" s="8">
        <v>-74515</v>
      </c>
      <c r="F701" s="13"/>
    </row>
    <row r="702" spans="1:13" ht="21" customHeight="1" x14ac:dyDescent="0.3">
      <c r="A702" s="10"/>
      <c r="B702" s="14"/>
      <c r="C702" s="15"/>
      <c r="D702" s="15"/>
      <c r="E702" s="15"/>
      <c r="F702" s="14"/>
    </row>
    <row r="703" spans="1:13" ht="21" customHeight="1" x14ac:dyDescent="0.3">
      <c r="A703" s="16">
        <v>46230</v>
      </c>
      <c r="B703" s="6" t="s">
        <v>59</v>
      </c>
      <c r="C703" s="7" t="s">
        <v>479</v>
      </c>
      <c r="D703" s="6"/>
      <c r="E703" s="9">
        <v>80</v>
      </c>
      <c r="F703" s="8">
        <v>440000</v>
      </c>
      <c r="G703" s="8">
        <v>440000</v>
      </c>
      <c r="H703" s="9">
        <v>0</v>
      </c>
      <c r="I703" s="8">
        <v>440000</v>
      </c>
      <c r="J703" s="8">
        <v>407041</v>
      </c>
      <c r="K703" s="8">
        <v>32959</v>
      </c>
      <c r="L703" s="9">
        <v>7</v>
      </c>
      <c r="M703" s="6"/>
    </row>
    <row r="704" spans="1:13" ht="21" customHeight="1" x14ac:dyDescent="0.3">
      <c r="A704" s="10"/>
      <c r="B704" s="3" t="s">
        <v>17</v>
      </c>
      <c r="C704" s="4" t="s">
        <v>18</v>
      </c>
      <c r="D704" s="4" t="s">
        <v>19</v>
      </c>
      <c r="E704" s="4" t="s">
        <v>11</v>
      </c>
      <c r="F704" s="3" t="s">
        <v>20</v>
      </c>
    </row>
    <row r="705" spans="1:13" ht="21" customHeight="1" x14ac:dyDescent="0.3">
      <c r="A705" s="10"/>
      <c r="B705" s="11" t="s">
        <v>22</v>
      </c>
      <c r="C705" s="9" t="s">
        <v>480</v>
      </c>
      <c r="D705" s="8">
        <v>9000</v>
      </c>
      <c r="E705" s="8">
        <v>346270</v>
      </c>
      <c r="F705" s="13"/>
    </row>
    <row r="706" spans="1:13" ht="21" customHeight="1" x14ac:dyDescent="0.3">
      <c r="A706" s="10"/>
      <c r="B706" s="11" t="s">
        <v>38</v>
      </c>
      <c r="C706" s="9" t="s">
        <v>481</v>
      </c>
      <c r="D706" s="8">
        <v>2000</v>
      </c>
      <c r="E706" s="8">
        <v>60771</v>
      </c>
      <c r="F706" s="13"/>
    </row>
    <row r="707" spans="1:13" ht="21" customHeight="1" x14ac:dyDescent="0.3">
      <c r="A707" s="10"/>
      <c r="B707" s="14"/>
      <c r="C707" s="15"/>
      <c r="D707" s="15"/>
      <c r="E707" s="15"/>
      <c r="F707" s="14"/>
    </row>
    <row r="708" spans="1:13" ht="21" customHeight="1" x14ac:dyDescent="0.3">
      <c r="A708" s="16">
        <v>46230</v>
      </c>
      <c r="B708" s="6" t="s">
        <v>139</v>
      </c>
      <c r="C708" s="7" t="s">
        <v>482</v>
      </c>
      <c r="D708" s="6"/>
      <c r="E708" s="9">
        <v>140</v>
      </c>
      <c r="F708" s="8">
        <v>721000</v>
      </c>
      <c r="G708" s="8">
        <v>721000</v>
      </c>
      <c r="H708" s="9">
        <v>0</v>
      </c>
      <c r="I708" s="8">
        <v>721000</v>
      </c>
      <c r="J708" s="8">
        <v>712321</v>
      </c>
      <c r="K708" s="8">
        <v>8679</v>
      </c>
      <c r="L708" s="9">
        <v>1</v>
      </c>
      <c r="M708" s="6"/>
    </row>
    <row r="709" spans="1:13" ht="21" customHeight="1" x14ac:dyDescent="0.3">
      <c r="A709" s="10"/>
      <c r="B709" s="3" t="s">
        <v>17</v>
      </c>
      <c r="C709" s="4" t="s">
        <v>18</v>
      </c>
      <c r="D709" s="4" t="s">
        <v>19</v>
      </c>
      <c r="E709" s="4" t="s">
        <v>11</v>
      </c>
      <c r="F709" s="3" t="s">
        <v>20</v>
      </c>
    </row>
    <row r="710" spans="1:13" ht="21" customHeight="1" x14ac:dyDescent="0.3">
      <c r="A710" s="10"/>
      <c r="B710" s="11" t="s">
        <v>22</v>
      </c>
      <c r="C710" s="9" t="s">
        <v>329</v>
      </c>
      <c r="D710" s="8">
        <v>8500</v>
      </c>
      <c r="E710" s="8">
        <v>605972</v>
      </c>
      <c r="F710" s="13"/>
    </row>
    <row r="711" spans="1:13" ht="21" customHeight="1" x14ac:dyDescent="0.3">
      <c r="A711" s="10"/>
      <c r="B711" s="11" t="s">
        <v>38</v>
      </c>
      <c r="C711" s="9" t="s">
        <v>340</v>
      </c>
      <c r="D711" s="8">
        <v>1800</v>
      </c>
      <c r="E711" s="8">
        <v>106349</v>
      </c>
      <c r="F711" s="13"/>
    </row>
    <row r="712" spans="1:13" ht="21" customHeight="1" x14ac:dyDescent="0.3">
      <c r="A712" s="10"/>
      <c r="B712" s="14"/>
      <c r="C712" s="15"/>
      <c r="D712" s="15"/>
      <c r="E712" s="15"/>
      <c r="F712" s="14"/>
    </row>
    <row r="713" spans="1:13" ht="21" customHeight="1" x14ac:dyDescent="0.3">
      <c r="A713" s="16">
        <v>46230</v>
      </c>
      <c r="B713" s="6" t="s">
        <v>25</v>
      </c>
      <c r="C713" s="7" t="s">
        <v>483</v>
      </c>
      <c r="D713" s="6"/>
      <c r="E713" s="9">
        <v>8</v>
      </c>
      <c r="F713" s="8">
        <v>64160</v>
      </c>
      <c r="G713" s="9">
        <v>0</v>
      </c>
      <c r="H713" s="8">
        <v>64160</v>
      </c>
      <c r="I713" s="8">
        <v>64160</v>
      </c>
      <c r="J713" s="8">
        <v>61480</v>
      </c>
      <c r="K713" s="8">
        <v>2680</v>
      </c>
      <c r="L713" s="9">
        <v>4</v>
      </c>
      <c r="M713" s="6"/>
    </row>
    <row r="714" spans="1:13" ht="21" customHeight="1" x14ac:dyDescent="0.3">
      <c r="A714" s="10"/>
      <c r="B714" s="3" t="s">
        <v>17</v>
      </c>
      <c r="C714" s="4" t="s">
        <v>18</v>
      </c>
      <c r="D714" s="4" t="s">
        <v>19</v>
      </c>
      <c r="E714" s="4" t="s">
        <v>11</v>
      </c>
      <c r="F714" s="3" t="s">
        <v>20</v>
      </c>
    </row>
    <row r="715" spans="1:13" ht="21" customHeight="1" x14ac:dyDescent="0.3">
      <c r="A715" s="10"/>
      <c r="B715" s="11" t="s">
        <v>27</v>
      </c>
      <c r="C715" s="9" t="s">
        <v>484</v>
      </c>
      <c r="D715" s="8">
        <v>8020</v>
      </c>
      <c r="E715" s="8">
        <v>61480</v>
      </c>
      <c r="F715" s="13"/>
    </row>
    <row r="716" spans="1:13" ht="21" customHeight="1" x14ac:dyDescent="0.3">
      <c r="A716" s="10"/>
      <c r="B716" s="14"/>
      <c r="C716" s="15"/>
      <c r="D716" s="15"/>
      <c r="E716" s="15"/>
      <c r="F716" s="14"/>
    </row>
    <row r="717" spans="1:13" ht="21" customHeight="1" x14ac:dyDescent="0.3">
      <c r="A717" s="16">
        <v>46230</v>
      </c>
      <c r="B717" s="6" t="s">
        <v>145</v>
      </c>
      <c r="C717" s="7" t="s">
        <v>485</v>
      </c>
      <c r="D717" s="6"/>
      <c r="E717" s="9">
        <v>10</v>
      </c>
      <c r="F717" s="8">
        <v>76675</v>
      </c>
      <c r="G717" s="8">
        <v>13600</v>
      </c>
      <c r="H717" s="8">
        <v>63075</v>
      </c>
      <c r="I717" s="8">
        <v>76675</v>
      </c>
      <c r="J717" s="8">
        <v>64158</v>
      </c>
      <c r="K717" s="8">
        <v>12517</v>
      </c>
      <c r="L717" s="9">
        <v>16</v>
      </c>
      <c r="M717" s="6"/>
    </row>
    <row r="718" spans="1:13" ht="21" customHeight="1" x14ac:dyDescent="0.3">
      <c r="A718" s="10"/>
      <c r="B718" s="3" t="s">
        <v>17</v>
      </c>
      <c r="C718" s="4" t="s">
        <v>18</v>
      </c>
      <c r="D718" s="4" t="s">
        <v>19</v>
      </c>
      <c r="E718" s="4" t="s">
        <v>11</v>
      </c>
      <c r="F718" s="3" t="s">
        <v>20</v>
      </c>
    </row>
    <row r="719" spans="1:13" ht="21" customHeight="1" x14ac:dyDescent="0.3">
      <c r="A719" s="10"/>
      <c r="B719" s="11" t="s">
        <v>45</v>
      </c>
      <c r="C719" s="9" t="s">
        <v>270</v>
      </c>
      <c r="D719" s="8">
        <v>13335</v>
      </c>
      <c r="E719" s="8">
        <v>63731</v>
      </c>
      <c r="F719" s="13"/>
    </row>
    <row r="720" spans="1:13" ht="21" customHeight="1" x14ac:dyDescent="0.3">
      <c r="A720" s="10"/>
      <c r="B720" s="11" t="s">
        <v>148</v>
      </c>
      <c r="C720" s="9" t="s">
        <v>377</v>
      </c>
      <c r="D720" s="8">
        <v>2000</v>
      </c>
      <c r="E720" s="9">
        <v>427</v>
      </c>
      <c r="F720" s="13"/>
    </row>
    <row r="721" spans="1:13" ht="21" customHeight="1" x14ac:dyDescent="0.3">
      <c r="A721" s="10"/>
      <c r="B721" s="14"/>
      <c r="C721" s="15"/>
      <c r="D721" s="15"/>
      <c r="E721" s="15"/>
      <c r="F721" s="14"/>
    </row>
    <row r="722" spans="1:13" ht="21" customHeight="1" x14ac:dyDescent="0.3">
      <c r="A722" s="16">
        <v>46230</v>
      </c>
      <c r="B722" s="6" t="s">
        <v>15</v>
      </c>
      <c r="C722" s="7" t="s">
        <v>486</v>
      </c>
      <c r="D722" s="6"/>
      <c r="E722" s="9">
        <v>1</v>
      </c>
      <c r="F722" s="8">
        <v>5300</v>
      </c>
      <c r="G722" s="8">
        <v>5300</v>
      </c>
      <c r="H722" s="9">
        <v>0</v>
      </c>
      <c r="I722" s="8">
        <v>5300</v>
      </c>
      <c r="J722" s="8">
        <v>5200</v>
      </c>
      <c r="K722" s="9">
        <v>100</v>
      </c>
      <c r="L722" s="9">
        <v>2</v>
      </c>
      <c r="M722" s="6"/>
    </row>
    <row r="723" spans="1:13" ht="21" customHeight="1" x14ac:dyDescent="0.3">
      <c r="A723" s="10"/>
      <c r="B723" s="3" t="s">
        <v>17</v>
      </c>
      <c r="C723" s="4" t="s">
        <v>18</v>
      </c>
      <c r="D723" s="4" t="s">
        <v>19</v>
      </c>
      <c r="E723" s="4" t="s">
        <v>11</v>
      </c>
      <c r="F723" s="3" t="s">
        <v>20</v>
      </c>
    </row>
    <row r="724" spans="1:13" ht="21" customHeight="1" x14ac:dyDescent="0.3">
      <c r="A724" s="10"/>
      <c r="B724" s="11" t="s">
        <v>24</v>
      </c>
      <c r="C724" s="9" t="s">
        <v>257</v>
      </c>
      <c r="D724" s="8">
        <v>5300</v>
      </c>
      <c r="E724" s="8">
        <v>5200</v>
      </c>
      <c r="F724" s="13"/>
    </row>
    <row r="725" spans="1:13" ht="21" customHeight="1" x14ac:dyDescent="0.3">
      <c r="A725" s="10"/>
      <c r="B725" s="14"/>
      <c r="C725" s="15"/>
      <c r="D725" s="15"/>
      <c r="E725" s="15"/>
      <c r="F725" s="14"/>
    </row>
    <row r="726" spans="1:13" ht="21" customHeight="1" x14ac:dyDescent="0.3">
      <c r="A726" s="16">
        <v>46230</v>
      </c>
      <c r="B726" s="6" t="s">
        <v>85</v>
      </c>
      <c r="C726" s="7" t="s">
        <v>487</v>
      </c>
      <c r="D726" s="6"/>
      <c r="E726" s="9">
        <v>46</v>
      </c>
      <c r="F726" s="8">
        <v>386590</v>
      </c>
      <c r="G726" s="8">
        <v>44400</v>
      </c>
      <c r="H726" s="8">
        <v>342190</v>
      </c>
      <c r="I726" s="8">
        <v>386590</v>
      </c>
      <c r="J726" s="8">
        <v>325142</v>
      </c>
      <c r="K726" s="8">
        <v>61448</v>
      </c>
      <c r="L726" s="9">
        <v>16</v>
      </c>
      <c r="M726" s="6"/>
    </row>
    <row r="727" spans="1:13" ht="21" customHeight="1" x14ac:dyDescent="0.3">
      <c r="A727" s="10"/>
      <c r="B727" s="3" t="s">
        <v>17</v>
      </c>
      <c r="C727" s="4" t="s">
        <v>18</v>
      </c>
      <c r="D727" s="4" t="s">
        <v>19</v>
      </c>
      <c r="E727" s="4" t="s">
        <v>11</v>
      </c>
      <c r="F727" s="3" t="s">
        <v>20</v>
      </c>
    </row>
    <row r="728" spans="1:13" ht="21" customHeight="1" x14ac:dyDescent="0.3">
      <c r="A728" s="10"/>
      <c r="B728" s="11" t="s">
        <v>45</v>
      </c>
      <c r="C728" s="9" t="s">
        <v>314</v>
      </c>
      <c r="D728" s="8">
        <v>13950</v>
      </c>
      <c r="E728" s="8">
        <v>127462</v>
      </c>
      <c r="F728" s="13"/>
    </row>
    <row r="729" spans="1:13" ht="21" customHeight="1" x14ac:dyDescent="0.3">
      <c r="A729" s="10"/>
      <c r="B729" s="11" t="s">
        <v>22</v>
      </c>
      <c r="C729" s="9" t="s">
        <v>270</v>
      </c>
      <c r="D729" s="8">
        <v>9300</v>
      </c>
      <c r="E729" s="8">
        <v>43284</v>
      </c>
      <c r="F729" s="13"/>
    </row>
    <row r="730" spans="1:13" ht="21" customHeight="1" x14ac:dyDescent="0.3">
      <c r="A730" s="10"/>
      <c r="B730" s="11" t="s">
        <v>101</v>
      </c>
      <c r="C730" s="9" t="s">
        <v>323</v>
      </c>
      <c r="D730" s="8">
        <v>14455</v>
      </c>
      <c r="E730" s="8">
        <v>38760</v>
      </c>
      <c r="F730" s="13"/>
    </row>
    <row r="731" spans="1:13" ht="21" customHeight="1" x14ac:dyDescent="0.3">
      <c r="A731" s="10"/>
      <c r="B731" s="11" t="s">
        <v>87</v>
      </c>
      <c r="C731" s="9" t="s">
        <v>270</v>
      </c>
      <c r="D731" s="8">
        <v>22565</v>
      </c>
      <c r="E731" s="8">
        <v>102200</v>
      </c>
      <c r="F731" s="13"/>
    </row>
    <row r="732" spans="1:13" ht="21" customHeight="1" x14ac:dyDescent="0.3">
      <c r="A732" s="10"/>
      <c r="B732" s="11" t="s">
        <v>148</v>
      </c>
      <c r="C732" s="9" t="s">
        <v>351</v>
      </c>
      <c r="D732" s="8">
        <v>2000</v>
      </c>
      <c r="E732" s="8">
        <v>1282</v>
      </c>
      <c r="F732" s="13"/>
    </row>
    <row r="733" spans="1:13" ht="21" customHeight="1" x14ac:dyDescent="0.3">
      <c r="A733" s="10"/>
      <c r="B733" s="11" t="s">
        <v>38</v>
      </c>
      <c r="C733" s="9" t="s">
        <v>372</v>
      </c>
      <c r="D733" s="8">
        <v>1800</v>
      </c>
      <c r="E733" s="8">
        <v>12154</v>
      </c>
      <c r="F733" s="13"/>
    </row>
    <row r="734" spans="1:13" ht="21" customHeight="1" x14ac:dyDescent="0.3">
      <c r="A734" s="10"/>
      <c r="B734" s="14"/>
      <c r="C734" s="15"/>
      <c r="D734" s="15"/>
      <c r="E734" s="15"/>
      <c r="F734" s="14"/>
    </row>
    <row r="735" spans="1:13" ht="21" customHeight="1" x14ac:dyDescent="0.3">
      <c r="A735" s="16">
        <v>46230</v>
      </c>
      <c r="B735" s="6" t="s">
        <v>59</v>
      </c>
      <c r="C735" s="7" t="s">
        <v>488</v>
      </c>
      <c r="D735" s="6"/>
      <c r="E735" s="9">
        <v>100</v>
      </c>
      <c r="F735" s="8">
        <v>500000</v>
      </c>
      <c r="G735" s="8">
        <v>80000</v>
      </c>
      <c r="H735" s="8">
        <v>420000</v>
      </c>
      <c r="I735" s="8">
        <v>500000</v>
      </c>
      <c r="J735" s="8">
        <v>520000</v>
      </c>
      <c r="K735" s="8">
        <v>-20000</v>
      </c>
      <c r="L735" s="9">
        <v>-4</v>
      </c>
      <c r="M735" s="6"/>
    </row>
    <row r="736" spans="1:13" ht="21" customHeight="1" x14ac:dyDescent="0.3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1:13" ht="21" customHeight="1" x14ac:dyDescent="0.3">
      <c r="A737" s="10"/>
      <c r="B737" s="11" t="s">
        <v>24</v>
      </c>
      <c r="C737" s="9" t="s">
        <v>259</v>
      </c>
      <c r="D737" s="8">
        <v>5000</v>
      </c>
      <c r="E737" s="8">
        <v>520000</v>
      </c>
      <c r="F737" s="13"/>
    </row>
    <row r="738" spans="1:13" ht="21" customHeight="1" x14ac:dyDescent="0.3">
      <c r="A738" s="10"/>
      <c r="B738" s="14"/>
      <c r="C738" s="15"/>
      <c r="D738" s="15"/>
      <c r="E738" s="15"/>
      <c r="F738" s="14"/>
    </row>
    <row r="739" spans="1:13" ht="21" customHeight="1" x14ac:dyDescent="0.3">
      <c r="A739" s="16">
        <v>46230</v>
      </c>
      <c r="B739" s="6" t="s">
        <v>75</v>
      </c>
      <c r="C739" s="7" t="s">
        <v>489</v>
      </c>
      <c r="D739" s="6"/>
      <c r="E739" s="9">
        <v>8</v>
      </c>
      <c r="F739" s="8">
        <v>44540</v>
      </c>
      <c r="G739" s="8">
        <v>7200</v>
      </c>
      <c r="H739" s="8">
        <v>37340</v>
      </c>
      <c r="I739" s="8">
        <v>44540</v>
      </c>
      <c r="J739" s="8">
        <v>40704</v>
      </c>
      <c r="K739" s="8">
        <v>3836</v>
      </c>
      <c r="L739" s="9">
        <v>9</v>
      </c>
      <c r="M739" s="6" t="s">
        <v>490</v>
      </c>
    </row>
    <row r="740" spans="1:13" ht="21" customHeight="1" x14ac:dyDescent="0.3">
      <c r="A740" s="10"/>
      <c r="B740" s="3" t="s">
        <v>17</v>
      </c>
      <c r="C740" s="4" t="s">
        <v>18</v>
      </c>
      <c r="D740" s="4" t="s">
        <v>19</v>
      </c>
      <c r="E740" s="4" t="s">
        <v>11</v>
      </c>
      <c r="F740" s="3" t="s">
        <v>20</v>
      </c>
    </row>
    <row r="741" spans="1:13" ht="21" customHeight="1" x14ac:dyDescent="0.3">
      <c r="A741" s="10"/>
      <c r="B741" s="11" t="s">
        <v>22</v>
      </c>
      <c r="C741" s="9" t="s">
        <v>301</v>
      </c>
      <c r="D741" s="8">
        <v>9335</v>
      </c>
      <c r="E741" s="8">
        <v>34627</v>
      </c>
      <c r="F741" s="13"/>
    </row>
    <row r="742" spans="1:13" ht="21" customHeight="1" x14ac:dyDescent="0.3">
      <c r="A742" s="10"/>
      <c r="B742" s="11" t="s">
        <v>38</v>
      </c>
      <c r="C742" s="9" t="s">
        <v>354</v>
      </c>
      <c r="D742" s="8">
        <v>1800</v>
      </c>
      <c r="E742" s="8">
        <v>6077</v>
      </c>
      <c r="F742" s="13"/>
    </row>
    <row r="743" spans="1:13" ht="21" customHeight="1" x14ac:dyDescent="0.3">
      <c r="A743" s="10"/>
      <c r="B743" s="14"/>
      <c r="C743" s="15"/>
      <c r="D743" s="15"/>
      <c r="E743" s="15"/>
      <c r="F743" s="14"/>
    </row>
    <row r="744" spans="1:13" ht="21" customHeight="1" x14ac:dyDescent="0.3">
      <c r="A744" s="16">
        <v>46230</v>
      </c>
      <c r="B744" s="6" t="s">
        <v>336</v>
      </c>
      <c r="C744" s="7" t="s">
        <v>491</v>
      </c>
      <c r="D744" s="6"/>
      <c r="E744" s="9">
        <v>10</v>
      </c>
      <c r="F744" s="8">
        <v>105070</v>
      </c>
      <c r="G744" s="8">
        <v>105070</v>
      </c>
      <c r="H744" s="9">
        <v>0</v>
      </c>
      <c r="I744" s="8">
        <v>105070</v>
      </c>
      <c r="J744" s="8">
        <v>98905</v>
      </c>
      <c r="K744" s="8">
        <v>6165</v>
      </c>
      <c r="L744" s="9">
        <v>6</v>
      </c>
      <c r="M744" s="6"/>
    </row>
    <row r="745" spans="1:13" ht="21" customHeight="1" x14ac:dyDescent="0.3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1:13" ht="21" customHeight="1" x14ac:dyDescent="0.3">
      <c r="A746" s="10"/>
      <c r="B746" s="11" t="s">
        <v>45</v>
      </c>
      <c r="C746" s="9" t="s">
        <v>274</v>
      </c>
      <c r="D746" s="8">
        <v>13335</v>
      </c>
      <c r="E746" s="8">
        <v>25492</v>
      </c>
      <c r="F746" s="13"/>
    </row>
    <row r="747" spans="1:13" ht="21" customHeight="1" x14ac:dyDescent="0.3">
      <c r="A747" s="10"/>
      <c r="B747" s="11" t="s">
        <v>21</v>
      </c>
      <c r="C747" s="9" t="s">
        <v>274</v>
      </c>
      <c r="D747" s="8">
        <v>9000</v>
      </c>
      <c r="E747" s="8">
        <v>16235</v>
      </c>
      <c r="F747" s="13"/>
    </row>
    <row r="748" spans="1:13" ht="21" customHeight="1" x14ac:dyDescent="0.3">
      <c r="A748" s="10"/>
      <c r="B748" s="11" t="s">
        <v>22</v>
      </c>
      <c r="C748" s="9" t="s">
        <v>274</v>
      </c>
      <c r="D748" s="8">
        <v>9200</v>
      </c>
      <c r="E748" s="8">
        <v>17313</v>
      </c>
      <c r="F748" s="13"/>
    </row>
    <row r="749" spans="1:13" ht="21" customHeight="1" x14ac:dyDescent="0.3">
      <c r="A749" s="10"/>
      <c r="B749" s="11" t="s">
        <v>44</v>
      </c>
      <c r="C749" s="9" t="s">
        <v>275</v>
      </c>
      <c r="D749" s="8">
        <v>9200</v>
      </c>
      <c r="E749" s="8">
        <v>8990</v>
      </c>
      <c r="F749" s="13"/>
    </row>
    <row r="750" spans="1:13" ht="21" customHeight="1" x14ac:dyDescent="0.3">
      <c r="A750" s="10"/>
      <c r="B750" s="11" t="s">
        <v>37</v>
      </c>
      <c r="C750" s="9" t="s">
        <v>275</v>
      </c>
      <c r="D750" s="8">
        <v>9200</v>
      </c>
      <c r="E750" s="8">
        <v>8525</v>
      </c>
      <c r="F750" s="13"/>
    </row>
    <row r="751" spans="1:13" ht="21" customHeight="1" x14ac:dyDescent="0.3">
      <c r="A751" s="10"/>
      <c r="B751" s="11" t="s">
        <v>43</v>
      </c>
      <c r="C751" s="9" t="s">
        <v>275</v>
      </c>
      <c r="D751" s="8">
        <v>18300</v>
      </c>
      <c r="E751" s="8">
        <v>17150</v>
      </c>
      <c r="F751" s="13"/>
    </row>
    <row r="752" spans="1:13" ht="21" customHeight="1" x14ac:dyDescent="0.3">
      <c r="A752" s="10"/>
      <c r="B752" s="11" t="s">
        <v>24</v>
      </c>
      <c r="C752" s="9" t="s">
        <v>257</v>
      </c>
      <c r="D752" s="8">
        <v>5300</v>
      </c>
      <c r="E752" s="8">
        <v>5200</v>
      </c>
      <c r="F752" s="13"/>
    </row>
    <row r="753" spans="1:13" ht="21" customHeight="1" x14ac:dyDescent="0.3">
      <c r="A753" s="10"/>
      <c r="B753" s="14"/>
      <c r="C753" s="15"/>
      <c r="D753" s="15"/>
      <c r="E753" s="15"/>
      <c r="F753" s="14"/>
    </row>
    <row r="754" spans="1:13" ht="21" customHeight="1" x14ac:dyDescent="0.3">
      <c r="A754" s="16">
        <v>46230</v>
      </c>
      <c r="B754" s="6" t="s">
        <v>59</v>
      </c>
      <c r="C754" s="7" t="s">
        <v>492</v>
      </c>
      <c r="D754" s="6"/>
      <c r="E754" s="9">
        <v>70</v>
      </c>
      <c r="F754" s="8">
        <v>380200</v>
      </c>
      <c r="G754" s="8">
        <v>120000</v>
      </c>
      <c r="H754" s="8">
        <v>260200</v>
      </c>
      <c r="I754" s="8">
        <v>380200</v>
      </c>
      <c r="J754" s="8">
        <v>388850</v>
      </c>
      <c r="K754" s="8">
        <v>-8650</v>
      </c>
      <c r="L754" s="9">
        <v>-2</v>
      </c>
      <c r="M754" s="6"/>
    </row>
    <row r="755" spans="1:13" ht="21" customHeight="1" x14ac:dyDescent="0.3">
      <c r="A755" s="10"/>
      <c r="B755" s="3" t="s">
        <v>17</v>
      </c>
      <c r="C755" s="4" t="s">
        <v>18</v>
      </c>
      <c r="D755" s="4" t="s">
        <v>19</v>
      </c>
      <c r="E755" s="4" t="s">
        <v>11</v>
      </c>
      <c r="F755" s="3" t="s">
        <v>20</v>
      </c>
    </row>
    <row r="756" spans="1:13" ht="21" customHeight="1" x14ac:dyDescent="0.3">
      <c r="A756" s="10"/>
      <c r="B756" s="11" t="s">
        <v>24</v>
      </c>
      <c r="C756" s="9" t="s">
        <v>419</v>
      </c>
      <c r="D756" s="8">
        <v>5000</v>
      </c>
      <c r="E756" s="8">
        <v>312000</v>
      </c>
      <c r="F756" s="13"/>
    </row>
    <row r="757" spans="1:13" ht="21" customHeight="1" x14ac:dyDescent="0.3">
      <c r="A757" s="10"/>
      <c r="B757" s="11" t="s">
        <v>27</v>
      </c>
      <c r="C757" s="9" t="s">
        <v>333</v>
      </c>
      <c r="D757" s="8">
        <v>8020</v>
      </c>
      <c r="E757" s="8">
        <v>76850</v>
      </c>
      <c r="F757" s="13"/>
    </row>
    <row r="758" spans="1:13" ht="21" customHeight="1" x14ac:dyDescent="0.3">
      <c r="A758" s="10"/>
      <c r="B758" s="14"/>
      <c r="C758" s="15"/>
      <c r="D758" s="15"/>
      <c r="E758" s="15"/>
      <c r="F758" s="14"/>
    </row>
    <row r="759" spans="1:13" ht="21" customHeight="1" x14ac:dyDescent="0.3">
      <c r="A759" s="16">
        <v>46230</v>
      </c>
      <c r="B759" s="6" t="s">
        <v>15</v>
      </c>
      <c r="C759" s="7" t="s">
        <v>493</v>
      </c>
      <c r="D759" s="6"/>
      <c r="E759" s="9">
        <v>3</v>
      </c>
      <c r="F759" s="8">
        <v>28000</v>
      </c>
      <c r="G759" s="8">
        <v>28000</v>
      </c>
      <c r="H759" s="9">
        <v>0</v>
      </c>
      <c r="I759" s="8">
        <v>28000</v>
      </c>
      <c r="J759" s="8">
        <v>25633</v>
      </c>
      <c r="K759" s="8">
        <v>2367</v>
      </c>
      <c r="L759" s="9">
        <v>8</v>
      </c>
      <c r="M759" s="6"/>
    </row>
    <row r="760" spans="1:13" ht="21" customHeight="1" x14ac:dyDescent="0.3">
      <c r="A760" s="10"/>
      <c r="B760" s="3" t="s">
        <v>17</v>
      </c>
      <c r="C760" s="4" t="s">
        <v>18</v>
      </c>
      <c r="D760" s="4" t="s">
        <v>19</v>
      </c>
      <c r="E760" s="4" t="s">
        <v>11</v>
      </c>
      <c r="F760" s="3" t="s">
        <v>20</v>
      </c>
    </row>
    <row r="761" spans="1:13" ht="21" customHeight="1" x14ac:dyDescent="0.3">
      <c r="A761" s="10"/>
      <c r="B761" s="11" t="s">
        <v>44</v>
      </c>
      <c r="C761" s="9" t="s">
        <v>275</v>
      </c>
      <c r="D761" s="8">
        <v>9500</v>
      </c>
      <c r="E761" s="8">
        <v>8990</v>
      </c>
      <c r="F761" s="13"/>
    </row>
    <row r="762" spans="1:13" ht="21" customHeight="1" x14ac:dyDescent="0.3">
      <c r="A762" s="10"/>
      <c r="B762" s="11" t="s">
        <v>37</v>
      </c>
      <c r="C762" s="9" t="s">
        <v>275</v>
      </c>
      <c r="D762" s="8">
        <v>9500</v>
      </c>
      <c r="E762" s="8">
        <v>8525</v>
      </c>
      <c r="F762" s="13"/>
    </row>
    <row r="763" spans="1:13" ht="21" customHeight="1" x14ac:dyDescent="0.3">
      <c r="A763" s="10"/>
      <c r="B763" s="11" t="s">
        <v>21</v>
      </c>
      <c r="C763" s="9" t="s">
        <v>275</v>
      </c>
      <c r="D763" s="8">
        <v>9000</v>
      </c>
      <c r="E763" s="8">
        <v>8118</v>
      </c>
      <c r="F763" s="13"/>
    </row>
    <row r="764" spans="1:13" ht="21" customHeight="1" x14ac:dyDescent="0.3">
      <c r="A764" s="10"/>
      <c r="B764" s="14"/>
      <c r="C764" s="15"/>
      <c r="D764" s="15"/>
      <c r="E764" s="15"/>
      <c r="F764" s="14"/>
    </row>
    <row r="765" spans="1:13" ht="21" customHeight="1" x14ac:dyDescent="0.3">
      <c r="A765" s="23">
        <v>46231</v>
      </c>
      <c r="B765" s="6" t="s">
        <v>212</v>
      </c>
      <c r="C765" s="7" t="s">
        <v>494</v>
      </c>
      <c r="D765" s="6"/>
      <c r="E765" s="9">
        <v>5</v>
      </c>
      <c r="F765" s="8">
        <v>46000</v>
      </c>
      <c r="G765" s="8">
        <v>46000</v>
      </c>
      <c r="H765" s="9">
        <v>0</v>
      </c>
      <c r="I765" s="8">
        <v>46000</v>
      </c>
      <c r="J765" s="8">
        <v>43617</v>
      </c>
      <c r="K765" s="8">
        <v>2383</v>
      </c>
      <c r="L765" s="9">
        <v>5</v>
      </c>
      <c r="M765" s="6"/>
    </row>
    <row r="766" spans="1:13" ht="21" customHeight="1" x14ac:dyDescent="0.3">
      <c r="A766" s="10"/>
      <c r="B766" s="3" t="s">
        <v>17</v>
      </c>
      <c r="C766" s="4" t="s">
        <v>18</v>
      </c>
      <c r="D766" s="4" t="s">
        <v>19</v>
      </c>
      <c r="E766" s="4" t="s">
        <v>11</v>
      </c>
      <c r="F766" s="3" t="s">
        <v>20</v>
      </c>
    </row>
    <row r="767" spans="1:13" ht="21" customHeight="1" x14ac:dyDescent="0.3">
      <c r="A767" s="10"/>
      <c r="B767" s="11" t="s">
        <v>22</v>
      </c>
      <c r="C767" s="9" t="s">
        <v>301</v>
      </c>
      <c r="D767" s="8">
        <v>9200</v>
      </c>
      <c r="E767" s="8">
        <v>34627</v>
      </c>
      <c r="F767" s="13"/>
    </row>
    <row r="768" spans="1:13" ht="21" customHeight="1" x14ac:dyDescent="0.3">
      <c r="A768" s="10"/>
      <c r="B768" s="11" t="s">
        <v>44</v>
      </c>
      <c r="C768" s="9" t="s">
        <v>275</v>
      </c>
      <c r="D768" s="8">
        <v>9200</v>
      </c>
      <c r="E768" s="8">
        <v>8990</v>
      </c>
      <c r="F768" s="13"/>
    </row>
    <row r="769" spans="1:13" ht="21" customHeight="1" x14ac:dyDescent="0.3">
      <c r="A769" s="10"/>
      <c r="B769" s="14"/>
      <c r="C769" s="15"/>
      <c r="D769" s="15"/>
      <c r="E769" s="15"/>
      <c r="F769" s="14"/>
    </row>
    <row r="770" spans="1:13" ht="21" customHeight="1" x14ac:dyDescent="0.3">
      <c r="A770" s="16">
        <v>46231</v>
      </c>
      <c r="B770" s="6" t="s">
        <v>95</v>
      </c>
      <c r="C770" s="7" t="s">
        <v>495</v>
      </c>
      <c r="D770" s="6"/>
      <c r="E770" s="9">
        <v>258</v>
      </c>
      <c r="F770" s="8">
        <v>1307800</v>
      </c>
      <c r="G770" s="8">
        <v>1090000</v>
      </c>
      <c r="H770" s="8">
        <v>217800</v>
      </c>
      <c r="I770" s="8">
        <v>1307800</v>
      </c>
      <c r="J770" s="8">
        <v>1366450</v>
      </c>
      <c r="K770" s="8">
        <v>-58650</v>
      </c>
      <c r="L770" s="9">
        <v>-4</v>
      </c>
      <c r="M770" s="6"/>
    </row>
    <row r="771" spans="1:13" ht="21" customHeight="1" x14ac:dyDescent="0.3">
      <c r="A771" s="10"/>
      <c r="B771" s="3" t="s">
        <v>17</v>
      </c>
      <c r="C771" s="4" t="s">
        <v>18</v>
      </c>
      <c r="D771" s="4" t="s">
        <v>19</v>
      </c>
      <c r="E771" s="4" t="s">
        <v>11</v>
      </c>
      <c r="F771" s="3" t="s">
        <v>20</v>
      </c>
    </row>
    <row r="772" spans="1:13" ht="21" customHeight="1" x14ac:dyDescent="0.3">
      <c r="A772" s="10"/>
      <c r="B772" s="11" t="s">
        <v>24</v>
      </c>
      <c r="C772" s="9" t="s">
        <v>346</v>
      </c>
      <c r="D772" s="8">
        <v>4950</v>
      </c>
      <c r="E772" s="8">
        <v>1289600</v>
      </c>
      <c r="F772" s="13"/>
    </row>
    <row r="773" spans="1:13" ht="21" customHeight="1" x14ac:dyDescent="0.3">
      <c r="A773" s="10"/>
      <c r="B773" s="11" t="s">
        <v>27</v>
      </c>
      <c r="C773" s="9" t="s">
        <v>333</v>
      </c>
      <c r="D773" s="8">
        <v>8020</v>
      </c>
      <c r="E773" s="8">
        <v>76850</v>
      </c>
      <c r="F773" s="13"/>
    </row>
    <row r="774" spans="1:13" ht="21" customHeight="1" x14ac:dyDescent="0.3">
      <c r="A774" s="10"/>
      <c r="B774" s="14"/>
      <c r="C774" s="15"/>
      <c r="D774" s="15"/>
      <c r="E774" s="15"/>
      <c r="F774" s="14"/>
    </row>
    <row r="775" spans="1:13" ht="21" customHeight="1" x14ac:dyDescent="0.3">
      <c r="A775" s="16">
        <v>46231</v>
      </c>
      <c r="B775" s="6" t="s">
        <v>15</v>
      </c>
      <c r="C775" s="7" t="s">
        <v>496</v>
      </c>
      <c r="D775" s="6"/>
      <c r="E775" s="9">
        <v>1</v>
      </c>
      <c r="F775" s="8">
        <v>5300</v>
      </c>
      <c r="G775" s="8">
        <v>5300</v>
      </c>
      <c r="H775" s="9">
        <v>0</v>
      </c>
      <c r="I775" s="8">
        <v>5300</v>
      </c>
      <c r="J775" s="8">
        <v>5200</v>
      </c>
      <c r="K775" s="9">
        <v>100</v>
      </c>
      <c r="L775" s="9">
        <v>2</v>
      </c>
      <c r="M775" s="6"/>
    </row>
    <row r="776" spans="1:13" ht="21" customHeight="1" x14ac:dyDescent="0.3">
      <c r="A776" s="10"/>
      <c r="B776" s="3" t="s">
        <v>17</v>
      </c>
      <c r="C776" s="4" t="s">
        <v>18</v>
      </c>
      <c r="D776" s="4" t="s">
        <v>19</v>
      </c>
      <c r="E776" s="4" t="s">
        <v>11</v>
      </c>
      <c r="F776" s="3" t="s">
        <v>20</v>
      </c>
    </row>
    <row r="777" spans="1:13" ht="21" customHeight="1" x14ac:dyDescent="0.3">
      <c r="A777" s="10"/>
      <c r="B777" s="11" t="s">
        <v>24</v>
      </c>
      <c r="C777" s="9" t="s">
        <v>257</v>
      </c>
      <c r="D777" s="8">
        <v>5300</v>
      </c>
      <c r="E777" s="8">
        <v>5200</v>
      </c>
      <c r="F777" s="13"/>
    </row>
    <row r="778" spans="1:13" ht="21" customHeight="1" x14ac:dyDescent="0.3">
      <c r="A778" s="10"/>
      <c r="B778" s="14"/>
      <c r="C778" s="15"/>
      <c r="D778" s="15"/>
      <c r="E778" s="15"/>
      <c r="F778" s="14"/>
    </row>
    <row r="779" spans="1:13" ht="21" customHeight="1" x14ac:dyDescent="0.3">
      <c r="A779" s="16">
        <v>46231</v>
      </c>
      <c r="B779" s="6" t="s">
        <v>25</v>
      </c>
      <c r="C779" s="7" t="s">
        <v>497</v>
      </c>
      <c r="D779" s="6"/>
      <c r="E779" s="9">
        <v>251</v>
      </c>
      <c r="F779" s="8">
        <v>1325335</v>
      </c>
      <c r="G779" s="8">
        <v>1050000</v>
      </c>
      <c r="H779" s="8">
        <v>275335</v>
      </c>
      <c r="I779" s="8">
        <v>1325335</v>
      </c>
      <c r="J779" s="8">
        <v>1367390</v>
      </c>
      <c r="K779" s="8">
        <v>-42055</v>
      </c>
      <c r="L779" s="9">
        <v>-3</v>
      </c>
      <c r="M779" s="6"/>
    </row>
    <row r="780" spans="1:13" ht="21" customHeight="1" x14ac:dyDescent="0.3">
      <c r="A780" s="10"/>
      <c r="B780" s="3" t="s">
        <v>17</v>
      </c>
      <c r="C780" s="4" t="s">
        <v>18</v>
      </c>
      <c r="D780" s="4" t="s">
        <v>19</v>
      </c>
      <c r="E780" s="4" t="s">
        <v>11</v>
      </c>
      <c r="F780" s="3" t="s">
        <v>20</v>
      </c>
    </row>
    <row r="781" spans="1:13" ht="21" customHeight="1" x14ac:dyDescent="0.3">
      <c r="A781" s="10"/>
      <c r="B781" s="11" t="s">
        <v>24</v>
      </c>
      <c r="C781" s="9" t="s">
        <v>346</v>
      </c>
      <c r="D781" s="8">
        <v>5000</v>
      </c>
      <c r="E781" s="8">
        <v>1289600</v>
      </c>
      <c r="F781" s="13"/>
    </row>
    <row r="782" spans="1:13" ht="21" customHeight="1" x14ac:dyDescent="0.3">
      <c r="A782" s="10"/>
      <c r="B782" s="11" t="s">
        <v>190</v>
      </c>
      <c r="C782" s="9" t="s">
        <v>498</v>
      </c>
      <c r="D782" s="8">
        <v>28445</v>
      </c>
      <c r="E782" s="8">
        <v>77790</v>
      </c>
      <c r="F782" s="13"/>
    </row>
    <row r="783" spans="1:13" ht="21" customHeight="1" x14ac:dyDescent="0.3">
      <c r="A783" s="10"/>
      <c r="B783" s="14"/>
      <c r="C783" s="15"/>
      <c r="D783" s="15"/>
      <c r="E783" s="15"/>
      <c r="F783" s="14"/>
    </row>
    <row r="784" spans="1:13" ht="21" customHeight="1" x14ac:dyDescent="0.3">
      <c r="A784" s="16">
        <v>46231</v>
      </c>
      <c r="B784" s="6" t="s">
        <v>50</v>
      </c>
      <c r="C784" s="7" t="s">
        <v>499</v>
      </c>
      <c r="D784" s="6"/>
      <c r="E784" s="9">
        <v>15</v>
      </c>
      <c r="F784" s="8">
        <v>75000</v>
      </c>
      <c r="G784" s="8">
        <v>75000</v>
      </c>
      <c r="H784" s="9">
        <v>0</v>
      </c>
      <c r="I784" s="8">
        <v>75000</v>
      </c>
      <c r="J784" s="8">
        <v>78000</v>
      </c>
      <c r="K784" s="8">
        <v>-3000</v>
      </c>
      <c r="L784" s="9">
        <v>-4</v>
      </c>
      <c r="M784" s="6"/>
    </row>
    <row r="785" spans="1:13" ht="21" customHeight="1" x14ac:dyDescent="0.3">
      <c r="A785" s="10"/>
      <c r="B785" s="3" t="s">
        <v>17</v>
      </c>
      <c r="C785" s="4" t="s">
        <v>18</v>
      </c>
      <c r="D785" s="4" t="s">
        <v>19</v>
      </c>
      <c r="E785" s="4" t="s">
        <v>11</v>
      </c>
      <c r="F785" s="3" t="s">
        <v>20</v>
      </c>
    </row>
    <row r="786" spans="1:13" ht="21" customHeight="1" x14ac:dyDescent="0.3">
      <c r="A786" s="10"/>
      <c r="B786" s="11" t="s">
        <v>24</v>
      </c>
      <c r="C786" s="9" t="s">
        <v>369</v>
      </c>
      <c r="D786" s="8">
        <v>5000</v>
      </c>
      <c r="E786" s="8">
        <v>78000</v>
      </c>
      <c r="F786" s="13"/>
    </row>
    <row r="787" spans="1:13" ht="21" customHeight="1" x14ac:dyDescent="0.3">
      <c r="A787" s="10"/>
      <c r="B787" s="14"/>
      <c r="C787" s="15"/>
      <c r="D787" s="15"/>
      <c r="E787" s="15"/>
      <c r="F787" s="14"/>
    </row>
    <row r="788" spans="1:13" ht="21" customHeight="1" x14ac:dyDescent="0.3">
      <c r="A788" s="16">
        <v>46231</v>
      </c>
      <c r="B788" s="6" t="s">
        <v>29</v>
      </c>
      <c r="C788" s="7" t="s">
        <v>500</v>
      </c>
      <c r="D788" s="6"/>
      <c r="E788" s="9">
        <v>134</v>
      </c>
      <c r="F788" s="8">
        <v>866365</v>
      </c>
      <c r="G788" s="8">
        <v>192600</v>
      </c>
      <c r="H788" s="8">
        <v>673765</v>
      </c>
      <c r="I788" s="8">
        <v>866365</v>
      </c>
      <c r="J788" s="8">
        <v>790401</v>
      </c>
      <c r="K788" s="8">
        <v>75964</v>
      </c>
      <c r="L788" s="9">
        <v>9</v>
      </c>
      <c r="M788" s="6"/>
    </row>
    <row r="789" spans="1:13" ht="21" customHeight="1" x14ac:dyDescent="0.3">
      <c r="A789" s="10"/>
      <c r="B789" s="3" t="s">
        <v>17</v>
      </c>
      <c r="C789" s="4" t="s">
        <v>18</v>
      </c>
      <c r="D789" s="4" t="s">
        <v>19</v>
      </c>
      <c r="E789" s="4" t="s">
        <v>11</v>
      </c>
      <c r="F789" s="3" t="s">
        <v>20</v>
      </c>
    </row>
    <row r="790" spans="1:13" ht="21" customHeight="1" x14ac:dyDescent="0.3">
      <c r="A790" s="10"/>
      <c r="B790" s="11" t="s">
        <v>44</v>
      </c>
      <c r="C790" s="9" t="s">
        <v>379</v>
      </c>
      <c r="D790" s="8">
        <v>9200</v>
      </c>
      <c r="E790" s="8">
        <v>161820</v>
      </c>
      <c r="F790" s="13"/>
    </row>
    <row r="791" spans="1:13" ht="21" customHeight="1" x14ac:dyDescent="0.3">
      <c r="A791" s="10"/>
      <c r="B791" s="11" t="s">
        <v>45</v>
      </c>
      <c r="C791" s="9" t="s">
        <v>501</v>
      </c>
      <c r="D791" s="8">
        <v>13335</v>
      </c>
      <c r="E791" s="8">
        <v>242177</v>
      </c>
      <c r="F791" s="13"/>
    </row>
    <row r="792" spans="1:13" ht="21" customHeight="1" x14ac:dyDescent="0.3">
      <c r="A792" s="10"/>
      <c r="B792" s="11" t="s">
        <v>37</v>
      </c>
      <c r="C792" s="9" t="s">
        <v>502</v>
      </c>
      <c r="D792" s="8">
        <v>8880</v>
      </c>
      <c r="E792" s="8">
        <v>102300</v>
      </c>
      <c r="F792" s="13"/>
    </row>
    <row r="793" spans="1:13" ht="21" customHeight="1" x14ac:dyDescent="0.3">
      <c r="A793" s="10"/>
      <c r="B793" s="11" t="s">
        <v>87</v>
      </c>
      <c r="C793" s="9" t="s">
        <v>275</v>
      </c>
      <c r="D793" s="8">
        <v>21400</v>
      </c>
      <c r="E793" s="8">
        <v>20440</v>
      </c>
      <c r="F793" s="13"/>
    </row>
    <row r="794" spans="1:13" ht="21" customHeight="1" x14ac:dyDescent="0.3">
      <c r="A794" s="10"/>
      <c r="B794" s="11" t="s">
        <v>65</v>
      </c>
      <c r="C794" s="9" t="s">
        <v>358</v>
      </c>
      <c r="D794" s="8">
        <v>11910</v>
      </c>
      <c r="E794" s="8">
        <v>124465</v>
      </c>
      <c r="F794" s="13"/>
    </row>
    <row r="795" spans="1:13" ht="21" customHeight="1" x14ac:dyDescent="0.3">
      <c r="A795" s="10"/>
      <c r="B795" s="11" t="s">
        <v>24</v>
      </c>
      <c r="C795" s="9" t="s">
        <v>503</v>
      </c>
      <c r="D795" s="8">
        <v>5000</v>
      </c>
      <c r="E795" s="8">
        <v>36400</v>
      </c>
      <c r="F795" s="13"/>
    </row>
    <row r="796" spans="1:13" ht="21" customHeight="1" x14ac:dyDescent="0.3">
      <c r="A796" s="10"/>
      <c r="B796" s="11" t="s">
        <v>28</v>
      </c>
      <c r="C796" s="9" t="s">
        <v>266</v>
      </c>
      <c r="D796" s="8">
        <v>13200</v>
      </c>
      <c r="E796" s="8">
        <v>13501</v>
      </c>
      <c r="F796" s="13"/>
    </row>
    <row r="797" spans="1:13" ht="21" customHeight="1" x14ac:dyDescent="0.3">
      <c r="A797" s="10"/>
      <c r="B797" s="11" t="s">
        <v>93</v>
      </c>
      <c r="C797" s="9" t="s">
        <v>274</v>
      </c>
      <c r="D797" s="8">
        <v>11415</v>
      </c>
      <c r="E797" s="8">
        <v>22260</v>
      </c>
      <c r="F797" s="13"/>
    </row>
    <row r="798" spans="1:13" ht="21" customHeight="1" x14ac:dyDescent="0.3">
      <c r="A798" s="10"/>
      <c r="B798" s="11" t="s">
        <v>148</v>
      </c>
      <c r="C798" s="9" t="s">
        <v>319</v>
      </c>
      <c r="D798" s="8">
        <v>2000</v>
      </c>
      <c r="E798" s="8">
        <v>1709</v>
      </c>
      <c r="F798" s="13"/>
    </row>
    <row r="799" spans="1:13" ht="21" customHeight="1" x14ac:dyDescent="0.3">
      <c r="A799" s="10"/>
      <c r="B799" s="11" t="s">
        <v>38</v>
      </c>
      <c r="C799" s="9" t="s">
        <v>504</v>
      </c>
      <c r="D799" s="8">
        <v>1800</v>
      </c>
      <c r="E799" s="8">
        <v>65329</v>
      </c>
      <c r="F799" s="13"/>
    </row>
    <row r="800" spans="1:13" ht="21" customHeight="1" x14ac:dyDescent="0.3">
      <c r="A800" s="10"/>
      <c r="B800" s="14"/>
      <c r="C800" s="15"/>
      <c r="D800" s="15"/>
      <c r="E800" s="15"/>
      <c r="F800" s="14"/>
    </row>
    <row r="801" spans="1:13" ht="21" customHeight="1" x14ac:dyDescent="0.3">
      <c r="A801" s="16">
        <v>46231</v>
      </c>
      <c r="B801" s="6" t="s">
        <v>75</v>
      </c>
      <c r="C801" s="7" t="s">
        <v>505</v>
      </c>
      <c r="D801" s="6"/>
      <c r="E801" s="9">
        <v>192</v>
      </c>
      <c r="F801" s="8">
        <v>1080230</v>
      </c>
      <c r="G801" s="8">
        <v>19000</v>
      </c>
      <c r="H801" s="8">
        <v>1061230</v>
      </c>
      <c r="I801" s="8">
        <v>1080230</v>
      </c>
      <c r="J801" s="8">
        <v>980034</v>
      </c>
      <c r="K801" s="8">
        <v>100196</v>
      </c>
      <c r="L801" s="9">
        <v>9</v>
      </c>
      <c r="M801" s="6"/>
    </row>
    <row r="802" spans="1:13" ht="21" customHeight="1" x14ac:dyDescent="0.3">
      <c r="A802" s="10"/>
      <c r="B802" s="3" t="s">
        <v>17</v>
      </c>
      <c r="C802" s="4" t="s">
        <v>18</v>
      </c>
      <c r="D802" s="4" t="s">
        <v>19</v>
      </c>
      <c r="E802" s="4" t="s">
        <v>11</v>
      </c>
      <c r="F802" s="3" t="s">
        <v>20</v>
      </c>
    </row>
    <row r="803" spans="1:13" ht="21" customHeight="1" x14ac:dyDescent="0.3">
      <c r="A803" s="10"/>
      <c r="B803" s="11" t="s">
        <v>22</v>
      </c>
      <c r="C803" s="9" t="s">
        <v>506</v>
      </c>
      <c r="D803" s="8">
        <v>9335</v>
      </c>
      <c r="E803" s="8">
        <v>709853</v>
      </c>
      <c r="F803" s="13"/>
    </row>
    <row r="804" spans="1:13" ht="21" customHeight="1" x14ac:dyDescent="0.3">
      <c r="A804" s="10"/>
      <c r="B804" s="11" t="s">
        <v>24</v>
      </c>
      <c r="C804" s="9" t="s">
        <v>507</v>
      </c>
      <c r="D804" s="8">
        <v>5970</v>
      </c>
      <c r="E804" s="8">
        <v>145600</v>
      </c>
      <c r="F804" s="13"/>
    </row>
    <row r="805" spans="1:13" ht="21" customHeight="1" x14ac:dyDescent="0.3">
      <c r="A805" s="10"/>
      <c r="B805" s="11" t="s">
        <v>38</v>
      </c>
      <c r="C805" s="9" t="s">
        <v>508</v>
      </c>
      <c r="D805" s="8">
        <v>1800</v>
      </c>
      <c r="E805" s="8">
        <v>124581</v>
      </c>
      <c r="F805" s="13"/>
    </row>
    <row r="806" spans="1:13" ht="21" customHeight="1" x14ac:dyDescent="0.3">
      <c r="A806" s="10"/>
      <c r="B806" s="14"/>
      <c r="C806" s="15"/>
      <c r="D806" s="15"/>
      <c r="E806" s="15"/>
      <c r="F806" s="14"/>
    </row>
    <row r="807" spans="1:13" ht="21" customHeight="1" x14ac:dyDescent="0.3">
      <c r="A807" s="16">
        <v>46231</v>
      </c>
      <c r="B807" s="6" t="s">
        <v>29</v>
      </c>
      <c r="C807" s="7" t="s">
        <v>509</v>
      </c>
      <c r="D807" s="6"/>
      <c r="E807" s="9">
        <v>91</v>
      </c>
      <c r="F807" s="8">
        <v>593410</v>
      </c>
      <c r="G807" s="9">
        <v>0</v>
      </c>
      <c r="H807" s="8">
        <v>593410</v>
      </c>
      <c r="I807" s="8">
        <v>593410</v>
      </c>
      <c r="J807" s="8">
        <v>549624</v>
      </c>
      <c r="K807" s="8">
        <v>43786</v>
      </c>
      <c r="L807" s="9">
        <v>7</v>
      </c>
      <c r="M807" s="6"/>
    </row>
    <row r="808" spans="1:13" ht="21" customHeight="1" x14ac:dyDescent="0.3">
      <c r="A808" s="10"/>
      <c r="B808" s="3" t="s">
        <v>17</v>
      </c>
      <c r="C808" s="4" t="s">
        <v>18</v>
      </c>
      <c r="D808" s="4" t="s">
        <v>19</v>
      </c>
      <c r="E808" s="4" t="s">
        <v>11</v>
      </c>
      <c r="F808" s="3" t="s">
        <v>20</v>
      </c>
    </row>
    <row r="809" spans="1:13" ht="21" customHeight="1" x14ac:dyDescent="0.3">
      <c r="A809" s="10"/>
      <c r="B809" s="11" t="s">
        <v>44</v>
      </c>
      <c r="C809" s="9" t="s">
        <v>350</v>
      </c>
      <c r="D809" s="8">
        <v>9200</v>
      </c>
      <c r="E809" s="8">
        <v>134850</v>
      </c>
      <c r="F809" s="13"/>
    </row>
    <row r="810" spans="1:13" ht="21" customHeight="1" x14ac:dyDescent="0.3">
      <c r="A810" s="10"/>
      <c r="B810" s="11" t="s">
        <v>45</v>
      </c>
      <c r="C810" s="9" t="s">
        <v>314</v>
      </c>
      <c r="D810" s="8">
        <v>13335</v>
      </c>
      <c r="E810" s="8">
        <v>127462</v>
      </c>
      <c r="F810" s="13"/>
    </row>
    <row r="811" spans="1:13" ht="21" customHeight="1" x14ac:dyDescent="0.3">
      <c r="A811" s="10"/>
      <c r="B811" s="11" t="s">
        <v>37</v>
      </c>
      <c r="C811" s="9" t="s">
        <v>270</v>
      </c>
      <c r="D811" s="8">
        <v>8880</v>
      </c>
      <c r="E811" s="8">
        <v>42625</v>
      </c>
      <c r="F811" s="13"/>
    </row>
    <row r="812" spans="1:13" ht="21" customHeight="1" x14ac:dyDescent="0.3">
      <c r="A812" s="10"/>
      <c r="B812" s="11" t="s">
        <v>100</v>
      </c>
      <c r="C812" s="9" t="s">
        <v>323</v>
      </c>
      <c r="D812" s="8">
        <v>11480</v>
      </c>
      <c r="E812" s="8">
        <v>32745</v>
      </c>
      <c r="F812" s="13"/>
    </row>
    <row r="813" spans="1:13" ht="21" customHeight="1" x14ac:dyDescent="0.3">
      <c r="A813" s="10"/>
      <c r="B813" s="11" t="s">
        <v>113</v>
      </c>
      <c r="C813" s="9" t="s">
        <v>323</v>
      </c>
      <c r="D813" s="8">
        <v>14575</v>
      </c>
      <c r="E813" s="8">
        <v>43425</v>
      </c>
      <c r="F813" s="13"/>
    </row>
    <row r="814" spans="1:13" ht="21" customHeight="1" x14ac:dyDescent="0.3">
      <c r="A814" s="10"/>
      <c r="B814" s="11" t="s">
        <v>65</v>
      </c>
      <c r="C814" s="9" t="s">
        <v>323</v>
      </c>
      <c r="D814" s="8">
        <v>11910</v>
      </c>
      <c r="E814" s="8">
        <v>33945</v>
      </c>
      <c r="F814" s="13"/>
    </row>
    <row r="815" spans="1:13" ht="21" customHeight="1" x14ac:dyDescent="0.3">
      <c r="A815" s="10"/>
      <c r="B815" s="11" t="s">
        <v>24</v>
      </c>
      <c r="C815" s="9" t="s">
        <v>368</v>
      </c>
      <c r="D815" s="8">
        <v>5000</v>
      </c>
      <c r="E815" s="8">
        <v>26000</v>
      </c>
      <c r="F815" s="13"/>
    </row>
    <row r="816" spans="1:13" ht="21" customHeight="1" x14ac:dyDescent="0.3">
      <c r="A816" s="10"/>
      <c r="B816" s="11" t="s">
        <v>70</v>
      </c>
      <c r="C816" s="9" t="s">
        <v>380</v>
      </c>
      <c r="D816" s="8">
        <v>13460</v>
      </c>
      <c r="E816" s="8">
        <v>25710</v>
      </c>
      <c r="F816" s="13"/>
    </row>
    <row r="817" spans="1:13" ht="21" customHeight="1" x14ac:dyDescent="0.3">
      <c r="A817" s="10"/>
      <c r="B817" s="11" t="s">
        <v>93</v>
      </c>
      <c r="C817" s="9" t="s">
        <v>323</v>
      </c>
      <c r="D817" s="8">
        <v>11415</v>
      </c>
      <c r="E817" s="8">
        <v>33390</v>
      </c>
      <c r="F817" s="13"/>
    </row>
    <row r="818" spans="1:13" ht="21" customHeight="1" x14ac:dyDescent="0.3">
      <c r="A818" s="10"/>
      <c r="B818" s="11" t="s">
        <v>38</v>
      </c>
      <c r="C818" s="9" t="s">
        <v>510</v>
      </c>
      <c r="D818" s="8">
        <v>1800</v>
      </c>
      <c r="E818" s="8">
        <v>48617</v>
      </c>
      <c r="F818" s="13"/>
    </row>
    <row r="819" spans="1:13" ht="21" customHeight="1" x14ac:dyDescent="0.3">
      <c r="A819" s="10"/>
      <c r="B819" s="11" t="s">
        <v>148</v>
      </c>
      <c r="C819" s="9" t="s">
        <v>315</v>
      </c>
      <c r="D819" s="8">
        <v>2000</v>
      </c>
      <c r="E819" s="9">
        <v>855</v>
      </c>
      <c r="F819" s="13"/>
    </row>
    <row r="820" spans="1:13" ht="21" customHeight="1" x14ac:dyDescent="0.3">
      <c r="A820" s="10"/>
      <c r="B820" s="14"/>
      <c r="C820" s="15"/>
      <c r="D820" s="15"/>
      <c r="E820" s="15"/>
      <c r="F820" s="14"/>
    </row>
    <row r="821" spans="1:13" ht="21" customHeight="1" x14ac:dyDescent="0.3">
      <c r="A821" s="16">
        <v>46231</v>
      </c>
      <c r="B821" s="6" t="s">
        <v>104</v>
      </c>
      <c r="C821" s="7" t="s">
        <v>511</v>
      </c>
      <c r="D821" s="6"/>
      <c r="E821" s="9">
        <v>2</v>
      </c>
      <c r="F821" s="8">
        <v>35630</v>
      </c>
      <c r="G821" s="9">
        <v>0</v>
      </c>
      <c r="H821" s="8">
        <v>35630</v>
      </c>
      <c r="I821" s="8">
        <v>35630</v>
      </c>
      <c r="J821" s="8">
        <v>33960</v>
      </c>
      <c r="K821" s="8">
        <v>1670</v>
      </c>
      <c r="L821" s="9">
        <v>5</v>
      </c>
      <c r="M821" s="6"/>
    </row>
    <row r="822" spans="1:13" ht="21" customHeight="1" x14ac:dyDescent="0.3">
      <c r="A822" s="10"/>
      <c r="B822" s="3" t="s">
        <v>17</v>
      </c>
      <c r="C822" s="4" t="s">
        <v>18</v>
      </c>
      <c r="D822" s="4" t="s">
        <v>19</v>
      </c>
      <c r="E822" s="4" t="s">
        <v>11</v>
      </c>
      <c r="F822" s="3" t="s">
        <v>20</v>
      </c>
    </row>
    <row r="823" spans="1:13" ht="21" customHeight="1" x14ac:dyDescent="0.3">
      <c r="A823" s="10"/>
      <c r="B823" s="11" t="s">
        <v>87</v>
      </c>
      <c r="C823" s="9" t="s">
        <v>275</v>
      </c>
      <c r="D823" s="8">
        <v>21485</v>
      </c>
      <c r="E823" s="8">
        <v>20440</v>
      </c>
      <c r="F823" s="13"/>
    </row>
    <row r="824" spans="1:13" ht="21" customHeight="1" x14ac:dyDescent="0.3">
      <c r="A824" s="10"/>
      <c r="B824" s="11" t="s">
        <v>141</v>
      </c>
      <c r="C824" s="9" t="s">
        <v>275</v>
      </c>
      <c r="D824" s="8">
        <v>14145</v>
      </c>
      <c r="E824" s="8">
        <v>13520</v>
      </c>
      <c r="F824" s="13"/>
    </row>
    <row r="825" spans="1:13" ht="21" customHeight="1" x14ac:dyDescent="0.3">
      <c r="A825" s="10"/>
      <c r="B825" s="14"/>
      <c r="C825" s="15"/>
      <c r="D825" s="15"/>
      <c r="E825" s="15"/>
      <c r="F825" s="14"/>
    </row>
    <row r="826" spans="1:13" ht="21" customHeight="1" x14ac:dyDescent="0.3">
      <c r="A826" s="16">
        <v>46232</v>
      </c>
      <c r="B826" s="6" t="s">
        <v>63</v>
      </c>
      <c r="C826" s="7" t="s">
        <v>512</v>
      </c>
      <c r="D826" s="6"/>
      <c r="E826" s="9">
        <v>963</v>
      </c>
      <c r="F826" s="8">
        <v>8698030</v>
      </c>
      <c r="G826" s="8">
        <v>572000</v>
      </c>
      <c r="H826" s="8">
        <v>8126030</v>
      </c>
      <c r="I826" s="8">
        <v>8698030</v>
      </c>
      <c r="J826" s="8">
        <v>8648333</v>
      </c>
      <c r="K826" s="8">
        <v>49697</v>
      </c>
      <c r="L826" s="9">
        <v>1</v>
      </c>
      <c r="M826" s="6" t="s">
        <v>513</v>
      </c>
    </row>
    <row r="827" spans="1:13" ht="21" customHeight="1" x14ac:dyDescent="0.3">
      <c r="A827" s="10"/>
      <c r="B827" s="3" t="s">
        <v>17</v>
      </c>
      <c r="C827" s="4" t="s">
        <v>18</v>
      </c>
      <c r="D827" s="4" t="s">
        <v>19</v>
      </c>
      <c r="E827" s="4" t="s">
        <v>11</v>
      </c>
      <c r="F827" s="3" t="s">
        <v>20</v>
      </c>
    </row>
    <row r="828" spans="1:13" ht="21" customHeight="1" x14ac:dyDescent="0.3">
      <c r="A828" s="10"/>
      <c r="B828" s="11" t="s">
        <v>22</v>
      </c>
      <c r="C828" s="9" t="s">
        <v>306</v>
      </c>
      <c r="D828" s="8">
        <v>8500</v>
      </c>
      <c r="E828" s="8">
        <v>1211944</v>
      </c>
      <c r="F828" s="13"/>
    </row>
    <row r="829" spans="1:13" ht="21" customHeight="1" x14ac:dyDescent="0.3">
      <c r="A829" s="10"/>
      <c r="B829" s="11" t="s">
        <v>21</v>
      </c>
      <c r="C829" s="9" t="s">
        <v>306</v>
      </c>
      <c r="D829" s="8">
        <v>8100</v>
      </c>
      <c r="E829" s="8">
        <v>1136483</v>
      </c>
      <c r="F829" s="13"/>
    </row>
    <row r="830" spans="1:13" ht="21" customHeight="1" x14ac:dyDescent="0.3">
      <c r="A830" s="10"/>
      <c r="B830" s="11" t="s">
        <v>113</v>
      </c>
      <c r="C830" s="9" t="s">
        <v>330</v>
      </c>
      <c r="D830" s="8">
        <v>14475</v>
      </c>
      <c r="E830" s="8">
        <v>434250</v>
      </c>
      <c r="F830" s="13"/>
    </row>
    <row r="831" spans="1:13" ht="21" customHeight="1" x14ac:dyDescent="0.3">
      <c r="A831" s="10"/>
      <c r="B831" s="11" t="s">
        <v>229</v>
      </c>
      <c r="C831" s="9" t="s">
        <v>514</v>
      </c>
      <c r="D831" s="8">
        <v>13500</v>
      </c>
      <c r="E831" s="8">
        <v>1358000</v>
      </c>
      <c r="F831" s="13"/>
    </row>
    <row r="832" spans="1:13" ht="21" customHeight="1" x14ac:dyDescent="0.3">
      <c r="A832" s="10"/>
      <c r="B832" s="11" t="s">
        <v>32</v>
      </c>
      <c r="C832" s="9" t="s">
        <v>515</v>
      </c>
      <c r="D832" s="8">
        <v>15555</v>
      </c>
      <c r="E832" s="8">
        <v>1463734</v>
      </c>
      <c r="F832" s="13"/>
    </row>
    <row r="833" spans="1:13" ht="21" customHeight="1" x14ac:dyDescent="0.3">
      <c r="A833" s="10"/>
      <c r="B833" s="11" t="s">
        <v>31</v>
      </c>
      <c r="C833" s="9" t="s">
        <v>516</v>
      </c>
      <c r="D833" s="8">
        <v>17100</v>
      </c>
      <c r="E833" s="8">
        <v>2565000</v>
      </c>
      <c r="F833" s="13"/>
    </row>
    <row r="834" spans="1:13" ht="21" customHeight="1" x14ac:dyDescent="0.3">
      <c r="A834" s="10"/>
      <c r="B834" s="11" t="s">
        <v>48</v>
      </c>
      <c r="C834" s="9" t="s">
        <v>308</v>
      </c>
      <c r="D834" s="8">
        <v>1900</v>
      </c>
      <c r="E834" s="8">
        <v>220454</v>
      </c>
      <c r="F834" s="13"/>
    </row>
    <row r="835" spans="1:13" ht="21" customHeight="1" x14ac:dyDescent="0.3">
      <c r="A835" s="10"/>
      <c r="B835" s="11" t="s">
        <v>38</v>
      </c>
      <c r="C835" s="9" t="s">
        <v>517</v>
      </c>
      <c r="D835" s="8">
        <v>1800</v>
      </c>
      <c r="E835" s="8">
        <v>258468</v>
      </c>
      <c r="F835" s="13"/>
    </row>
    <row r="836" spans="1:13" ht="21" customHeight="1" x14ac:dyDescent="0.3">
      <c r="A836" s="10"/>
      <c r="B836" s="14"/>
      <c r="C836" s="15"/>
      <c r="D836" s="15"/>
      <c r="E836" s="15"/>
      <c r="F836" s="14"/>
    </row>
    <row r="837" spans="1:13" ht="21" customHeight="1" x14ac:dyDescent="0.3">
      <c r="A837" s="16">
        <v>46232</v>
      </c>
      <c r="B837" s="6" t="s">
        <v>75</v>
      </c>
      <c r="C837" s="7" t="s">
        <v>518</v>
      </c>
      <c r="D837" s="6"/>
      <c r="E837" s="9">
        <v>21</v>
      </c>
      <c r="F837" s="8">
        <v>218480</v>
      </c>
      <c r="G837" s="9">
        <v>0</v>
      </c>
      <c r="H837" s="8">
        <v>218480</v>
      </c>
      <c r="I837" s="8">
        <v>218480</v>
      </c>
      <c r="J837" s="8">
        <v>198242</v>
      </c>
      <c r="K837" s="8">
        <v>20238</v>
      </c>
      <c r="L837" s="9">
        <v>9</v>
      </c>
      <c r="M837" s="6" t="s">
        <v>519</v>
      </c>
    </row>
    <row r="838" spans="1:13" ht="21" customHeight="1" x14ac:dyDescent="0.3">
      <c r="A838" s="10"/>
      <c r="B838" s="3" t="s">
        <v>17</v>
      </c>
      <c r="C838" s="4" t="s">
        <v>18</v>
      </c>
      <c r="D838" s="4" t="s">
        <v>19</v>
      </c>
      <c r="E838" s="4" t="s">
        <v>11</v>
      </c>
      <c r="F838" s="3" t="s">
        <v>20</v>
      </c>
    </row>
    <row r="839" spans="1:13" ht="21" customHeight="1" x14ac:dyDescent="0.3">
      <c r="A839" s="10"/>
      <c r="B839" s="11" t="s">
        <v>87</v>
      </c>
      <c r="C839" s="9" t="s">
        <v>270</v>
      </c>
      <c r="D839" s="8">
        <v>21485</v>
      </c>
      <c r="E839" s="8">
        <v>102200</v>
      </c>
      <c r="F839" s="13"/>
    </row>
    <row r="840" spans="1:13" ht="21" customHeight="1" x14ac:dyDescent="0.3">
      <c r="A840" s="10"/>
      <c r="B840" s="11" t="s">
        <v>36</v>
      </c>
      <c r="C840" s="9" t="s">
        <v>270</v>
      </c>
      <c r="D840" s="8">
        <v>15525</v>
      </c>
      <c r="E840" s="8">
        <v>74500</v>
      </c>
      <c r="F840" s="13"/>
    </row>
    <row r="841" spans="1:13" ht="21" customHeight="1" x14ac:dyDescent="0.3">
      <c r="A841" s="10"/>
      <c r="B841" s="11" t="s">
        <v>28</v>
      </c>
      <c r="C841" s="9" t="s">
        <v>266</v>
      </c>
      <c r="D841" s="8">
        <v>14430</v>
      </c>
      <c r="E841" s="8">
        <v>13501</v>
      </c>
      <c r="F841" s="13"/>
    </row>
    <row r="842" spans="1:13" ht="21" customHeight="1" x14ac:dyDescent="0.3">
      <c r="A842" s="10"/>
      <c r="B842" s="11" t="s">
        <v>38</v>
      </c>
      <c r="C842" s="9" t="s">
        <v>377</v>
      </c>
      <c r="D842" s="8">
        <v>1800</v>
      </c>
      <c r="E842" s="8">
        <v>7602</v>
      </c>
      <c r="F842" s="13"/>
    </row>
    <row r="843" spans="1:13" ht="21" customHeight="1" x14ac:dyDescent="0.3">
      <c r="A843" s="10"/>
      <c r="B843" s="11" t="s">
        <v>148</v>
      </c>
      <c r="C843" s="9" t="s">
        <v>377</v>
      </c>
      <c r="D843" s="8">
        <v>2000</v>
      </c>
      <c r="E843" s="9">
        <v>439</v>
      </c>
      <c r="F843" s="13"/>
    </row>
    <row r="844" spans="1:13" ht="21" customHeight="1" x14ac:dyDescent="0.3">
      <c r="A844" s="10"/>
      <c r="B844" s="14"/>
      <c r="C844" s="15"/>
      <c r="D844" s="15"/>
      <c r="E844" s="15"/>
      <c r="F844" s="14"/>
    </row>
    <row r="845" spans="1:13" ht="21" customHeight="1" x14ac:dyDescent="0.3">
      <c r="A845" s="16">
        <v>46232</v>
      </c>
      <c r="B845" s="6" t="s">
        <v>95</v>
      </c>
      <c r="C845" s="7" t="s">
        <v>520</v>
      </c>
      <c r="D845" s="6"/>
      <c r="E845" s="9">
        <v>6</v>
      </c>
      <c r="F845" s="8">
        <v>63470</v>
      </c>
      <c r="G845" s="9">
        <v>0</v>
      </c>
      <c r="H845" s="8">
        <v>63470</v>
      </c>
      <c r="I845" s="8">
        <v>63470</v>
      </c>
      <c r="J845" s="8">
        <v>60785</v>
      </c>
      <c r="K845" s="8">
        <v>2685</v>
      </c>
      <c r="L845" s="9">
        <v>4</v>
      </c>
      <c r="M845" s="6"/>
    </row>
    <row r="846" spans="1:13" ht="21" customHeight="1" x14ac:dyDescent="0.3">
      <c r="A846" s="10"/>
      <c r="B846" s="3" t="s">
        <v>17</v>
      </c>
      <c r="C846" s="4" t="s">
        <v>18</v>
      </c>
      <c r="D846" s="4" t="s">
        <v>19</v>
      </c>
      <c r="E846" s="4" t="s">
        <v>11</v>
      </c>
      <c r="F846" s="3" t="s">
        <v>20</v>
      </c>
    </row>
    <row r="847" spans="1:13" ht="21" customHeight="1" x14ac:dyDescent="0.3">
      <c r="A847" s="10"/>
      <c r="B847" s="11" t="s">
        <v>22</v>
      </c>
      <c r="C847" s="9" t="s">
        <v>274</v>
      </c>
      <c r="D847" s="8">
        <v>9200</v>
      </c>
      <c r="E847" s="8">
        <v>17313</v>
      </c>
      <c r="F847" s="13"/>
    </row>
    <row r="848" spans="1:13" ht="21" customHeight="1" x14ac:dyDescent="0.3">
      <c r="A848" s="10"/>
      <c r="B848" s="11" t="s">
        <v>44</v>
      </c>
      <c r="C848" s="9" t="s">
        <v>274</v>
      </c>
      <c r="D848" s="8">
        <v>9200</v>
      </c>
      <c r="E848" s="8">
        <v>17980</v>
      </c>
      <c r="F848" s="13"/>
    </row>
    <row r="849" spans="1:13" ht="21" customHeight="1" x14ac:dyDescent="0.3">
      <c r="A849" s="10"/>
      <c r="B849" s="11" t="s">
        <v>45</v>
      </c>
      <c r="C849" s="9" t="s">
        <v>274</v>
      </c>
      <c r="D849" s="8">
        <v>13335</v>
      </c>
      <c r="E849" s="8">
        <v>25492</v>
      </c>
      <c r="F849" s="13"/>
    </row>
    <row r="850" spans="1:13" ht="21" customHeight="1" x14ac:dyDescent="0.3">
      <c r="A850" s="10"/>
      <c r="B850" s="14"/>
      <c r="C850" s="15"/>
      <c r="D850" s="15"/>
      <c r="E850" s="15"/>
      <c r="F850" s="14"/>
    </row>
    <row r="851" spans="1:13" ht="21" customHeight="1" x14ac:dyDescent="0.3">
      <c r="A851" s="16">
        <v>46232</v>
      </c>
      <c r="B851" s="6" t="s">
        <v>29</v>
      </c>
      <c r="C851" s="7" t="s">
        <v>521</v>
      </c>
      <c r="D851" s="6"/>
      <c r="E851" s="9">
        <v>38</v>
      </c>
      <c r="F851" s="8">
        <v>282255</v>
      </c>
      <c r="G851" s="9">
        <v>0</v>
      </c>
      <c r="H851" s="8">
        <v>282255</v>
      </c>
      <c r="I851" s="8">
        <v>282255</v>
      </c>
      <c r="J851" s="8">
        <v>271884</v>
      </c>
      <c r="K851" s="8">
        <v>10371</v>
      </c>
      <c r="L851" s="9">
        <v>4</v>
      </c>
      <c r="M851" s="6"/>
    </row>
    <row r="852" spans="1:13" ht="21" customHeight="1" x14ac:dyDescent="0.3">
      <c r="A852" s="10"/>
      <c r="B852" s="3" t="s">
        <v>17</v>
      </c>
      <c r="C852" s="4" t="s">
        <v>18</v>
      </c>
      <c r="D852" s="4" t="s">
        <v>19</v>
      </c>
      <c r="E852" s="4" t="s">
        <v>11</v>
      </c>
      <c r="F852" s="3" t="s">
        <v>20</v>
      </c>
    </row>
    <row r="853" spans="1:13" ht="21" customHeight="1" x14ac:dyDescent="0.3">
      <c r="A853" s="10"/>
      <c r="B853" s="11" t="s">
        <v>44</v>
      </c>
      <c r="C853" s="9" t="s">
        <v>350</v>
      </c>
      <c r="D853" s="8">
        <v>9200</v>
      </c>
      <c r="E853" s="8">
        <v>134850</v>
      </c>
      <c r="F853" s="13"/>
    </row>
    <row r="854" spans="1:13" ht="21" customHeight="1" x14ac:dyDescent="0.3">
      <c r="A854" s="10"/>
      <c r="B854" s="11" t="s">
        <v>31</v>
      </c>
      <c r="C854" s="9" t="s">
        <v>380</v>
      </c>
      <c r="D854" s="8">
        <v>17100</v>
      </c>
      <c r="E854" s="8">
        <v>34200</v>
      </c>
      <c r="F854" s="13"/>
    </row>
    <row r="855" spans="1:13" ht="21" customHeight="1" x14ac:dyDescent="0.3">
      <c r="A855" s="10"/>
      <c r="B855" s="11" t="s">
        <v>32</v>
      </c>
      <c r="C855" s="9" t="s">
        <v>266</v>
      </c>
      <c r="D855" s="8">
        <v>16145</v>
      </c>
      <c r="E855" s="8">
        <v>15247</v>
      </c>
      <c r="F855" s="13"/>
    </row>
    <row r="856" spans="1:13" ht="21" customHeight="1" x14ac:dyDescent="0.3">
      <c r="A856" s="10"/>
      <c r="B856" s="11" t="s">
        <v>34</v>
      </c>
      <c r="C856" s="9" t="s">
        <v>266</v>
      </c>
      <c r="D856" s="8">
        <v>21695</v>
      </c>
      <c r="E856" s="8">
        <v>21595</v>
      </c>
      <c r="F856" s="13"/>
    </row>
    <row r="857" spans="1:13" ht="21" customHeight="1" x14ac:dyDescent="0.3">
      <c r="A857" s="10"/>
      <c r="B857" s="11" t="s">
        <v>224</v>
      </c>
      <c r="C857" s="9" t="s">
        <v>266</v>
      </c>
      <c r="D857" s="8">
        <v>14430</v>
      </c>
      <c r="E857" s="8">
        <v>13911</v>
      </c>
      <c r="F857" s="13"/>
    </row>
    <row r="858" spans="1:13" ht="21" customHeight="1" x14ac:dyDescent="0.3">
      <c r="A858" s="10"/>
      <c r="B858" s="11" t="s">
        <v>36</v>
      </c>
      <c r="C858" s="9" t="s">
        <v>275</v>
      </c>
      <c r="D858" s="8">
        <v>15525</v>
      </c>
      <c r="E858" s="8">
        <v>14900</v>
      </c>
      <c r="F858" s="13"/>
    </row>
    <row r="859" spans="1:13" ht="21" customHeight="1" x14ac:dyDescent="0.3">
      <c r="A859" s="10"/>
      <c r="B859" s="11" t="s">
        <v>70</v>
      </c>
      <c r="C859" s="9" t="s">
        <v>266</v>
      </c>
      <c r="D859" s="8">
        <v>13460</v>
      </c>
      <c r="E859" s="8">
        <v>12855</v>
      </c>
      <c r="F859" s="13"/>
    </row>
    <row r="860" spans="1:13" ht="21" customHeight="1" x14ac:dyDescent="0.3">
      <c r="A860" s="10"/>
      <c r="B860" s="11" t="s">
        <v>38</v>
      </c>
      <c r="C860" s="9" t="s">
        <v>360</v>
      </c>
      <c r="D860" s="8">
        <v>1800</v>
      </c>
      <c r="E860" s="8">
        <v>24326</v>
      </c>
      <c r="F860" s="13"/>
    </row>
    <row r="861" spans="1:13" ht="21" customHeight="1" x14ac:dyDescent="0.3">
      <c r="A861" s="10"/>
      <c r="B861" s="14"/>
      <c r="C861" s="15"/>
      <c r="D861" s="15"/>
      <c r="E861" s="15"/>
      <c r="F861" s="14"/>
    </row>
    <row r="862" spans="1:13" ht="21" customHeight="1" x14ac:dyDescent="0.3">
      <c r="A862" s="16">
        <v>46232</v>
      </c>
      <c r="B862" s="6" t="s">
        <v>25</v>
      </c>
      <c r="C862" s="7" t="s">
        <v>522</v>
      </c>
      <c r="D862" s="6"/>
      <c r="E862" s="9">
        <v>150</v>
      </c>
      <c r="F862" s="8">
        <v>750000</v>
      </c>
      <c r="G862" s="8">
        <v>664145</v>
      </c>
      <c r="H862" s="8">
        <v>85855</v>
      </c>
      <c r="I862" s="8">
        <v>750000</v>
      </c>
      <c r="J862" s="8">
        <v>780000</v>
      </c>
      <c r="K862" s="8">
        <v>-30000</v>
      </c>
      <c r="L862" s="9">
        <v>-4</v>
      </c>
      <c r="M862" s="6"/>
    </row>
    <row r="863" spans="1:13" ht="21" customHeight="1" x14ac:dyDescent="0.3">
      <c r="A863" s="10"/>
      <c r="B863" s="3" t="s">
        <v>17</v>
      </c>
      <c r="C863" s="4" t="s">
        <v>18</v>
      </c>
      <c r="D863" s="4" t="s">
        <v>19</v>
      </c>
      <c r="E863" s="4" t="s">
        <v>11</v>
      </c>
      <c r="F863" s="3" t="s">
        <v>20</v>
      </c>
    </row>
    <row r="864" spans="1:13" ht="21" customHeight="1" x14ac:dyDescent="0.3">
      <c r="A864" s="10"/>
      <c r="B864" s="11" t="s">
        <v>24</v>
      </c>
      <c r="C864" s="9" t="s">
        <v>523</v>
      </c>
      <c r="D864" s="8">
        <v>5000</v>
      </c>
      <c r="E864" s="8">
        <v>780000</v>
      </c>
      <c r="F864" s="13"/>
    </row>
    <row r="865" spans="1:13" ht="21" customHeight="1" x14ac:dyDescent="0.3">
      <c r="A865" s="10"/>
      <c r="B865" s="14"/>
      <c r="C865" s="15"/>
      <c r="D865" s="15"/>
      <c r="E865" s="15"/>
      <c r="F865" s="14"/>
    </row>
    <row r="866" spans="1:13" ht="21" customHeight="1" x14ac:dyDescent="0.3">
      <c r="A866" s="16">
        <v>46233</v>
      </c>
      <c r="B866" s="6" t="s">
        <v>210</v>
      </c>
      <c r="C866" s="7" t="s">
        <v>524</v>
      </c>
      <c r="D866" s="6"/>
      <c r="E866" s="8">
        <v>1240</v>
      </c>
      <c r="F866" s="8">
        <v>6138000</v>
      </c>
      <c r="G866" s="9">
        <v>0</v>
      </c>
      <c r="H866" s="8">
        <v>6138000</v>
      </c>
      <c r="I866" s="8">
        <v>6138000</v>
      </c>
      <c r="J866" s="8">
        <v>6448000</v>
      </c>
      <c r="K866" s="8">
        <v>-310000</v>
      </c>
      <c r="L866" s="9">
        <v>-5</v>
      </c>
      <c r="M866" s="6"/>
    </row>
    <row r="867" spans="1:13" ht="21" customHeight="1" x14ac:dyDescent="0.3">
      <c r="A867" s="10"/>
      <c r="B867" s="3" t="s">
        <v>17</v>
      </c>
      <c r="C867" s="4" t="s">
        <v>18</v>
      </c>
      <c r="D867" s="4" t="s">
        <v>19</v>
      </c>
      <c r="E867" s="4" t="s">
        <v>11</v>
      </c>
      <c r="F867" s="3" t="s">
        <v>20</v>
      </c>
    </row>
    <row r="868" spans="1:13" ht="21" customHeight="1" x14ac:dyDescent="0.3">
      <c r="A868" s="10"/>
      <c r="B868" s="11" t="s">
        <v>24</v>
      </c>
      <c r="C868" s="9" t="s">
        <v>525</v>
      </c>
      <c r="D868" s="8">
        <v>4950</v>
      </c>
      <c r="E868" s="8">
        <v>6448000</v>
      </c>
      <c r="F868" s="13"/>
    </row>
    <row r="869" spans="1:13" ht="21" customHeight="1" x14ac:dyDescent="0.3">
      <c r="A869" s="10"/>
      <c r="B869" s="14"/>
      <c r="C869" s="15"/>
      <c r="D869" s="15"/>
      <c r="E869" s="15"/>
      <c r="F869" s="14"/>
    </row>
    <row r="870" spans="1:13" ht="21" customHeight="1" x14ac:dyDescent="0.3">
      <c r="A870" s="16">
        <v>46233</v>
      </c>
      <c r="B870" s="6" t="s">
        <v>29</v>
      </c>
      <c r="C870" s="7" t="s">
        <v>526</v>
      </c>
      <c r="D870" s="6"/>
      <c r="E870" s="9">
        <v>76</v>
      </c>
      <c r="F870" s="8">
        <v>692765</v>
      </c>
      <c r="G870" s="8">
        <v>692765</v>
      </c>
      <c r="H870" s="9">
        <v>0</v>
      </c>
      <c r="I870" s="8">
        <v>692765</v>
      </c>
      <c r="J870" s="8">
        <v>655522</v>
      </c>
      <c r="K870" s="8">
        <v>37243</v>
      </c>
      <c r="L870" s="9">
        <v>5</v>
      </c>
      <c r="M870" s="6"/>
    </row>
    <row r="871" spans="1:13" ht="21" customHeight="1" x14ac:dyDescent="0.3">
      <c r="A871" s="10"/>
      <c r="B871" s="3" t="s">
        <v>17</v>
      </c>
      <c r="C871" s="4" t="s">
        <v>18</v>
      </c>
      <c r="D871" s="4" t="s">
        <v>19</v>
      </c>
      <c r="E871" s="4" t="s">
        <v>11</v>
      </c>
      <c r="F871" s="3" t="s">
        <v>20</v>
      </c>
    </row>
    <row r="872" spans="1:13" ht="21" customHeight="1" x14ac:dyDescent="0.3">
      <c r="A872" s="10"/>
      <c r="B872" s="11" t="s">
        <v>45</v>
      </c>
      <c r="C872" s="9" t="s">
        <v>527</v>
      </c>
      <c r="D872" s="8">
        <v>13335</v>
      </c>
      <c r="E872" s="8">
        <v>89223</v>
      </c>
      <c r="F872" s="13"/>
    </row>
    <row r="873" spans="1:13" ht="21" customHeight="1" x14ac:dyDescent="0.3">
      <c r="A873" s="10"/>
      <c r="B873" s="11" t="s">
        <v>44</v>
      </c>
      <c r="C873" s="9" t="s">
        <v>343</v>
      </c>
      <c r="D873" s="8">
        <v>9200</v>
      </c>
      <c r="E873" s="8">
        <v>71920</v>
      </c>
      <c r="F873" s="13"/>
    </row>
    <row r="874" spans="1:13" ht="21" customHeight="1" x14ac:dyDescent="0.3">
      <c r="A874" s="10"/>
      <c r="B874" s="11" t="s">
        <v>37</v>
      </c>
      <c r="C874" s="9" t="s">
        <v>301</v>
      </c>
      <c r="D874" s="8">
        <v>8880</v>
      </c>
      <c r="E874" s="8">
        <v>34100</v>
      </c>
      <c r="F874" s="13"/>
    </row>
    <row r="875" spans="1:13" ht="21" customHeight="1" x14ac:dyDescent="0.3">
      <c r="A875" s="10"/>
      <c r="B875" s="11" t="s">
        <v>65</v>
      </c>
      <c r="C875" s="9" t="s">
        <v>323</v>
      </c>
      <c r="D875" s="8">
        <v>11910</v>
      </c>
      <c r="E875" s="8">
        <v>33945</v>
      </c>
      <c r="F875" s="13"/>
    </row>
    <row r="876" spans="1:13" ht="21" customHeight="1" x14ac:dyDescent="0.3">
      <c r="A876" s="10"/>
      <c r="B876" s="11" t="s">
        <v>87</v>
      </c>
      <c r="C876" s="9" t="s">
        <v>274</v>
      </c>
      <c r="D876" s="8">
        <v>21400</v>
      </c>
      <c r="E876" s="8">
        <v>40880</v>
      </c>
      <c r="F876" s="13"/>
    </row>
    <row r="877" spans="1:13" ht="21" customHeight="1" x14ac:dyDescent="0.3">
      <c r="A877" s="10"/>
      <c r="B877" s="11" t="s">
        <v>36</v>
      </c>
      <c r="C877" s="9" t="s">
        <v>275</v>
      </c>
      <c r="D877" s="8">
        <v>15525</v>
      </c>
      <c r="E877" s="8">
        <v>14900</v>
      </c>
      <c r="F877" s="13"/>
    </row>
    <row r="878" spans="1:13" ht="21" customHeight="1" x14ac:dyDescent="0.3">
      <c r="A878" s="10"/>
      <c r="B878" s="11" t="s">
        <v>150</v>
      </c>
      <c r="C878" s="9" t="s">
        <v>323</v>
      </c>
      <c r="D878" s="8">
        <v>10315</v>
      </c>
      <c r="E878" s="8">
        <v>29775</v>
      </c>
      <c r="F878" s="13"/>
    </row>
    <row r="879" spans="1:13" ht="21" customHeight="1" x14ac:dyDescent="0.3">
      <c r="A879" s="10"/>
      <c r="B879" s="11" t="s">
        <v>33</v>
      </c>
      <c r="C879" s="9" t="s">
        <v>263</v>
      </c>
      <c r="D879" s="8">
        <v>15655</v>
      </c>
      <c r="E879" s="8">
        <v>311100</v>
      </c>
      <c r="F879" s="13"/>
    </row>
    <row r="880" spans="1:13" ht="21" customHeight="1" x14ac:dyDescent="0.3">
      <c r="A880" s="10"/>
      <c r="B880" s="11" t="s">
        <v>38</v>
      </c>
      <c r="C880" s="9" t="s">
        <v>528</v>
      </c>
      <c r="D880" s="8">
        <v>1800</v>
      </c>
      <c r="E880" s="8">
        <v>28888</v>
      </c>
      <c r="F880" s="13"/>
    </row>
    <row r="881" spans="1:13" ht="21" customHeight="1" x14ac:dyDescent="0.3">
      <c r="A881" s="10"/>
      <c r="B881" s="11" t="s">
        <v>148</v>
      </c>
      <c r="C881" s="9" t="s">
        <v>529</v>
      </c>
      <c r="D881" s="8">
        <v>2000</v>
      </c>
      <c r="E881" s="9">
        <v>791</v>
      </c>
      <c r="F881" s="13"/>
    </row>
    <row r="882" spans="1:13" ht="21" customHeight="1" x14ac:dyDescent="0.3">
      <c r="A882" s="10"/>
      <c r="B882" s="14"/>
      <c r="C882" s="15"/>
      <c r="D882" s="15"/>
      <c r="E882" s="15"/>
      <c r="F882" s="14"/>
    </row>
    <row r="883" spans="1:13" ht="21" customHeight="1" x14ac:dyDescent="0.3">
      <c r="A883" s="16">
        <v>46233</v>
      </c>
      <c r="B883" s="6" t="s">
        <v>109</v>
      </c>
      <c r="C883" s="7" t="s">
        <v>530</v>
      </c>
      <c r="D883" s="6"/>
      <c r="E883" s="9">
        <v>1</v>
      </c>
      <c r="F883" s="8">
        <v>9500</v>
      </c>
      <c r="G883" s="8">
        <v>9500</v>
      </c>
      <c r="H883" s="9">
        <v>0</v>
      </c>
      <c r="I883" s="8">
        <v>9500</v>
      </c>
      <c r="J883" s="8">
        <v>8657</v>
      </c>
      <c r="K883" s="9">
        <v>843</v>
      </c>
      <c r="L883" s="9">
        <v>9</v>
      </c>
      <c r="M883" s="6"/>
    </row>
    <row r="884" spans="1:13" ht="21" customHeight="1" x14ac:dyDescent="0.3">
      <c r="A884" s="10"/>
      <c r="B884" s="3" t="s">
        <v>17</v>
      </c>
      <c r="C884" s="4" t="s">
        <v>18</v>
      </c>
      <c r="D884" s="4" t="s">
        <v>19</v>
      </c>
      <c r="E884" s="4" t="s">
        <v>11</v>
      </c>
      <c r="F884" s="3" t="s">
        <v>20</v>
      </c>
    </row>
    <row r="885" spans="1:13" ht="21" customHeight="1" x14ac:dyDescent="0.3">
      <c r="A885" s="10"/>
      <c r="B885" s="11" t="s">
        <v>22</v>
      </c>
      <c r="C885" s="9" t="s">
        <v>275</v>
      </c>
      <c r="D885" s="8">
        <v>9500</v>
      </c>
      <c r="E885" s="8">
        <v>8657</v>
      </c>
      <c r="F885" s="13"/>
    </row>
    <row r="886" spans="1:13" ht="21" customHeight="1" x14ac:dyDescent="0.3">
      <c r="A886" s="10"/>
      <c r="B886" s="14"/>
      <c r="C886" s="15"/>
      <c r="D886" s="15"/>
      <c r="E886" s="15"/>
      <c r="F886" s="14"/>
    </row>
    <row r="887" spans="1:13" ht="21" customHeight="1" x14ac:dyDescent="0.3">
      <c r="A887" s="16">
        <v>46233</v>
      </c>
      <c r="B887" s="6" t="s">
        <v>29</v>
      </c>
      <c r="C887" s="7" t="s">
        <v>531</v>
      </c>
      <c r="D887" s="6"/>
      <c r="E887" s="9">
        <v>24</v>
      </c>
      <c r="F887" s="8">
        <v>165620</v>
      </c>
      <c r="G887" s="8">
        <v>73635</v>
      </c>
      <c r="H887" s="8">
        <v>91985</v>
      </c>
      <c r="I887" s="8">
        <v>165620</v>
      </c>
      <c r="J887" s="8">
        <v>165935</v>
      </c>
      <c r="K887" s="9">
        <v>-315</v>
      </c>
      <c r="L887" s="9">
        <v>0</v>
      </c>
      <c r="M887" s="6"/>
    </row>
    <row r="888" spans="1:13" ht="21" customHeight="1" x14ac:dyDescent="0.3">
      <c r="A888" s="10"/>
      <c r="B888" s="3" t="s">
        <v>17</v>
      </c>
      <c r="C888" s="4" t="s">
        <v>18</v>
      </c>
      <c r="D888" s="4" t="s">
        <v>19</v>
      </c>
      <c r="E888" s="4" t="s">
        <v>11</v>
      </c>
      <c r="F888" s="3" t="s">
        <v>20</v>
      </c>
    </row>
    <row r="889" spans="1:13" ht="21" customHeight="1" x14ac:dyDescent="0.3">
      <c r="A889" s="10"/>
      <c r="B889" s="11" t="s">
        <v>24</v>
      </c>
      <c r="C889" s="9" t="s">
        <v>532</v>
      </c>
      <c r="D889" s="8">
        <v>5000</v>
      </c>
      <c r="E889" s="8">
        <v>72800</v>
      </c>
      <c r="F889" s="13"/>
    </row>
    <row r="890" spans="1:13" ht="21" customHeight="1" x14ac:dyDescent="0.3">
      <c r="A890" s="10"/>
      <c r="B890" s="11" t="s">
        <v>32</v>
      </c>
      <c r="C890" s="9" t="s">
        <v>380</v>
      </c>
      <c r="D890" s="8">
        <v>15655</v>
      </c>
      <c r="E890" s="8">
        <v>30494</v>
      </c>
      <c r="F890" s="13"/>
    </row>
    <row r="891" spans="1:13" ht="21" customHeight="1" x14ac:dyDescent="0.3">
      <c r="A891" s="10"/>
      <c r="B891" s="11" t="s">
        <v>33</v>
      </c>
      <c r="C891" s="9" t="s">
        <v>380</v>
      </c>
      <c r="D891" s="8">
        <v>15655</v>
      </c>
      <c r="E891" s="8">
        <v>31110</v>
      </c>
      <c r="F891" s="13"/>
    </row>
    <row r="892" spans="1:13" ht="21" customHeight="1" x14ac:dyDescent="0.3">
      <c r="A892" s="10"/>
      <c r="B892" s="11" t="s">
        <v>44</v>
      </c>
      <c r="C892" s="9" t="s">
        <v>323</v>
      </c>
      <c r="D892" s="8">
        <v>9200</v>
      </c>
      <c r="E892" s="8">
        <v>26970</v>
      </c>
      <c r="F892" s="13"/>
    </row>
    <row r="893" spans="1:13" ht="21" customHeight="1" x14ac:dyDescent="0.3">
      <c r="A893" s="10"/>
      <c r="B893" s="11" t="s">
        <v>38</v>
      </c>
      <c r="C893" s="9" t="s">
        <v>325</v>
      </c>
      <c r="D893" s="8">
        <v>1800</v>
      </c>
      <c r="E893" s="8">
        <v>4561</v>
      </c>
      <c r="F893" s="13"/>
    </row>
    <row r="894" spans="1:13" ht="21" customHeight="1" x14ac:dyDescent="0.3">
      <c r="A894" s="10"/>
      <c r="B894" s="14"/>
      <c r="C894" s="15"/>
      <c r="D894" s="15"/>
      <c r="E894" s="15"/>
      <c r="F894" s="14"/>
    </row>
    <row r="895" spans="1:13" ht="21" customHeight="1" x14ac:dyDescent="0.3">
      <c r="A895" s="16">
        <v>46233</v>
      </c>
      <c r="B895" s="6" t="s">
        <v>219</v>
      </c>
      <c r="C895" s="7" t="s">
        <v>533</v>
      </c>
      <c r="D895" s="6"/>
      <c r="E895" s="9">
        <v>1</v>
      </c>
      <c r="F895" s="8">
        <v>9345</v>
      </c>
      <c r="G895" s="9">
        <v>0</v>
      </c>
      <c r="H895" s="8">
        <v>9345</v>
      </c>
      <c r="I895" s="8">
        <v>9345</v>
      </c>
      <c r="J895" s="8">
        <v>8970</v>
      </c>
      <c r="K895" s="9">
        <v>375</v>
      </c>
      <c r="L895" s="9">
        <v>4</v>
      </c>
      <c r="M895" s="6" t="s">
        <v>534</v>
      </c>
    </row>
    <row r="896" spans="1:13" ht="21" customHeight="1" x14ac:dyDescent="0.3">
      <c r="A896" s="10"/>
      <c r="B896" s="3" t="s">
        <v>17</v>
      </c>
      <c r="C896" s="4" t="s">
        <v>18</v>
      </c>
      <c r="D896" s="4" t="s">
        <v>19</v>
      </c>
      <c r="E896" s="4" t="s">
        <v>11</v>
      </c>
      <c r="F896" s="3" t="s">
        <v>20</v>
      </c>
    </row>
    <row r="897" spans="1:13" ht="21" customHeight="1" x14ac:dyDescent="0.3">
      <c r="A897" s="10"/>
      <c r="B897" s="11" t="s">
        <v>80</v>
      </c>
      <c r="C897" s="9" t="s">
        <v>275</v>
      </c>
      <c r="D897" s="8">
        <v>9345</v>
      </c>
      <c r="E897" s="8">
        <v>8970</v>
      </c>
      <c r="F897" s="13"/>
    </row>
    <row r="898" spans="1:13" ht="21" customHeight="1" x14ac:dyDescent="0.3">
      <c r="A898" s="10"/>
      <c r="B898" s="14"/>
      <c r="C898" s="15"/>
      <c r="D898" s="15"/>
      <c r="E898" s="15"/>
      <c r="F898" s="14"/>
    </row>
    <row r="899" spans="1:13" ht="21" customHeight="1" x14ac:dyDescent="0.3">
      <c r="A899" s="16">
        <v>46233</v>
      </c>
      <c r="B899" s="6" t="s">
        <v>109</v>
      </c>
      <c r="C899" s="7" t="s">
        <v>535</v>
      </c>
      <c r="D899" s="6"/>
      <c r="E899" s="9">
        <v>1</v>
      </c>
      <c r="F899" s="8">
        <v>13950</v>
      </c>
      <c r="G899" s="8">
        <v>13950</v>
      </c>
      <c r="H899" s="9">
        <v>0</v>
      </c>
      <c r="I899" s="8">
        <v>13950</v>
      </c>
      <c r="J899" s="8">
        <v>12746</v>
      </c>
      <c r="K899" s="8">
        <v>1204</v>
      </c>
      <c r="L899" s="9">
        <v>9</v>
      </c>
      <c r="M899" s="6"/>
    </row>
    <row r="900" spans="1:13" ht="21" customHeight="1" x14ac:dyDescent="0.3">
      <c r="A900" s="10"/>
      <c r="B900" s="3" t="s">
        <v>17</v>
      </c>
      <c r="C900" s="4" t="s">
        <v>18</v>
      </c>
      <c r="D900" s="4" t="s">
        <v>19</v>
      </c>
      <c r="E900" s="4" t="s">
        <v>11</v>
      </c>
      <c r="F900" s="3" t="s">
        <v>20</v>
      </c>
    </row>
    <row r="901" spans="1:13" ht="21" customHeight="1" x14ac:dyDescent="0.3">
      <c r="A901" s="10"/>
      <c r="B901" s="11" t="s">
        <v>45</v>
      </c>
      <c r="C901" s="9" t="s">
        <v>275</v>
      </c>
      <c r="D901" s="8">
        <v>13950</v>
      </c>
      <c r="E901" s="8">
        <v>12746</v>
      </c>
      <c r="F901" s="13"/>
    </row>
    <row r="902" spans="1:13" ht="21" customHeight="1" x14ac:dyDescent="0.3">
      <c r="A902" s="10"/>
      <c r="B902" s="14"/>
      <c r="C902" s="15"/>
      <c r="D902" s="15"/>
      <c r="E902" s="15"/>
      <c r="F902" s="14"/>
    </row>
    <row r="903" spans="1:13" ht="21" customHeight="1" x14ac:dyDescent="0.3">
      <c r="A903" s="16">
        <v>46233</v>
      </c>
      <c r="B903" s="6" t="s">
        <v>109</v>
      </c>
      <c r="C903" s="7" t="s">
        <v>536</v>
      </c>
      <c r="D903" s="6"/>
      <c r="E903" s="9">
        <v>1</v>
      </c>
      <c r="F903" s="8">
        <v>12525</v>
      </c>
      <c r="G903" s="8">
        <v>12525</v>
      </c>
      <c r="H903" s="9">
        <v>0</v>
      </c>
      <c r="I903" s="8">
        <v>12525</v>
      </c>
      <c r="J903" s="8">
        <v>11315</v>
      </c>
      <c r="K903" s="8">
        <v>1210</v>
      </c>
      <c r="L903" s="9">
        <v>10</v>
      </c>
      <c r="M903" s="6"/>
    </row>
    <row r="904" spans="1:13" ht="21" customHeight="1" x14ac:dyDescent="0.3">
      <c r="A904" s="10"/>
      <c r="B904" s="3" t="s">
        <v>17</v>
      </c>
      <c r="C904" s="4" t="s">
        <v>18</v>
      </c>
      <c r="D904" s="4" t="s">
        <v>19</v>
      </c>
      <c r="E904" s="4" t="s">
        <v>11</v>
      </c>
      <c r="F904" s="3" t="s">
        <v>20</v>
      </c>
    </row>
    <row r="905" spans="1:13" ht="21" customHeight="1" x14ac:dyDescent="0.3">
      <c r="A905" s="10"/>
      <c r="B905" s="11" t="s">
        <v>65</v>
      </c>
      <c r="C905" s="9" t="s">
        <v>275</v>
      </c>
      <c r="D905" s="8">
        <v>12525</v>
      </c>
      <c r="E905" s="8">
        <v>11315</v>
      </c>
      <c r="F905" s="13"/>
    </row>
    <row r="906" spans="1:13" ht="21" customHeight="1" x14ac:dyDescent="0.3">
      <c r="A906" s="10"/>
      <c r="B906" s="14"/>
      <c r="C906" s="15"/>
      <c r="D906" s="15"/>
      <c r="E906" s="15"/>
      <c r="F906" s="14"/>
    </row>
    <row r="907" spans="1:13" ht="21" customHeight="1" x14ac:dyDescent="0.3">
      <c r="A907" s="16">
        <v>46233</v>
      </c>
      <c r="B907" s="6" t="s">
        <v>212</v>
      </c>
      <c r="C907" s="7" t="s">
        <v>537</v>
      </c>
      <c r="D907" s="6"/>
      <c r="E907" s="9">
        <v>1</v>
      </c>
      <c r="F907" s="8">
        <v>18300</v>
      </c>
      <c r="G907" s="8">
        <v>18300</v>
      </c>
      <c r="H907" s="9">
        <v>0</v>
      </c>
      <c r="I907" s="8">
        <v>18300</v>
      </c>
      <c r="J907" s="8">
        <v>17150</v>
      </c>
      <c r="K907" s="8">
        <v>1150</v>
      </c>
      <c r="L907" s="9">
        <v>6</v>
      </c>
      <c r="M907" s="6"/>
    </row>
    <row r="908" spans="1:13" ht="21" customHeight="1" x14ac:dyDescent="0.3">
      <c r="A908" s="10"/>
      <c r="B908" s="3" t="s">
        <v>17</v>
      </c>
      <c r="C908" s="4" t="s">
        <v>18</v>
      </c>
      <c r="D908" s="4" t="s">
        <v>19</v>
      </c>
      <c r="E908" s="4" t="s">
        <v>11</v>
      </c>
      <c r="F908" s="3" t="s">
        <v>20</v>
      </c>
    </row>
    <row r="909" spans="1:13" ht="21" customHeight="1" x14ac:dyDescent="0.3">
      <c r="A909" s="10"/>
      <c r="B909" s="11" t="s">
        <v>43</v>
      </c>
      <c r="C909" s="9" t="s">
        <v>275</v>
      </c>
      <c r="D909" s="8">
        <v>18300</v>
      </c>
      <c r="E909" s="8">
        <v>17150</v>
      </c>
      <c r="F909" s="13"/>
    </row>
    <row r="910" spans="1:13" ht="21" customHeight="1" x14ac:dyDescent="0.3">
      <c r="A910" s="10"/>
      <c r="B910" s="14"/>
      <c r="C910" s="15"/>
      <c r="D910" s="15"/>
      <c r="E910" s="15"/>
      <c r="F910" s="14"/>
    </row>
    <row r="911" spans="1:13" ht="21" customHeight="1" x14ac:dyDescent="0.3">
      <c r="A911" s="16">
        <v>46233</v>
      </c>
      <c r="B911" s="6" t="s">
        <v>15</v>
      </c>
      <c r="C911" s="7" t="s">
        <v>538</v>
      </c>
      <c r="D911" s="6"/>
      <c r="E911" s="9">
        <v>1</v>
      </c>
      <c r="F911" s="8">
        <v>5300</v>
      </c>
      <c r="G911" s="8">
        <v>5300</v>
      </c>
      <c r="H911" s="9">
        <v>0</v>
      </c>
      <c r="I911" s="8">
        <v>5300</v>
      </c>
      <c r="J911" s="8">
        <v>5200</v>
      </c>
      <c r="K911" s="9">
        <v>100</v>
      </c>
      <c r="L911" s="9">
        <v>2</v>
      </c>
      <c r="M911" s="6"/>
    </row>
    <row r="912" spans="1:13" ht="21" customHeight="1" x14ac:dyDescent="0.3">
      <c r="A912" s="10"/>
      <c r="B912" s="3" t="s">
        <v>17</v>
      </c>
      <c r="C912" s="4" t="s">
        <v>18</v>
      </c>
      <c r="D912" s="4" t="s">
        <v>19</v>
      </c>
      <c r="E912" s="4" t="s">
        <v>11</v>
      </c>
      <c r="F912" s="3" t="s">
        <v>20</v>
      </c>
    </row>
    <row r="913" spans="1:13" ht="21" customHeight="1" x14ac:dyDescent="0.3">
      <c r="A913" s="10"/>
      <c r="B913" s="11" t="s">
        <v>24</v>
      </c>
      <c r="C913" s="9" t="s">
        <v>257</v>
      </c>
      <c r="D913" s="8">
        <v>5300</v>
      </c>
      <c r="E913" s="8">
        <v>5200</v>
      </c>
      <c r="F913" s="13"/>
    </row>
    <row r="914" spans="1:13" ht="21" customHeight="1" x14ac:dyDescent="0.3">
      <c r="A914" s="10"/>
      <c r="B914" s="14"/>
      <c r="C914" s="15"/>
      <c r="D914" s="15"/>
      <c r="E914" s="15"/>
      <c r="F914" s="14"/>
    </row>
    <row r="915" spans="1:13" ht="21" customHeight="1" x14ac:dyDescent="0.3">
      <c r="A915" s="16">
        <v>46234</v>
      </c>
      <c r="B915" s="6" t="s">
        <v>102</v>
      </c>
      <c r="C915" s="7" t="s">
        <v>539</v>
      </c>
      <c r="D915" s="6"/>
      <c r="E915" s="9">
        <v>1</v>
      </c>
      <c r="F915" s="8">
        <v>9500</v>
      </c>
      <c r="G915" s="8">
        <v>9500</v>
      </c>
      <c r="H915" s="9">
        <v>0</v>
      </c>
      <c r="I915" s="8">
        <v>9500</v>
      </c>
      <c r="J915" s="8">
        <v>8657</v>
      </c>
      <c r="K915" s="9">
        <v>843</v>
      </c>
      <c r="L915" s="9">
        <v>9</v>
      </c>
      <c r="M915" s="6"/>
    </row>
    <row r="916" spans="1:13" ht="21" customHeight="1" x14ac:dyDescent="0.3">
      <c r="A916" s="10"/>
      <c r="B916" s="3" t="s">
        <v>17</v>
      </c>
      <c r="C916" s="4" t="s">
        <v>18</v>
      </c>
      <c r="D916" s="4" t="s">
        <v>19</v>
      </c>
      <c r="E916" s="4" t="s">
        <v>11</v>
      </c>
      <c r="F916" s="3" t="s">
        <v>20</v>
      </c>
    </row>
    <row r="917" spans="1:13" ht="21" customHeight="1" x14ac:dyDescent="0.3">
      <c r="A917" s="10"/>
      <c r="B917" s="11" t="s">
        <v>22</v>
      </c>
      <c r="C917" s="9" t="s">
        <v>275</v>
      </c>
      <c r="D917" s="8">
        <v>9500</v>
      </c>
      <c r="E917" s="8">
        <v>8657</v>
      </c>
      <c r="F917" s="13"/>
    </row>
    <row r="918" spans="1:13" ht="21" customHeight="1" x14ac:dyDescent="0.3">
      <c r="A918" s="10"/>
      <c r="B918" s="14"/>
      <c r="C918" s="15"/>
      <c r="D918" s="15"/>
      <c r="E918" s="15"/>
      <c r="F918" s="14"/>
    </row>
    <row r="919" spans="1:13" ht="21" customHeight="1" x14ac:dyDescent="0.3">
      <c r="A919" s="16">
        <v>46234</v>
      </c>
      <c r="B919" s="6" t="s">
        <v>50</v>
      </c>
      <c r="C919" s="7" t="s">
        <v>540</v>
      </c>
      <c r="D919" s="6"/>
      <c r="E919" s="9">
        <v>30</v>
      </c>
      <c r="F919" s="8">
        <v>500550</v>
      </c>
      <c r="G919" s="9">
        <v>0</v>
      </c>
      <c r="H919" s="8">
        <v>500550</v>
      </c>
      <c r="I919" s="8">
        <v>500550</v>
      </c>
      <c r="J919" s="8">
        <v>497550</v>
      </c>
      <c r="K919" s="8">
        <v>3000</v>
      </c>
      <c r="L919" s="9">
        <v>1</v>
      </c>
      <c r="M919" s="6"/>
    </row>
    <row r="920" spans="1:13" ht="21" customHeight="1" x14ac:dyDescent="0.3">
      <c r="A920" s="10"/>
      <c r="B920" s="3" t="s">
        <v>17</v>
      </c>
      <c r="C920" s="4" t="s">
        <v>18</v>
      </c>
      <c r="D920" s="4" t="s">
        <v>19</v>
      </c>
      <c r="E920" s="4" t="s">
        <v>11</v>
      </c>
      <c r="F920" s="3" t="s">
        <v>20</v>
      </c>
    </row>
    <row r="921" spans="1:13" ht="21" customHeight="1" x14ac:dyDescent="0.3">
      <c r="A921" s="10"/>
      <c r="B921" s="11" t="s">
        <v>31</v>
      </c>
      <c r="C921" s="9" t="s">
        <v>263</v>
      </c>
      <c r="D921" s="8">
        <v>17200</v>
      </c>
      <c r="E921" s="8">
        <v>342000</v>
      </c>
      <c r="F921" s="13"/>
    </row>
    <row r="922" spans="1:13" ht="21" customHeight="1" x14ac:dyDescent="0.3">
      <c r="A922" s="10"/>
      <c r="B922" s="11" t="s">
        <v>33</v>
      </c>
      <c r="C922" s="9" t="s">
        <v>312</v>
      </c>
      <c r="D922" s="8">
        <v>15655</v>
      </c>
      <c r="E922" s="8">
        <v>155550</v>
      </c>
      <c r="F922" s="13"/>
    </row>
    <row r="923" spans="1:13" ht="21" customHeight="1" x14ac:dyDescent="0.3">
      <c r="A923" s="10"/>
      <c r="B923" s="14"/>
      <c r="C923" s="15"/>
      <c r="D923" s="15"/>
      <c r="E923" s="15"/>
      <c r="F923" s="14"/>
    </row>
    <row r="924" spans="1:13" ht="21" customHeight="1" x14ac:dyDescent="0.3">
      <c r="A924" s="16">
        <v>46234</v>
      </c>
      <c r="B924" s="6" t="s">
        <v>25</v>
      </c>
      <c r="C924" s="7" t="s">
        <v>541</v>
      </c>
      <c r="D924" s="6"/>
      <c r="E924" s="9">
        <v>150</v>
      </c>
      <c r="F924" s="8">
        <v>750000</v>
      </c>
      <c r="G924" s="8">
        <v>750000</v>
      </c>
      <c r="H924" s="9">
        <v>0</v>
      </c>
      <c r="I924" s="8">
        <v>750000</v>
      </c>
      <c r="J924" s="8">
        <v>780000</v>
      </c>
      <c r="K924" s="8">
        <v>-30000</v>
      </c>
      <c r="L924" s="9">
        <v>-4</v>
      </c>
      <c r="M924" s="6"/>
    </row>
    <row r="925" spans="1:13" ht="21" customHeight="1" x14ac:dyDescent="0.3">
      <c r="A925" s="10"/>
      <c r="B925" s="3" t="s">
        <v>17</v>
      </c>
      <c r="C925" s="4" t="s">
        <v>18</v>
      </c>
      <c r="D925" s="4" t="s">
        <v>19</v>
      </c>
      <c r="E925" s="4" t="s">
        <v>11</v>
      </c>
      <c r="F925" s="3" t="s">
        <v>20</v>
      </c>
    </row>
    <row r="926" spans="1:13" ht="21" customHeight="1" x14ac:dyDescent="0.3">
      <c r="A926" s="10"/>
      <c r="B926" s="11" t="s">
        <v>24</v>
      </c>
      <c r="C926" s="9" t="s">
        <v>523</v>
      </c>
      <c r="D926" s="8">
        <v>5000</v>
      </c>
      <c r="E926" s="8">
        <v>780000</v>
      </c>
      <c r="F926" s="13"/>
    </row>
    <row r="927" spans="1:13" ht="21" customHeight="1" x14ac:dyDescent="0.3">
      <c r="A927" s="10"/>
      <c r="B927" s="14"/>
      <c r="C927" s="15"/>
      <c r="D927" s="15"/>
      <c r="E927" s="15"/>
      <c r="F927" s="14"/>
    </row>
    <row r="928" spans="1:13" ht="21" customHeight="1" x14ac:dyDescent="0.3">
      <c r="A928" s="16">
        <v>46234</v>
      </c>
      <c r="B928" s="6" t="s">
        <v>29</v>
      </c>
      <c r="C928" s="7" t="s">
        <v>542</v>
      </c>
      <c r="D928" s="6"/>
      <c r="E928" s="9">
        <v>12</v>
      </c>
      <c r="F928" s="8">
        <v>60000</v>
      </c>
      <c r="G928" s="9">
        <v>0</v>
      </c>
      <c r="H928" s="8">
        <v>60000</v>
      </c>
      <c r="I928" s="8">
        <v>60000</v>
      </c>
      <c r="J928" s="8">
        <v>62400</v>
      </c>
      <c r="K928" s="8">
        <v>-2400</v>
      </c>
      <c r="L928" s="9">
        <v>-4</v>
      </c>
      <c r="M928" s="6"/>
    </row>
    <row r="929" spans="1:13" ht="21" customHeight="1" x14ac:dyDescent="0.3">
      <c r="A929" s="10"/>
      <c r="B929" s="3" t="s">
        <v>17</v>
      </c>
      <c r="C929" s="4" t="s">
        <v>18</v>
      </c>
      <c r="D929" s="4" t="s">
        <v>19</v>
      </c>
      <c r="E929" s="4" t="s">
        <v>11</v>
      </c>
      <c r="F929" s="3" t="s">
        <v>20</v>
      </c>
    </row>
    <row r="930" spans="1:13" ht="21" customHeight="1" x14ac:dyDescent="0.3">
      <c r="A930" s="10"/>
      <c r="B930" s="11" t="s">
        <v>24</v>
      </c>
      <c r="C930" s="9" t="s">
        <v>543</v>
      </c>
      <c r="D930" s="8">
        <v>5000</v>
      </c>
      <c r="E930" s="8">
        <v>62400</v>
      </c>
      <c r="F930" s="13"/>
    </row>
    <row r="931" spans="1:13" ht="21" customHeight="1" x14ac:dyDescent="0.3">
      <c r="A931" s="10"/>
      <c r="B931" s="14"/>
      <c r="C931" s="15"/>
      <c r="D931" s="15"/>
      <c r="E931" s="15"/>
      <c r="F931" s="14"/>
    </row>
    <row r="932" spans="1:13" ht="21" customHeight="1" x14ac:dyDescent="0.3">
      <c r="A932" s="16">
        <v>46234</v>
      </c>
      <c r="B932" s="6" t="s">
        <v>394</v>
      </c>
      <c r="C932" s="7" t="s">
        <v>544</v>
      </c>
      <c r="D932" s="6"/>
      <c r="E932" s="9">
        <v>30</v>
      </c>
      <c r="F932" s="8">
        <v>150000</v>
      </c>
      <c r="G932" s="9">
        <v>0</v>
      </c>
      <c r="H932" s="8">
        <v>150000</v>
      </c>
      <c r="I932" s="8">
        <v>150000</v>
      </c>
      <c r="J932" s="8">
        <v>156000</v>
      </c>
      <c r="K932" s="8">
        <v>-6000</v>
      </c>
      <c r="L932" s="9">
        <v>-4</v>
      </c>
      <c r="M932" s="6"/>
    </row>
    <row r="933" spans="1:13" ht="21" customHeight="1" x14ac:dyDescent="0.3">
      <c r="A933" s="10"/>
      <c r="B933" s="3" t="s">
        <v>17</v>
      </c>
      <c r="C933" s="4" t="s">
        <v>18</v>
      </c>
      <c r="D933" s="4" t="s">
        <v>19</v>
      </c>
      <c r="E933" s="4" t="s">
        <v>11</v>
      </c>
      <c r="F933" s="3" t="s">
        <v>20</v>
      </c>
    </row>
    <row r="934" spans="1:13" ht="21" customHeight="1" x14ac:dyDescent="0.3">
      <c r="A934" s="10"/>
      <c r="B934" s="11" t="s">
        <v>24</v>
      </c>
      <c r="C934" s="9" t="s">
        <v>545</v>
      </c>
      <c r="D934" s="8">
        <v>5000</v>
      </c>
      <c r="E934" s="8">
        <v>156000</v>
      </c>
      <c r="F934" s="13"/>
    </row>
    <row r="935" spans="1:13" ht="21" customHeight="1" x14ac:dyDescent="0.3">
      <c r="A935" s="10"/>
      <c r="B935" s="14"/>
      <c r="C935" s="15"/>
      <c r="D935" s="15"/>
      <c r="E935" s="15"/>
      <c r="F935" s="14"/>
    </row>
    <row r="936" spans="1:13" ht="21" customHeight="1" x14ac:dyDescent="0.3">
      <c r="A936" s="16">
        <v>46234</v>
      </c>
      <c r="B936" s="6" t="s">
        <v>122</v>
      </c>
      <c r="C936" s="7" t="s">
        <v>546</v>
      </c>
      <c r="D936" s="6"/>
      <c r="E936" s="9">
        <v>3</v>
      </c>
      <c r="F936" s="8">
        <v>23500</v>
      </c>
      <c r="G936" s="9">
        <v>0</v>
      </c>
      <c r="H936" s="8">
        <v>23500</v>
      </c>
      <c r="I936" s="8">
        <v>23500</v>
      </c>
      <c r="J936" s="8">
        <v>21975</v>
      </c>
      <c r="K936" s="8">
        <v>1525</v>
      </c>
      <c r="L936" s="9">
        <v>6</v>
      </c>
      <c r="M936" s="6"/>
    </row>
    <row r="937" spans="1:13" ht="21" customHeight="1" x14ac:dyDescent="0.3">
      <c r="A937" s="10"/>
      <c r="B937" s="3" t="s">
        <v>17</v>
      </c>
      <c r="C937" s="4" t="s">
        <v>18</v>
      </c>
      <c r="D937" s="4" t="s">
        <v>19</v>
      </c>
      <c r="E937" s="4" t="s">
        <v>11</v>
      </c>
      <c r="F937" s="3" t="s">
        <v>20</v>
      </c>
    </row>
    <row r="938" spans="1:13" ht="21" customHeight="1" x14ac:dyDescent="0.3">
      <c r="A938" s="10"/>
      <c r="B938" s="11" t="s">
        <v>24</v>
      </c>
      <c r="C938" s="9" t="s">
        <v>257</v>
      </c>
      <c r="D938" s="8">
        <v>5300</v>
      </c>
      <c r="E938" s="8">
        <v>5200</v>
      </c>
      <c r="F938" s="13"/>
    </row>
    <row r="939" spans="1:13" ht="21" customHeight="1" x14ac:dyDescent="0.3">
      <c r="A939" s="10"/>
      <c r="B939" s="11" t="s">
        <v>22</v>
      </c>
      <c r="C939" s="9" t="s">
        <v>275</v>
      </c>
      <c r="D939" s="8">
        <v>9200</v>
      </c>
      <c r="E939" s="8">
        <v>8657</v>
      </c>
      <c r="F939" s="13"/>
    </row>
    <row r="940" spans="1:13" ht="21" customHeight="1" x14ac:dyDescent="0.3">
      <c r="A940" s="10"/>
      <c r="B940" s="11" t="s">
        <v>21</v>
      </c>
      <c r="C940" s="9" t="s">
        <v>275</v>
      </c>
      <c r="D940" s="8">
        <v>9000</v>
      </c>
      <c r="E940" s="8">
        <v>8118</v>
      </c>
      <c r="F940" s="13"/>
    </row>
    <row r="941" spans="1:13" ht="21" customHeight="1" x14ac:dyDescent="0.3">
      <c r="A941" s="10"/>
      <c r="B941" s="14"/>
      <c r="C941" s="15"/>
      <c r="D941" s="15"/>
      <c r="E941" s="15"/>
      <c r="F941" s="14"/>
    </row>
    <row r="942" spans="1:13" ht="21" customHeight="1" x14ac:dyDescent="0.3">
      <c r="A942" s="16">
        <v>46234</v>
      </c>
      <c r="B942" s="6" t="s">
        <v>50</v>
      </c>
      <c r="C942" s="7" t="s">
        <v>547</v>
      </c>
      <c r="D942" s="6"/>
      <c r="E942" s="9">
        <v>25</v>
      </c>
      <c r="F942" s="8">
        <v>452450</v>
      </c>
      <c r="G942" s="9">
        <v>0</v>
      </c>
      <c r="H942" s="8">
        <v>452450</v>
      </c>
      <c r="I942" s="8">
        <v>452450</v>
      </c>
      <c r="J942" s="8">
        <v>449975</v>
      </c>
      <c r="K942" s="8">
        <v>2475</v>
      </c>
      <c r="L942" s="9">
        <v>1</v>
      </c>
      <c r="M942" s="6"/>
    </row>
    <row r="943" spans="1:13" ht="21" customHeight="1" x14ac:dyDescent="0.3">
      <c r="A943" s="10"/>
      <c r="B943" s="3" t="s">
        <v>17</v>
      </c>
      <c r="C943" s="4" t="s">
        <v>18</v>
      </c>
      <c r="D943" s="4" t="s">
        <v>19</v>
      </c>
      <c r="E943" s="4" t="s">
        <v>11</v>
      </c>
      <c r="F943" s="3" t="s">
        <v>20</v>
      </c>
    </row>
    <row r="944" spans="1:13" ht="21" customHeight="1" x14ac:dyDescent="0.3">
      <c r="A944" s="10"/>
      <c r="B944" s="11" t="s">
        <v>31</v>
      </c>
      <c r="C944" s="9" t="s">
        <v>263</v>
      </c>
      <c r="D944" s="8">
        <v>17200</v>
      </c>
      <c r="E944" s="8">
        <v>342000</v>
      </c>
      <c r="F944" s="13"/>
    </row>
    <row r="945" spans="1:13" ht="21" customHeight="1" x14ac:dyDescent="0.3">
      <c r="A945" s="10"/>
      <c r="B945" s="11" t="s">
        <v>34</v>
      </c>
      <c r="C945" s="9" t="s">
        <v>255</v>
      </c>
      <c r="D945" s="8">
        <v>21690</v>
      </c>
      <c r="E945" s="8">
        <v>107975</v>
      </c>
      <c r="F945" s="13"/>
    </row>
    <row r="946" spans="1:13" ht="21" customHeight="1" x14ac:dyDescent="0.3">
      <c r="A946" s="10"/>
      <c r="B946" s="14"/>
      <c r="C946" s="15"/>
      <c r="D946" s="15"/>
      <c r="E946" s="15"/>
      <c r="F946" s="14"/>
    </row>
    <row r="947" spans="1:13" ht="21" customHeight="1" x14ac:dyDescent="0.3">
      <c r="A947" s="16">
        <v>46234</v>
      </c>
      <c r="B947" s="6" t="s">
        <v>29</v>
      </c>
      <c r="C947" s="7" t="s">
        <v>548</v>
      </c>
      <c r="D947" s="6"/>
      <c r="E947" s="9">
        <v>86</v>
      </c>
      <c r="F947" s="8">
        <v>488715</v>
      </c>
      <c r="G947" s="9">
        <v>0</v>
      </c>
      <c r="H947" s="8">
        <v>488715</v>
      </c>
      <c r="I947" s="8">
        <v>488715</v>
      </c>
      <c r="J947" s="8">
        <v>453881</v>
      </c>
      <c r="K947" s="8">
        <v>34834</v>
      </c>
      <c r="L947" s="9">
        <v>7</v>
      </c>
      <c r="M947" s="6"/>
    </row>
    <row r="948" spans="1:13" ht="21" customHeight="1" x14ac:dyDescent="0.3">
      <c r="A948" s="10"/>
      <c r="B948" s="3" t="s">
        <v>17</v>
      </c>
      <c r="C948" s="4" t="s">
        <v>18</v>
      </c>
      <c r="D948" s="4" t="s">
        <v>19</v>
      </c>
      <c r="E948" s="4" t="s">
        <v>11</v>
      </c>
      <c r="F948" s="3" t="s">
        <v>20</v>
      </c>
    </row>
    <row r="949" spans="1:13" ht="21" customHeight="1" x14ac:dyDescent="0.3">
      <c r="A949" s="10"/>
      <c r="B949" s="11" t="s">
        <v>22</v>
      </c>
      <c r="C949" s="9" t="s">
        <v>549</v>
      </c>
      <c r="D949" s="8">
        <v>9000</v>
      </c>
      <c r="E949" s="8">
        <v>147165</v>
      </c>
      <c r="F949" s="13"/>
    </row>
    <row r="950" spans="1:13" ht="21" customHeight="1" x14ac:dyDescent="0.3">
      <c r="A950" s="10"/>
      <c r="B950" s="11" t="s">
        <v>45</v>
      </c>
      <c r="C950" s="9" t="s">
        <v>270</v>
      </c>
      <c r="D950" s="8">
        <v>13335</v>
      </c>
      <c r="E950" s="8">
        <v>63731</v>
      </c>
      <c r="F950" s="13"/>
    </row>
    <row r="951" spans="1:13" ht="21" customHeight="1" x14ac:dyDescent="0.3">
      <c r="A951" s="10"/>
      <c r="B951" s="11" t="s">
        <v>44</v>
      </c>
      <c r="C951" s="9" t="s">
        <v>550</v>
      </c>
      <c r="D951" s="8">
        <v>9200</v>
      </c>
      <c r="E951" s="8">
        <v>116870</v>
      </c>
      <c r="F951" s="13"/>
    </row>
    <row r="952" spans="1:13" ht="21" customHeight="1" x14ac:dyDescent="0.3">
      <c r="A952" s="10"/>
      <c r="B952" s="11" t="s">
        <v>37</v>
      </c>
      <c r="C952" s="9" t="s">
        <v>343</v>
      </c>
      <c r="D952" s="8">
        <v>8880</v>
      </c>
      <c r="E952" s="8">
        <v>68200</v>
      </c>
      <c r="F952" s="13"/>
    </row>
    <row r="953" spans="1:13" ht="21" customHeight="1" x14ac:dyDescent="0.3">
      <c r="A953" s="10"/>
      <c r="B953" s="11" t="s">
        <v>38</v>
      </c>
      <c r="C953" s="9" t="s">
        <v>551</v>
      </c>
      <c r="D953" s="8">
        <v>1800</v>
      </c>
      <c r="E953" s="8">
        <v>57775</v>
      </c>
      <c r="F953" s="13"/>
    </row>
    <row r="954" spans="1:13" ht="21" customHeight="1" x14ac:dyDescent="0.3">
      <c r="A954" s="10"/>
      <c r="B954" s="11" t="s">
        <v>148</v>
      </c>
      <c r="C954" s="9" t="s">
        <v>377</v>
      </c>
      <c r="D954" s="8">
        <v>2000</v>
      </c>
      <c r="E954" s="9">
        <v>140</v>
      </c>
      <c r="F954" s="13"/>
    </row>
    <row r="955" spans="1:13" ht="21" customHeight="1" x14ac:dyDescent="0.3">
      <c r="A955" s="10"/>
      <c r="B955" s="14"/>
      <c r="C955" s="15"/>
      <c r="D955" s="15"/>
      <c r="E955" s="15"/>
      <c r="F955" s="14"/>
    </row>
    <row r="956" spans="1:13" ht="21" customHeight="1" x14ac:dyDescent="0.3">
      <c r="A956" s="16">
        <v>46234</v>
      </c>
      <c r="B956" s="6" t="s">
        <v>78</v>
      </c>
      <c r="C956" s="7" t="s">
        <v>552</v>
      </c>
      <c r="D956" s="6"/>
      <c r="E956" s="9">
        <v>7</v>
      </c>
      <c r="F956" s="8">
        <v>137075</v>
      </c>
      <c r="G956" s="8">
        <v>137075</v>
      </c>
      <c r="H956" s="9">
        <v>0</v>
      </c>
      <c r="I956" s="8">
        <v>137075</v>
      </c>
      <c r="J956" s="8">
        <v>131510</v>
      </c>
      <c r="K956" s="8">
        <v>5565</v>
      </c>
      <c r="L956" s="9">
        <v>4</v>
      </c>
      <c r="M956" s="6"/>
    </row>
    <row r="957" spans="1:13" ht="21" customHeight="1" x14ac:dyDescent="0.3">
      <c r="A957" s="10"/>
      <c r="B957" s="3" t="s">
        <v>17</v>
      </c>
      <c r="C957" s="4" t="s">
        <v>18</v>
      </c>
      <c r="D957" s="4" t="s">
        <v>19</v>
      </c>
      <c r="E957" s="4" t="s">
        <v>11</v>
      </c>
      <c r="F957" s="3" t="s">
        <v>20</v>
      </c>
    </row>
    <row r="958" spans="1:13" ht="21" customHeight="1" x14ac:dyDescent="0.3">
      <c r="A958" s="10"/>
      <c r="B958" s="11" t="s">
        <v>31</v>
      </c>
      <c r="C958" s="9" t="s">
        <v>380</v>
      </c>
      <c r="D958" s="8">
        <v>17400</v>
      </c>
      <c r="E958" s="8">
        <v>34200</v>
      </c>
      <c r="F958" s="13"/>
    </row>
    <row r="959" spans="1:13" ht="21" customHeight="1" x14ac:dyDescent="0.3">
      <c r="A959" s="10"/>
      <c r="B959" s="11" t="s">
        <v>34</v>
      </c>
      <c r="C959" s="9" t="s">
        <v>356</v>
      </c>
      <c r="D959" s="8">
        <v>22740</v>
      </c>
      <c r="E959" s="8">
        <v>64785</v>
      </c>
      <c r="F959" s="13"/>
    </row>
    <row r="960" spans="1:13" ht="21" customHeight="1" x14ac:dyDescent="0.3">
      <c r="A960" s="10"/>
      <c r="B960" s="11" t="s">
        <v>35</v>
      </c>
      <c r="C960" s="9" t="s">
        <v>266</v>
      </c>
      <c r="D960" s="8">
        <v>21170</v>
      </c>
      <c r="E960" s="8">
        <v>20405</v>
      </c>
      <c r="F960" s="13"/>
    </row>
    <row r="961" spans="1:13" ht="21" customHeight="1" x14ac:dyDescent="0.3">
      <c r="A961" s="10"/>
      <c r="B961" s="11" t="s">
        <v>61</v>
      </c>
      <c r="C961" s="9" t="s">
        <v>266</v>
      </c>
      <c r="D961" s="8">
        <v>12885</v>
      </c>
      <c r="E961" s="8">
        <v>12120</v>
      </c>
      <c r="F961" s="13"/>
    </row>
    <row r="962" spans="1:13" ht="21" customHeight="1" x14ac:dyDescent="0.3">
      <c r="A962" s="10"/>
      <c r="B962" s="14"/>
      <c r="C962" s="15"/>
      <c r="D962" s="15"/>
      <c r="E962" s="15"/>
      <c r="F962" s="14"/>
    </row>
    <row r="963" spans="1:13" ht="21" customHeight="1" x14ac:dyDescent="0.3">
      <c r="A963" s="16">
        <v>46234</v>
      </c>
      <c r="B963" s="6" t="s">
        <v>104</v>
      </c>
      <c r="C963" s="7" t="s">
        <v>553</v>
      </c>
      <c r="D963" s="6"/>
      <c r="E963" s="9">
        <v>1</v>
      </c>
      <c r="F963" s="8">
        <v>5000</v>
      </c>
      <c r="G963" s="9">
        <v>0</v>
      </c>
      <c r="H963" s="8">
        <v>5000</v>
      </c>
      <c r="I963" s="8">
        <v>5000</v>
      </c>
      <c r="J963" s="8">
        <v>5200</v>
      </c>
      <c r="K963" s="9">
        <v>-200</v>
      </c>
      <c r="L963" s="9">
        <v>-4</v>
      </c>
      <c r="M963" s="6"/>
    </row>
    <row r="964" spans="1:13" ht="21" customHeight="1" x14ac:dyDescent="0.3">
      <c r="A964" s="10"/>
      <c r="B964" s="3" t="s">
        <v>17</v>
      </c>
      <c r="C964" s="4" t="s">
        <v>18</v>
      </c>
      <c r="D964" s="4" t="s">
        <v>19</v>
      </c>
      <c r="E964" s="4" t="s">
        <v>11</v>
      </c>
      <c r="F964" s="3" t="s">
        <v>20</v>
      </c>
    </row>
    <row r="965" spans="1:13" ht="21" customHeight="1" x14ac:dyDescent="0.3">
      <c r="A965" s="10"/>
      <c r="B965" s="11" t="s">
        <v>24</v>
      </c>
      <c r="C965" s="9" t="s">
        <v>257</v>
      </c>
      <c r="D965" s="8">
        <v>5000</v>
      </c>
      <c r="E965" s="8">
        <v>5200</v>
      </c>
      <c r="F965" s="13"/>
    </row>
    <row r="966" spans="1:13" ht="21" customHeight="1" x14ac:dyDescent="0.3">
      <c r="A966" s="29"/>
      <c r="B966" s="14"/>
      <c r="C966" s="15"/>
      <c r="D966" s="15"/>
      <c r="E966" s="15"/>
      <c r="F966" s="14"/>
    </row>
    <row r="967" spans="1:13" ht="21" customHeight="1" x14ac:dyDescent="0.3">
      <c r="A967" s="34" t="s">
        <v>554</v>
      </c>
      <c r="B967" s="35"/>
      <c r="C967" s="35"/>
      <c r="D967" s="36"/>
      <c r="E967" s="37">
        <v>14815</v>
      </c>
      <c r="F967" s="4" t="s">
        <v>555</v>
      </c>
      <c r="G967" s="4" t="s">
        <v>556</v>
      </c>
      <c r="H967" s="4" t="s">
        <v>557</v>
      </c>
      <c r="I967" s="4" t="s">
        <v>555</v>
      </c>
      <c r="J967" s="4" t="s">
        <v>558</v>
      </c>
      <c r="K967" s="4" t="s">
        <v>559</v>
      </c>
      <c r="L967" s="4">
        <v>2</v>
      </c>
      <c r="M967" s="3"/>
    </row>
  </sheetData>
  <hyperlinks>
    <hyperlink ref="C5" r:id="rId1" xr:uid="{00000000-0004-0000-0100-000000000000}"/>
    <hyperlink ref="C10" r:id="rId2" xr:uid="{00000000-0004-0000-0100-000001000000}"/>
    <hyperlink ref="C14" r:id="rId3" xr:uid="{00000000-0004-0000-0100-000002000000}"/>
    <hyperlink ref="C22" r:id="rId4" xr:uid="{00000000-0004-0000-0100-000003000000}"/>
    <hyperlink ref="C27" r:id="rId5" xr:uid="{00000000-0004-0000-0100-000004000000}"/>
    <hyperlink ref="C31" r:id="rId6" xr:uid="{00000000-0004-0000-0100-000005000000}"/>
    <hyperlink ref="C39" r:id="rId7" xr:uid="{00000000-0004-0000-0100-000006000000}"/>
    <hyperlink ref="C44" r:id="rId8" xr:uid="{00000000-0004-0000-0100-000007000000}"/>
    <hyperlink ref="C49" r:id="rId9" xr:uid="{00000000-0004-0000-0100-000008000000}"/>
    <hyperlink ref="C53" r:id="rId10" xr:uid="{00000000-0004-0000-0100-000009000000}"/>
    <hyperlink ref="C57" r:id="rId11" xr:uid="{00000000-0004-0000-0100-00000A000000}"/>
    <hyperlink ref="C62" r:id="rId12" xr:uid="{00000000-0004-0000-0100-00000B000000}"/>
    <hyperlink ref="C66" r:id="rId13" xr:uid="{00000000-0004-0000-0100-00000C000000}"/>
    <hyperlink ref="C70" r:id="rId14" xr:uid="{00000000-0004-0000-0100-00000D000000}"/>
    <hyperlink ref="C82" r:id="rId15" xr:uid="{00000000-0004-0000-0100-00000E000000}"/>
    <hyperlink ref="C88" r:id="rId16" xr:uid="{00000000-0004-0000-0100-00000F000000}"/>
    <hyperlink ref="C103" r:id="rId17" xr:uid="{00000000-0004-0000-0100-000010000000}"/>
    <hyperlink ref="C107" r:id="rId18" xr:uid="{00000000-0004-0000-0100-000011000000}"/>
    <hyperlink ref="C111" r:id="rId19" xr:uid="{00000000-0004-0000-0100-000012000000}"/>
    <hyperlink ref="C115" r:id="rId20" xr:uid="{00000000-0004-0000-0100-000013000000}"/>
    <hyperlink ref="C122" r:id="rId21" xr:uid="{00000000-0004-0000-0100-000014000000}"/>
    <hyperlink ref="C127" r:id="rId22" xr:uid="{00000000-0004-0000-0100-000015000000}"/>
    <hyperlink ref="C136" r:id="rId23" xr:uid="{00000000-0004-0000-0100-000016000000}"/>
    <hyperlink ref="C142" r:id="rId24" xr:uid="{00000000-0004-0000-0100-000017000000}"/>
    <hyperlink ref="C148" r:id="rId25" xr:uid="{00000000-0004-0000-0100-000018000000}"/>
    <hyperlink ref="C152" r:id="rId26" xr:uid="{00000000-0004-0000-0100-000019000000}"/>
    <hyperlink ref="C157" r:id="rId27" xr:uid="{00000000-0004-0000-0100-00001A000000}"/>
    <hyperlink ref="C164" r:id="rId28" xr:uid="{00000000-0004-0000-0100-00001B000000}"/>
    <hyperlink ref="C168" r:id="rId29" xr:uid="{00000000-0004-0000-0100-00001C000000}"/>
    <hyperlink ref="C184" r:id="rId30" xr:uid="{00000000-0004-0000-0100-00001D000000}"/>
    <hyperlink ref="C194" r:id="rId31" xr:uid="{00000000-0004-0000-0100-00001E000000}"/>
    <hyperlink ref="C198" r:id="rId32" xr:uid="{00000000-0004-0000-0100-00001F000000}"/>
    <hyperlink ref="C205" r:id="rId33" xr:uid="{00000000-0004-0000-0100-000020000000}"/>
    <hyperlink ref="C211" r:id="rId34" xr:uid="{00000000-0004-0000-0100-000021000000}"/>
    <hyperlink ref="C215" r:id="rId35" xr:uid="{00000000-0004-0000-0100-000022000000}"/>
    <hyperlink ref="C220" r:id="rId36" xr:uid="{00000000-0004-0000-0100-000023000000}"/>
    <hyperlink ref="C224" r:id="rId37" xr:uid="{00000000-0004-0000-0100-000024000000}"/>
    <hyperlink ref="C229" r:id="rId38" xr:uid="{00000000-0004-0000-0100-000025000000}"/>
    <hyperlink ref="C233" r:id="rId39" xr:uid="{00000000-0004-0000-0100-000026000000}"/>
    <hyperlink ref="C238" r:id="rId40" xr:uid="{00000000-0004-0000-0100-000027000000}"/>
    <hyperlink ref="C245" r:id="rId41" xr:uid="{00000000-0004-0000-0100-000028000000}"/>
    <hyperlink ref="C255" r:id="rId42" xr:uid="{00000000-0004-0000-0100-000029000000}"/>
    <hyperlink ref="C261" r:id="rId43" xr:uid="{00000000-0004-0000-0100-00002A000000}"/>
    <hyperlink ref="C272" r:id="rId44" xr:uid="{00000000-0004-0000-0100-00002B000000}"/>
    <hyperlink ref="C276" r:id="rId45" xr:uid="{00000000-0004-0000-0100-00002C000000}"/>
    <hyperlink ref="C280" r:id="rId46" xr:uid="{00000000-0004-0000-0100-00002D000000}"/>
    <hyperlink ref="C284" r:id="rId47" xr:uid="{00000000-0004-0000-0100-00002E000000}"/>
    <hyperlink ref="C303" r:id="rId48" xr:uid="{00000000-0004-0000-0100-00002F000000}"/>
    <hyperlink ref="C307" r:id="rId49" xr:uid="{00000000-0004-0000-0100-000030000000}"/>
    <hyperlink ref="C317" r:id="rId50" xr:uid="{00000000-0004-0000-0100-000031000000}"/>
    <hyperlink ref="C330" r:id="rId51" xr:uid="{00000000-0004-0000-0100-000032000000}"/>
    <hyperlink ref="C334" r:id="rId52" xr:uid="{00000000-0004-0000-0100-000033000000}"/>
    <hyperlink ref="C343" r:id="rId53" xr:uid="{00000000-0004-0000-0100-000034000000}"/>
    <hyperlink ref="C351" r:id="rId54" xr:uid="{00000000-0004-0000-0100-000035000000}"/>
    <hyperlink ref="C357" r:id="rId55" xr:uid="{00000000-0004-0000-0100-000036000000}"/>
    <hyperlink ref="C361" r:id="rId56" xr:uid="{00000000-0004-0000-0100-000037000000}"/>
    <hyperlink ref="C366" r:id="rId57" xr:uid="{00000000-0004-0000-0100-000038000000}"/>
    <hyperlink ref="C371" r:id="rId58" xr:uid="{00000000-0004-0000-0100-000039000000}"/>
    <hyperlink ref="C378" r:id="rId59" xr:uid="{00000000-0004-0000-0100-00003A000000}"/>
    <hyperlink ref="C382" r:id="rId60" xr:uid="{00000000-0004-0000-0100-00003B000000}"/>
    <hyperlink ref="C386" r:id="rId61" xr:uid="{00000000-0004-0000-0100-00003C000000}"/>
    <hyperlink ref="C390" r:id="rId62" xr:uid="{00000000-0004-0000-0100-00003D000000}"/>
    <hyperlink ref="C394" r:id="rId63" xr:uid="{00000000-0004-0000-0100-00003E000000}"/>
    <hyperlink ref="C399" r:id="rId64" xr:uid="{00000000-0004-0000-0100-00003F000000}"/>
    <hyperlink ref="C403" r:id="rId65" xr:uid="{00000000-0004-0000-0100-000040000000}"/>
    <hyperlink ref="C410" r:id="rId66" xr:uid="{00000000-0004-0000-0100-000041000000}"/>
    <hyperlink ref="C414" r:id="rId67" xr:uid="{00000000-0004-0000-0100-000042000000}"/>
    <hyperlink ref="C422" r:id="rId68" xr:uid="{00000000-0004-0000-0100-000043000000}"/>
    <hyperlink ref="C427" r:id="rId69" xr:uid="{00000000-0004-0000-0100-000044000000}"/>
    <hyperlink ref="C431" r:id="rId70" xr:uid="{00000000-0004-0000-0100-000045000000}"/>
    <hyperlink ref="C436" r:id="rId71" xr:uid="{00000000-0004-0000-0100-000046000000}"/>
    <hyperlink ref="C440" r:id="rId72" xr:uid="{00000000-0004-0000-0100-000047000000}"/>
    <hyperlink ref="C444" r:id="rId73" xr:uid="{00000000-0004-0000-0100-000048000000}"/>
    <hyperlink ref="C456" r:id="rId74" xr:uid="{00000000-0004-0000-0100-000049000000}"/>
    <hyperlink ref="C467" r:id="rId75" xr:uid="{00000000-0004-0000-0100-00004A000000}"/>
    <hyperlink ref="C471" r:id="rId76" xr:uid="{00000000-0004-0000-0100-00004B000000}"/>
    <hyperlink ref="C476" r:id="rId77" xr:uid="{00000000-0004-0000-0100-00004C000000}"/>
    <hyperlink ref="C483" r:id="rId78" xr:uid="{00000000-0004-0000-0100-00004D000000}"/>
    <hyperlink ref="C489" r:id="rId79" xr:uid="{00000000-0004-0000-0100-00004E000000}"/>
    <hyperlink ref="C493" r:id="rId80" xr:uid="{00000000-0004-0000-0100-00004F000000}"/>
    <hyperlink ref="C497" r:id="rId81" xr:uid="{00000000-0004-0000-0100-000050000000}"/>
    <hyperlink ref="C510" r:id="rId82" xr:uid="{00000000-0004-0000-0100-000051000000}"/>
    <hyperlink ref="C515" r:id="rId83" xr:uid="{00000000-0004-0000-0100-000052000000}"/>
    <hyperlink ref="C519" r:id="rId84" xr:uid="{00000000-0004-0000-0100-000053000000}"/>
    <hyperlink ref="C529" r:id="rId85" xr:uid="{00000000-0004-0000-0100-000054000000}"/>
    <hyperlink ref="C533" r:id="rId86" xr:uid="{00000000-0004-0000-0100-000055000000}"/>
    <hyperlink ref="C543" r:id="rId87" xr:uid="{00000000-0004-0000-0100-000056000000}"/>
    <hyperlink ref="C553" r:id="rId88" xr:uid="{00000000-0004-0000-0100-000057000000}"/>
    <hyperlink ref="C558" r:id="rId89" xr:uid="{00000000-0004-0000-0100-000058000000}"/>
    <hyperlink ref="C563" r:id="rId90" xr:uid="{00000000-0004-0000-0100-000059000000}"/>
    <hyperlink ref="C567" r:id="rId91" xr:uid="{00000000-0004-0000-0100-00005A000000}"/>
    <hyperlink ref="C571" r:id="rId92" xr:uid="{00000000-0004-0000-0100-00005B000000}"/>
    <hyperlink ref="C576" r:id="rId93" xr:uid="{00000000-0004-0000-0100-00005C000000}"/>
    <hyperlink ref="C580" r:id="rId94" xr:uid="{00000000-0004-0000-0100-00005D000000}"/>
    <hyperlink ref="C584" r:id="rId95" xr:uid="{00000000-0004-0000-0100-00005E000000}"/>
    <hyperlink ref="C590" r:id="rId96" xr:uid="{00000000-0004-0000-0100-00005F000000}"/>
    <hyperlink ref="C595" r:id="rId97" xr:uid="{00000000-0004-0000-0100-000060000000}"/>
    <hyperlink ref="C600" r:id="rId98" xr:uid="{00000000-0004-0000-0100-000061000000}"/>
    <hyperlink ref="C604" r:id="rId99" xr:uid="{00000000-0004-0000-0100-000062000000}"/>
    <hyperlink ref="C613" r:id="rId100" xr:uid="{00000000-0004-0000-0100-000063000000}"/>
    <hyperlink ref="C617" r:id="rId101" xr:uid="{00000000-0004-0000-0100-000064000000}"/>
    <hyperlink ref="C622" r:id="rId102" xr:uid="{00000000-0004-0000-0100-000065000000}"/>
    <hyperlink ref="C631" r:id="rId103" xr:uid="{00000000-0004-0000-0100-000066000000}"/>
    <hyperlink ref="C635" r:id="rId104" xr:uid="{00000000-0004-0000-0100-000067000000}"/>
    <hyperlink ref="C639" r:id="rId105" xr:uid="{00000000-0004-0000-0100-000068000000}"/>
    <hyperlink ref="C645" r:id="rId106" xr:uid="{00000000-0004-0000-0100-000069000000}"/>
    <hyperlink ref="C649" r:id="rId107" xr:uid="{00000000-0004-0000-0100-00006A000000}"/>
    <hyperlink ref="C653" r:id="rId108" xr:uid="{00000000-0004-0000-0100-00006B000000}"/>
    <hyperlink ref="C658" r:id="rId109" xr:uid="{00000000-0004-0000-0100-00006C000000}"/>
    <hyperlink ref="C664" r:id="rId110" xr:uid="{00000000-0004-0000-0100-00006D000000}"/>
    <hyperlink ref="C668" r:id="rId111" xr:uid="{00000000-0004-0000-0100-00006E000000}"/>
    <hyperlink ref="C672" r:id="rId112" xr:uid="{00000000-0004-0000-0100-00006F000000}"/>
    <hyperlink ref="C679" r:id="rId113" xr:uid="{00000000-0004-0000-0100-000070000000}"/>
    <hyperlink ref="C684" r:id="rId114" xr:uid="{00000000-0004-0000-0100-000071000000}"/>
    <hyperlink ref="C689" r:id="rId115" xr:uid="{00000000-0004-0000-0100-000072000000}"/>
    <hyperlink ref="C693" r:id="rId116" xr:uid="{00000000-0004-0000-0100-000073000000}"/>
    <hyperlink ref="C703" r:id="rId117" xr:uid="{00000000-0004-0000-0100-000074000000}"/>
    <hyperlink ref="C708" r:id="rId118" xr:uid="{00000000-0004-0000-0100-000075000000}"/>
    <hyperlink ref="C713" r:id="rId119" xr:uid="{00000000-0004-0000-0100-000076000000}"/>
    <hyperlink ref="C717" r:id="rId120" xr:uid="{00000000-0004-0000-0100-000077000000}"/>
    <hyperlink ref="C722" r:id="rId121" xr:uid="{00000000-0004-0000-0100-000078000000}"/>
    <hyperlink ref="C726" r:id="rId122" xr:uid="{00000000-0004-0000-0100-000079000000}"/>
    <hyperlink ref="C735" r:id="rId123" xr:uid="{00000000-0004-0000-0100-00007A000000}"/>
    <hyperlink ref="C739" r:id="rId124" xr:uid="{00000000-0004-0000-0100-00007B000000}"/>
    <hyperlink ref="C744" r:id="rId125" xr:uid="{00000000-0004-0000-0100-00007C000000}"/>
    <hyperlink ref="C754" r:id="rId126" xr:uid="{00000000-0004-0000-0100-00007D000000}"/>
    <hyperlink ref="C759" r:id="rId127" xr:uid="{00000000-0004-0000-0100-00007E000000}"/>
    <hyperlink ref="C765" r:id="rId128" xr:uid="{00000000-0004-0000-0100-00007F000000}"/>
    <hyperlink ref="C770" r:id="rId129" xr:uid="{00000000-0004-0000-0100-000080000000}"/>
    <hyperlink ref="C775" r:id="rId130" xr:uid="{00000000-0004-0000-0100-000081000000}"/>
    <hyperlink ref="C779" r:id="rId131" xr:uid="{00000000-0004-0000-0100-000082000000}"/>
    <hyperlink ref="C784" r:id="rId132" xr:uid="{00000000-0004-0000-0100-000083000000}"/>
    <hyperlink ref="C788" r:id="rId133" xr:uid="{00000000-0004-0000-0100-000084000000}"/>
    <hyperlink ref="C801" r:id="rId134" xr:uid="{00000000-0004-0000-0100-000085000000}"/>
    <hyperlink ref="C807" r:id="rId135" xr:uid="{00000000-0004-0000-0100-000086000000}"/>
    <hyperlink ref="C821" r:id="rId136" xr:uid="{00000000-0004-0000-0100-000087000000}"/>
    <hyperlink ref="C826" r:id="rId137" xr:uid="{00000000-0004-0000-0100-000088000000}"/>
    <hyperlink ref="C837" r:id="rId138" xr:uid="{00000000-0004-0000-0100-000089000000}"/>
    <hyperlink ref="C845" r:id="rId139" xr:uid="{00000000-0004-0000-0100-00008A000000}"/>
    <hyperlink ref="C851" r:id="rId140" xr:uid="{00000000-0004-0000-0100-00008B000000}"/>
    <hyperlink ref="C862" r:id="rId141" xr:uid="{00000000-0004-0000-0100-00008C000000}"/>
    <hyperlink ref="C866" r:id="rId142" xr:uid="{00000000-0004-0000-0100-00008D000000}"/>
    <hyperlink ref="C870" r:id="rId143" xr:uid="{00000000-0004-0000-0100-00008E000000}"/>
    <hyperlink ref="C883" r:id="rId144" xr:uid="{00000000-0004-0000-0100-00008F000000}"/>
    <hyperlink ref="C887" r:id="rId145" xr:uid="{00000000-0004-0000-0100-000090000000}"/>
    <hyperlink ref="C895" r:id="rId146" xr:uid="{00000000-0004-0000-0100-000091000000}"/>
    <hyperlink ref="C899" r:id="rId147" xr:uid="{00000000-0004-0000-0100-000092000000}"/>
    <hyperlink ref="C903" r:id="rId148" xr:uid="{00000000-0004-0000-0100-000093000000}"/>
    <hyperlink ref="C907" r:id="rId149" xr:uid="{00000000-0004-0000-0100-000094000000}"/>
    <hyperlink ref="C911" r:id="rId150" xr:uid="{00000000-0004-0000-0100-000095000000}"/>
    <hyperlink ref="C915" r:id="rId151" xr:uid="{00000000-0004-0000-0100-000096000000}"/>
    <hyperlink ref="C919" r:id="rId152" xr:uid="{00000000-0004-0000-0100-000097000000}"/>
    <hyperlink ref="C924" r:id="rId153" xr:uid="{00000000-0004-0000-0100-000098000000}"/>
    <hyperlink ref="C928" r:id="rId154" xr:uid="{00000000-0004-0000-0100-000099000000}"/>
    <hyperlink ref="C932" r:id="rId155" xr:uid="{00000000-0004-0000-0100-00009A000000}"/>
    <hyperlink ref="C936" r:id="rId156" xr:uid="{00000000-0004-0000-0100-00009B000000}"/>
    <hyperlink ref="C942" r:id="rId157" xr:uid="{00000000-0004-0000-0100-00009C000000}"/>
    <hyperlink ref="C947" r:id="rId158" xr:uid="{00000000-0004-0000-0100-00009D000000}"/>
    <hyperlink ref="C956" r:id="rId159" xr:uid="{00000000-0004-0000-0100-00009E000000}"/>
    <hyperlink ref="C963" r:id="rId160" xr:uid="{00000000-0004-0000-0100-00009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showGridLines="0" zoomScaleNormal="100" workbookViewId="0">
      <selection activeCell="A44" sqref="A44:XFD44"/>
    </sheetView>
  </sheetViews>
  <sheetFormatPr defaultColWidth="9.14453125" defaultRowHeight="15" x14ac:dyDescent="0.2"/>
  <cols>
    <col min="1" max="1" width="63.76171875" style="38" customWidth="1"/>
    <col min="2" max="2" width="35.51171875" style="38" customWidth="1"/>
    <col min="3" max="3" width="16.94921875" style="38" customWidth="1"/>
    <col min="4" max="4" width="37.53125" style="38" customWidth="1"/>
    <col min="5" max="5" width="45.33203125" style="38" customWidth="1"/>
    <col min="6" max="6" width="63.76171875" style="38" customWidth="1"/>
    <col min="7" max="16384" width="9.14453125" style="38"/>
  </cols>
  <sheetData>
    <row r="1" spans="1:6" ht="14.25" customHeight="1" x14ac:dyDescent="0.2">
      <c r="A1" s="39" t="s">
        <v>0</v>
      </c>
    </row>
    <row r="2" spans="1:6" ht="14.25" customHeight="1" x14ac:dyDescent="0.2">
      <c r="A2" s="39" t="s">
        <v>560</v>
      </c>
    </row>
    <row r="3" spans="1:6" ht="15" customHeight="1" x14ac:dyDescent="0.2">
      <c r="A3" s="38" t="s">
        <v>561</v>
      </c>
    </row>
    <row r="4" spans="1:6" ht="15" customHeight="1" x14ac:dyDescent="0.2">
      <c r="A4" s="40" t="s">
        <v>562</v>
      </c>
      <c r="B4" s="41" t="s">
        <v>563</v>
      </c>
      <c r="C4" s="41" t="s">
        <v>564</v>
      </c>
      <c r="D4" s="41" t="s">
        <v>565</v>
      </c>
      <c r="E4" s="41" t="s">
        <v>566</v>
      </c>
      <c r="F4" s="41" t="s">
        <v>567</v>
      </c>
    </row>
    <row r="5" spans="1:6" ht="14.25" customHeight="1" x14ac:dyDescent="0.2">
      <c r="A5" s="42" t="s">
        <v>568</v>
      </c>
      <c r="B5" s="43">
        <v>2419</v>
      </c>
      <c r="C5" s="44"/>
      <c r="D5" s="42"/>
      <c r="E5" s="43">
        <v>30129450</v>
      </c>
    </row>
    <row r="6" spans="1:6" ht="14.25" customHeight="1" x14ac:dyDescent="0.2">
      <c r="A6" s="45" t="s">
        <v>569</v>
      </c>
      <c r="B6" s="46">
        <v>2144</v>
      </c>
      <c r="C6" s="47"/>
      <c r="D6" s="48"/>
      <c r="E6" s="46">
        <v>25728000</v>
      </c>
    </row>
    <row r="7" spans="1:6" ht="14.25" customHeight="1" x14ac:dyDescent="0.2">
      <c r="A7" s="49" t="s">
        <v>570</v>
      </c>
      <c r="B7" s="50">
        <v>2144</v>
      </c>
      <c r="C7" s="50" t="s">
        <v>571</v>
      </c>
      <c r="D7" s="51">
        <v>12000</v>
      </c>
      <c r="E7" s="51">
        <v>25728000</v>
      </c>
      <c r="F7" s="50">
        <v>0</v>
      </c>
    </row>
    <row r="8" spans="1:6" ht="14.25" customHeight="1" x14ac:dyDescent="0.2">
      <c r="A8" s="45" t="s">
        <v>572</v>
      </c>
      <c r="B8" s="52">
        <v>275</v>
      </c>
      <c r="C8" s="47"/>
      <c r="D8" s="48"/>
      <c r="E8" s="46">
        <v>4401450</v>
      </c>
    </row>
    <row r="9" spans="1:6" ht="14.25" customHeight="1" x14ac:dyDescent="0.2">
      <c r="A9" s="49" t="s">
        <v>573</v>
      </c>
      <c r="B9" s="50">
        <v>140</v>
      </c>
      <c r="C9" s="50" t="s">
        <v>574</v>
      </c>
      <c r="D9" s="51">
        <v>15330</v>
      </c>
      <c r="E9" s="51">
        <v>2146200</v>
      </c>
      <c r="F9" s="51">
        <v>15330</v>
      </c>
    </row>
    <row r="10" spans="1:6" ht="14.25" customHeight="1" x14ac:dyDescent="0.2">
      <c r="A10" s="49" t="s">
        <v>43</v>
      </c>
      <c r="B10" s="50">
        <v>60</v>
      </c>
      <c r="C10" s="50" t="s">
        <v>574</v>
      </c>
      <c r="D10" s="51">
        <v>17150</v>
      </c>
      <c r="E10" s="51">
        <v>1029000</v>
      </c>
      <c r="F10" s="51">
        <v>17150</v>
      </c>
    </row>
    <row r="11" spans="1:6" ht="14.25" customHeight="1" x14ac:dyDescent="0.2">
      <c r="A11" s="49" t="s">
        <v>575</v>
      </c>
      <c r="B11" s="50">
        <v>0</v>
      </c>
      <c r="C11" s="50" t="s">
        <v>574</v>
      </c>
      <c r="D11" s="50">
        <v>0</v>
      </c>
      <c r="E11" s="50">
        <v>0</v>
      </c>
      <c r="F11" s="50">
        <v>0</v>
      </c>
    </row>
    <row r="12" spans="1:6" ht="14.25" customHeight="1" x14ac:dyDescent="0.2">
      <c r="A12" s="49" t="s">
        <v>576</v>
      </c>
      <c r="B12" s="50">
        <v>0</v>
      </c>
      <c r="C12" s="50" t="s">
        <v>574</v>
      </c>
      <c r="D12" s="50">
        <v>0</v>
      </c>
      <c r="E12" s="50">
        <v>0</v>
      </c>
      <c r="F12" s="50">
        <v>0</v>
      </c>
    </row>
    <row r="13" spans="1:6" ht="14.25" customHeight="1" x14ac:dyDescent="0.2">
      <c r="A13" s="49" t="s">
        <v>181</v>
      </c>
      <c r="B13" s="50">
        <v>75</v>
      </c>
      <c r="C13" s="50" t="s">
        <v>574</v>
      </c>
      <c r="D13" s="51">
        <v>16350</v>
      </c>
      <c r="E13" s="51">
        <v>1226250</v>
      </c>
      <c r="F13" s="50">
        <v>0</v>
      </c>
    </row>
    <row r="14" spans="1:6" ht="14.25" customHeight="1" x14ac:dyDescent="0.2">
      <c r="A14" s="42" t="s">
        <v>577</v>
      </c>
      <c r="B14" s="44">
        <v>192</v>
      </c>
      <c r="C14" s="44"/>
      <c r="D14" s="42"/>
      <c r="E14" s="43">
        <v>1784215</v>
      </c>
    </row>
    <row r="15" spans="1:6" ht="14.25" customHeight="1" x14ac:dyDescent="0.2">
      <c r="A15" s="45" t="s">
        <v>569</v>
      </c>
      <c r="B15" s="52">
        <v>0</v>
      </c>
      <c r="C15" s="47"/>
      <c r="D15" s="48"/>
      <c r="E15" s="52">
        <v>0</v>
      </c>
    </row>
    <row r="16" spans="1:6" ht="14.25" customHeight="1" x14ac:dyDescent="0.2">
      <c r="A16" s="49" t="s">
        <v>229</v>
      </c>
      <c r="B16" s="50">
        <v>0</v>
      </c>
      <c r="C16" s="50" t="s">
        <v>571</v>
      </c>
      <c r="D16" s="50">
        <v>0</v>
      </c>
      <c r="E16" s="50">
        <v>0</v>
      </c>
      <c r="F16" s="50">
        <v>0</v>
      </c>
    </row>
    <row r="17" spans="1:6" ht="14.25" customHeight="1" x14ac:dyDescent="0.2">
      <c r="A17" s="45" t="s">
        <v>572</v>
      </c>
      <c r="B17" s="52">
        <v>192</v>
      </c>
      <c r="C17" s="47"/>
      <c r="D17" s="48"/>
      <c r="E17" s="46">
        <v>1784215</v>
      </c>
    </row>
    <row r="18" spans="1:6" ht="14.25" customHeight="1" x14ac:dyDescent="0.2">
      <c r="A18" s="49" t="s">
        <v>291</v>
      </c>
      <c r="B18" s="50">
        <v>68</v>
      </c>
      <c r="C18" s="50" t="s">
        <v>574</v>
      </c>
      <c r="D18" s="51">
        <v>10410</v>
      </c>
      <c r="E18" s="51">
        <v>707880</v>
      </c>
      <c r="F18" s="50">
        <v>0</v>
      </c>
    </row>
    <row r="19" spans="1:6" ht="14.25" customHeight="1" x14ac:dyDescent="0.2">
      <c r="A19" s="49" t="s">
        <v>235</v>
      </c>
      <c r="B19" s="50">
        <v>60</v>
      </c>
      <c r="C19" s="50" t="s">
        <v>574</v>
      </c>
      <c r="D19" s="51">
        <v>9280</v>
      </c>
      <c r="E19" s="51">
        <v>556800</v>
      </c>
      <c r="F19" s="50">
        <v>0</v>
      </c>
    </row>
    <row r="20" spans="1:6" ht="14.25" customHeight="1" x14ac:dyDescent="0.2">
      <c r="A20" s="49" t="s">
        <v>21</v>
      </c>
      <c r="B20" s="50">
        <v>64</v>
      </c>
      <c r="C20" s="50" t="s">
        <v>574</v>
      </c>
      <c r="D20" s="51">
        <v>8118</v>
      </c>
      <c r="E20" s="51">
        <v>519535</v>
      </c>
      <c r="F20" s="51">
        <v>8200</v>
      </c>
    </row>
    <row r="21" spans="1:6" ht="14.25" customHeight="1" x14ac:dyDescent="0.2">
      <c r="A21" s="42" t="s">
        <v>578</v>
      </c>
      <c r="B21" s="43">
        <v>28790</v>
      </c>
      <c r="C21" s="44"/>
      <c r="D21" s="42"/>
      <c r="E21" s="43">
        <v>260434163</v>
      </c>
    </row>
    <row r="22" spans="1:6" ht="14.25" customHeight="1" x14ac:dyDescent="0.2">
      <c r="A22" s="45" t="s">
        <v>569</v>
      </c>
      <c r="B22" s="46">
        <v>2071</v>
      </c>
      <c r="C22" s="47"/>
      <c r="D22" s="48"/>
      <c r="E22" s="46">
        <v>35138079</v>
      </c>
    </row>
    <row r="23" spans="1:6" ht="14.25" customHeight="1" x14ac:dyDescent="0.2">
      <c r="A23" s="49" t="s">
        <v>33</v>
      </c>
      <c r="B23" s="50">
        <v>345</v>
      </c>
      <c r="C23" s="50" t="s">
        <v>571</v>
      </c>
      <c r="D23" s="51">
        <v>15555</v>
      </c>
      <c r="E23" s="51">
        <v>5366475</v>
      </c>
      <c r="F23" s="51">
        <v>15555</v>
      </c>
    </row>
    <row r="24" spans="1:6" ht="14.25" customHeight="1" x14ac:dyDescent="0.2">
      <c r="A24" s="49" t="s">
        <v>224</v>
      </c>
      <c r="B24" s="50">
        <v>2</v>
      </c>
      <c r="C24" s="50" t="s">
        <v>571</v>
      </c>
      <c r="D24" s="51">
        <v>13911</v>
      </c>
      <c r="E24" s="51">
        <v>27821</v>
      </c>
      <c r="F24" s="51">
        <v>140750</v>
      </c>
    </row>
    <row r="25" spans="1:6" ht="14.25" customHeight="1" x14ac:dyDescent="0.2">
      <c r="A25" s="49" t="s">
        <v>61</v>
      </c>
      <c r="B25" s="50">
        <v>14</v>
      </c>
      <c r="C25" s="50" t="s">
        <v>571</v>
      </c>
      <c r="D25" s="51">
        <v>12120</v>
      </c>
      <c r="E25" s="51">
        <v>169680</v>
      </c>
      <c r="F25" s="50">
        <v>0</v>
      </c>
    </row>
    <row r="26" spans="1:6" ht="14.25" customHeight="1" x14ac:dyDescent="0.2">
      <c r="A26" s="49" t="s">
        <v>34</v>
      </c>
      <c r="B26" s="50">
        <v>92</v>
      </c>
      <c r="C26" s="50" t="s">
        <v>571</v>
      </c>
      <c r="D26" s="51">
        <v>21595</v>
      </c>
      <c r="E26" s="51">
        <v>1986740</v>
      </c>
      <c r="F26" s="51">
        <v>21595</v>
      </c>
    </row>
    <row r="27" spans="1:6" ht="14.25" customHeight="1" x14ac:dyDescent="0.2">
      <c r="A27" s="49" t="s">
        <v>70</v>
      </c>
      <c r="B27" s="50">
        <v>176</v>
      </c>
      <c r="C27" s="50" t="s">
        <v>571</v>
      </c>
      <c r="D27" s="51">
        <v>12855</v>
      </c>
      <c r="E27" s="51">
        <v>2262480</v>
      </c>
      <c r="F27" s="51">
        <v>12855</v>
      </c>
    </row>
    <row r="28" spans="1:6" ht="14.25" customHeight="1" x14ac:dyDescent="0.2">
      <c r="A28" s="49" t="s">
        <v>32</v>
      </c>
      <c r="B28" s="50">
        <v>5</v>
      </c>
      <c r="C28" s="50" t="s">
        <v>571</v>
      </c>
      <c r="D28" s="51">
        <v>15247</v>
      </c>
      <c r="E28" s="51">
        <v>76236</v>
      </c>
      <c r="F28" s="51">
        <v>15555</v>
      </c>
    </row>
    <row r="29" spans="1:6" ht="14.25" customHeight="1" x14ac:dyDescent="0.2">
      <c r="A29" s="49" t="s">
        <v>178</v>
      </c>
      <c r="B29" s="50">
        <v>65</v>
      </c>
      <c r="C29" s="50" t="s">
        <v>571</v>
      </c>
      <c r="D29" s="51">
        <v>22775</v>
      </c>
      <c r="E29" s="51">
        <v>1480375</v>
      </c>
      <c r="F29" s="51">
        <v>22775</v>
      </c>
    </row>
    <row r="30" spans="1:6" ht="14.25" customHeight="1" x14ac:dyDescent="0.2">
      <c r="A30" s="49" t="s">
        <v>31</v>
      </c>
      <c r="B30" s="50">
        <v>1277</v>
      </c>
      <c r="C30" s="50" t="s">
        <v>571</v>
      </c>
      <c r="D30" s="51">
        <v>17100</v>
      </c>
      <c r="E30" s="51">
        <v>21836700</v>
      </c>
      <c r="F30" s="51">
        <v>17100</v>
      </c>
    </row>
    <row r="31" spans="1:6" ht="14.25" customHeight="1" x14ac:dyDescent="0.2">
      <c r="A31" s="49" t="s">
        <v>35</v>
      </c>
      <c r="B31" s="50">
        <v>94</v>
      </c>
      <c r="C31" s="50" t="s">
        <v>571</v>
      </c>
      <c r="D31" s="51">
        <v>20405</v>
      </c>
      <c r="E31" s="51">
        <v>1918070</v>
      </c>
      <c r="F31" s="51">
        <v>20405</v>
      </c>
    </row>
    <row r="32" spans="1:6" ht="14.25" customHeight="1" x14ac:dyDescent="0.2">
      <c r="A32" s="49" t="s">
        <v>28</v>
      </c>
      <c r="B32" s="50">
        <v>1</v>
      </c>
      <c r="C32" s="50" t="s">
        <v>571</v>
      </c>
      <c r="D32" s="51">
        <v>13501</v>
      </c>
      <c r="E32" s="51">
        <v>13501</v>
      </c>
      <c r="F32" s="51">
        <v>14070</v>
      </c>
    </row>
    <row r="33" spans="1:6" ht="14.25" customHeight="1" x14ac:dyDescent="0.2">
      <c r="A33" s="45" t="s">
        <v>579</v>
      </c>
      <c r="B33" s="46">
        <v>12269</v>
      </c>
      <c r="C33" s="47"/>
      <c r="D33" s="48"/>
      <c r="E33" s="46">
        <v>64180370</v>
      </c>
    </row>
    <row r="34" spans="1:6" ht="14.25" customHeight="1" x14ac:dyDescent="0.2">
      <c r="A34" s="49" t="s">
        <v>62</v>
      </c>
      <c r="B34" s="50">
        <v>23</v>
      </c>
      <c r="C34" s="50" t="s">
        <v>580</v>
      </c>
      <c r="D34" s="51">
        <v>19305</v>
      </c>
      <c r="E34" s="51">
        <v>444015</v>
      </c>
      <c r="F34" s="50">
        <v>0</v>
      </c>
    </row>
    <row r="35" spans="1:6" ht="14.25" customHeight="1" x14ac:dyDescent="0.2">
      <c r="A35" s="49" t="s">
        <v>581</v>
      </c>
      <c r="B35" s="50">
        <v>0</v>
      </c>
      <c r="C35" s="50" t="s">
        <v>580</v>
      </c>
      <c r="D35" s="50">
        <v>0</v>
      </c>
      <c r="E35" s="50">
        <v>0</v>
      </c>
      <c r="F35" s="51">
        <v>4720</v>
      </c>
    </row>
    <row r="36" spans="1:6" ht="14.25" customHeight="1" x14ac:dyDescent="0.2">
      <c r="A36" s="49" t="s">
        <v>460</v>
      </c>
      <c r="B36" s="50">
        <v>0</v>
      </c>
      <c r="C36" s="50" t="s">
        <v>580</v>
      </c>
      <c r="D36" s="50">
        <v>0</v>
      </c>
      <c r="E36" s="50">
        <v>0</v>
      </c>
      <c r="F36" s="51">
        <v>4000</v>
      </c>
    </row>
    <row r="37" spans="1:6" ht="14.25" customHeight="1" x14ac:dyDescent="0.2">
      <c r="A37" s="49" t="s">
        <v>24</v>
      </c>
      <c r="B37" s="50">
        <v>12223</v>
      </c>
      <c r="C37" s="50" t="s">
        <v>580</v>
      </c>
      <c r="D37" s="51">
        <v>5200</v>
      </c>
      <c r="E37" s="51">
        <v>63559600</v>
      </c>
      <c r="F37" s="51">
        <v>5200</v>
      </c>
    </row>
    <row r="38" spans="1:6" ht="14.25" customHeight="1" x14ac:dyDescent="0.2">
      <c r="A38" s="49" t="s">
        <v>27</v>
      </c>
      <c r="B38" s="50">
        <v>23</v>
      </c>
      <c r="C38" s="50" t="s">
        <v>580</v>
      </c>
      <c r="D38" s="51">
        <v>7685</v>
      </c>
      <c r="E38" s="51">
        <v>176755</v>
      </c>
      <c r="F38" s="51">
        <v>7685</v>
      </c>
    </row>
    <row r="39" spans="1:6" ht="14.25" customHeight="1" x14ac:dyDescent="0.2">
      <c r="A39" s="45" t="s">
        <v>572</v>
      </c>
      <c r="B39" s="46">
        <v>12430</v>
      </c>
      <c r="C39" s="47"/>
      <c r="D39" s="48"/>
      <c r="E39" s="46">
        <v>119702397</v>
      </c>
    </row>
    <row r="40" spans="1:6" ht="14.25" customHeight="1" x14ac:dyDescent="0.2">
      <c r="A40" s="49" t="s">
        <v>44</v>
      </c>
      <c r="B40" s="50">
        <v>2705</v>
      </c>
      <c r="C40" s="50" t="s">
        <v>574</v>
      </c>
      <c r="D40" s="51">
        <v>8990</v>
      </c>
      <c r="E40" s="51">
        <v>24317950</v>
      </c>
      <c r="F40" s="51">
        <v>8990</v>
      </c>
    </row>
    <row r="41" spans="1:6" ht="14.25" customHeight="1" x14ac:dyDescent="0.2">
      <c r="A41" s="49" t="s">
        <v>69</v>
      </c>
      <c r="B41" s="50">
        <v>117</v>
      </c>
      <c r="C41" s="50" t="s">
        <v>574</v>
      </c>
      <c r="D41" s="51">
        <v>13780</v>
      </c>
      <c r="E41" s="51">
        <v>1612260</v>
      </c>
      <c r="F41" s="51">
        <v>13780</v>
      </c>
    </row>
    <row r="42" spans="1:6" ht="14.25" customHeight="1" x14ac:dyDescent="0.2">
      <c r="A42" s="49" t="s">
        <v>150</v>
      </c>
      <c r="B42" s="50">
        <v>90</v>
      </c>
      <c r="C42" s="50" t="s">
        <v>574</v>
      </c>
      <c r="D42" s="51">
        <v>9925</v>
      </c>
      <c r="E42" s="51">
        <v>893250</v>
      </c>
      <c r="F42" s="51">
        <v>9925</v>
      </c>
    </row>
    <row r="43" spans="1:6" ht="14.25" customHeight="1" x14ac:dyDescent="0.2">
      <c r="A43" s="49" t="s">
        <v>22</v>
      </c>
      <c r="B43" s="50">
        <v>4850</v>
      </c>
      <c r="C43" s="50" t="s">
        <v>574</v>
      </c>
      <c r="D43" s="51">
        <v>8657</v>
      </c>
      <c r="E43" s="51">
        <v>41985217</v>
      </c>
      <c r="F43" s="51">
        <v>8990</v>
      </c>
    </row>
    <row r="44" spans="1:6" ht="14.25" customHeight="1" x14ac:dyDescent="0.2">
      <c r="A44" s="49" t="s">
        <v>141</v>
      </c>
      <c r="B44" s="50">
        <v>196</v>
      </c>
      <c r="C44" s="50" t="s">
        <v>574</v>
      </c>
      <c r="D44" s="51">
        <v>13520</v>
      </c>
      <c r="E44" s="51">
        <v>2649920</v>
      </c>
      <c r="F44" s="51">
        <v>13520</v>
      </c>
    </row>
    <row r="45" spans="1:6" ht="14.25" customHeight="1" x14ac:dyDescent="0.2">
      <c r="A45" s="49" t="s">
        <v>582</v>
      </c>
      <c r="B45" s="50">
        <v>4</v>
      </c>
      <c r="C45" s="50" t="s">
        <v>574</v>
      </c>
      <c r="D45" s="50">
        <v>0</v>
      </c>
      <c r="E45" s="50">
        <v>0</v>
      </c>
      <c r="F45" s="50">
        <v>0</v>
      </c>
    </row>
    <row r="46" spans="1:6" ht="14.25" customHeight="1" x14ac:dyDescent="0.2">
      <c r="A46" s="49" t="s">
        <v>65</v>
      </c>
      <c r="B46" s="50">
        <v>528</v>
      </c>
      <c r="C46" s="50" t="s">
        <v>574</v>
      </c>
      <c r="D46" s="51">
        <v>11315</v>
      </c>
      <c r="E46" s="51">
        <v>5974320</v>
      </c>
      <c r="F46" s="51">
        <v>11315</v>
      </c>
    </row>
    <row r="47" spans="1:6" ht="14.25" customHeight="1" x14ac:dyDescent="0.2">
      <c r="A47" s="49" t="s">
        <v>71</v>
      </c>
      <c r="B47" s="50">
        <v>57</v>
      </c>
      <c r="C47" s="50" t="s">
        <v>574</v>
      </c>
      <c r="D47" s="51">
        <v>15375</v>
      </c>
      <c r="E47" s="51">
        <v>876375</v>
      </c>
      <c r="F47" s="51">
        <v>15375</v>
      </c>
    </row>
    <row r="48" spans="1:6" ht="14.25" customHeight="1" x14ac:dyDescent="0.2">
      <c r="A48" s="49" t="s">
        <v>100</v>
      </c>
      <c r="B48" s="50">
        <v>463</v>
      </c>
      <c r="C48" s="50" t="s">
        <v>574</v>
      </c>
      <c r="D48" s="51">
        <v>10915</v>
      </c>
      <c r="E48" s="51">
        <v>5053645</v>
      </c>
      <c r="F48" s="51">
        <v>10915</v>
      </c>
    </row>
    <row r="49" spans="1:6" ht="14.25" customHeight="1" x14ac:dyDescent="0.2">
      <c r="A49" s="49" t="s">
        <v>101</v>
      </c>
      <c r="B49" s="50">
        <v>904</v>
      </c>
      <c r="C49" s="50" t="s">
        <v>574</v>
      </c>
      <c r="D49" s="51">
        <v>12920</v>
      </c>
      <c r="E49" s="51">
        <v>11679680</v>
      </c>
      <c r="F49" s="51">
        <v>12920</v>
      </c>
    </row>
    <row r="50" spans="1:6" ht="14.25" customHeight="1" x14ac:dyDescent="0.2">
      <c r="A50" s="49" t="s">
        <v>119</v>
      </c>
      <c r="B50" s="50">
        <v>338</v>
      </c>
      <c r="C50" s="50" t="s">
        <v>574</v>
      </c>
      <c r="D50" s="51">
        <v>12390</v>
      </c>
      <c r="E50" s="51">
        <v>4187820</v>
      </c>
      <c r="F50" s="51">
        <v>12390</v>
      </c>
    </row>
    <row r="51" spans="1:6" ht="14.25" customHeight="1" x14ac:dyDescent="0.2">
      <c r="A51" s="49" t="s">
        <v>93</v>
      </c>
      <c r="B51" s="50">
        <v>24</v>
      </c>
      <c r="C51" s="50" t="s">
        <v>574</v>
      </c>
      <c r="D51" s="51">
        <v>11130</v>
      </c>
      <c r="E51" s="51">
        <v>267120</v>
      </c>
      <c r="F51" s="51">
        <v>11130</v>
      </c>
    </row>
    <row r="52" spans="1:6" ht="14.25" customHeight="1" x14ac:dyDescent="0.2">
      <c r="A52" s="49" t="s">
        <v>113</v>
      </c>
      <c r="B52" s="50">
        <v>32</v>
      </c>
      <c r="C52" s="50" t="s">
        <v>574</v>
      </c>
      <c r="D52" s="51">
        <v>14475</v>
      </c>
      <c r="E52" s="51">
        <v>463200</v>
      </c>
      <c r="F52" s="51">
        <v>14475</v>
      </c>
    </row>
    <row r="53" spans="1:6" ht="14.25" customHeight="1" x14ac:dyDescent="0.2">
      <c r="A53" s="49" t="s">
        <v>36</v>
      </c>
      <c r="B53" s="50">
        <v>253</v>
      </c>
      <c r="C53" s="50" t="s">
        <v>574</v>
      </c>
      <c r="D53" s="51">
        <v>14900</v>
      </c>
      <c r="E53" s="51">
        <v>3769700</v>
      </c>
      <c r="F53" s="51">
        <v>14900</v>
      </c>
    </row>
    <row r="54" spans="1:6" ht="14.25" customHeight="1" x14ac:dyDescent="0.2">
      <c r="A54" s="49" t="s">
        <v>37</v>
      </c>
      <c r="B54" s="50">
        <v>1782</v>
      </c>
      <c r="C54" s="50" t="s">
        <v>574</v>
      </c>
      <c r="D54" s="51">
        <v>8525</v>
      </c>
      <c r="E54" s="51">
        <v>15191550</v>
      </c>
      <c r="F54" s="51">
        <v>8525</v>
      </c>
    </row>
    <row r="55" spans="1:6" ht="14.25" customHeight="1" x14ac:dyDescent="0.2">
      <c r="A55" s="49" t="s">
        <v>80</v>
      </c>
      <c r="B55" s="50">
        <v>87</v>
      </c>
      <c r="C55" s="50" t="s">
        <v>574</v>
      </c>
      <c r="D55" s="51">
        <v>8970</v>
      </c>
      <c r="E55" s="51">
        <v>780390</v>
      </c>
      <c r="F55" s="51">
        <v>8970</v>
      </c>
    </row>
    <row r="56" spans="1:6" ht="14.25" customHeight="1" x14ac:dyDescent="0.2">
      <c r="A56" s="45" t="s">
        <v>583</v>
      </c>
      <c r="B56" s="46">
        <v>1889</v>
      </c>
      <c r="C56" s="47"/>
      <c r="D56" s="48"/>
      <c r="E56" s="46">
        <v>38281447</v>
      </c>
    </row>
    <row r="57" spans="1:6" ht="14.25" customHeight="1" x14ac:dyDescent="0.2">
      <c r="A57" s="49" t="s">
        <v>87</v>
      </c>
      <c r="B57" s="50">
        <v>1788</v>
      </c>
      <c r="C57" s="50" t="s">
        <v>574</v>
      </c>
      <c r="D57" s="51">
        <v>20440</v>
      </c>
      <c r="E57" s="51">
        <v>36546720</v>
      </c>
      <c r="F57" s="51">
        <v>20440</v>
      </c>
    </row>
    <row r="58" spans="1:6" ht="14.25" customHeight="1" x14ac:dyDescent="0.2">
      <c r="A58" s="49" t="s">
        <v>77</v>
      </c>
      <c r="B58" s="50">
        <v>99</v>
      </c>
      <c r="C58" s="50" t="s">
        <v>574</v>
      </c>
      <c r="D58" s="51">
        <v>17265</v>
      </c>
      <c r="E58" s="51">
        <v>1709235</v>
      </c>
      <c r="F58" s="51">
        <v>17265</v>
      </c>
    </row>
    <row r="59" spans="1:6" ht="14.25" customHeight="1" x14ac:dyDescent="0.2">
      <c r="A59" s="49" t="s">
        <v>45</v>
      </c>
      <c r="B59" s="50">
        <v>2</v>
      </c>
      <c r="C59" s="50" t="s">
        <v>574</v>
      </c>
      <c r="D59" s="51">
        <v>12746</v>
      </c>
      <c r="E59" s="51">
        <v>25492</v>
      </c>
      <c r="F59" s="51">
        <v>12730</v>
      </c>
    </row>
    <row r="60" spans="1:6" ht="14.25" customHeight="1" x14ac:dyDescent="0.2">
      <c r="A60" s="45" t="s">
        <v>584</v>
      </c>
      <c r="B60" s="52">
        <v>131</v>
      </c>
      <c r="C60" s="47"/>
      <c r="D60" s="48"/>
      <c r="E60" s="46">
        <v>3131870</v>
      </c>
    </row>
    <row r="61" spans="1:6" ht="14.25" customHeight="1" x14ac:dyDescent="0.2">
      <c r="A61" s="49" t="s">
        <v>56</v>
      </c>
      <c r="B61" s="50">
        <v>72</v>
      </c>
      <c r="C61" s="50" t="s">
        <v>585</v>
      </c>
      <c r="D61" s="51">
        <v>22250</v>
      </c>
      <c r="E61" s="51">
        <v>1602000</v>
      </c>
      <c r="F61" s="51">
        <v>22250</v>
      </c>
    </row>
    <row r="62" spans="1:6" ht="14.25" customHeight="1" x14ac:dyDescent="0.2">
      <c r="A62" s="49" t="s">
        <v>190</v>
      </c>
      <c r="B62" s="50">
        <v>59</v>
      </c>
      <c r="C62" s="50" t="s">
        <v>585</v>
      </c>
      <c r="D62" s="51">
        <v>25930</v>
      </c>
      <c r="E62" s="51">
        <v>1529870</v>
      </c>
      <c r="F62" s="51">
        <v>25930</v>
      </c>
    </row>
    <row r="63" spans="1:6" ht="14.25" customHeight="1" x14ac:dyDescent="0.2">
      <c r="A63" s="42" t="s">
        <v>586</v>
      </c>
      <c r="B63" s="43">
        <v>23604</v>
      </c>
      <c r="C63" s="44"/>
      <c r="D63" s="42"/>
      <c r="E63" s="43">
        <v>27619305</v>
      </c>
    </row>
    <row r="64" spans="1:6" ht="14.25" customHeight="1" x14ac:dyDescent="0.2">
      <c r="A64" s="45" t="s">
        <v>586</v>
      </c>
      <c r="B64" s="46">
        <v>23604</v>
      </c>
      <c r="C64" s="47"/>
      <c r="D64" s="48"/>
      <c r="E64" s="46">
        <v>27619305</v>
      </c>
    </row>
    <row r="65" spans="1:6" ht="14.25" customHeight="1" x14ac:dyDescent="0.2">
      <c r="A65" s="49" t="s">
        <v>148</v>
      </c>
      <c r="B65" s="50">
        <v>3844</v>
      </c>
      <c r="C65" s="50" t="s">
        <v>587</v>
      </c>
      <c r="D65" s="50">
        <v>28</v>
      </c>
      <c r="E65" s="51">
        <v>107447</v>
      </c>
      <c r="F65" s="51">
        <v>2000</v>
      </c>
    </row>
    <row r="66" spans="1:6" ht="14.25" customHeight="1" x14ac:dyDescent="0.2">
      <c r="A66" s="49" t="s">
        <v>49</v>
      </c>
      <c r="B66" s="50">
        <v>277</v>
      </c>
      <c r="C66" s="50" t="s">
        <v>587</v>
      </c>
      <c r="D66" s="51">
        <v>-7186</v>
      </c>
      <c r="E66" s="51">
        <v>-1990644</v>
      </c>
      <c r="F66" s="51">
        <v>5000</v>
      </c>
    </row>
    <row r="67" spans="1:6" ht="14.25" customHeight="1" x14ac:dyDescent="0.2">
      <c r="A67" s="49" t="s">
        <v>48</v>
      </c>
      <c r="B67" s="50">
        <v>836</v>
      </c>
      <c r="C67" s="50" t="s">
        <v>587</v>
      </c>
      <c r="D67" s="51">
        <v>1575</v>
      </c>
      <c r="E67" s="51">
        <v>1316427</v>
      </c>
      <c r="F67" s="51">
        <v>1600</v>
      </c>
    </row>
    <row r="68" spans="1:6" ht="14.25" customHeight="1" x14ac:dyDescent="0.2">
      <c r="A68" s="49" t="s">
        <v>38</v>
      </c>
      <c r="B68" s="50">
        <v>18466</v>
      </c>
      <c r="C68" s="50" t="s">
        <v>587</v>
      </c>
      <c r="D68" s="51">
        <v>1520</v>
      </c>
      <c r="E68" s="51">
        <v>28075665</v>
      </c>
      <c r="F68" s="51">
        <v>2000</v>
      </c>
    </row>
    <row r="69" spans="1:6" ht="15" customHeight="1" x14ac:dyDescent="0.2">
      <c r="A69" s="49" t="s">
        <v>174</v>
      </c>
      <c r="B69" s="50">
        <v>181</v>
      </c>
      <c r="C69" s="50" t="s">
        <v>587</v>
      </c>
      <c r="D69" s="50">
        <v>610</v>
      </c>
      <c r="E69" s="51">
        <v>110410</v>
      </c>
      <c r="F69" s="50">
        <v>750</v>
      </c>
    </row>
    <row r="70" spans="1:6" ht="15.75" customHeight="1" x14ac:dyDescent="0.2">
      <c r="A70" s="53" t="s">
        <v>588</v>
      </c>
      <c r="B70" s="54">
        <v>55005</v>
      </c>
      <c r="C70" s="55"/>
      <c r="D70" s="53"/>
      <c r="E70" s="55" t="s">
        <v>589</v>
      </c>
      <c r="F70" s="55"/>
    </row>
  </sheetData>
  <hyperlinks>
    <hyperlink ref="A7" r:id="rId1" xr:uid="{00000000-0004-0000-0200-000000000000}"/>
    <hyperlink ref="A9" r:id="rId2" xr:uid="{00000000-0004-0000-0200-000001000000}"/>
    <hyperlink ref="A10" r:id="rId3" xr:uid="{00000000-0004-0000-0200-000002000000}"/>
    <hyperlink ref="A11" r:id="rId4" xr:uid="{00000000-0004-0000-0200-000003000000}"/>
    <hyperlink ref="A12" r:id="rId5" xr:uid="{00000000-0004-0000-0200-000004000000}"/>
    <hyperlink ref="A13" r:id="rId6" xr:uid="{00000000-0004-0000-0200-000005000000}"/>
    <hyperlink ref="A16" r:id="rId7" xr:uid="{00000000-0004-0000-0200-000006000000}"/>
    <hyperlink ref="A18" r:id="rId8" xr:uid="{00000000-0004-0000-0200-000007000000}"/>
    <hyperlink ref="A19" r:id="rId9" xr:uid="{00000000-0004-0000-0200-000008000000}"/>
    <hyperlink ref="A20" r:id="rId10" xr:uid="{00000000-0004-0000-0200-000009000000}"/>
    <hyperlink ref="A23" r:id="rId11" xr:uid="{00000000-0004-0000-0200-00000A000000}"/>
    <hyperlink ref="A24" r:id="rId12" xr:uid="{00000000-0004-0000-0200-00000B000000}"/>
    <hyperlink ref="A25" r:id="rId13" xr:uid="{00000000-0004-0000-0200-00000C000000}"/>
    <hyperlink ref="A26" r:id="rId14" xr:uid="{00000000-0004-0000-0200-00000D000000}"/>
    <hyperlink ref="A27" r:id="rId15" xr:uid="{00000000-0004-0000-0200-00000E000000}"/>
    <hyperlink ref="A28" r:id="rId16" xr:uid="{00000000-0004-0000-0200-00000F000000}"/>
    <hyperlink ref="A29" r:id="rId17" xr:uid="{00000000-0004-0000-0200-000010000000}"/>
    <hyperlink ref="A30" r:id="rId18" xr:uid="{00000000-0004-0000-0200-000011000000}"/>
    <hyperlink ref="A31" r:id="rId19" xr:uid="{00000000-0004-0000-0200-000012000000}"/>
    <hyperlink ref="A32" r:id="rId20" xr:uid="{00000000-0004-0000-0200-000013000000}"/>
    <hyperlink ref="A34" r:id="rId21" xr:uid="{00000000-0004-0000-0200-000014000000}"/>
    <hyperlink ref="A35" r:id="rId22" xr:uid="{00000000-0004-0000-0200-000015000000}"/>
    <hyperlink ref="A36" r:id="rId23" xr:uid="{00000000-0004-0000-0200-000016000000}"/>
    <hyperlink ref="A37" r:id="rId24" xr:uid="{00000000-0004-0000-0200-000017000000}"/>
    <hyperlink ref="A38" r:id="rId25" xr:uid="{00000000-0004-0000-0200-000018000000}"/>
    <hyperlink ref="A40" r:id="rId26" xr:uid="{00000000-0004-0000-0200-000019000000}"/>
    <hyperlink ref="A41" r:id="rId27" xr:uid="{00000000-0004-0000-0200-00001A000000}"/>
    <hyperlink ref="A42" r:id="rId28" xr:uid="{00000000-0004-0000-0200-00001B000000}"/>
    <hyperlink ref="A43" r:id="rId29" xr:uid="{00000000-0004-0000-0200-00001C000000}"/>
    <hyperlink ref="A44" r:id="rId30" xr:uid="{00000000-0004-0000-0200-00001D000000}"/>
    <hyperlink ref="A45" r:id="rId31" xr:uid="{00000000-0004-0000-0200-00001E000000}"/>
    <hyperlink ref="A46" r:id="rId32" xr:uid="{00000000-0004-0000-0200-00001F000000}"/>
    <hyperlink ref="A47" r:id="rId33" xr:uid="{00000000-0004-0000-0200-000020000000}"/>
    <hyperlink ref="A48" r:id="rId34" xr:uid="{00000000-0004-0000-0200-000021000000}"/>
    <hyperlink ref="A49" r:id="rId35" xr:uid="{00000000-0004-0000-0200-000022000000}"/>
    <hyperlink ref="A50" r:id="rId36" xr:uid="{00000000-0004-0000-0200-000023000000}"/>
    <hyperlink ref="A51" r:id="rId37" xr:uid="{00000000-0004-0000-0200-000024000000}"/>
    <hyperlink ref="A52" r:id="rId38" xr:uid="{00000000-0004-0000-0200-000025000000}"/>
    <hyperlink ref="A53" r:id="rId39" xr:uid="{00000000-0004-0000-0200-000026000000}"/>
    <hyperlink ref="A54" r:id="rId40" xr:uid="{00000000-0004-0000-0200-000027000000}"/>
    <hyperlink ref="A55" r:id="rId41" xr:uid="{00000000-0004-0000-0200-000028000000}"/>
    <hyperlink ref="A57" r:id="rId42" xr:uid="{00000000-0004-0000-0200-000029000000}"/>
    <hyperlink ref="A58" r:id="rId43" xr:uid="{00000000-0004-0000-0200-00002A000000}"/>
    <hyperlink ref="A59" r:id="rId44" xr:uid="{00000000-0004-0000-0200-00002B000000}"/>
    <hyperlink ref="A61" r:id="rId45" xr:uid="{00000000-0004-0000-0200-00002C000000}"/>
    <hyperlink ref="A62" r:id="rId46" xr:uid="{00000000-0004-0000-0200-00002D000000}"/>
    <hyperlink ref="A65" r:id="rId47" xr:uid="{00000000-0004-0000-0200-00002E000000}"/>
    <hyperlink ref="A66" r:id="rId48" xr:uid="{00000000-0004-0000-0200-00002F000000}"/>
    <hyperlink ref="A67" r:id="rId49" xr:uid="{00000000-0004-0000-0200-000030000000}"/>
    <hyperlink ref="A68" r:id="rId50" xr:uid="{00000000-0004-0000-0200-000031000000}"/>
    <hyperlink ref="A69" r:id="rId51" xr:uid="{00000000-0004-0000-0200-00003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5"/>
  <sheetViews>
    <sheetView showGridLines="0" topLeftCell="A9" zoomScale="74" zoomScaleNormal="74" workbookViewId="0">
      <selection activeCell="B23" sqref="B23:E26"/>
    </sheetView>
  </sheetViews>
  <sheetFormatPr defaultColWidth="9.14453125" defaultRowHeight="15" x14ac:dyDescent="0.2"/>
  <cols>
    <col min="1" max="1" width="24.2109375" style="38" customWidth="1"/>
    <col min="2" max="2" width="30.1328125" style="38" customWidth="1"/>
    <col min="3" max="3" width="33.49609375" style="38" customWidth="1"/>
    <col min="4" max="4" width="16.8125" style="38" customWidth="1"/>
    <col min="5" max="5" width="36.453125" style="38" customWidth="1"/>
    <col min="6" max="6" width="24.48046875" style="38" customWidth="1"/>
    <col min="7" max="7" width="26.5" style="38" customWidth="1"/>
    <col min="8" max="16384" width="9.14453125" style="38"/>
  </cols>
  <sheetData>
    <row r="1" spans="1:7" ht="14.25" customHeight="1" x14ac:dyDescent="0.2">
      <c r="A1" s="39" t="s">
        <v>0</v>
      </c>
    </row>
    <row r="2" spans="1:7" ht="14.25" customHeight="1" x14ac:dyDescent="0.2">
      <c r="A2" s="39" t="s">
        <v>590</v>
      </c>
    </row>
    <row r="3" spans="1:7" ht="15" customHeight="1" x14ac:dyDescent="0.2">
      <c r="A3" s="38" t="s">
        <v>591</v>
      </c>
    </row>
    <row r="4" spans="1:7" ht="15" customHeight="1" x14ac:dyDescent="0.2">
      <c r="A4" s="40" t="s">
        <v>3</v>
      </c>
      <c r="B4" s="40" t="s">
        <v>592</v>
      </c>
      <c r="C4" s="40" t="s">
        <v>593</v>
      </c>
      <c r="D4" s="40" t="s">
        <v>594</v>
      </c>
      <c r="E4" s="40" t="s">
        <v>5</v>
      </c>
      <c r="F4" s="41" t="s">
        <v>595</v>
      </c>
      <c r="G4" s="41" t="s">
        <v>596</v>
      </c>
    </row>
    <row r="5" spans="1:7" ht="15" customHeight="1" x14ac:dyDescent="0.2">
      <c r="A5" s="56">
        <v>46205</v>
      </c>
      <c r="B5" s="57" t="s">
        <v>597</v>
      </c>
      <c r="C5" s="57" t="s">
        <v>29</v>
      </c>
      <c r="D5" s="48" t="s">
        <v>598</v>
      </c>
      <c r="E5" s="58" t="s">
        <v>599</v>
      </c>
      <c r="F5" s="48"/>
      <c r="G5" s="51">
        <v>267675</v>
      </c>
    </row>
    <row r="6" spans="1:7" ht="15" customHeight="1" x14ac:dyDescent="0.2">
      <c r="A6" s="186"/>
      <c r="B6" s="3" t="s">
        <v>17</v>
      </c>
      <c r="C6" s="4" t="s">
        <v>18</v>
      </c>
      <c r="D6" s="4" t="s">
        <v>19</v>
      </c>
      <c r="E6" s="3" t="s">
        <v>20</v>
      </c>
    </row>
    <row r="7" spans="1:7" ht="15" customHeight="1" x14ac:dyDescent="0.2">
      <c r="A7" s="186"/>
      <c r="B7" s="59" t="s">
        <v>31</v>
      </c>
      <c r="C7" s="60" t="s">
        <v>261</v>
      </c>
      <c r="D7" s="61">
        <v>17845</v>
      </c>
      <c r="E7" s="62"/>
    </row>
    <row r="8" spans="1:7" ht="14.25" customHeight="1" x14ac:dyDescent="0.2">
      <c r="A8" s="186"/>
      <c r="B8" s="187"/>
      <c r="C8" s="187"/>
      <c r="D8" s="187"/>
      <c r="E8" s="187"/>
    </row>
    <row r="9" spans="1:7" ht="15" customHeight="1" x14ac:dyDescent="0.2">
      <c r="A9" s="63">
        <v>46205</v>
      </c>
      <c r="B9" s="57" t="s">
        <v>597</v>
      </c>
      <c r="C9" s="57" t="s">
        <v>29</v>
      </c>
      <c r="D9" s="48" t="s">
        <v>598</v>
      </c>
      <c r="E9" s="58" t="s">
        <v>600</v>
      </c>
      <c r="F9" s="48"/>
      <c r="G9" s="51">
        <v>11100</v>
      </c>
    </row>
    <row r="10" spans="1:7" ht="15" customHeight="1" x14ac:dyDescent="0.2">
      <c r="A10" s="186"/>
      <c r="B10" s="3" t="s">
        <v>17</v>
      </c>
      <c r="C10" s="4" t="s">
        <v>18</v>
      </c>
      <c r="D10" s="4" t="s">
        <v>19</v>
      </c>
      <c r="E10" s="3" t="s">
        <v>20</v>
      </c>
    </row>
    <row r="11" spans="1:7" ht="14.25" customHeight="1" x14ac:dyDescent="0.2">
      <c r="A11" s="186"/>
      <c r="B11" s="59" t="s">
        <v>38</v>
      </c>
      <c r="C11" s="60" t="s">
        <v>325</v>
      </c>
      <c r="D11" s="61">
        <v>1500</v>
      </c>
      <c r="E11" s="62"/>
    </row>
    <row r="12" spans="1:7" ht="14.25" customHeight="1" x14ac:dyDescent="0.2">
      <c r="A12" s="186"/>
      <c r="B12" s="59" t="s">
        <v>48</v>
      </c>
      <c r="C12" s="60" t="s">
        <v>293</v>
      </c>
      <c r="D12" s="61">
        <v>1600</v>
      </c>
      <c r="E12" s="62"/>
    </row>
    <row r="13" spans="1:7" ht="15" customHeight="1" x14ac:dyDescent="0.2">
      <c r="A13" s="186"/>
      <c r="B13" s="59" t="s">
        <v>49</v>
      </c>
      <c r="C13" s="60" t="s">
        <v>293</v>
      </c>
      <c r="D13" s="61">
        <v>5000</v>
      </c>
      <c r="E13" s="62"/>
    </row>
    <row r="14" spans="1:7" ht="14.25" customHeight="1" x14ac:dyDescent="0.2">
      <c r="A14" s="186"/>
      <c r="B14" s="187"/>
      <c r="C14" s="187"/>
      <c r="D14" s="187"/>
      <c r="E14" s="187"/>
    </row>
    <row r="15" spans="1:7" ht="15" customHeight="1" x14ac:dyDescent="0.2">
      <c r="A15" s="63">
        <v>46205</v>
      </c>
      <c r="B15" s="57" t="s">
        <v>597</v>
      </c>
      <c r="C15" s="57" t="s">
        <v>40</v>
      </c>
      <c r="D15" s="48" t="s">
        <v>598</v>
      </c>
      <c r="E15" s="58" t="s">
        <v>601</v>
      </c>
      <c r="F15" s="48"/>
      <c r="G15" s="51">
        <v>15000</v>
      </c>
    </row>
    <row r="16" spans="1:7" ht="15" customHeight="1" x14ac:dyDescent="0.2">
      <c r="A16" s="186"/>
      <c r="B16" s="3" t="s">
        <v>17</v>
      </c>
      <c r="C16" s="4" t="s">
        <v>18</v>
      </c>
      <c r="D16" s="4" t="s">
        <v>19</v>
      </c>
      <c r="E16" s="3" t="s">
        <v>20</v>
      </c>
    </row>
    <row r="17" spans="1:7" ht="15" customHeight="1" x14ac:dyDescent="0.2">
      <c r="A17" s="186"/>
      <c r="B17" s="59" t="s">
        <v>38</v>
      </c>
      <c r="C17" s="60" t="s">
        <v>315</v>
      </c>
      <c r="D17" s="61">
        <v>1500</v>
      </c>
      <c r="E17" s="62"/>
    </row>
    <row r="18" spans="1:7" ht="14.25" customHeight="1" x14ac:dyDescent="0.2">
      <c r="A18" s="186"/>
      <c r="B18" s="187"/>
      <c r="C18" s="187"/>
      <c r="D18" s="187"/>
      <c r="E18" s="187"/>
    </row>
    <row r="19" spans="1:7" ht="15" customHeight="1" x14ac:dyDescent="0.2">
      <c r="A19" s="63">
        <v>46205</v>
      </c>
      <c r="B19" s="57" t="s">
        <v>597</v>
      </c>
      <c r="C19" s="57" t="s">
        <v>29</v>
      </c>
      <c r="D19" s="48" t="s">
        <v>598</v>
      </c>
      <c r="E19" s="58" t="s">
        <v>602</v>
      </c>
      <c r="F19" s="48"/>
      <c r="G19" s="51">
        <v>12000</v>
      </c>
    </row>
    <row r="20" spans="1:7" ht="15" customHeight="1" x14ac:dyDescent="0.2">
      <c r="A20" s="186"/>
      <c r="B20" s="3" t="s">
        <v>17</v>
      </c>
      <c r="C20" s="4" t="s">
        <v>18</v>
      </c>
      <c r="D20" s="4" t="s">
        <v>19</v>
      </c>
      <c r="E20" s="3" t="s">
        <v>20</v>
      </c>
    </row>
    <row r="21" spans="1:7" ht="15" customHeight="1" x14ac:dyDescent="0.2">
      <c r="A21" s="186"/>
      <c r="B21" s="59" t="s">
        <v>38</v>
      </c>
      <c r="C21" s="60" t="s">
        <v>372</v>
      </c>
      <c r="D21" s="61">
        <v>1500</v>
      </c>
      <c r="E21" s="62"/>
    </row>
    <row r="22" spans="1:7" ht="14.25" customHeight="1" x14ac:dyDescent="0.2">
      <c r="A22" s="186"/>
      <c r="B22" s="187"/>
      <c r="C22" s="187"/>
      <c r="D22" s="187"/>
      <c r="E22" s="187"/>
    </row>
    <row r="23" spans="1:7" ht="15" customHeight="1" x14ac:dyDescent="0.2">
      <c r="A23" s="56">
        <v>46206</v>
      </c>
      <c r="B23" s="57" t="s">
        <v>597</v>
      </c>
      <c r="C23" s="57" t="s">
        <v>125</v>
      </c>
      <c r="D23" s="48" t="s">
        <v>598</v>
      </c>
      <c r="E23" s="58" t="s">
        <v>603</v>
      </c>
      <c r="F23" s="48"/>
      <c r="G23" s="51">
        <v>835000</v>
      </c>
    </row>
    <row r="24" spans="1:7" ht="15" customHeight="1" x14ac:dyDescent="0.2">
      <c r="A24" s="186"/>
      <c r="B24" s="3" t="s">
        <v>17</v>
      </c>
      <c r="C24" s="4" t="s">
        <v>18</v>
      </c>
      <c r="D24" s="4" t="s">
        <v>19</v>
      </c>
      <c r="E24" s="3" t="s">
        <v>20</v>
      </c>
    </row>
    <row r="25" spans="1:7" ht="14.25" customHeight="1" x14ac:dyDescent="0.2">
      <c r="A25" s="186"/>
      <c r="B25" s="59" t="s">
        <v>24</v>
      </c>
      <c r="C25" s="60" t="s">
        <v>604</v>
      </c>
      <c r="D25" s="61">
        <v>5100</v>
      </c>
      <c r="E25" s="62"/>
    </row>
    <row r="26" spans="1:7" ht="15" customHeight="1" x14ac:dyDescent="0.2">
      <c r="A26" s="186"/>
      <c r="B26" s="59" t="s">
        <v>27</v>
      </c>
      <c r="C26" s="60" t="s">
        <v>333</v>
      </c>
      <c r="D26" s="61">
        <v>8020</v>
      </c>
      <c r="E26" s="62"/>
    </row>
    <row r="27" spans="1:7" ht="14.25" customHeight="1" x14ac:dyDescent="0.2">
      <c r="A27" s="186"/>
      <c r="B27" s="187"/>
      <c r="C27" s="187"/>
      <c r="D27" s="187"/>
      <c r="E27" s="187"/>
    </row>
    <row r="28" spans="1:7" ht="15" customHeight="1" x14ac:dyDescent="0.2">
      <c r="A28" s="63">
        <v>46206</v>
      </c>
      <c r="B28" s="57" t="s">
        <v>597</v>
      </c>
      <c r="C28" s="57" t="s">
        <v>29</v>
      </c>
      <c r="D28" s="48" t="s">
        <v>598</v>
      </c>
      <c r="E28" s="58" t="s">
        <v>605</v>
      </c>
      <c r="F28" s="48"/>
      <c r="G28" s="51">
        <v>57000</v>
      </c>
    </row>
    <row r="29" spans="1:7" ht="15" customHeight="1" x14ac:dyDescent="0.2">
      <c r="A29" s="186"/>
      <c r="B29" s="3" t="s">
        <v>17</v>
      </c>
      <c r="C29" s="4" t="s">
        <v>18</v>
      </c>
      <c r="D29" s="4" t="s">
        <v>19</v>
      </c>
      <c r="E29" s="3" t="s">
        <v>20</v>
      </c>
    </row>
    <row r="30" spans="1:7" ht="15" customHeight="1" x14ac:dyDescent="0.2">
      <c r="A30" s="186"/>
      <c r="B30" s="59" t="s">
        <v>38</v>
      </c>
      <c r="C30" s="60" t="s">
        <v>551</v>
      </c>
      <c r="D30" s="61">
        <v>1500</v>
      </c>
      <c r="E30" s="62"/>
    </row>
    <row r="31" spans="1:7" ht="14.25" customHeight="1" x14ac:dyDescent="0.2">
      <c r="A31" s="186"/>
      <c r="B31" s="187"/>
      <c r="C31" s="187"/>
      <c r="D31" s="187"/>
      <c r="E31" s="187"/>
    </row>
    <row r="32" spans="1:7" ht="15" customHeight="1" x14ac:dyDescent="0.2">
      <c r="A32" s="63">
        <v>46206</v>
      </c>
      <c r="B32" s="57" t="s">
        <v>597</v>
      </c>
      <c r="C32" s="57" t="s">
        <v>66</v>
      </c>
      <c r="D32" s="48" t="s">
        <v>598</v>
      </c>
      <c r="E32" s="58" t="s">
        <v>606</v>
      </c>
      <c r="F32" s="48"/>
      <c r="G32" s="51">
        <v>630000</v>
      </c>
    </row>
    <row r="33" spans="1:7" ht="15" customHeight="1" x14ac:dyDescent="0.2">
      <c r="A33" s="186"/>
      <c r="B33" s="3" t="s">
        <v>17</v>
      </c>
      <c r="C33" s="4" t="s">
        <v>18</v>
      </c>
      <c r="D33" s="4" t="s">
        <v>19</v>
      </c>
      <c r="E33" s="3" t="s">
        <v>20</v>
      </c>
    </row>
    <row r="34" spans="1:7" ht="15" customHeight="1" x14ac:dyDescent="0.2">
      <c r="A34" s="186"/>
      <c r="B34" s="59" t="s">
        <v>38</v>
      </c>
      <c r="C34" s="60" t="s">
        <v>362</v>
      </c>
      <c r="D34" s="61">
        <v>1500</v>
      </c>
      <c r="E34" s="62"/>
    </row>
    <row r="35" spans="1:7" ht="14.25" customHeight="1" x14ac:dyDescent="0.2">
      <c r="A35" s="186"/>
      <c r="B35" s="187"/>
      <c r="C35" s="187"/>
      <c r="D35" s="187"/>
      <c r="E35" s="187"/>
    </row>
    <row r="36" spans="1:7" ht="15" customHeight="1" x14ac:dyDescent="0.2">
      <c r="A36" s="63">
        <v>46206</v>
      </c>
      <c r="B36" s="57" t="s">
        <v>597</v>
      </c>
      <c r="C36" s="57" t="s">
        <v>40</v>
      </c>
      <c r="D36" s="48" t="s">
        <v>598</v>
      </c>
      <c r="E36" s="58" t="s">
        <v>607</v>
      </c>
      <c r="F36" s="48"/>
      <c r="G36" s="51">
        <v>45000</v>
      </c>
    </row>
    <row r="37" spans="1:7" ht="15" customHeight="1" x14ac:dyDescent="0.2">
      <c r="A37" s="186"/>
      <c r="B37" s="3" t="s">
        <v>17</v>
      </c>
      <c r="C37" s="4" t="s">
        <v>18</v>
      </c>
      <c r="D37" s="4" t="s">
        <v>19</v>
      </c>
      <c r="E37" s="3" t="s">
        <v>20</v>
      </c>
    </row>
    <row r="38" spans="1:7" ht="15" customHeight="1" x14ac:dyDescent="0.2">
      <c r="A38" s="186"/>
      <c r="B38" s="59" t="s">
        <v>38</v>
      </c>
      <c r="C38" s="60" t="s">
        <v>271</v>
      </c>
      <c r="D38" s="61">
        <v>1500</v>
      </c>
      <c r="E38" s="62"/>
    </row>
    <row r="39" spans="1:7" ht="14.25" customHeight="1" x14ac:dyDescent="0.2">
      <c r="A39" s="186"/>
      <c r="B39" s="187"/>
      <c r="C39" s="187"/>
      <c r="D39" s="187"/>
      <c r="E39" s="187"/>
    </row>
    <row r="40" spans="1:7" ht="15" customHeight="1" x14ac:dyDescent="0.2">
      <c r="A40" s="63">
        <v>46207</v>
      </c>
      <c r="B40" s="57" t="s">
        <v>597</v>
      </c>
      <c r="C40" s="57" t="s">
        <v>85</v>
      </c>
      <c r="D40" s="48" t="s">
        <v>598</v>
      </c>
      <c r="E40" s="58" t="s">
        <v>608</v>
      </c>
      <c r="F40" s="48"/>
      <c r="G40" s="51">
        <v>43500</v>
      </c>
    </row>
    <row r="41" spans="1:7" ht="15" customHeight="1" x14ac:dyDescent="0.2">
      <c r="A41" s="186"/>
      <c r="B41" s="3" t="s">
        <v>17</v>
      </c>
      <c r="C41" s="4" t="s">
        <v>18</v>
      </c>
      <c r="D41" s="4" t="s">
        <v>19</v>
      </c>
      <c r="E41" s="3" t="s">
        <v>20</v>
      </c>
    </row>
    <row r="42" spans="1:7" ht="15" customHeight="1" x14ac:dyDescent="0.2">
      <c r="A42" s="186"/>
      <c r="B42" s="59" t="s">
        <v>38</v>
      </c>
      <c r="C42" s="60" t="s">
        <v>609</v>
      </c>
      <c r="D42" s="61">
        <v>1500</v>
      </c>
      <c r="E42" s="62"/>
    </row>
    <row r="43" spans="1:7" ht="14.25" customHeight="1" x14ac:dyDescent="0.2">
      <c r="A43" s="186"/>
      <c r="B43" s="187"/>
      <c r="C43" s="187"/>
      <c r="D43" s="187"/>
      <c r="E43" s="187"/>
    </row>
    <row r="44" spans="1:7" ht="15" customHeight="1" x14ac:dyDescent="0.2">
      <c r="A44" s="63">
        <v>46207</v>
      </c>
      <c r="B44" s="57" t="s">
        <v>597</v>
      </c>
      <c r="C44" s="57" t="s">
        <v>66</v>
      </c>
      <c r="D44" s="48" t="s">
        <v>598</v>
      </c>
      <c r="E44" s="58" t="s">
        <v>610</v>
      </c>
      <c r="F44" s="48"/>
      <c r="G44" s="51">
        <v>441000</v>
      </c>
    </row>
    <row r="45" spans="1:7" ht="15" customHeight="1" x14ac:dyDescent="0.2">
      <c r="A45" s="186"/>
      <c r="B45" s="3" t="s">
        <v>17</v>
      </c>
      <c r="C45" s="4" t="s">
        <v>18</v>
      </c>
      <c r="D45" s="4" t="s">
        <v>19</v>
      </c>
      <c r="E45" s="3" t="s">
        <v>20</v>
      </c>
    </row>
    <row r="46" spans="1:7" ht="15" customHeight="1" x14ac:dyDescent="0.2">
      <c r="A46" s="186"/>
      <c r="B46" s="59" t="s">
        <v>38</v>
      </c>
      <c r="C46" s="60" t="s">
        <v>611</v>
      </c>
      <c r="D46" s="61">
        <v>1500</v>
      </c>
      <c r="E46" s="62"/>
    </row>
    <row r="47" spans="1:7" ht="14.25" customHeight="1" x14ac:dyDescent="0.2">
      <c r="A47" s="186"/>
      <c r="B47" s="187"/>
      <c r="C47" s="187"/>
      <c r="D47" s="187"/>
      <c r="E47" s="187"/>
    </row>
    <row r="48" spans="1:7" ht="15" customHeight="1" x14ac:dyDescent="0.2">
      <c r="A48" s="63">
        <v>46209</v>
      </c>
      <c r="B48" s="57" t="s">
        <v>597</v>
      </c>
      <c r="C48" s="57" t="s">
        <v>25</v>
      </c>
      <c r="D48" s="48" t="s">
        <v>598</v>
      </c>
      <c r="E48" s="58" t="s">
        <v>612</v>
      </c>
      <c r="F48" s="48"/>
      <c r="G48" s="51">
        <v>72000</v>
      </c>
    </row>
    <row r="49" spans="1:7" ht="15" customHeight="1" x14ac:dyDescent="0.2">
      <c r="A49" s="186"/>
      <c r="B49" s="3" t="s">
        <v>17</v>
      </c>
      <c r="C49" s="4" t="s">
        <v>18</v>
      </c>
      <c r="D49" s="4" t="s">
        <v>19</v>
      </c>
      <c r="E49" s="3" t="s">
        <v>20</v>
      </c>
    </row>
    <row r="50" spans="1:7" ht="15" customHeight="1" x14ac:dyDescent="0.2">
      <c r="A50" s="186"/>
      <c r="B50" s="59" t="s">
        <v>48</v>
      </c>
      <c r="C50" s="60" t="s">
        <v>613</v>
      </c>
      <c r="D50" s="61">
        <v>1600</v>
      </c>
      <c r="E50" s="62"/>
    </row>
    <row r="51" spans="1:7" ht="14.25" customHeight="1" x14ac:dyDescent="0.2">
      <c r="A51" s="186"/>
      <c r="B51" s="187"/>
      <c r="C51" s="187"/>
      <c r="D51" s="187"/>
      <c r="E51" s="187"/>
    </row>
    <row r="52" spans="1:7" ht="15" customHeight="1" x14ac:dyDescent="0.2">
      <c r="A52" s="63">
        <v>46209</v>
      </c>
      <c r="B52" s="57" t="s">
        <v>597</v>
      </c>
      <c r="C52" s="57" t="s">
        <v>97</v>
      </c>
      <c r="D52" s="48" t="s">
        <v>598</v>
      </c>
      <c r="E52" s="58" t="s">
        <v>614</v>
      </c>
      <c r="F52" s="48"/>
      <c r="G52" s="51">
        <v>324000</v>
      </c>
    </row>
    <row r="53" spans="1:7" ht="15" customHeight="1" x14ac:dyDescent="0.2">
      <c r="A53" s="186"/>
      <c r="B53" s="3" t="s">
        <v>17</v>
      </c>
      <c r="C53" s="4" t="s">
        <v>18</v>
      </c>
      <c r="D53" s="4" t="s">
        <v>19</v>
      </c>
      <c r="E53" s="3" t="s">
        <v>20</v>
      </c>
    </row>
    <row r="54" spans="1:7" ht="15" customHeight="1" x14ac:dyDescent="0.2">
      <c r="A54" s="186"/>
      <c r="B54" s="59" t="s">
        <v>38</v>
      </c>
      <c r="C54" s="60" t="s">
        <v>615</v>
      </c>
      <c r="D54" s="61">
        <v>1500</v>
      </c>
      <c r="E54" s="62"/>
    </row>
    <row r="55" spans="1:7" ht="14.25" customHeight="1" x14ac:dyDescent="0.2">
      <c r="A55" s="186"/>
      <c r="B55" s="187"/>
      <c r="C55" s="187"/>
      <c r="D55" s="187"/>
      <c r="E55" s="187"/>
    </row>
    <row r="56" spans="1:7" ht="15" customHeight="1" x14ac:dyDescent="0.2">
      <c r="A56" s="63">
        <v>46209</v>
      </c>
      <c r="B56" s="57" t="s">
        <v>597</v>
      </c>
      <c r="C56" s="57" t="s">
        <v>29</v>
      </c>
      <c r="D56" s="48" t="s">
        <v>598</v>
      </c>
      <c r="E56" s="58" t="s">
        <v>616</v>
      </c>
      <c r="F56" s="48"/>
      <c r="G56" s="51">
        <v>45000</v>
      </c>
    </row>
    <row r="57" spans="1:7" ht="15" customHeight="1" x14ac:dyDescent="0.2">
      <c r="A57" s="186"/>
      <c r="B57" s="3" t="s">
        <v>17</v>
      </c>
      <c r="C57" s="4" t="s">
        <v>18</v>
      </c>
      <c r="D57" s="4" t="s">
        <v>19</v>
      </c>
      <c r="E57" s="3" t="s">
        <v>20</v>
      </c>
    </row>
    <row r="58" spans="1:7" ht="15" customHeight="1" x14ac:dyDescent="0.2">
      <c r="A58" s="186"/>
      <c r="B58" s="59" t="s">
        <v>38</v>
      </c>
      <c r="C58" s="60" t="s">
        <v>271</v>
      </c>
      <c r="D58" s="61">
        <v>1500</v>
      </c>
      <c r="E58" s="62"/>
    </row>
    <row r="59" spans="1:7" ht="14.25" customHeight="1" x14ac:dyDescent="0.2">
      <c r="A59" s="186"/>
      <c r="B59" s="187"/>
      <c r="C59" s="187"/>
      <c r="D59" s="187"/>
      <c r="E59" s="187"/>
    </row>
    <row r="60" spans="1:7" ht="15" customHeight="1" x14ac:dyDescent="0.2">
      <c r="A60" s="63">
        <v>46209</v>
      </c>
      <c r="B60" s="57" t="s">
        <v>597</v>
      </c>
      <c r="C60" s="57" t="s">
        <v>78</v>
      </c>
      <c r="D60" s="48" t="s">
        <v>598</v>
      </c>
      <c r="E60" s="58" t="s">
        <v>617</v>
      </c>
      <c r="F60" s="48"/>
      <c r="G60" s="51">
        <v>36000</v>
      </c>
    </row>
    <row r="61" spans="1:7" ht="15" customHeight="1" x14ac:dyDescent="0.2">
      <c r="A61" s="186"/>
      <c r="B61" s="3" t="s">
        <v>17</v>
      </c>
      <c r="C61" s="4" t="s">
        <v>18</v>
      </c>
      <c r="D61" s="4" t="s">
        <v>19</v>
      </c>
      <c r="E61" s="3" t="s">
        <v>20</v>
      </c>
    </row>
    <row r="62" spans="1:7" ht="15" customHeight="1" x14ac:dyDescent="0.2">
      <c r="A62" s="186"/>
      <c r="B62" s="59" t="s">
        <v>38</v>
      </c>
      <c r="C62" s="60" t="s">
        <v>415</v>
      </c>
      <c r="D62" s="61">
        <v>1500</v>
      </c>
      <c r="E62" s="62"/>
    </row>
    <row r="63" spans="1:7" ht="14.25" customHeight="1" x14ac:dyDescent="0.2">
      <c r="A63" s="186"/>
      <c r="B63" s="187"/>
      <c r="C63" s="187"/>
      <c r="D63" s="187"/>
      <c r="E63" s="187"/>
    </row>
    <row r="64" spans="1:7" ht="15" customHeight="1" x14ac:dyDescent="0.2">
      <c r="A64" s="56">
        <v>46209</v>
      </c>
      <c r="B64" s="57" t="s">
        <v>597</v>
      </c>
      <c r="C64" s="57" t="s">
        <v>104</v>
      </c>
      <c r="D64" s="48" t="s">
        <v>598</v>
      </c>
      <c r="E64" s="58" t="s">
        <v>618</v>
      </c>
      <c r="F64" s="48"/>
      <c r="G64" s="50">
        <v>750</v>
      </c>
    </row>
    <row r="65" spans="1:7" ht="15" customHeight="1" x14ac:dyDescent="0.2">
      <c r="A65" s="186"/>
      <c r="B65" s="3" t="s">
        <v>17</v>
      </c>
      <c r="C65" s="4" t="s">
        <v>18</v>
      </c>
      <c r="D65" s="4" t="s">
        <v>19</v>
      </c>
      <c r="E65" s="3" t="s">
        <v>20</v>
      </c>
    </row>
    <row r="66" spans="1:7" ht="15" customHeight="1" x14ac:dyDescent="0.2">
      <c r="A66" s="186"/>
      <c r="B66" s="59" t="s">
        <v>174</v>
      </c>
      <c r="C66" s="60" t="s">
        <v>293</v>
      </c>
      <c r="D66" s="60">
        <v>750</v>
      </c>
      <c r="E66" s="62"/>
    </row>
    <row r="67" spans="1:7" ht="14.25" customHeight="1" x14ac:dyDescent="0.2">
      <c r="A67" s="186"/>
      <c r="B67" s="187"/>
      <c r="C67" s="187"/>
      <c r="D67" s="187"/>
      <c r="E67" s="187"/>
    </row>
    <row r="68" spans="1:7" ht="15" customHeight="1" x14ac:dyDescent="0.2">
      <c r="A68" s="63">
        <v>46210</v>
      </c>
      <c r="B68" s="57" t="s">
        <v>597</v>
      </c>
      <c r="C68" s="57" t="s">
        <v>25</v>
      </c>
      <c r="D68" s="48" t="s">
        <v>598</v>
      </c>
      <c r="E68" s="58" t="s">
        <v>619</v>
      </c>
      <c r="F68" s="48"/>
      <c r="G68" s="51">
        <v>8000</v>
      </c>
    </row>
    <row r="69" spans="1:7" ht="15" customHeight="1" x14ac:dyDescent="0.2">
      <c r="A69" s="186"/>
      <c r="B69" s="3" t="s">
        <v>17</v>
      </c>
      <c r="C69" s="4" t="s">
        <v>18</v>
      </c>
      <c r="D69" s="4" t="s">
        <v>19</v>
      </c>
      <c r="E69" s="3" t="s">
        <v>20</v>
      </c>
    </row>
    <row r="70" spans="1:7" ht="15" customHeight="1" x14ac:dyDescent="0.2">
      <c r="A70" s="186"/>
      <c r="B70" s="59" t="s">
        <v>48</v>
      </c>
      <c r="C70" s="60" t="s">
        <v>377</v>
      </c>
      <c r="D70" s="61">
        <v>1600</v>
      </c>
      <c r="E70" s="62"/>
    </row>
    <row r="71" spans="1:7" ht="14.25" customHeight="1" x14ac:dyDescent="0.2">
      <c r="A71" s="186"/>
      <c r="B71" s="187"/>
      <c r="C71" s="187"/>
      <c r="D71" s="187"/>
      <c r="E71" s="187"/>
    </row>
    <row r="72" spans="1:7" ht="15" customHeight="1" x14ac:dyDescent="0.2">
      <c r="A72" s="63">
        <v>46210</v>
      </c>
      <c r="B72" s="57" t="s">
        <v>597</v>
      </c>
      <c r="C72" s="57" t="s">
        <v>25</v>
      </c>
      <c r="D72" s="48" t="s">
        <v>598</v>
      </c>
      <c r="E72" s="58" t="s">
        <v>620</v>
      </c>
      <c r="F72" s="48"/>
      <c r="G72" s="51">
        <v>185000</v>
      </c>
    </row>
    <row r="73" spans="1:7" ht="15" customHeight="1" x14ac:dyDescent="0.2">
      <c r="A73" s="186"/>
      <c r="B73" s="3" t="s">
        <v>17</v>
      </c>
      <c r="C73" s="4" t="s">
        <v>18</v>
      </c>
      <c r="D73" s="4" t="s">
        <v>19</v>
      </c>
      <c r="E73" s="3" t="s">
        <v>20</v>
      </c>
    </row>
    <row r="74" spans="1:7" ht="14.25" customHeight="1" x14ac:dyDescent="0.2">
      <c r="A74" s="186"/>
      <c r="B74" s="59" t="s">
        <v>38</v>
      </c>
      <c r="C74" s="60" t="s">
        <v>621</v>
      </c>
      <c r="D74" s="61">
        <v>1500</v>
      </c>
      <c r="E74" s="62"/>
    </row>
    <row r="75" spans="1:7" ht="15" customHeight="1" x14ac:dyDescent="0.2">
      <c r="A75" s="186"/>
      <c r="B75" s="59" t="s">
        <v>48</v>
      </c>
      <c r="C75" s="60" t="s">
        <v>319</v>
      </c>
      <c r="D75" s="61">
        <v>1600</v>
      </c>
      <c r="E75" s="62"/>
    </row>
    <row r="76" spans="1:7" ht="14.25" customHeight="1" x14ac:dyDescent="0.2">
      <c r="A76" s="186"/>
      <c r="B76" s="187"/>
      <c r="C76" s="187"/>
      <c r="D76" s="187"/>
      <c r="E76" s="187"/>
    </row>
    <row r="77" spans="1:7" ht="15" customHeight="1" x14ac:dyDescent="0.2">
      <c r="A77" s="56">
        <v>46210</v>
      </c>
      <c r="B77" s="57" t="s">
        <v>597</v>
      </c>
      <c r="C77" s="57" t="s">
        <v>50</v>
      </c>
      <c r="D77" s="48" t="s">
        <v>598</v>
      </c>
      <c r="E77" s="58" t="s">
        <v>622</v>
      </c>
      <c r="F77" s="48"/>
      <c r="G77" s="51">
        <v>86000</v>
      </c>
    </row>
    <row r="78" spans="1:7" ht="15" customHeight="1" x14ac:dyDescent="0.2">
      <c r="A78" s="186"/>
      <c r="B78" s="3" t="s">
        <v>17</v>
      </c>
      <c r="C78" s="4" t="s">
        <v>18</v>
      </c>
      <c r="D78" s="4" t="s">
        <v>19</v>
      </c>
      <c r="E78" s="3" t="s">
        <v>20</v>
      </c>
    </row>
    <row r="79" spans="1:7" ht="15" customHeight="1" x14ac:dyDescent="0.2">
      <c r="A79" s="186"/>
      <c r="B79" s="59" t="s">
        <v>31</v>
      </c>
      <c r="C79" s="60" t="s">
        <v>255</v>
      </c>
      <c r="D79" s="61">
        <v>17200</v>
      </c>
      <c r="E79" s="62"/>
    </row>
    <row r="80" spans="1:7" ht="14.25" customHeight="1" x14ac:dyDescent="0.2">
      <c r="A80" s="186"/>
      <c r="B80" s="187"/>
      <c r="C80" s="187"/>
      <c r="D80" s="187"/>
      <c r="E80" s="187"/>
    </row>
    <row r="81" spans="1:7" ht="15" customHeight="1" x14ac:dyDescent="0.2">
      <c r="A81" s="63">
        <v>46210</v>
      </c>
      <c r="B81" s="57" t="s">
        <v>597</v>
      </c>
      <c r="C81" s="57" t="s">
        <v>78</v>
      </c>
      <c r="D81" s="48" t="s">
        <v>598</v>
      </c>
      <c r="E81" s="58" t="s">
        <v>623</v>
      </c>
      <c r="F81" s="48"/>
      <c r="G81" s="51">
        <v>105000</v>
      </c>
    </row>
    <row r="82" spans="1:7" ht="15" customHeight="1" x14ac:dyDescent="0.2">
      <c r="A82" s="186"/>
      <c r="B82" s="3" t="s">
        <v>17</v>
      </c>
      <c r="C82" s="4" t="s">
        <v>18</v>
      </c>
      <c r="D82" s="4" t="s">
        <v>19</v>
      </c>
      <c r="E82" s="3" t="s">
        <v>20</v>
      </c>
    </row>
    <row r="83" spans="1:7" ht="15" customHeight="1" x14ac:dyDescent="0.2">
      <c r="A83" s="186"/>
      <c r="B83" s="59" t="s">
        <v>38</v>
      </c>
      <c r="C83" s="60" t="s">
        <v>340</v>
      </c>
      <c r="D83" s="61">
        <v>1500</v>
      </c>
      <c r="E83" s="62"/>
    </row>
    <row r="84" spans="1:7" ht="14.25" customHeight="1" x14ac:dyDescent="0.2">
      <c r="A84" s="186"/>
      <c r="B84" s="187"/>
      <c r="C84" s="187"/>
      <c r="D84" s="187"/>
      <c r="E84" s="187"/>
    </row>
    <row r="85" spans="1:7" ht="15" customHeight="1" x14ac:dyDescent="0.2">
      <c r="A85" s="63">
        <v>46210</v>
      </c>
      <c r="B85" s="57" t="s">
        <v>597</v>
      </c>
      <c r="C85" s="57" t="s">
        <v>63</v>
      </c>
      <c r="D85" s="48" t="s">
        <v>598</v>
      </c>
      <c r="E85" s="58" t="s">
        <v>624</v>
      </c>
      <c r="F85" s="48"/>
      <c r="G85" s="51">
        <v>261000</v>
      </c>
    </row>
    <row r="86" spans="1:7" ht="15" customHeight="1" x14ac:dyDescent="0.2">
      <c r="A86" s="186"/>
      <c r="B86" s="3" t="s">
        <v>17</v>
      </c>
      <c r="C86" s="4" t="s">
        <v>18</v>
      </c>
      <c r="D86" s="4" t="s">
        <v>19</v>
      </c>
      <c r="E86" s="3" t="s">
        <v>20</v>
      </c>
    </row>
    <row r="87" spans="1:7" ht="15" customHeight="1" x14ac:dyDescent="0.2">
      <c r="A87" s="186"/>
      <c r="B87" s="59" t="s">
        <v>38</v>
      </c>
      <c r="C87" s="60" t="s">
        <v>625</v>
      </c>
      <c r="D87" s="61">
        <v>1500</v>
      </c>
      <c r="E87" s="62"/>
    </row>
    <row r="88" spans="1:7" ht="14.25" customHeight="1" x14ac:dyDescent="0.2">
      <c r="A88" s="186"/>
      <c r="B88" s="187"/>
      <c r="C88" s="187"/>
      <c r="D88" s="187"/>
      <c r="E88" s="187"/>
    </row>
    <row r="89" spans="1:7" ht="15" customHeight="1" x14ac:dyDescent="0.2">
      <c r="A89" s="63">
        <v>46210</v>
      </c>
      <c r="B89" s="57" t="s">
        <v>597</v>
      </c>
      <c r="C89" s="57" t="s">
        <v>29</v>
      </c>
      <c r="D89" s="48" t="s">
        <v>598</v>
      </c>
      <c r="E89" s="58" t="s">
        <v>626</v>
      </c>
      <c r="F89" s="48"/>
      <c r="G89" s="51">
        <v>63000</v>
      </c>
    </row>
    <row r="90" spans="1:7" ht="15" customHeight="1" x14ac:dyDescent="0.2">
      <c r="A90" s="186"/>
      <c r="B90" s="3" t="s">
        <v>17</v>
      </c>
      <c r="C90" s="4" t="s">
        <v>18</v>
      </c>
      <c r="D90" s="4" t="s">
        <v>19</v>
      </c>
      <c r="E90" s="3" t="s">
        <v>20</v>
      </c>
    </row>
    <row r="91" spans="1:7" ht="15" customHeight="1" x14ac:dyDescent="0.2">
      <c r="A91" s="186"/>
      <c r="B91" s="59" t="s">
        <v>38</v>
      </c>
      <c r="C91" s="60" t="s">
        <v>627</v>
      </c>
      <c r="D91" s="61">
        <v>1500</v>
      </c>
      <c r="E91" s="62"/>
    </row>
    <row r="92" spans="1:7" ht="14.25" customHeight="1" x14ac:dyDescent="0.2">
      <c r="A92" s="186"/>
      <c r="B92" s="187"/>
      <c r="C92" s="187"/>
      <c r="D92" s="187"/>
      <c r="E92" s="187"/>
    </row>
    <row r="93" spans="1:7" ht="15" customHeight="1" x14ac:dyDescent="0.2">
      <c r="A93" s="63">
        <v>46210</v>
      </c>
      <c r="B93" s="57" t="s">
        <v>597</v>
      </c>
      <c r="C93" s="57" t="s">
        <v>40</v>
      </c>
      <c r="D93" s="48" t="s">
        <v>598</v>
      </c>
      <c r="E93" s="58" t="s">
        <v>628</v>
      </c>
      <c r="F93" s="48"/>
      <c r="G93" s="51">
        <v>16500</v>
      </c>
    </row>
    <row r="94" spans="1:7" ht="15" customHeight="1" x14ac:dyDescent="0.2">
      <c r="A94" s="186"/>
      <c r="B94" s="3" t="s">
        <v>17</v>
      </c>
      <c r="C94" s="4" t="s">
        <v>18</v>
      </c>
      <c r="D94" s="4" t="s">
        <v>19</v>
      </c>
      <c r="E94" s="3" t="s">
        <v>20</v>
      </c>
    </row>
    <row r="95" spans="1:7" ht="15" customHeight="1" x14ac:dyDescent="0.2">
      <c r="A95" s="186"/>
      <c r="B95" s="59" t="s">
        <v>38</v>
      </c>
      <c r="C95" s="60" t="s">
        <v>629</v>
      </c>
      <c r="D95" s="61">
        <v>1500</v>
      </c>
      <c r="E95" s="62"/>
    </row>
    <row r="96" spans="1:7" ht="14.25" customHeight="1" x14ac:dyDescent="0.2">
      <c r="A96" s="186"/>
      <c r="B96" s="187"/>
      <c r="C96" s="187"/>
      <c r="D96" s="187"/>
      <c r="E96" s="187"/>
    </row>
    <row r="97" spans="1:7" ht="15" customHeight="1" x14ac:dyDescent="0.2">
      <c r="A97" s="63">
        <v>46211</v>
      </c>
      <c r="B97" s="57" t="s">
        <v>597</v>
      </c>
      <c r="C97" s="57" t="s">
        <v>132</v>
      </c>
      <c r="D97" s="48" t="s">
        <v>598</v>
      </c>
      <c r="E97" s="58" t="s">
        <v>630</v>
      </c>
      <c r="F97" s="48"/>
      <c r="G97" s="51">
        <v>525000</v>
      </c>
    </row>
    <row r="98" spans="1:7" ht="15" customHeight="1" x14ac:dyDescent="0.2">
      <c r="A98" s="186"/>
      <c r="B98" s="3" t="s">
        <v>17</v>
      </c>
      <c r="C98" s="4" t="s">
        <v>18</v>
      </c>
      <c r="D98" s="4" t="s">
        <v>19</v>
      </c>
      <c r="E98" s="3" t="s">
        <v>20</v>
      </c>
    </row>
    <row r="99" spans="1:7" ht="14.25" customHeight="1" x14ac:dyDescent="0.2">
      <c r="A99" s="186"/>
      <c r="B99" s="59" t="s">
        <v>38</v>
      </c>
      <c r="C99" s="60" t="s">
        <v>631</v>
      </c>
      <c r="D99" s="61">
        <v>1500</v>
      </c>
      <c r="E99" s="62"/>
    </row>
    <row r="100" spans="1:7" ht="15" customHeight="1" x14ac:dyDescent="0.2">
      <c r="A100" s="186"/>
      <c r="B100" s="59" t="s">
        <v>148</v>
      </c>
      <c r="C100" s="60" t="s">
        <v>340</v>
      </c>
      <c r="D100" s="61">
        <v>1500</v>
      </c>
      <c r="E100" s="62"/>
    </row>
    <row r="101" spans="1:7" ht="14.25" customHeight="1" x14ac:dyDescent="0.2">
      <c r="A101" s="186"/>
      <c r="B101" s="187"/>
      <c r="C101" s="187"/>
      <c r="D101" s="187"/>
      <c r="E101" s="187"/>
    </row>
    <row r="102" spans="1:7" ht="15" customHeight="1" x14ac:dyDescent="0.2">
      <c r="A102" s="63">
        <v>46211</v>
      </c>
      <c r="B102" s="57" t="s">
        <v>597</v>
      </c>
      <c r="C102" s="57" t="s">
        <v>78</v>
      </c>
      <c r="D102" s="48" t="s">
        <v>598</v>
      </c>
      <c r="E102" s="58" t="s">
        <v>632</v>
      </c>
      <c r="F102" s="48"/>
      <c r="G102" s="51">
        <v>90000</v>
      </c>
    </row>
    <row r="103" spans="1:7" ht="15" customHeight="1" x14ac:dyDescent="0.2">
      <c r="A103" s="186"/>
      <c r="B103" s="3" t="s">
        <v>17</v>
      </c>
      <c r="C103" s="4" t="s">
        <v>18</v>
      </c>
      <c r="D103" s="4" t="s">
        <v>19</v>
      </c>
      <c r="E103" s="3" t="s">
        <v>20</v>
      </c>
    </row>
    <row r="104" spans="1:7" ht="15" customHeight="1" x14ac:dyDescent="0.2">
      <c r="A104" s="186"/>
      <c r="B104" s="59" t="s">
        <v>38</v>
      </c>
      <c r="C104" s="60" t="s">
        <v>633</v>
      </c>
      <c r="D104" s="61">
        <v>1500</v>
      </c>
      <c r="E104" s="62"/>
    </row>
    <row r="105" spans="1:7" ht="14.25" customHeight="1" x14ac:dyDescent="0.2">
      <c r="A105" s="186"/>
      <c r="B105" s="187"/>
      <c r="C105" s="187"/>
      <c r="D105" s="187"/>
      <c r="E105" s="187"/>
    </row>
    <row r="106" spans="1:7" ht="15" customHeight="1" x14ac:dyDescent="0.2">
      <c r="A106" s="63">
        <v>46211</v>
      </c>
      <c r="B106" s="57" t="s">
        <v>597</v>
      </c>
      <c r="C106" s="57" t="s">
        <v>25</v>
      </c>
      <c r="D106" s="48" t="s">
        <v>598</v>
      </c>
      <c r="E106" s="58" t="s">
        <v>634</v>
      </c>
      <c r="F106" s="48"/>
      <c r="G106" s="51">
        <v>93000</v>
      </c>
    </row>
    <row r="107" spans="1:7" ht="15" customHeight="1" x14ac:dyDescent="0.2">
      <c r="A107" s="186"/>
      <c r="B107" s="3" t="s">
        <v>17</v>
      </c>
      <c r="C107" s="4" t="s">
        <v>18</v>
      </c>
      <c r="D107" s="4" t="s">
        <v>19</v>
      </c>
      <c r="E107" s="3" t="s">
        <v>20</v>
      </c>
    </row>
    <row r="108" spans="1:7" ht="15" customHeight="1" x14ac:dyDescent="0.2">
      <c r="A108" s="186"/>
      <c r="B108" s="59" t="s">
        <v>38</v>
      </c>
      <c r="C108" s="60" t="s">
        <v>370</v>
      </c>
      <c r="D108" s="61">
        <v>1500</v>
      </c>
      <c r="E108" s="62"/>
    </row>
    <row r="109" spans="1:7" ht="14.25" customHeight="1" x14ac:dyDescent="0.2">
      <c r="A109" s="186"/>
      <c r="B109" s="187"/>
      <c r="C109" s="187"/>
      <c r="D109" s="187"/>
      <c r="E109" s="187"/>
    </row>
    <row r="110" spans="1:7" ht="15" customHeight="1" x14ac:dyDescent="0.2">
      <c r="A110" s="63">
        <v>46211</v>
      </c>
      <c r="B110" s="57" t="s">
        <v>597</v>
      </c>
      <c r="C110" s="57" t="s">
        <v>154</v>
      </c>
      <c r="D110" s="48" t="s">
        <v>598</v>
      </c>
      <c r="E110" s="58" t="s">
        <v>635</v>
      </c>
      <c r="F110" s="48"/>
      <c r="G110" s="51">
        <v>22000</v>
      </c>
    </row>
    <row r="111" spans="1:7" ht="15" customHeight="1" x14ac:dyDescent="0.2">
      <c r="A111" s="186"/>
      <c r="B111" s="3" t="s">
        <v>17</v>
      </c>
      <c r="C111" s="4" t="s">
        <v>18</v>
      </c>
      <c r="D111" s="4" t="s">
        <v>19</v>
      </c>
      <c r="E111" s="3" t="s">
        <v>20</v>
      </c>
    </row>
    <row r="112" spans="1:7" ht="14.25" customHeight="1" x14ac:dyDescent="0.2">
      <c r="A112" s="186"/>
      <c r="B112" s="59" t="s">
        <v>38</v>
      </c>
      <c r="C112" s="60" t="s">
        <v>315</v>
      </c>
      <c r="D112" s="61">
        <v>1800</v>
      </c>
      <c r="E112" s="62"/>
    </row>
    <row r="113" spans="1:7" ht="15" customHeight="1" x14ac:dyDescent="0.2">
      <c r="A113" s="186"/>
      <c r="B113" s="59" t="s">
        <v>148</v>
      </c>
      <c r="C113" s="60" t="s">
        <v>303</v>
      </c>
      <c r="D113" s="61">
        <v>2000</v>
      </c>
      <c r="E113" s="62"/>
    </row>
    <row r="114" spans="1:7" ht="14.25" customHeight="1" x14ac:dyDescent="0.2">
      <c r="A114" s="186"/>
      <c r="B114" s="187"/>
      <c r="C114" s="187"/>
      <c r="D114" s="187"/>
      <c r="E114" s="187"/>
    </row>
    <row r="115" spans="1:7" ht="15" customHeight="1" x14ac:dyDescent="0.2">
      <c r="A115" s="63">
        <v>46211</v>
      </c>
      <c r="B115" s="57" t="s">
        <v>597</v>
      </c>
      <c r="C115" s="57" t="s">
        <v>139</v>
      </c>
      <c r="D115" s="48" t="s">
        <v>598</v>
      </c>
      <c r="E115" s="58" t="s">
        <v>636</v>
      </c>
      <c r="F115" s="48"/>
      <c r="G115" s="51">
        <v>628000</v>
      </c>
    </row>
    <row r="116" spans="1:7" ht="15" customHeight="1" x14ac:dyDescent="0.2">
      <c r="A116" s="186"/>
      <c r="B116" s="3" t="s">
        <v>17</v>
      </c>
      <c r="C116" s="4" t="s">
        <v>18</v>
      </c>
      <c r="D116" s="4" t="s">
        <v>19</v>
      </c>
      <c r="E116" s="3" t="s">
        <v>20</v>
      </c>
    </row>
    <row r="117" spans="1:7" ht="14.25" customHeight="1" x14ac:dyDescent="0.2">
      <c r="A117" s="186"/>
      <c r="B117" s="59" t="s">
        <v>38</v>
      </c>
      <c r="C117" s="60" t="s">
        <v>637</v>
      </c>
      <c r="D117" s="61">
        <v>2000</v>
      </c>
      <c r="E117" s="62"/>
    </row>
    <row r="118" spans="1:7" ht="15" customHeight="1" x14ac:dyDescent="0.2">
      <c r="A118" s="186"/>
      <c r="B118" s="59" t="s">
        <v>148</v>
      </c>
      <c r="C118" s="60" t="s">
        <v>638</v>
      </c>
      <c r="D118" s="61">
        <v>2000</v>
      </c>
      <c r="E118" s="62"/>
    </row>
    <row r="119" spans="1:7" ht="14.25" customHeight="1" x14ac:dyDescent="0.2">
      <c r="A119" s="186"/>
      <c r="B119" s="187"/>
      <c r="C119" s="187"/>
      <c r="D119" s="187"/>
      <c r="E119" s="187"/>
    </row>
    <row r="120" spans="1:7" ht="15" customHeight="1" x14ac:dyDescent="0.2">
      <c r="A120" s="63">
        <v>46211</v>
      </c>
      <c r="B120" s="57" t="s">
        <v>597</v>
      </c>
      <c r="C120" s="57" t="s">
        <v>168</v>
      </c>
      <c r="D120" s="48" t="s">
        <v>598</v>
      </c>
      <c r="E120" s="58" t="s">
        <v>639</v>
      </c>
      <c r="F120" s="48"/>
      <c r="G120" s="51">
        <v>106200</v>
      </c>
    </row>
    <row r="121" spans="1:7" ht="15" customHeight="1" x14ac:dyDescent="0.2">
      <c r="A121" s="186"/>
      <c r="B121" s="3" t="s">
        <v>17</v>
      </c>
      <c r="C121" s="4" t="s">
        <v>18</v>
      </c>
      <c r="D121" s="4" t="s">
        <v>19</v>
      </c>
      <c r="E121" s="3" t="s">
        <v>20</v>
      </c>
    </row>
    <row r="122" spans="1:7" ht="15" customHeight="1" x14ac:dyDescent="0.2">
      <c r="A122" s="186"/>
      <c r="B122" s="59" t="s">
        <v>38</v>
      </c>
      <c r="C122" s="60" t="s">
        <v>640</v>
      </c>
      <c r="D122" s="61">
        <v>1800</v>
      </c>
      <c r="E122" s="62"/>
    </row>
    <row r="123" spans="1:7" ht="14.25" customHeight="1" x14ac:dyDescent="0.2">
      <c r="A123" s="186"/>
      <c r="B123" s="187"/>
      <c r="C123" s="187"/>
      <c r="D123" s="187"/>
      <c r="E123" s="187"/>
    </row>
    <row r="124" spans="1:7" ht="15" customHeight="1" x14ac:dyDescent="0.2">
      <c r="A124" s="63">
        <v>46211</v>
      </c>
      <c r="B124" s="57" t="s">
        <v>597</v>
      </c>
      <c r="C124" s="57" t="s">
        <v>145</v>
      </c>
      <c r="D124" s="48" t="s">
        <v>598</v>
      </c>
      <c r="E124" s="58" t="s">
        <v>641</v>
      </c>
      <c r="F124" s="48"/>
      <c r="G124" s="51">
        <v>34400</v>
      </c>
    </row>
    <row r="125" spans="1:7" ht="15" customHeight="1" x14ac:dyDescent="0.2">
      <c r="A125" s="186"/>
      <c r="B125" s="3" t="s">
        <v>17</v>
      </c>
      <c r="C125" s="4" t="s">
        <v>18</v>
      </c>
      <c r="D125" s="4" t="s">
        <v>19</v>
      </c>
      <c r="E125" s="3" t="s">
        <v>20</v>
      </c>
    </row>
    <row r="126" spans="1:7" ht="14.25" customHeight="1" x14ac:dyDescent="0.2">
      <c r="A126" s="186"/>
      <c r="B126" s="59" t="s">
        <v>148</v>
      </c>
      <c r="C126" s="60" t="s">
        <v>315</v>
      </c>
      <c r="D126" s="61">
        <v>2000</v>
      </c>
      <c r="E126" s="62"/>
    </row>
    <row r="127" spans="1:7" ht="15" customHeight="1" x14ac:dyDescent="0.2">
      <c r="A127" s="186"/>
      <c r="B127" s="59" t="s">
        <v>38</v>
      </c>
      <c r="C127" s="60" t="s">
        <v>372</v>
      </c>
      <c r="D127" s="61">
        <v>1800</v>
      </c>
      <c r="E127" s="62"/>
    </row>
    <row r="128" spans="1:7" ht="14.25" customHeight="1" x14ac:dyDescent="0.2">
      <c r="A128" s="186"/>
      <c r="B128" s="187"/>
      <c r="C128" s="187"/>
      <c r="D128" s="187"/>
      <c r="E128" s="187"/>
    </row>
    <row r="129" spans="1:7" ht="15" customHeight="1" x14ac:dyDescent="0.2">
      <c r="A129" s="63">
        <v>46211</v>
      </c>
      <c r="B129" s="57" t="s">
        <v>597</v>
      </c>
      <c r="C129" s="57" t="s">
        <v>152</v>
      </c>
      <c r="D129" s="48" t="s">
        <v>598</v>
      </c>
      <c r="E129" s="58" t="s">
        <v>642</v>
      </c>
      <c r="F129" s="48"/>
      <c r="G129" s="51">
        <v>20000</v>
      </c>
    </row>
    <row r="130" spans="1:7" ht="15" customHeight="1" x14ac:dyDescent="0.2">
      <c r="A130" s="186"/>
      <c r="B130" s="3" t="s">
        <v>17</v>
      </c>
      <c r="C130" s="4" t="s">
        <v>18</v>
      </c>
      <c r="D130" s="4" t="s">
        <v>19</v>
      </c>
      <c r="E130" s="3" t="s">
        <v>20</v>
      </c>
    </row>
    <row r="131" spans="1:7" ht="15" customHeight="1" x14ac:dyDescent="0.2">
      <c r="A131" s="186"/>
      <c r="B131" s="59" t="s">
        <v>148</v>
      </c>
      <c r="C131" s="60" t="s">
        <v>315</v>
      </c>
      <c r="D131" s="61">
        <v>2000</v>
      </c>
      <c r="E131" s="62"/>
    </row>
    <row r="132" spans="1:7" ht="14.25" customHeight="1" x14ac:dyDescent="0.2">
      <c r="A132" s="186"/>
      <c r="B132" s="187"/>
      <c r="C132" s="187"/>
      <c r="D132" s="187"/>
      <c r="E132" s="187"/>
    </row>
    <row r="133" spans="1:7" ht="15" customHeight="1" x14ac:dyDescent="0.2">
      <c r="A133" s="63">
        <v>46211</v>
      </c>
      <c r="B133" s="57" t="s">
        <v>597</v>
      </c>
      <c r="C133" s="57" t="s">
        <v>29</v>
      </c>
      <c r="D133" s="48" t="s">
        <v>598</v>
      </c>
      <c r="E133" s="58" t="s">
        <v>643</v>
      </c>
      <c r="F133" s="48"/>
      <c r="G133" s="51">
        <v>9000</v>
      </c>
    </row>
    <row r="134" spans="1:7" ht="15" customHeight="1" x14ac:dyDescent="0.2">
      <c r="A134" s="186"/>
      <c r="B134" s="3" t="s">
        <v>17</v>
      </c>
      <c r="C134" s="4" t="s">
        <v>18</v>
      </c>
      <c r="D134" s="4" t="s">
        <v>19</v>
      </c>
      <c r="E134" s="3" t="s">
        <v>20</v>
      </c>
    </row>
    <row r="135" spans="1:7" ht="15" customHeight="1" x14ac:dyDescent="0.2">
      <c r="A135" s="186"/>
      <c r="B135" s="59" t="s">
        <v>38</v>
      </c>
      <c r="C135" s="60" t="s">
        <v>377</v>
      </c>
      <c r="D135" s="61">
        <v>1800</v>
      </c>
      <c r="E135" s="62"/>
    </row>
    <row r="136" spans="1:7" ht="14.25" customHeight="1" x14ac:dyDescent="0.2">
      <c r="A136" s="186"/>
      <c r="B136" s="187"/>
      <c r="C136" s="187"/>
      <c r="D136" s="187"/>
      <c r="E136" s="187"/>
    </row>
    <row r="137" spans="1:7" ht="15" customHeight="1" x14ac:dyDescent="0.2">
      <c r="A137" s="63">
        <v>46211</v>
      </c>
      <c r="B137" s="57" t="s">
        <v>597</v>
      </c>
      <c r="C137" s="57" t="s">
        <v>78</v>
      </c>
      <c r="D137" s="48" t="s">
        <v>598</v>
      </c>
      <c r="E137" s="58" t="s">
        <v>644</v>
      </c>
      <c r="F137" s="48"/>
      <c r="G137" s="51">
        <v>128400</v>
      </c>
    </row>
    <row r="138" spans="1:7" ht="15" customHeight="1" x14ac:dyDescent="0.2">
      <c r="A138" s="186"/>
      <c r="B138" s="3" t="s">
        <v>17</v>
      </c>
      <c r="C138" s="4" t="s">
        <v>18</v>
      </c>
      <c r="D138" s="4" t="s">
        <v>19</v>
      </c>
      <c r="E138" s="3" t="s">
        <v>20</v>
      </c>
    </row>
    <row r="139" spans="1:7" ht="14.25" customHeight="1" x14ac:dyDescent="0.2">
      <c r="A139" s="186"/>
      <c r="B139" s="59" t="s">
        <v>148</v>
      </c>
      <c r="C139" s="60" t="s">
        <v>645</v>
      </c>
      <c r="D139" s="61">
        <v>2000</v>
      </c>
      <c r="E139" s="62"/>
    </row>
    <row r="140" spans="1:7" ht="15" customHeight="1" x14ac:dyDescent="0.2">
      <c r="A140" s="186"/>
      <c r="B140" s="59" t="s">
        <v>38</v>
      </c>
      <c r="C140" s="60" t="s">
        <v>372</v>
      </c>
      <c r="D140" s="61">
        <v>1800</v>
      </c>
      <c r="E140" s="62"/>
    </row>
    <row r="141" spans="1:7" ht="14.25" customHeight="1" x14ac:dyDescent="0.2">
      <c r="A141" s="186"/>
      <c r="B141" s="187"/>
      <c r="C141" s="187"/>
      <c r="D141" s="187"/>
      <c r="E141" s="187"/>
    </row>
    <row r="142" spans="1:7" ht="15" customHeight="1" x14ac:dyDescent="0.2">
      <c r="A142" s="63">
        <v>46212</v>
      </c>
      <c r="B142" s="57" t="s">
        <v>597</v>
      </c>
      <c r="C142" s="57" t="s">
        <v>163</v>
      </c>
      <c r="D142" s="48" t="s">
        <v>598</v>
      </c>
      <c r="E142" s="58" t="s">
        <v>646</v>
      </c>
      <c r="F142" s="48"/>
      <c r="G142" s="51">
        <v>23400</v>
      </c>
    </row>
    <row r="143" spans="1:7" ht="15" customHeight="1" x14ac:dyDescent="0.2">
      <c r="A143" s="186"/>
      <c r="B143" s="3" t="s">
        <v>17</v>
      </c>
      <c r="C143" s="4" t="s">
        <v>18</v>
      </c>
      <c r="D143" s="4" t="s">
        <v>19</v>
      </c>
      <c r="E143" s="3" t="s">
        <v>20</v>
      </c>
    </row>
    <row r="144" spans="1:7" ht="15" customHeight="1" x14ac:dyDescent="0.2">
      <c r="A144" s="186"/>
      <c r="B144" s="59" t="s">
        <v>38</v>
      </c>
      <c r="C144" s="60" t="s">
        <v>647</v>
      </c>
      <c r="D144" s="61">
        <v>1800</v>
      </c>
      <c r="E144" s="62"/>
    </row>
    <row r="145" spans="1:7" ht="14.25" customHeight="1" x14ac:dyDescent="0.2">
      <c r="A145" s="186"/>
      <c r="B145" s="187"/>
      <c r="C145" s="187"/>
      <c r="D145" s="187"/>
      <c r="E145" s="187"/>
    </row>
    <row r="146" spans="1:7" ht="15" customHeight="1" x14ac:dyDescent="0.2">
      <c r="A146" s="63">
        <v>46212</v>
      </c>
      <c r="B146" s="57" t="s">
        <v>597</v>
      </c>
      <c r="C146" s="57" t="s">
        <v>165</v>
      </c>
      <c r="D146" s="48" t="s">
        <v>598</v>
      </c>
      <c r="E146" s="58" t="s">
        <v>648</v>
      </c>
      <c r="F146" s="48"/>
      <c r="G146" s="51">
        <v>700000</v>
      </c>
    </row>
    <row r="147" spans="1:7" ht="15" customHeight="1" x14ac:dyDescent="0.2">
      <c r="A147" s="186"/>
      <c r="B147" s="3" t="s">
        <v>17</v>
      </c>
      <c r="C147" s="4" t="s">
        <v>18</v>
      </c>
      <c r="D147" s="4" t="s">
        <v>19</v>
      </c>
      <c r="E147" s="3" t="s">
        <v>20</v>
      </c>
    </row>
    <row r="148" spans="1:7" ht="14.25" customHeight="1" x14ac:dyDescent="0.2">
      <c r="A148" s="186"/>
      <c r="B148" s="59" t="s">
        <v>38</v>
      </c>
      <c r="C148" s="60" t="s">
        <v>649</v>
      </c>
      <c r="D148" s="61">
        <v>2000</v>
      </c>
      <c r="E148" s="62"/>
    </row>
    <row r="149" spans="1:7" ht="15" customHeight="1" x14ac:dyDescent="0.2">
      <c r="A149" s="186"/>
      <c r="B149" s="59" t="s">
        <v>148</v>
      </c>
      <c r="C149" s="60" t="s">
        <v>417</v>
      </c>
      <c r="D149" s="61">
        <v>2000</v>
      </c>
      <c r="E149" s="62"/>
    </row>
    <row r="150" spans="1:7" ht="14.25" customHeight="1" x14ac:dyDescent="0.2">
      <c r="A150" s="186"/>
      <c r="B150" s="187"/>
      <c r="C150" s="187"/>
      <c r="D150" s="187"/>
      <c r="E150" s="187"/>
    </row>
    <row r="151" spans="1:7" ht="15" customHeight="1" x14ac:dyDescent="0.2">
      <c r="A151" s="63">
        <v>46212</v>
      </c>
      <c r="B151" s="57" t="s">
        <v>597</v>
      </c>
      <c r="C151" s="57" t="s">
        <v>59</v>
      </c>
      <c r="D151" s="48" t="s">
        <v>598</v>
      </c>
      <c r="E151" s="58" t="s">
        <v>650</v>
      </c>
      <c r="F151" s="48"/>
      <c r="G151" s="51">
        <v>28800</v>
      </c>
    </row>
    <row r="152" spans="1:7" ht="15" customHeight="1" x14ac:dyDescent="0.2">
      <c r="A152" s="186"/>
      <c r="B152" s="3" t="s">
        <v>17</v>
      </c>
      <c r="C152" s="4" t="s">
        <v>18</v>
      </c>
      <c r="D152" s="4" t="s">
        <v>19</v>
      </c>
      <c r="E152" s="3" t="s">
        <v>20</v>
      </c>
    </row>
    <row r="153" spans="1:7" ht="14.25" customHeight="1" x14ac:dyDescent="0.2">
      <c r="A153" s="186"/>
      <c r="B153" s="59" t="s">
        <v>38</v>
      </c>
      <c r="C153" s="60" t="s">
        <v>651</v>
      </c>
      <c r="D153" s="61">
        <v>1800</v>
      </c>
      <c r="E153" s="62"/>
    </row>
    <row r="154" spans="1:7" ht="15" customHeight="1" x14ac:dyDescent="0.2">
      <c r="A154" s="186"/>
      <c r="B154" s="59" t="s">
        <v>148</v>
      </c>
      <c r="C154" s="60" t="s">
        <v>354</v>
      </c>
      <c r="D154" s="61">
        <v>1800</v>
      </c>
      <c r="E154" s="62"/>
    </row>
    <row r="155" spans="1:7" ht="14.25" customHeight="1" x14ac:dyDescent="0.2">
      <c r="A155" s="186"/>
      <c r="B155" s="187"/>
      <c r="C155" s="187"/>
      <c r="D155" s="187"/>
      <c r="E155" s="187"/>
    </row>
    <row r="156" spans="1:7" ht="15" customHeight="1" x14ac:dyDescent="0.2">
      <c r="A156" s="63">
        <v>46212</v>
      </c>
      <c r="B156" s="57" t="s">
        <v>597</v>
      </c>
      <c r="C156" s="57" t="s">
        <v>104</v>
      </c>
      <c r="D156" s="48" t="s">
        <v>598</v>
      </c>
      <c r="E156" s="58" t="s">
        <v>652</v>
      </c>
      <c r="F156" s="48"/>
      <c r="G156" s="51">
        <v>77625</v>
      </c>
    </row>
    <row r="157" spans="1:7" ht="15" customHeight="1" x14ac:dyDescent="0.2">
      <c r="A157" s="186"/>
      <c r="B157" s="3" t="s">
        <v>17</v>
      </c>
      <c r="C157" s="4" t="s">
        <v>18</v>
      </c>
      <c r="D157" s="4" t="s">
        <v>19</v>
      </c>
      <c r="E157" s="3" t="s">
        <v>20</v>
      </c>
    </row>
    <row r="158" spans="1:7" ht="15" customHeight="1" x14ac:dyDescent="0.2">
      <c r="A158" s="186"/>
      <c r="B158" s="59" t="s">
        <v>36</v>
      </c>
      <c r="C158" s="60" t="s">
        <v>270</v>
      </c>
      <c r="D158" s="61">
        <v>15525</v>
      </c>
      <c r="E158" s="62"/>
    </row>
    <row r="159" spans="1:7" ht="14.25" customHeight="1" x14ac:dyDescent="0.2">
      <c r="A159" s="186"/>
      <c r="B159" s="187"/>
      <c r="C159" s="187"/>
      <c r="D159" s="187"/>
      <c r="E159" s="187"/>
    </row>
    <row r="160" spans="1:7" ht="15" customHeight="1" x14ac:dyDescent="0.2">
      <c r="A160" s="63">
        <v>46212</v>
      </c>
      <c r="B160" s="57" t="s">
        <v>597</v>
      </c>
      <c r="C160" s="57" t="s">
        <v>152</v>
      </c>
      <c r="D160" s="48" t="s">
        <v>598</v>
      </c>
      <c r="E160" s="58" t="s">
        <v>653</v>
      </c>
      <c r="F160" s="48"/>
      <c r="G160" s="51">
        <v>115600</v>
      </c>
    </row>
    <row r="161" spans="1:7" ht="15" customHeight="1" x14ac:dyDescent="0.2">
      <c r="A161" s="186"/>
      <c r="B161" s="3" t="s">
        <v>17</v>
      </c>
      <c r="C161" s="4" t="s">
        <v>18</v>
      </c>
      <c r="D161" s="4" t="s">
        <v>19</v>
      </c>
      <c r="E161" s="3" t="s">
        <v>20</v>
      </c>
    </row>
    <row r="162" spans="1:7" ht="14.25" customHeight="1" x14ac:dyDescent="0.2">
      <c r="A162" s="186"/>
      <c r="B162" s="59" t="s">
        <v>38</v>
      </c>
      <c r="C162" s="60" t="s">
        <v>627</v>
      </c>
      <c r="D162" s="61">
        <v>1800</v>
      </c>
      <c r="E162" s="62"/>
    </row>
    <row r="163" spans="1:7" ht="15" customHeight="1" x14ac:dyDescent="0.2">
      <c r="A163" s="186"/>
      <c r="B163" s="59" t="s">
        <v>148</v>
      </c>
      <c r="C163" s="60" t="s">
        <v>319</v>
      </c>
      <c r="D163" s="61">
        <v>2000</v>
      </c>
      <c r="E163" s="62"/>
    </row>
    <row r="164" spans="1:7" ht="14.25" customHeight="1" x14ac:dyDescent="0.2">
      <c r="A164" s="186"/>
      <c r="B164" s="187"/>
      <c r="C164" s="187"/>
      <c r="D164" s="187"/>
      <c r="E164" s="187"/>
    </row>
    <row r="165" spans="1:7" ht="15" customHeight="1" x14ac:dyDescent="0.2">
      <c r="A165" s="63">
        <v>46212</v>
      </c>
      <c r="B165" s="57" t="s">
        <v>597</v>
      </c>
      <c r="C165" s="57" t="s">
        <v>29</v>
      </c>
      <c r="D165" s="48" t="s">
        <v>598</v>
      </c>
      <c r="E165" s="58" t="s">
        <v>654</v>
      </c>
      <c r="F165" s="48"/>
      <c r="G165" s="51">
        <v>10000</v>
      </c>
    </row>
    <row r="166" spans="1:7" ht="15" customHeight="1" x14ac:dyDescent="0.2">
      <c r="A166" s="186"/>
      <c r="B166" s="3" t="s">
        <v>17</v>
      </c>
      <c r="C166" s="4" t="s">
        <v>18</v>
      </c>
      <c r="D166" s="4" t="s">
        <v>19</v>
      </c>
      <c r="E166" s="3" t="s">
        <v>20</v>
      </c>
    </row>
    <row r="167" spans="1:7" ht="15" customHeight="1" x14ac:dyDescent="0.2">
      <c r="A167" s="186"/>
      <c r="B167" s="59" t="s">
        <v>148</v>
      </c>
      <c r="C167" s="60" t="s">
        <v>377</v>
      </c>
      <c r="D167" s="61">
        <v>2000</v>
      </c>
      <c r="E167" s="62"/>
    </row>
    <row r="168" spans="1:7" ht="14.25" customHeight="1" x14ac:dyDescent="0.2">
      <c r="A168" s="186"/>
      <c r="B168" s="187"/>
      <c r="C168" s="187"/>
      <c r="D168" s="187"/>
      <c r="E168" s="187"/>
    </row>
    <row r="169" spans="1:7" ht="15" customHeight="1" x14ac:dyDescent="0.2">
      <c r="A169" s="63">
        <v>46212</v>
      </c>
      <c r="B169" s="57" t="s">
        <v>597</v>
      </c>
      <c r="C169" s="57" t="s">
        <v>29</v>
      </c>
      <c r="D169" s="48" t="s">
        <v>598</v>
      </c>
      <c r="E169" s="58" t="s">
        <v>655</v>
      </c>
      <c r="F169" s="48"/>
      <c r="G169" s="51">
        <v>70200</v>
      </c>
    </row>
    <row r="170" spans="1:7" ht="15" customHeight="1" x14ac:dyDescent="0.2">
      <c r="A170" s="186"/>
      <c r="B170" s="3" t="s">
        <v>17</v>
      </c>
      <c r="C170" s="4" t="s">
        <v>18</v>
      </c>
      <c r="D170" s="4" t="s">
        <v>19</v>
      </c>
      <c r="E170" s="3" t="s">
        <v>20</v>
      </c>
    </row>
    <row r="171" spans="1:7" ht="14.25" customHeight="1" x14ac:dyDescent="0.2">
      <c r="A171" s="186"/>
      <c r="B171" s="59" t="s">
        <v>38</v>
      </c>
      <c r="C171" s="60" t="s">
        <v>609</v>
      </c>
      <c r="D171" s="61">
        <v>1800</v>
      </c>
      <c r="E171" s="62"/>
    </row>
    <row r="172" spans="1:7" ht="15" customHeight="1" x14ac:dyDescent="0.2">
      <c r="A172" s="186"/>
      <c r="B172" s="59" t="s">
        <v>148</v>
      </c>
      <c r="C172" s="60" t="s">
        <v>529</v>
      </c>
      <c r="D172" s="61">
        <v>2000</v>
      </c>
      <c r="E172" s="62"/>
    </row>
    <row r="173" spans="1:7" ht="14.25" customHeight="1" x14ac:dyDescent="0.2">
      <c r="A173" s="186"/>
      <c r="B173" s="187"/>
      <c r="C173" s="187"/>
      <c r="D173" s="187"/>
      <c r="E173" s="187"/>
    </row>
    <row r="174" spans="1:7" ht="15" customHeight="1" x14ac:dyDescent="0.2">
      <c r="A174" s="63">
        <v>46213</v>
      </c>
      <c r="B174" s="57" t="s">
        <v>597</v>
      </c>
      <c r="C174" s="57" t="s">
        <v>15</v>
      </c>
      <c r="D174" s="48" t="s">
        <v>598</v>
      </c>
      <c r="E174" s="58" t="s">
        <v>656</v>
      </c>
      <c r="F174" s="48"/>
      <c r="G174" s="51">
        <v>9000</v>
      </c>
    </row>
    <row r="175" spans="1:7" ht="15" customHeight="1" x14ac:dyDescent="0.2">
      <c r="A175" s="186"/>
      <c r="B175" s="3" t="s">
        <v>17</v>
      </c>
      <c r="C175" s="4" t="s">
        <v>18</v>
      </c>
      <c r="D175" s="4" t="s">
        <v>19</v>
      </c>
      <c r="E175" s="3" t="s">
        <v>20</v>
      </c>
    </row>
    <row r="176" spans="1:7" ht="15" customHeight="1" x14ac:dyDescent="0.2">
      <c r="A176" s="186"/>
      <c r="B176" s="59" t="s">
        <v>38</v>
      </c>
      <c r="C176" s="60" t="s">
        <v>377</v>
      </c>
      <c r="D176" s="61">
        <v>1800</v>
      </c>
      <c r="E176" s="62"/>
    </row>
    <row r="177" spans="1:7" ht="14.25" customHeight="1" x14ac:dyDescent="0.2">
      <c r="A177" s="186"/>
      <c r="B177" s="187"/>
      <c r="C177" s="187"/>
      <c r="D177" s="187"/>
      <c r="E177" s="187"/>
    </row>
    <row r="178" spans="1:7" ht="15" customHeight="1" x14ac:dyDescent="0.2">
      <c r="A178" s="63">
        <v>46213</v>
      </c>
      <c r="B178" s="57" t="s">
        <v>597</v>
      </c>
      <c r="C178" s="57" t="s">
        <v>104</v>
      </c>
      <c r="D178" s="48" t="s">
        <v>598</v>
      </c>
      <c r="E178" s="58" t="s">
        <v>657</v>
      </c>
      <c r="F178" s="48"/>
      <c r="G178" s="51">
        <v>2000</v>
      </c>
    </row>
    <row r="179" spans="1:7" ht="15" customHeight="1" x14ac:dyDescent="0.2">
      <c r="A179" s="186"/>
      <c r="B179" s="3" t="s">
        <v>17</v>
      </c>
      <c r="C179" s="4" t="s">
        <v>18</v>
      </c>
      <c r="D179" s="4" t="s">
        <v>19</v>
      </c>
      <c r="E179" s="3" t="s">
        <v>20</v>
      </c>
    </row>
    <row r="180" spans="1:7" ht="15" customHeight="1" x14ac:dyDescent="0.2">
      <c r="A180" s="186"/>
      <c r="B180" s="59" t="s">
        <v>38</v>
      </c>
      <c r="C180" s="60" t="s">
        <v>293</v>
      </c>
      <c r="D180" s="61">
        <v>2000</v>
      </c>
      <c r="E180" s="62"/>
    </row>
    <row r="181" spans="1:7" ht="14.25" customHeight="1" x14ac:dyDescent="0.2">
      <c r="A181" s="186"/>
      <c r="B181" s="187"/>
      <c r="C181" s="187"/>
      <c r="D181" s="187"/>
      <c r="E181" s="187"/>
    </row>
    <row r="182" spans="1:7" ht="15" customHeight="1" x14ac:dyDescent="0.2">
      <c r="A182" s="63">
        <v>46213</v>
      </c>
      <c r="B182" s="57" t="s">
        <v>597</v>
      </c>
      <c r="C182" s="57" t="s">
        <v>154</v>
      </c>
      <c r="D182" s="48" t="s">
        <v>598</v>
      </c>
      <c r="E182" s="58" t="s">
        <v>658</v>
      </c>
      <c r="F182" s="48"/>
      <c r="G182" s="51">
        <v>12600</v>
      </c>
    </row>
    <row r="183" spans="1:7" ht="15" customHeight="1" x14ac:dyDescent="0.2">
      <c r="A183" s="186"/>
      <c r="B183" s="3" t="s">
        <v>17</v>
      </c>
      <c r="C183" s="4" t="s">
        <v>18</v>
      </c>
      <c r="D183" s="4" t="s">
        <v>19</v>
      </c>
      <c r="E183" s="3" t="s">
        <v>20</v>
      </c>
    </row>
    <row r="184" spans="1:7" ht="15" customHeight="1" x14ac:dyDescent="0.2">
      <c r="A184" s="186"/>
      <c r="B184" s="59" t="s">
        <v>38</v>
      </c>
      <c r="C184" s="60" t="s">
        <v>659</v>
      </c>
      <c r="D184" s="61">
        <v>1800</v>
      </c>
      <c r="E184" s="62"/>
    </row>
    <row r="185" spans="1:7" ht="14.25" customHeight="1" x14ac:dyDescent="0.2">
      <c r="A185" s="186"/>
      <c r="B185" s="187"/>
      <c r="C185" s="187"/>
      <c r="D185" s="187"/>
      <c r="E185" s="187"/>
    </row>
    <row r="186" spans="1:7" ht="15" customHeight="1" x14ac:dyDescent="0.2">
      <c r="A186" s="63">
        <v>46213</v>
      </c>
      <c r="B186" s="57" t="s">
        <v>597</v>
      </c>
      <c r="C186" s="57" t="s">
        <v>157</v>
      </c>
      <c r="D186" s="48" t="s">
        <v>598</v>
      </c>
      <c r="E186" s="58" t="s">
        <v>660</v>
      </c>
      <c r="F186" s="48"/>
      <c r="G186" s="51">
        <v>14400</v>
      </c>
    </row>
    <row r="187" spans="1:7" ht="15" customHeight="1" x14ac:dyDescent="0.2">
      <c r="A187" s="186"/>
      <c r="B187" s="3" t="s">
        <v>17</v>
      </c>
      <c r="C187" s="4" t="s">
        <v>18</v>
      </c>
      <c r="D187" s="4" t="s">
        <v>19</v>
      </c>
      <c r="E187" s="3" t="s">
        <v>20</v>
      </c>
    </row>
    <row r="188" spans="1:7" ht="14.25" customHeight="1" x14ac:dyDescent="0.2">
      <c r="A188" s="186"/>
      <c r="B188" s="59" t="s">
        <v>38</v>
      </c>
      <c r="C188" s="60" t="s">
        <v>293</v>
      </c>
      <c r="D188" s="61">
        <v>1800</v>
      </c>
      <c r="E188" s="62"/>
    </row>
    <row r="189" spans="1:7" ht="15" customHeight="1" x14ac:dyDescent="0.2">
      <c r="A189" s="186"/>
      <c r="B189" s="59" t="s">
        <v>148</v>
      </c>
      <c r="C189" s="60" t="s">
        <v>659</v>
      </c>
      <c r="D189" s="61">
        <v>1800</v>
      </c>
      <c r="E189" s="62"/>
    </row>
    <row r="190" spans="1:7" ht="14.25" customHeight="1" x14ac:dyDescent="0.2">
      <c r="A190" s="186"/>
      <c r="B190" s="187"/>
      <c r="C190" s="187"/>
      <c r="D190" s="187"/>
      <c r="E190" s="187"/>
    </row>
    <row r="191" spans="1:7" ht="15" customHeight="1" x14ac:dyDescent="0.2">
      <c r="A191" s="63">
        <v>46213</v>
      </c>
      <c r="B191" s="57" t="s">
        <v>597</v>
      </c>
      <c r="C191" s="57" t="s">
        <v>50</v>
      </c>
      <c r="D191" s="48" t="s">
        <v>598</v>
      </c>
      <c r="E191" s="58" t="s">
        <v>661</v>
      </c>
      <c r="F191" s="48"/>
      <c r="G191" s="51">
        <v>33000</v>
      </c>
    </row>
    <row r="192" spans="1:7" ht="15" customHeight="1" x14ac:dyDescent="0.2">
      <c r="A192" s="186"/>
      <c r="B192" s="3" t="s">
        <v>17</v>
      </c>
      <c r="C192" s="4" t="s">
        <v>18</v>
      </c>
      <c r="D192" s="4" t="s">
        <v>19</v>
      </c>
      <c r="E192" s="3" t="s">
        <v>20</v>
      </c>
    </row>
    <row r="193" spans="1:7" ht="15" customHeight="1" x14ac:dyDescent="0.2">
      <c r="A193" s="186"/>
      <c r="B193" s="59" t="s">
        <v>38</v>
      </c>
      <c r="C193" s="60" t="s">
        <v>662</v>
      </c>
      <c r="D193" s="61">
        <v>1500</v>
      </c>
      <c r="E193" s="62"/>
    </row>
    <row r="194" spans="1:7" ht="14.25" customHeight="1" x14ac:dyDescent="0.2">
      <c r="A194" s="186"/>
      <c r="B194" s="187"/>
      <c r="C194" s="187"/>
      <c r="D194" s="187"/>
      <c r="E194" s="187"/>
    </row>
    <row r="195" spans="1:7" ht="15" customHeight="1" x14ac:dyDescent="0.2">
      <c r="A195" s="63">
        <v>46213</v>
      </c>
      <c r="B195" s="57" t="s">
        <v>597</v>
      </c>
      <c r="C195" s="57" t="s">
        <v>29</v>
      </c>
      <c r="D195" s="48" t="s">
        <v>598</v>
      </c>
      <c r="E195" s="58" t="s">
        <v>663</v>
      </c>
      <c r="F195" s="48"/>
      <c r="G195" s="51">
        <v>23400</v>
      </c>
    </row>
    <row r="196" spans="1:7" ht="15" customHeight="1" x14ac:dyDescent="0.2">
      <c r="A196" s="186"/>
      <c r="B196" s="3" t="s">
        <v>17</v>
      </c>
      <c r="C196" s="4" t="s">
        <v>18</v>
      </c>
      <c r="D196" s="4" t="s">
        <v>19</v>
      </c>
      <c r="E196" s="3" t="s">
        <v>20</v>
      </c>
    </row>
    <row r="197" spans="1:7" ht="14.25" customHeight="1" x14ac:dyDescent="0.2">
      <c r="A197" s="186"/>
      <c r="B197" s="59" t="s">
        <v>38</v>
      </c>
      <c r="C197" s="60" t="s">
        <v>325</v>
      </c>
      <c r="D197" s="61">
        <v>1800</v>
      </c>
      <c r="E197" s="62"/>
    </row>
    <row r="198" spans="1:7" ht="15" customHeight="1" x14ac:dyDescent="0.2">
      <c r="A198" s="186"/>
      <c r="B198" s="59" t="s">
        <v>148</v>
      </c>
      <c r="C198" s="60" t="s">
        <v>315</v>
      </c>
      <c r="D198" s="61">
        <v>1800</v>
      </c>
      <c r="E198" s="62"/>
    </row>
    <row r="199" spans="1:7" ht="14.25" customHeight="1" x14ac:dyDescent="0.2">
      <c r="A199" s="186"/>
      <c r="B199" s="187"/>
      <c r="C199" s="187"/>
      <c r="D199" s="187"/>
      <c r="E199" s="187"/>
    </row>
    <row r="200" spans="1:7" ht="15" customHeight="1" x14ac:dyDescent="0.2">
      <c r="A200" s="63">
        <v>46213</v>
      </c>
      <c r="B200" s="57" t="s">
        <v>597</v>
      </c>
      <c r="C200" s="57" t="s">
        <v>664</v>
      </c>
      <c r="D200" s="48" t="s">
        <v>598</v>
      </c>
      <c r="E200" s="58" t="s">
        <v>665</v>
      </c>
      <c r="F200" s="48"/>
      <c r="G200" s="51">
        <v>10000</v>
      </c>
    </row>
    <row r="201" spans="1:7" ht="15" customHeight="1" x14ac:dyDescent="0.2">
      <c r="A201" s="186"/>
      <c r="B201" s="3" t="s">
        <v>17</v>
      </c>
      <c r="C201" s="4" t="s">
        <v>18</v>
      </c>
      <c r="D201" s="4" t="s">
        <v>19</v>
      </c>
      <c r="E201" s="3" t="s">
        <v>20</v>
      </c>
    </row>
    <row r="202" spans="1:7" ht="15" customHeight="1" x14ac:dyDescent="0.2">
      <c r="A202" s="186"/>
      <c r="B202" s="59" t="s">
        <v>148</v>
      </c>
      <c r="C202" s="60" t="s">
        <v>377</v>
      </c>
      <c r="D202" s="61">
        <v>2000</v>
      </c>
      <c r="E202" s="62"/>
    </row>
    <row r="203" spans="1:7" ht="14.25" customHeight="1" x14ac:dyDescent="0.2">
      <c r="A203" s="186"/>
      <c r="B203" s="187"/>
      <c r="C203" s="187"/>
      <c r="D203" s="187"/>
      <c r="E203" s="187"/>
    </row>
    <row r="204" spans="1:7" ht="15" customHeight="1" x14ac:dyDescent="0.2">
      <c r="A204" s="63">
        <v>46213</v>
      </c>
      <c r="B204" s="57" t="s">
        <v>597</v>
      </c>
      <c r="C204" s="57" t="s">
        <v>664</v>
      </c>
      <c r="D204" s="48" t="s">
        <v>598</v>
      </c>
      <c r="E204" s="58" t="s">
        <v>666</v>
      </c>
      <c r="F204" s="48"/>
      <c r="G204" s="51">
        <v>4000</v>
      </c>
    </row>
    <row r="205" spans="1:7" ht="15" customHeight="1" x14ac:dyDescent="0.2">
      <c r="A205" s="186"/>
      <c r="B205" s="3" t="s">
        <v>17</v>
      </c>
      <c r="C205" s="4" t="s">
        <v>18</v>
      </c>
      <c r="D205" s="4" t="s">
        <v>19</v>
      </c>
      <c r="E205" s="3" t="s">
        <v>20</v>
      </c>
    </row>
    <row r="206" spans="1:7" ht="15" customHeight="1" x14ac:dyDescent="0.2">
      <c r="A206" s="186"/>
      <c r="B206" s="59" t="s">
        <v>38</v>
      </c>
      <c r="C206" s="60" t="s">
        <v>303</v>
      </c>
      <c r="D206" s="61">
        <v>2000</v>
      </c>
      <c r="E206" s="62"/>
    </row>
    <row r="207" spans="1:7" ht="14.25" customHeight="1" x14ac:dyDescent="0.2">
      <c r="A207" s="186"/>
      <c r="B207" s="187"/>
      <c r="C207" s="187"/>
      <c r="D207" s="187"/>
      <c r="E207" s="187"/>
    </row>
    <row r="208" spans="1:7" ht="15" customHeight="1" x14ac:dyDescent="0.2">
      <c r="A208" s="63">
        <v>46214</v>
      </c>
      <c r="B208" s="57" t="s">
        <v>597</v>
      </c>
      <c r="C208" s="57" t="s">
        <v>95</v>
      </c>
      <c r="D208" s="48" t="s">
        <v>598</v>
      </c>
      <c r="E208" s="58" t="s">
        <v>667</v>
      </c>
      <c r="F208" s="48"/>
      <c r="G208" s="51">
        <v>25500</v>
      </c>
    </row>
    <row r="209" spans="1:7" ht="15" customHeight="1" x14ac:dyDescent="0.2">
      <c r="A209" s="186"/>
      <c r="B209" s="3" t="s">
        <v>17</v>
      </c>
      <c r="C209" s="4" t="s">
        <v>18</v>
      </c>
      <c r="D209" s="4" t="s">
        <v>19</v>
      </c>
      <c r="E209" s="3" t="s">
        <v>20</v>
      </c>
    </row>
    <row r="210" spans="1:7" ht="14.25" customHeight="1" x14ac:dyDescent="0.2">
      <c r="A210" s="186"/>
      <c r="B210" s="59" t="s">
        <v>38</v>
      </c>
      <c r="C210" s="60" t="s">
        <v>351</v>
      </c>
      <c r="D210" s="61">
        <v>1500</v>
      </c>
      <c r="E210" s="62"/>
    </row>
    <row r="211" spans="1:7" ht="15" customHeight="1" x14ac:dyDescent="0.2">
      <c r="A211" s="186"/>
      <c r="B211" s="59" t="s">
        <v>148</v>
      </c>
      <c r="C211" s="60" t="s">
        <v>303</v>
      </c>
      <c r="D211" s="61">
        <v>1500</v>
      </c>
      <c r="E211" s="62"/>
    </row>
    <row r="212" spans="1:7" ht="14.25" customHeight="1" x14ac:dyDescent="0.2">
      <c r="A212" s="186"/>
      <c r="B212" s="187"/>
      <c r="C212" s="187"/>
      <c r="D212" s="187"/>
      <c r="E212" s="187"/>
    </row>
    <row r="213" spans="1:7" ht="15" customHeight="1" x14ac:dyDescent="0.2">
      <c r="A213" s="63">
        <v>46214</v>
      </c>
      <c r="B213" s="57" t="s">
        <v>597</v>
      </c>
      <c r="C213" s="57" t="s">
        <v>75</v>
      </c>
      <c r="D213" s="48" t="s">
        <v>598</v>
      </c>
      <c r="E213" s="58" t="s">
        <v>668</v>
      </c>
      <c r="F213" s="48"/>
      <c r="G213" s="51">
        <v>50400</v>
      </c>
    </row>
    <row r="214" spans="1:7" ht="15" customHeight="1" x14ac:dyDescent="0.2">
      <c r="A214" s="186"/>
      <c r="B214" s="3" t="s">
        <v>17</v>
      </c>
      <c r="C214" s="4" t="s">
        <v>18</v>
      </c>
      <c r="D214" s="4" t="s">
        <v>19</v>
      </c>
      <c r="E214" s="3" t="s">
        <v>20</v>
      </c>
    </row>
    <row r="215" spans="1:7" ht="14.25" customHeight="1" x14ac:dyDescent="0.2">
      <c r="A215" s="186"/>
      <c r="B215" s="59" t="s">
        <v>38</v>
      </c>
      <c r="C215" s="60" t="s">
        <v>669</v>
      </c>
      <c r="D215" s="61">
        <v>1800</v>
      </c>
      <c r="E215" s="62"/>
    </row>
    <row r="216" spans="1:7" ht="15" customHeight="1" x14ac:dyDescent="0.2">
      <c r="A216" s="186"/>
      <c r="B216" s="59" t="s">
        <v>148</v>
      </c>
      <c r="C216" s="60" t="s">
        <v>293</v>
      </c>
      <c r="D216" s="61">
        <v>1800</v>
      </c>
      <c r="E216" s="62"/>
    </row>
    <row r="217" spans="1:7" ht="14.25" customHeight="1" x14ac:dyDescent="0.2">
      <c r="A217" s="186"/>
      <c r="B217" s="187"/>
      <c r="C217" s="187"/>
      <c r="D217" s="187"/>
      <c r="E217" s="187"/>
    </row>
    <row r="218" spans="1:7" ht="15" customHeight="1" x14ac:dyDescent="0.2">
      <c r="A218" s="63">
        <v>46214</v>
      </c>
      <c r="B218" s="57" t="s">
        <v>597</v>
      </c>
      <c r="C218" s="57" t="s">
        <v>85</v>
      </c>
      <c r="D218" s="48" t="s">
        <v>598</v>
      </c>
      <c r="E218" s="58" t="s">
        <v>670</v>
      </c>
      <c r="F218" s="48"/>
      <c r="G218" s="51">
        <v>39000</v>
      </c>
    </row>
    <row r="219" spans="1:7" ht="15" customHeight="1" x14ac:dyDescent="0.2">
      <c r="A219" s="186"/>
      <c r="B219" s="3" t="s">
        <v>17</v>
      </c>
      <c r="C219" s="4" t="s">
        <v>18</v>
      </c>
      <c r="D219" s="4" t="s">
        <v>19</v>
      </c>
      <c r="E219" s="3" t="s">
        <v>20</v>
      </c>
    </row>
    <row r="220" spans="1:7" ht="14.25" customHeight="1" x14ac:dyDescent="0.2">
      <c r="A220" s="186"/>
      <c r="B220" s="59" t="s">
        <v>38</v>
      </c>
      <c r="C220" s="60" t="s">
        <v>377</v>
      </c>
      <c r="D220" s="61">
        <v>1800</v>
      </c>
      <c r="E220" s="62"/>
    </row>
    <row r="221" spans="1:7" ht="15" customHeight="1" x14ac:dyDescent="0.2">
      <c r="A221" s="186"/>
      <c r="B221" s="59" t="s">
        <v>148</v>
      </c>
      <c r="C221" s="60" t="s">
        <v>351</v>
      </c>
      <c r="D221" s="61">
        <v>2000</v>
      </c>
      <c r="E221" s="62"/>
    </row>
    <row r="222" spans="1:7" ht="14.25" customHeight="1" x14ac:dyDescent="0.2">
      <c r="A222" s="186"/>
      <c r="B222" s="187"/>
      <c r="C222" s="187"/>
      <c r="D222" s="187"/>
      <c r="E222" s="187"/>
    </row>
    <row r="223" spans="1:7" ht="15" customHeight="1" x14ac:dyDescent="0.2">
      <c r="A223" s="63">
        <v>46214</v>
      </c>
      <c r="B223" s="57" t="s">
        <v>597</v>
      </c>
      <c r="C223" s="57" t="s">
        <v>50</v>
      </c>
      <c r="D223" s="48" t="s">
        <v>598</v>
      </c>
      <c r="E223" s="58" t="s">
        <v>671</v>
      </c>
      <c r="F223" s="48"/>
      <c r="G223" s="51">
        <v>53600</v>
      </c>
    </row>
    <row r="224" spans="1:7" ht="15" customHeight="1" x14ac:dyDescent="0.2">
      <c r="A224" s="186"/>
      <c r="B224" s="3" t="s">
        <v>17</v>
      </c>
      <c r="C224" s="4" t="s">
        <v>18</v>
      </c>
      <c r="D224" s="4" t="s">
        <v>19</v>
      </c>
      <c r="E224" s="3" t="s">
        <v>20</v>
      </c>
    </row>
    <row r="225" spans="1:7" ht="14.25" customHeight="1" x14ac:dyDescent="0.2">
      <c r="A225" s="186"/>
      <c r="B225" s="59" t="s">
        <v>38</v>
      </c>
      <c r="C225" s="60" t="s">
        <v>651</v>
      </c>
      <c r="D225" s="61">
        <v>1800</v>
      </c>
      <c r="E225" s="62"/>
    </row>
    <row r="226" spans="1:7" ht="15" customHeight="1" x14ac:dyDescent="0.2">
      <c r="A226" s="186"/>
      <c r="B226" s="59" t="s">
        <v>148</v>
      </c>
      <c r="C226" s="60" t="s">
        <v>360</v>
      </c>
      <c r="D226" s="61">
        <v>2000</v>
      </c>
      <c r="E226" s="62"/>
    </row>
    <row r="227" spans="1:7" ht="14.25" customHeight="1" x14ac:dyDescent="0.2">
      <c r="A227" s="186"/>
      <c r="B227" s="187"/>
      <c r="C227" s="187"/>
      <c r="D227" s="187"/>
      <c r="E227" s="187"/>
    </row>
    <row r="228" spans="1:7" ht="15" customHeight="1" x14ac:dyDescent="0.2">
      <c r="A228" s="63">
        <v>46214</v>
      </c>
      <c r="B228" s="57" t="s">
        <v>597</v>
      </c>
      <c r="C228" s="57" t="s">
        <v>29</v>
      </c>
      <c r="D228" s="48" t="s">
        <v>598</v>
      </c>
      <c r="E228" s="58" t="s">
        <v>672</v>
      </c>
      <c r="F228" s="48"/>
      <c r="G228" s="51">
        <v>57400</v>
      </c>
    </row>
    <row r="229" spans="1:7" ht="15" customHeight="1" x14ac:dyDescent="0.2">
      <c r="A229" s="186"/>
      <c r="B229" s="3" t="s">
        <v>17</v>
      </c>
      <c r="C229" s="4" t="s">
        <v>18</v>
      </c>
      <c r="D229" s="4" t="s">
        <v>19</v>
      </c>
      <c r="E229" s="3" t="s">
        <v>20</v>
      </c>
    </row>
    <row r="230" spans="1:7" ht="14.25" customHeight="1" x14ac:dyDescent="0.2">
      <c r="A230" s="186"/>
      <c r="B230" s="59" t="s">
        <v>38</v>
      </c>
      <c r="C230" s="60" t="s">
        <v>673</v>
      </c>
      <c r="D230" s="61">
        <v>1800</v>
      </c>
      <c r="E230" s="62"/>
    </row>
    <row r="231" spans="1:7" ht="15" customHeight="1" x14ac:dyDescent="0.2">
      <c r="A231" s="186"/>
      <c r="B231" s="59" t="s">
        <v>148</v>
      </c>
      <c r="C231" s="60" t="s">
        <v>372</v>
      </c>
      <c r="D231" s="61">
        <v>2000</v>
      </c>
      <c r="E231" s="62"/>
    </row>
    <row r="232" spans="1:7" ht="14.25" customHeight="1" x14ac:dyDescent="0.2">
      <c r="A232" s="186"/>
      <c r="B232" s="187"/>
      <c r="C232" s="187"/>
      <c r="D232" s="187"/>
      <c r="E232" s="187"/>
    </row>
    <row r="233" spans="1:7" ht="15" customHeight="1" x14ac:dyDescent="0.2">
      <c r="A233" s="63">
        <v>46214</v>
      </c>
      <c r="B233" s="57" t="s">
        <v>597</v>
      </c>
      <c r="C233" s="57" t="s">
        <v>50</v>
      </c>
      <c r="D233" s="48" t="s">
        <v>598</v>
      </c>
      <c r="E233" s="58" t="s">
        <v>674</v>
      </c>
      <c r="F233" s="48"/>
      <c r="G233" s="51">
        <v>51600</v>
      </c>
    </row>
    <row r="234" spans="1:7" ht="15" customHeight="1" x14ac:dyDescent="0.2">
      <c r="A234" s="186"/>
      <c r="B234" s="3" t="s">
        <v>17</v>
      </c>
      <c r="C234" s="4" t="s">
        <v>18</v>
      </c>
      <c r="D234" s="4" t="s">
        <v>19</v>
      </c>
      <c r="E234" s="3" t="s">
        <v>20</v>
      </c>
    </row>
    <row r="235" spans="1:7" ht="14.25" customHeight="1" x14ac:dyDescent="0.2">
      <c r="A235" s="186"/>
      <c r="B235" s="59" t="s">
        <v>38</v>
      </c>
      <c r="C235" s="60" t="s">
        <v>651</v>
      </c>
      <c r="D235" s="61">
        <v>1800</v>
      </c>
      <c r="E235" s="62"/>
    </row>
    <row r="236" spans="1:7" ht="15" customHeight="1" x14ac:dyDescent="0.2">
      <c r="A236" s="186"/>
      <c r="B236" s="59" t="s">
        <v>148</v>
      </c>
      <c r="C236" s="60" t="s">
        <v>351</v>
      </c>
      <c r="D236" s="61">
        <v>2000</v>
      </c>
      <c r="E236" s="62"/>
    </row>
    <row r="237" spans="1:7" ht="14.25" customHeight="1" x14ac:dyDescent="0.2">
      <c r="A237" s="186"/>
      <c r="B237" s="187"/>
      <c r="C237" s="187"/>
      <c r="D237" s="187"/>
      <c r="E237" s="187"/>
    </row>
    <row r="238" spans="1:7" ht="15" customHeight="1" x14ac:dyDescent="0.2">
      <c r="A238" s="63">
        <v>46216</v>
      </c>
      <c r="B238" s="57" t="s">
        <v>597</v>
      </c>
      <c r="C238" s="57" t="s">
        <v>29</v>
      </c>
      <c r="D238" s="48" t="s">
        <v>598</v>
      </c>
      <c r="E238" s="58" t="s">
        <v>675</v>
      </c>
      <c r="F238" s="48"/>
      <c r="G238" s="51">
        <v>76800</v>
      </c>
    </row>
    <row r="239" spans="1:7" ht="15" customHeight="1" x14ac:dyDescent="0.2">
      <c r="A239" s="186"/>
      <c r="B239" s="3" t="s">
        <v>17</v>
      </c>
      <c r="C239" s="4" t="s">
        <v>18</v>
      </c>
      <c r="D239" s="4" t="s">
        <v>19</v>
      </c>
      <c r="E239" s="3" t="s">
        <v>20</v>
      </c>
    </row>
    <row r="240" spans="1:7" ht="14.25" customHeight="1" x14ac:dyDescent="0.2">
      <c r="A240" s="186"/>
      <c r="B240" s="59" t="s">
        <v>38</v>
      </c>
      <c r="C240" s="60" t="s">
        <v>676</v>
      </c>
      <c r="D240" s="61">
        <v>1800</v>
      </c>
      <c r="E240" s="62"/>
    </row>
    <row r="241" spans="1:7" ht="15" customHeight="1" x14ac:dyDescent="0.2">
      <c r="A241" s="186"/>
      <c r="B241" s="59" t="s">
        <v>148</v>
      </c>
      <c r="C241" s="60" t="s">
        <v>289</v>
      </c>
      <c r="D241" s="61">
        <v>2000</v>
      </c>
      <c r="E241" s="62"/>
    </row>
    <row r="242" spans="1:7" ht="14.25" customHeight="1" x14ac:dyDescent="0.2">
      <c r="A242" s="186"/>
      <c r="B242" s="187"/>
      <c r="C242" s="187"/>
      <c r="D242" s="187"/>
      <c r="E242" s="187"/>
    </row>
    <row r="243" spans="1:7" ht="15" customHeight="1" x14ac:dyDescent="0.2">
      <c r="A243" s="63">
        <v>46216</v>
      </c>
      <c r="B243" s="57" t="s">
        <v>597</v>
      </c>
      <c r="C243" s="57" t="s">
        <v>50</v>
      </c>
      <c r="D243" s="48" t="s">
        <v>598</v>
      </c>
      <c r="E243" s="58" t="s">
        <v>677</v>
      </c>
      <c r="F243" s="48"/>
      <c r="G243" s="51">
        <v>10800</v>
      </c>
    </row>
    <row r="244" spans="1:7" ht="15" customHeight="1" x14ac:dyDescent="0.2">
      <c r="A244" s="186"/>
      <c r="B244" s="3" t="s">
        <v>17</v>
      </c>
      <c r="C244" s="4" t="s">
        <v>18</v>
      </c>
      <c r="D244" s="4" t="s">
        <v>19</v>
      </c>
      <c r="E244" s="3" t="s">
        <v>20</v>
      </c>
    </row>
    <row r="245" spans="1:7" ht="15" customHeight="1" x14ac:dyDescent="0.2">
      <c r="A245" s="186"/>
      <c r="B245" s="59" t="s">
        <v>38</v>
      </c>
      <c r="C245" s="60" t="s">
        <v>289</v>
      </c>
      <c r="D245" s="61">
        <v>1800</v>
      </c>
      <c r="E245" s="62"/>
    </row>
    <row r="246" spans="1:7" ht="14.25" customHeight="1" x14ac:dyDescent="0.2">
      <c r="A246" s="186"/>
      <c r="B246" s="187"/>
      <c r="C246" s="187"/>
      <c r="D246" s="187"/>
      <c r="E246" s="187"/>
    </row>
    <row r="247" spans="1:7" ht="15" customHeight="1" x14ac:dyDescent="0.2">
      <c r="A247" s="63">
        <v>46216</v>
      </c>
      <c r="B247" s="57" t="s">
        <v>597</v>
      </c>
      <c r="C247" s="57" t="s">
        <v>85</v>
      </c>
      <c r="D247" s="48" t="s">
        <v>598</v>
      </c>
      <c r="E247" s="58" t="s">
        <v>678</v>
      </c>
      <c r="F247" s="48"/>
      <c r="G247" s="51">
        <v>34600</v>
      </c>
    </row>
    <row r="248" spans="1:7" ht="15" customHeight="1" x14ac:dyDescent="0.2">
      <c r="A248" s="186"/>
      <c r="B248" s="3" t="s">
        <v>17</v>
      </c>
      <c r="C248" s="4" t="s">
        <v>18</v>
      </c>
      <c r="D248" s="4" t="s">
        <v>19</v>
      </c>
      <c r="E248" s="3" t="s">
        <v>20</v>
      </c>
    </row>
    <row r="249" spans="1:7" ht="14.25" customHeight="1" x14ac:dyDescent="0.2">
      <c r="A249" s="186"/>
      <c r="B249" s="59" t="s">
        <v>38</v>
      </c>
      <c r="C249" s="60" t="s">
        <v>659</v>
      </c>
      <c r="D249" s="61">
        <v>1800</v>
      </c>
      <c r="E249" s="62"/>
    </row>
    <row r="250" spans="1:7" ht="15" customHeight="1" x14ac:dyDescent="0.2">
      <c r="A250" s="186"/>
      <c r="B250" s="59" t="s">
        <v>148</v>
      </c>
      <c r="C250" s="60" t="s">
        <v>629</v>
      </c>
      <c r="D250" s="61">
        <v>2000</v>
      </c>
      <c r="E250" s="62"/>
    </row>
    <row r="251" spans="1:7" ht="14.25" customHeight="1" x14ac:dyDescent="0.2">
      <c r="A251" s="186"/>
      <c r="B251" s="187"/>
      <c r="C251" s="187"/>
      <c r="D251" s="187"/>
      <c r="E251" s="187"/>
    </row>
    <row r="252" spans="1:7" ht="15" customHeight="1" x14ac:dyDescent="0.2">
      <c r="A252" s="63">
        <v>46216</v>
      </c>
      <c r="B252" s="57" t="s">
        <v>597</v>
      </c>
      <c r="C252" s="57" t="s">
        <v>85</v>
      </c>
      <c r="D252" s="48" t="s">
        <v>598</v>
      </c>
      <c r="E252" s="58" t="s">
        <v>679</v>
      </c>
      <c r="F252" s="48"/>
      <c r="G252" s="51">
        <v>156000</v>
      </c>
    </row>
    <row r="253" spans="1:7" ht="15" customHeight="1" x14ac:dyDescent="0.2">
      <c r="A253" s="186"/>
      <c r="B253" s="3" t="s">
        <v>17</v>
      </c>
      <c r="C253" s="4" t="s">
        <v>18</v>
      </c>
      <c r="D253" s="4" t="s">
        <v>19</v>
      </c>
      <c r="E253" s="3" t="s">
        <v>20</v>
      </c>
    </row>
    <row r="254" spans="1:7" ht="15" customHeight="1" x14ac:dyDescent="0.2">
      <c r="A254" s="186"/>
      <c r="B254" s="59" t="s">
        <v>190</v>
      </c>
      <c r="C254" s="60" t="s">
        <v>680</v>
      </c>
      <c r="D254" s="61">
        <v>39000</v>
      </c>
      <c r="E254" s="62"/>
    </row>
    <row r="255" spans="1:7" ht="14.25" customHeight="1" x14ac:dyDescent="0.2">
      <c r="A255" s="186"/>
      <c r="B255" s="187"/>
      <c r="C255" s="187"/>
      <c r="D255" s="187"/>
      <c r="E255" s="187"/>
    </row>
    <row r="256" spans="1:7" ht="15" customHeight="1" x14ac:dyDescent="0.2">
      <c r="A256" s="63">
        <v>46217</v>
      </c>
      <c r="B256" s="57" t="s">
        <v>597</v>
      </c>
      <c r="C256" s="57" t="s">
        <v>29</v>
      </c>
      <c r="D256" s="48" t="s">
        <v>598</v>
      </c>
      <c r="E256" s="58" t="s">
        <v>681</v>
      </c>
      <c r="F256" s="48"/>
      <c r="G256" s="51">
        <v>53000</v>
      </c>
    </row>
    <row r="257" spans="1:7" ht="15" customHeight="1" x14ac:dyDescent="0.2">
      <c r="A257" s="186"/>
      <c r="B257" s="3" t="s">
        <v>17</v>
      </c>
      <c r="C257" s="4" t="s">
        <v>18</v>
      </c>
      <c r="D257" s="4" t="s">
        <v>19</v>
      </c>
      <c r="E257" s="3" t="s">
        <v>20</v>
      </c>
    </row>
    <row r="258" spans="1:7" ht="14.25" customHeight="1" x14ac:dyDescent="0.2">
      <c r="A258" s="186"/>
      <c r="B258" s="59" t="s">
        <v>38</v>
      </c>
      <c r="C258" s="60" t="s">
        <v>272</v>
      </c>
      <c r="D258" s="61">
        <v>1800</v>
      </c>
      <c r="E258" s="62"/>
    </row>
    <row r="259" spans="1:7" ht="15" customHeight="1" x14ac:dyDescent="0.2">
      <c r="A259" s="186"/>
      <c r="B259" s="59" t="s">
        <v>148</v>
      </c>
      <c r="C259" s="60" t="s">
        <v>354</v>
      </c>
      <c r="D259" s="61">
        <v>2000</v>
      </c>
      <c r="E259" s="62"/>
    </row>
    <row r="260" spans="1:7" ht="14.25" customHeight="1" x14ac:dyDescent="0.2">
      <c r="A260" s="186"/>
      <c r="B260" s="187"/>
      <c r="C260" s="187"/>
      <c r="D260" s="187"/>
      <c r="E260" s="187"/>
    </row>
    <row r="261" spans="1:7" ht="15" customHeight="1" x14ac:dyDescent="0.2">
      <c r="A261" s="63">
        <v>46217</v>
      </c>
      <c r="B261" s="57" t="s">
        <v>597</v>
      </c>
      <c r="C261" s="57" t="s">
        <v>237</v>
      </c>
      <c r="D261" s="48" t="s">
        <v>598</v>
      </c>
      <c r="E261" s="58" t="s">
        <v>682</v>
      </c>
      <c r="F261" s="48"/>
      <c r="G261" s="51">
        <v>12000</v>
      </c>
    </row>
    <row r="262" spans="1:7" ht="15" customHeight="1" x14ac:dyDescent="0.2">
      <c r="A262" s="186"/>
      <c r="B262" s="3" t="s">
        <v>17</v>
      </c>
      <c r="C262" s="4" t="s">
        <v>18</v>
      </c>
      <c r="D262" s="4" t="s">
        <v>19</v>
      </c>
      <c r="E262" s="3" t="s">
        <v>20</v>
      </c>
    </row>
    <row r="263" spans="1:7" ht="15" customHeight="1" x14ac:dyDescent="0.2">
      <c r="A263" s="186"/>
      <c r="B263" s="59" t="s">
        <v>38</v>
      </c>
      <c r="C263" s="60" t="s">
        <v>289</v>
      </c>
      <c r="D263" s="61">
        <v>2000</v>
      </c>
      <c r="E263" s="62"/>
    </row>
    <row r="264" spans="1:7" ht="14.25" customHeight="1" x14ac:dyDescent="0.2">
      <c r="A264" s="186"/>
      <c r="B264" s="187"/>
      <c r="C264" s="187"/>
      <c r="D264" s="187"/>
      <c r="E264" s="187"/>
    </row>
    <row r="265" spans="1:7" ht="15" customHeight="1" x14ac:dyDescent="0.2">
      <c r="A265" s="63">
        <v>46217</v>
      </c>
      <c r="B265" s="57" t="s">
        <v>597</v>
      </c>
      <c r="C265" s="57" t="s">
        <v>29</v>
      </c>
      <c r="D265" s="48" t="s">
        <v>598</v>
      </c>
      <c r="E265" s="58" t="s">
        <v>683</v>
      </c>
      <c r="F265" s="48"/>
      <c r="G265" s="51">
        <v>120000</v>
      </c>
    </row>
    <row r="266" spans="1:7" ht="15" customHeight="1" x14ac:dyDescent="0.2">
      <c r="A266" s="186"/>
      <c r="B266" s="3" t="s">
        <v>17</v>
      </c>
      <c r="C266" s="4" t="s">
        <v>18</v>
      </c>
      <c r="D266" s="4" t="s">
        <v>19</v>
      </c>
      <c r="E266" s="3" t="s">
        <v>20</v>
      </c>
    </row>
    <row r="267" spans="1:7" ht="14.25" customHeight="1" x14ac:dyDescent="0.2">
      <c r="A267" s="186"/>
      <c r="B267" s="59" t="s">
        <v>38</v>
      </c>
      <c r="C267" s="60" t="s">
        <v>288</v>
      </c>
      <c r="D267" s="61">
        <v>2000</v>
      </c>
      <c r="E267" s="62"/>
    </row>
    <row r="268" spans="1:7" ht="15" customHeight="1" x14ac:dyDescent="0.2">
      <c r="A268" s="186"/>
      <c r="B268" s="59" t="s">
        <v>148</v>
      </c>
      <c r="C268" s="60" t="s">
        <v>647</v>
      </c>
      <c r="D268" s="61">
        <v>2000</v>
      </c>
      <c r="E268" s="62"/>
    </row>
    <row r="269" spans="1:7" ht="14.25" customHeight="1" x14ac:dyDescent="0.2">
      <c r="A269" s="186"/>
      <c r="B269" s="187"/>
      <c r="C269" s="187"/>
      <c r="D269" s="187"/>
      <c r="E269" s="187"/>
    </row>
    <row r="270" spans="1:7" ht="15" customHeight="1" x14ac:dyDescent="0.2">
      <c r="A270" s="63">
        <v>46220</v>
      </c>
      <c r="B270" s="57" t="s">
        <v>597</v>
      </c>
      <c r="C270" s="57" t="s">
        <v>25</v>
      </c>
      <c r="D270" s="48" t="s">
        <v>598</v>
      </c>
      <c r="E270" s="58" t="s">
        <v>684</v>
      </c>
      <c r="F270" s="48"/>
      <c r="G270" s="51">
        <v>94000</v>
      </c>
    </row>
    <row r="271" spans="1:7" ht="15" customHeight="1" x14ac:dyDescent="0.2">
      <c r="A271" s="186"/>
      <c r="B271" s="3" t="s">
        <v>17</v>
      </c>
      <c r="C271" s="4" t="s">
        <v>18</v>
      </c>
      <c r="D271" s="4" t="s">
        <v>19</v>
      </c>
      <c r="E271" s="3" t="s">
        <v>20</v>
      </c>
    </row>
    <row r="272" spans="1:7" ht="14.25" customHeight="1" x14ac:dyDescent="0.2">
      <c r="A272" s="186"/>
      <c r="B272" s="59" t="s">
        <v>38</v>
      </c>
      <c r="C272" s="60" t="s">
        <v>271</v>
      </c>
      <c r="D272" s="61">
        <v>1800</v>
      </c>
      <c r="E272" s="62"/>
    </row>
    <row r="273" spans="1:7" ht="15" customHeight="1" x14ac:dyDescent="0.2">
      <c r="A273" s="186"/>
      <c r="B273" s="59" t="s">
        <v>48</v>
      </c>
      <c r="C273" s="60" t="s">
        <v>272</v>
      </c>
      <c r="D273" s="61">
        <v>1600</v>
      </c>
      <c r="E273" s="62"/>
    </row>
    <row r="274" spans="1:7" ht="14.25" customHeight="1" x14ac:dyDescent="0.2">
      <c r="A274" s="186"/>
      <c r="B274" s="187"/>
      <c r="C274" s="187"/>
      <c r="D274" s="187"/>
      <c r="E274" s="187"/>
    </row>
    <row r="275" spans="1:7" ht="15" customHeight="1" x14ac:dyDescent="0.2">
      <c r="A275" s="63">
        <v>46220</v>
      </c>
      <c r="B275" s="57" t="s">
        <v>597</v>
      </c>
      <c r="C275" s="57" t="s">
        <v>122</v>
      </c>
      <c r="D275" s="48" t="s">
        <v>598</v>
      </c>
      <c r="E275" s="58" t="s">
        <v>685</v>
      </c>
      <c r="F275" s="48"/>
      <c r="G275" s="51">
        <v>1800</v>
      </c>
    </row>
    <row r="276" spans="1:7" ht="15" customHeight="1" x14ac:dyDescent="0.2">
      <c r="A276" s="186"/>
      <c r="B276" s="3" t="s">
        <v>17</v>
      </c>
      <c r="C276" s="4" t="s">
        <v>18</v>
      </c>
      <c r="D276" s="4" t="s">
        <v>19</v>
      </c>
      <c r="E276" s="3" t="s">
        <v>20</v>
      </c>
    </row>
    <row r="277" spans="1:7" ht="15" customHeight="1" x14ac:dyDescent="0.2">
      <c r="A277" s="186"/>
      <c r="B277" s="59" t="s">
        <v>38</v>
      </c>
      <c r="C277" s="60" t="s">
        <v>293</v>
      </c>
      <c r="D277" s="61">
        <v>1800</v>
      </c>
      <c r="E277" s="62"/>
    </row>
    <row r="278" spans="1:7" ht="14.25" customHeight="1" x14ac:dyDescent="0.2">
      <c r="A278" s="186"/>
      <c r="B278" s="187"/>
      <c r="C278" s="187"/>
      <c r="D278" s="187"/>
      <c r="E278" s="187"/>
    </row>
    <row r="279" spans="1:7" ht="15" customHeight="1" x14ac:dyDescent="0.2">
      <c r="A279" s="63">
        <v>46220</v>
      </c>
      <c r="B279" s="57" t="s">
        <v>597</v>
      </c>
      <c r="C279" s="57" t="s">
        <v>29</v>
      </c>
      <c r="D279" s="48" t="s">
        <v>598</v>
      </c>
      <c r="E279" s="58" t="s">
        <v>686</v>
      </c>
      <c r="F279" s="48"/>
      <c r="G279" s="51">
        <v>96800</v>
      </c>
    </row>
    <row r="280" spans="1:7" ht="15" customHeight="1" x14ac:dyDescent="0.2">
      <c r="A280" s="186"/>
      <c r="B280" s="3" t="s">
        <v>17</v>
      </c>
      <c r="C280" s="4" t="s">
        <v>18</v>
      </c>
      <c r="D280" s="4" t="s">
        <v>19</v>
      </c>
      <c r="E280" s="3" t="s">
        <v>20</v>
      </c>
    </row>
    <row r="281" spans="1:7" ht="14.25" customHeight="1" x14ac:dyDescent="0.2">
      <c r="A281" s="186"/>
      <c r="B281" s="59" t="s">
        <v>38</v>
      </c>
      <c r="C281" s="60" t="s">
        <v>687</v>
      </c>
      <c r="D281" s="61">
        <v>1800</v>
      </c>
      <c r="E281" s="62"/>
    </row>
    <row r="282" spans="1:7" ht="15" customHeight="1" x14ac:dyDescent="0.2">
      <c r="A282" s="186"/>
      <c r="B282" s="59" t="s">
        <v>148</v>
      </c>
      <c r="C282" s="60" t="s">
        <v>659</v>
      </c>
      <c r="D282" s="61">
        <v>2000</v>
      </c>
      <c r="E282" s="62"/>
    </row>
    <row r="283" spans="1:7" ht="14.25" customHeight="1" x14ac:dyDescent="0.2">
      <c r="A283" s="186"/>
      <c r="B283" s="187"/>
      <c r="C283" s="187"/>
      <c r="D283" s="187"/>
      <c r="E283" s="187"/>
    </row>
    <row r="284" spans="1:7" ht="15" customHeight="1" x14ac:dyDescent="0.2">
      <c r="A284" s="63">
        <v>46220</v>
      </c>
      <c r="B284" s="57" t="s">
        <v>597</v>
      </c>
      <c r="C284" s="57" t="s">
        <v>294</v>
      </c>
      <c r="D284" s="48" t="s">
        <v>598</v>
      </c>
      <c r="E284" s="58" t="s">
        <v>688</v>
      </c>
      <c r="F284" s="48"/>
      <c r="G284" s="51">
        <v>7750</v>
      </c>
    </row>
    <row r="285" spans="1:7" ht="15" customHeight="1" x14ac:dyDescent="0.2">
      <c r="A285" s="186"/>
      <c r="B285" s="3" t="s">
        <v>17</v>
      </c>
      <c r="C285" s="4" t="s">
        <v>18</v>
      </c>
      <c r="D285" s="4" t="s">
        <v>19</v>
      </c>
      <c r="E285" s="3" t="s">
        <v>20</v>
      </c>
    </row>
    <row r="286" spans="1:7" ht="15" customHeight="1" x14ac:dyDescent="0.2">
      <c r="A286" s="186"/>
      <c r="B286" s="59" t="s">
        <v>27</v>
      </c>
      <c r="C286" s="60" t="s">
        <v>257</v>
      </c>
      <c r="D286" s="61">
        <v>7750</v>
      </c>
      <c r="E286" s="62"/>
    </row>
    <row r="287" spans="1:7" ht="14.25" customHeight="1" x14ac:dyDescent="0.2">
      <c r="A287" s="186"/>
      <c r="B287" s="187"/>
      <c r="C287" s="187"/>
      <c r="D287" s="187"/>
      <c r="E287" s="187"/>
    </row>
    <row r="288" spans="1:7" ht="15" customHeight="1" x14ac:dyDescent="0.2">
      <c r="A288" s="63">
        <v>46220</v>
      </c>
      <c r="B288" s="57" t="s">
        <v>597</v>
      </c>
      <c r="C288" s="57" t="s">
        <v>29</v>
      </c>
      <c r="D288" s="48" t="s">
        <v>598</v>
      </c>
      <c r="E288" s="58" t="s">
        <v>689</v>
      </c>
      <c r="F288" s="48"/>
      <c r="G288" s="51">
        <v>4000</v>
      </c>
    </row>
    <row r="289" spans="1:7" ht="15" customHeight="1" x14ac:dyDescent="0.2">
      <c r="A289" s="186"/>
      <c r="B289" s="3" t="s">
        <v>17</v>
      </c>
      <c r="C289" s="4" t="s">
        <v>18</v>
      </c>
      <c r="D289" s="4" t="s">
        <v>19</v>
      </c>
      <c r="E289" s="3" t="s">
        <v>20</v>
      </c>
    </row>
    <row r="290" spans="1:7" ht="15" customHeight="1" x14ac:dyDescent="0.2">
      <c r="A290" s="186"/>
      <c r="B290" s="59" t="s">
        <v>148</v>
      </c>
      <c r="C290" s="60" t="s">
        <v>303</v>
      </c>
      <c r="D290" s="61">
        <v>2000</v>
      </c>
      <c r="E290" s="62"/>
    </row>
    <row r="291" spans="1:7" ht="14.25" customHeight="1" x14ac:dyDescent="0.2">
      <c r="A291" s="186"/>
      <c r="B291" s="187"/>
      <c r="C291" s="187"/>
      <c r="D291" s="187"/>
      <c r="E291" s="187"/>
    </row>
    <row r="292" spans="1:7" ht="15" customHeight="1" x14ac:dyDescent="0.2">
      <c r="A292" s="63">
        <v>46221</v>
      </c>
      <c r="B292" s="57" t="s">
        <v>597</v>
      </c>
      <c r="C292" s="57" t="s">
        <v>66</v>
      </c>
      <c r="D292" s="48" t="s">
        <v>598</v>
      </c>
      <c r="E292" s="58" t="s">
        <v>690</v>
      </c>
      <c r="F292" s="48"/>
      <c r="G292" s="51">
        <v>734000</v>
      </c>
    </row>
    <row r="293" spans="1:7" ht="15" customHeight="1" x14ac:dyDescent="0.2">
      <c r="A293" s="186"/>
      <c r="B293" s="3" t="s">
        <v>17</v>
      </c>
      <c r="C293" s="4" t="s">
        <v>18</v>
      </c>
      <c r="D293" s="4" t="s">
        <v>19</v>
      </c>
      <c r="E293" s="3" t="s">
        <v>20</v>
      </c>
    </row>
    <row r="294" spans="1:7" ht="14.25" customHeight="1" x14ac:dyDescent="0.2">
      <c r="A294" s="186"/>
      <c r="B294" s="59" t="s">
        <v>38</v>
      </c>
      <c r="C294" s="60" t="s">
        <v>691</v>
      </c>
      <c r="D294" s="61">
        <v>1800</v>
      </c>
      <c r="E294" s="62"/>
    </row>
    <row r="295" spans="1:7" ht="15" customHeight="1" x14ac:dyDescent="0.2">
      <c r="A295" s="186"/>
      <c r="B295" s="59" t="s">
        <v>148</v>
      </c>
      <c r="C295" s="60" t="s">
        <v>340</v>
      </c>
      <c r="D295" s="61">
        <v>2000</v>
      </c>
      <c r="E295" s="62"/>
    </row>
    <row r="296" spans="1:7" ht="14.25" customHeight="1" x14ac:dyDescent="0.2">
      <c r="A296" s="186"/>
      <c r="B296" s="187"/>
      <c r="C296" s="187"/>
      <c r="D296" s="187"/>
      <c r="E296" s="187"/>
    </row>
    <row r="297" spans="1:7" ht="15" customHeight="1" x14ac:dyDescent="0.2">
      <c r="A297" s="63">
        <v>46221</v>
      </c>
      <c r="B297" s="57" t="s">
        <v>597</v>
      </c>
      <c r="C297" s="57" t="s">
        <v>29</v>
      </c>
      <c r="D297" s="48" t="s">
        <v>598</v>
      </c>
      <c r="E297" s="58" t="s">
        <v>692</v>
      </c>
      <c r="F297" s="48"/>
      <c r="G297" s="51">
        <v>56600</v>
      </c>
    </row>
    <row r="298" spans="1:7" ht="15" customHeight="1" x14ac:dyDescent="0.2">
      <c r="A298" s="186"/>
      <c r="B298" s="3" t="s">
        <v>17</v>
      </c>
      <c r="C298" s="4" t="s">
        <v>18</v>
      </c>
      <c r="D298" s="4" t="s">
        <v>19</v>
      </c>
      <c r="E298" s="3" t="s">
        <v>20</v>
      </c>
    </row>
    <row r="299" spans="1:7" ht="14.25" customHeight="1" x14ac:dyDescent="0.2">
      <c r="A299" s="186"/>
      <c r="B299" s="59" t="s">
        <v>38</v>
      </c>
      <c r="C299" s="60" t="s">
        <v>669</v>
      </c>
      <c r="D299" s="61">
        <v>1800</v>
      </c>
      <c r="E299" s="62"/>
    </row>
    <row r="300" spans="1:7" ht="15" customHeight="1" x14ac:dyDescent="0.2">
      <c r="A300" s="186"/>
      <c r="B300" s="59" t="s">
        <v>148</v>
      </c>
      <c r="C300" s="60" t="s">
        <v>354</v>
      </c>
      <c r="D300" s="61">
        <v>2000</v>
      </c>
      <c r="E300" s="62"/>
    </row>
    <row r="301" spans="1:7" ht="14.25" customHeight="1" x14ac:dyDescent="0.2">
      <c r="A301" s="186"/>
      <c r="B301" s="187"/>
      <c r="C301" s="187"/>
      <c r="D301" s="187"/>
      <c r="E301" s="187"/>
    </row>
    <row r="302" spans="1:7" ht="15" customHeight="1" x14ac:dyDescent="0.2">
      <c r="A302" s="63">
        <v>46221</v>
      </c>
      <c r="B302" s="57" t="s">
        <v>597</v>
      </c>
      <c r="C302" s="57" t="s">
        <v>50</v>
      </c>
      <c r="D302" s="48" t="s">
        <v>598</v>
      </c>
      <c r="E302" s="58" t="s">
        <v>693</v>
      </c>
      <c r="F302" s="48"/>
      <c r="G302" s="51">
        <v>36400</v>
      </c>
    </row>
    <row r="303" spans="1:7" ht="15" customHeight="1" x14ac:dyDescent="0.2">
      <c r="A303" s="186"/>
      <c r="B303" s="3" t="s">
        <v>17</v>
      </c>
      <c r="C303" s="4" t="s">
        <v>18</v>
      </c>
      <c r="D303" s="4" t="s">
        <v>19</v>
      </c>
      <c r="E303" s="3" t="s">
        <v>20</v>
      </c>
    </row>
    <row r="304" spans="1:7" ht="14.25" customHeight="1" x14ac:dyDescent="0.2">
      <c r="A304" s="186"/>
      <c r="B304" s="59" t="s">
        <v>38</v>
      </c>
      <c r="C304" s="60" t="s">
        <v>376</v>
      </c>
      <c r="D304" s="61">
        <v>1800</v>
      </c>
      <c r="E304" s="62"/>
    </row>
    <row r="305" spans="1:7" ht="15" customHeight="1" x14ac:dyDescent="0.2">
      <c r="A305" s="186"/>
      <c r="B305" s="59" t="s">
        <v>148</v>
      </c>
      <c r="C305" s="60" t="s">
        <v>303</v>
      </c>
      <c r="D305" s="61">
        <v>2000</v>
      </c>
      <c r="E305" s="62"/>
    </row>
    <row r="306" spans="1:7" ht="14.25" customHeight="1" x14ac:dyDescent="0.2">
      <c r="A306" s="186"/>
      <c r="B306" s="187"/>
      <c r="C306" s="187"/>
      <c r="D306" s="187"/>
      <c r="E306" s="187"/>
    </row>
    <row r="307" spans="1:7" ht="15" customHeight="1" x14ac:dyDescent="0.2">
      <c r="A307" s="63">
        <v>46221</v>
      </c>
      <c r="B307" s="57" t="s">
        <v>597</v>
      </c>
      <c r="C307" s="57" t="s">
        <v>334</v>
      </c>
      <c r="D307" s="48" t="s">
        <v>598</v>
      </c>
      <c r="E307" s="58" t="s">
        <v>694</v>
      </c>
      <c r="F307" s="48"/>
      <c r="G307" s="51">
        <v>50400</v>
      </c>
    </row>
    <row r="308" spans="1:7" ht="15" customHeight="1" x14ac:dyDescent="0.2">
      <c r="A308" s="186"/>
      <c r="B308" s="3" t="s">
        <v>17</v>
      </c>
      <c r="C308" s="4" t="s">
        <v>18</v>
      </c>
      <c r="D308" s="4" t="s">
        <v>19</v>
      </c>
      <c r="E308" s="3" t="s">
        <v>20</v>
      </c>
    </row>
    <row r="309" spans="1:7" ht="14.25" customHeight="1" x14ac:dyDescent="0.2">
      <c r="A309" s="186"/>
      <c r="B309" s="59" t="s">
        <v>38</v>
      </c>
      <c r="C309" s="60" t="s">
        <v>325</v>
      </c>
      <c r="D309" s="61">
        <v>1800</v>
      </c>
      <c r="E309" s="62"/>
    </row>
    <row r="310" spans="1:7" ht="14.25" customHeight="1" x14ac:dyDescent="0.2">
      <c r="A310" s="186"/>
      <c r="B310" s="59" t="s">
        <v>49</v>
      </c>
      <c r="C310" s="60" t="s">
        <v>377</v>
      </c>
      <c r="D310" s="61">
        <v>5000</v>
      </c>
      <c r="E310" s="62"/>
    </row>
    <row r="311" spans="1:7" ht="14.25" customHeight="1" x14ac:dyDescent="0.2">
      <c r="A311" s="186"/>
      <c r="B311" s="59" t="s">
        <v>148</v>
      </c>
      <c r="C311" s="60" t="s">
        <v>303</v>
      </c>
      <c r="D311" s="61">
        <v>2000</v>
      </c>
      <c r="E311" s="62"/>
    </row>
    <row r="312" spans="1:7" ht="15" customHeight="1" x14ac:dyDescent="0.2">
      <c r="A312" s="186"/>
      <c r="B312" s="59" t="s">
        <v>48</v>
      </c>
      <c r="C312" s="60" t="s">
        <v>315</v>
      </c>
      <c r="D312" s="61">
        <v>1600</v>
      </c>
      <c r="E312" s="62"/>
    </row>
    <row r="313" spans="1:7" ht="14.25" customHeight="1" x14ac:dyDescent="0.2">
      <c r="A313" s="186"/>
      <c r="B313" s="187"/>
      <c r="C313" s="187"/>
      <c r="D313" s="187"/>
      <c r="E313" s="187"/>
    </row>
    <row r="314" spans="1:7" ht="15" customHeight="1" x14ac:dyDescent="0.2">
      <c r="A314" s="63">
        <v>46221</v>
      </c>
      <c r="B314" s="57" t="s">
        <v>597</v>
      </c>
      <c r="C314" s="57" t="s">
        <v>334</v>
      </c>
      <c r="D314" s="48" t="s">
        <v>598</v>
      </c>
      <c r="E314" s="58" t="s">
        <v>695</v>
      </c>
      <c r="F314" s="48"/>
      <c r="G314" s="51">
        <v>180000</v>
      </c>
    </row>
    <row r="315" spans="1:7" ht="15" customHeight="1" x14ac:dyDescent="0.2">
      <c r="A315" s="186"/>
      <c r="B315" s="3" t="s">
        <v>17</v>
      </c>
      <c r="C315" s="4" t="s">
        <v>18</v>
      </c>
      <c r="D315" s="4" t="s">
        <v>19</v>
      </c>
      <c r="E315" s="3" t="s">
        <v>20</v>
      </c>
    </row>
    <row r="316" spans="1:7" ht="14.25" customHeight="1" x14ac:dyDescent="0.2">
      <c r="A316" s="186"/>
      <c r="B316" s="59" t="s">
        <v>38</v>
      </c>
      <c r="C316" s="60" t="s">
        <v>377</v>
      </c>
      <c r="D316" s="61">
        <v>1800</v>
      </c>
      <c r="E316" s="62"/>
    </row>
    <row r="317" spans="1:7" ht="14.25" customHeight="1" x14ac:dyDescent="0.2">
      <c r="A317" s="186"/>
      <c r="B317" s="59" t="s">
        <v>48</v>
      </c>
      <c r="C317" s="60" t="s">
        <v>633</v>
      </c>
      <c r="D317" s="61">
        <v>1600</v>
      </c>
      <c r="E317" s="62"/>
    </row>
    <row r="318" spans="1:7" ht="15" customHeight="1" x14ac:dyDescent="0.2">
      <c r="A318" s="186"/>
      <c r="B318" s="59" t="s">
        <v>49</v>
      </c>
      <c r="C318" s="60" t="s">
        <v>351</v>
      </c>
      <c r="D318" s="61">
        <v>5000</v>
      </c>
      <c r="E318" s="62"/>
    </row>
    <row r="319" spans="1:7" ht="14.25" customHeight="1" x14ac:dyDescent="0.2">
      <c r="A319" s="186"/>
      <c r="B319" s="187"/>
      <c r="C319" s="187"/>
      <c r="D319" s="187"/>
      <c r="E319" s="187"/>
    </row>
    <row r="320" spans="1:7" ht="15" customHeight="1" x14ac:dyDescent="0.2">
      <c r="A320" s="63">
        <v>46223</v>
      </c>
      <c r="B320" s="57" t="s">
        <v>597</v>
      </c>
      <c r="C320" s="57" t="s">
        <v>50</v>
      </c>
      <c r="D320" s="48" t="s">
        <v>598</v>
      </c>
      <c r="E320" s="58" t="s">
        <v>696</v>
      </c>
      <c r="F320" s="48"/>
      <c r="G320" s="51">
        <v>57000</v>
      </c>
    </row>
    <row r="321" spans="1:7" ht="15" customHeight="1" x14ac:dyDescent="0.2">
      <c r="A321" s="186"/>
      <c r="B321" s="3" t="s">
        <v>17</v>
      </c>
      <c r="C321" s="4" t="s">
        <v>18</v>
      </c>
      <c r="D321" s="4" t="s">
        <v>19</v>
      </c>
      <c r="E321" s="3" t="s">
        <v>20</v>
      </c>
    </row>
    <row r="322" spans="1:7" ht="14.25" customHeight="1" x14ac:dyDescent="0.2">
      <c r="A322" s="186"/>
      <c r="B322" s="59" t="s">
        <v>38</v>
      </c>
      <c r="C322" s="60" t="s">
        <v>351</v>
      </c>
      <c r="D322" s="61">
        <v>1800</v>
      </c>
      <c r="E322" s="62"/>
    </row>
    <row r="323" spans="1:7" ht="15" customHeight="1" x14ac:dyDescent="0.2">
      <c r="A323" s="186"/>
      <c r="B323" s="59" t="s">
        <v>148</v>
      </c>
      <c r="C323" s="60" t="s">
        <v>351</v>
      </c>
      <c r="D323" s="61">
        <v>2000</v>
      </c>
      <c r="E323" s="62"/>
    </row>
    <row r="324" spans="1:7" ht="14.25" customHeight="1" x14ac:dyDescent="0.2">
      <c r="A324" s="186"/>
      <c r="B324" s="187"/>
      <c r="C324" s="187"/>
      <c r="D324" s="187"/>
      <c r="E324" s="187"/>
    </row>
    <row r="325" spans="1:7" ht="15" customHeight="1" x14ac:dyDescent="0.2">
      <c r="A325" s="63">
        <v>46223</v>
      </c>
      <c r="B325" s="57" t="s">
        <v>597</v>
      </c>
      <c r="C325" s="57" t="s">
        <v>25</v>
      </c>
      <c r="D325" s="48" t="s">
        <v>598</v>
      </c>
      <c r="E325" s="58" t="s">
        <v>697</v>
      </c>
      <c r="F325" s="48"/>
      <c r="G325" s="51">
        <v>40000</v>
      </c>
    </row>
    <row r="326" spans="1:7" ht="15" customHeight="1" x14ac:dyDescent="0.2">
      <c r="A326" s="186"/>
      <c r="B326" s="3" t="s">
        <v>17</v>
      </c>
      <c r="C326" s="4" t="s">
        <v>18</v>
      </c>
      <c r="D326" s="4" t="s">
        <v>19</v>
      </c>
      <c r="E326" s="3" t="s">
        <v>20</v>
      </c>
    </row>
    <row r="327" spans="1:7" ht="15" customHeight="1" x14ac:dyDescent="0.2">
      <c r="A327" s="186"/>
      <c r="B327" s="59" t="s">
        <v>49</v>
      </c>
      <c r="C327" s="60" t="s">
        <v>372</v>
      </c>
      <c r="D327" s="61">
        <v>5000</v>
      </c>
      <c r="E327" s="62"/>
    </row>
    <row r="328" spans="1:7" ht="14.25" customHeight="1" x14ac:dyDescent="0.2">
      <c r="A328" s="186"/>
      <c r="B328" s="187"/>
      <c r="C328" s="187"/>
      <c r="D328" s="187"/>
      <c r="E328" s="187"/>
    </row>
    <row r="329" spans="1:7" ht="15" customHeight="1" x14ac:dyDescent="0.2">
      <c r="A329" s="63">
        <v>46223</v>
      </c>
      <c r="B329" s="57" t="s">
        <v>597</v>
      </c>
      <c r="C329" s="57" t="s">
        <v>152</v>
      </c>
      <c r="D329" s="48" t="s">
        <v>598</v>
      </c>
      <c r="E329" s="58" t="s">
        <v>698</v>
      </c>
      <c r="F329" s="48"/>
      <c r="G329" s="51">
        <v>619200</v>
      </c>
    </row>
    <row r="330" spans="1:7" ht="15" customHeight="1" x14ac:dyDescent="0.2">
      <c r="A330" s="186"/>
      <c r="B330" s="3" t="s">
        <v>17</v>
      </c>
      <c r="C330" s="4" t="s">
        <v>18</v>
      </c>
      <c r="D330" s="4" t="s">
        <v>19</v>
      </c>
      <c r="E330" s="3" t="s">
        <v>20</v>
      </c>
    </row>
    <row r="331" spans="1:7" ht="15" customHeight="1" x14ac:dyDescent="0.2">
      <c r="A331" s="186"/>
      <c r="B331" s="59" t="s">
        <v>38</v>
      </c>
      <c r="C331" s="60" t="s">
        <v>699</v>
      </c>
      <c r="D331" s="61">
        <v>1800</v>
      </c>
      <c r="E331" s="62"/>
    </row>
    <row r="332" spans="1:7" ht="14.25" customHeight="1" x14ac:dyDescent="0.2">
      <c r="A332" s="186"/>
      <c r="B332" s="187"/>
      <c r="C332" s="187"/>
      <c r="D332" s="187"/>
      <c r="E332" s="187"/>
    </row>
    <row r="333" spans="1:7" ht="15" customHeight="1" x14ac:dyDescent="0.2">
      <c r="A333" s="63">
        <v>46223</v>
      </c>
      <c r="B333" s="57" t="s">
        <v>597</v>
      </c>
      <c r="C333" s="57" t="s">
        <v>326</v>
      </c>
      <c r="D333" s="48" t="s">
        <v>598</v>
      </c>
      <c r="E333" s="58" t="s">
        <v>700</v>
      </c>
      <c r="F333" s="48"/>
      <c r="G333" s="51">
        <v>766000</v>
      </c>
    </row>
    <row r="334" spans="1:7" ht="15" customHeight="1" x14ac:dyDescent="0.2">
      <c r="A334" s="186"/>
      <c r="B334" s="3" t="s">
        <v>17</v>
      </c>
      <c r="C334" s="4" t="s">
        <v>18</v>
      </c>
      <c r="D334" s="4" t="s">
        <v>19</v>
      </c>
      <c r="E334" s="3" t="s">
        <v>20</v>
      </c>
    </row>
    <row r="335" spans="1:7" ht="14.25" customHeight="1" x14ac:dyDescent="0.2">
      <c r="A335" s="186"/>
      <c r="B335" s="59" t="s">
        <v>38</v>
      </c>
      <c r="C335" s="60" t="s">
        <v>331</v>
      </c>
      <c r="D335" s="61">
        <v>1800</v>
      </c>
      <c r="E335" s="62"/>
    </row>
    <row r="336" spans="1:7" ht="15" customHeight="1" x14ac:dyDescent="0.2">
      <c r="A336" s="186"/>
      <c r="B336" s="59" t="s">
        <v>148</v>
      </c>
      <c r="C336" s="60" t="s">
        <v>308</v>
      </c>
      <c r="D336" s="61">
        <v>2000</v>
      </c>
      <c r="E336" s="62"/>
    </row>
    <row r="337" spans="1:7" ht="14.25" customHeight="1" x14ac:dyDescent="0.2">
      <c r="A337" s="186"/>
      <c r="B337" s="187"/>
      <c r="C337" s="187"/>
      <c r="D337" s="187"/>
      <c r="E337" s="187"/>
    </row>
    <row r="338" spans="1:7" ht="15" customHeight="1" x14ac:dyDescent="0.2">
      <c r="A338" s="63">
        <v>46223</v>
      </c>
      <c r="B338" s="57" t="s">
        <v>597</v>
      </c>
      <c r="C338" s="57" t="s">
        <v>29</v>
      </c>
      <c r="D338" s="48" t="s">
        <v>598</v>
      </c>
      <c r="E338" s="58" t="s">
        <v>701</v>
      </c>
      <c r="F338" s="48"/>
      <c r="G338" s="51">
        <v>28800</v>
      </c>
    </row>
    <row r="339" spans="1:7" ht="15" customHeight="1" x14ac:dyDescent="0.2">
      <c r="A339" s="186"/>
      <c r="B339" s="3" t="s">
        <v>17</v>
      </c>
      <c r="C339" s="4" t="s">
        <v>18</v>
      </c>
      <c r="D339" s="4" t="s">
        <v>19</v>
      </c>
      <c r="E339" s="3" t="s">
        <v>20</v>
      </c>
    </row>
    <row r="340" spans="1:7" ht="15" customHeight="1" x14ac:dyDescent="0.2">
      <c r="A340" s="186"/>
      <c r="B340" s="59" t="s">
        <v>38</v>
      </c>
      <c r="C340" s="60" t="s">
        <v>360</v>
      </c>
      <c r="D340" s="61">
        <v>1800</v>
      </c>
      <c r="E340" s="62"/>
    </row>
    <row r="341" spans="1:7" ht="14.25" customHeight="1" x14ac:dyDescent="0.2">
      <c r="A341" s="186"/>
      <c r="B341" s="187"/>
      <c r="C341" s="187"/>
      <c r="D341" s="187"/>
      <c r="E341" s="187"/>
    </row>
    <row r="342" spans="1:7" ht="15" customHeight="1" x14ac:dyDescent="0.2">
      <c r="A342" s="63">
        <v>46224</v>
      </c>
      <c r="B342" s="57" t="s">
        <v>597</v>
      </c>
      <c r="C342" s="57" t="s">
        <v>139</v>
      </c>
      <c r="D342" s="48" t="s">
        <v>598</v>
      </c>
      <c r="E342" s="58" t="s">
        <v>702</v>
      </c>
      <c r="F342" s="48"/>
      <c r="G342" s="51">
        <v>587400</v>
      </c>
    </row>
    <row r="343" spans="1:7" ht="15" customHeight="1" x14ac:dyDescent="0.2">
      <c r="A343" s="186"/>
      <c r="B343" s="3" t="s">
        <v>17</v>
      </c>
      <c r="C343" s="4" t="s">
        <v>18</v>
      </c>
      <c r="D343" s="4" t="s">
        <v>19</v>
      </c>
      <c r="E343" s="3" t="s">
        <v>20</v>
      </c>
    </row>
    <row r="344" spans="1:7" ht="14.25" customHeight="1" x14ac:dyDescent="0.2">
      <c r="A344" s="186"/>
      <c r="B344" s="59" t="s">
        <v>38</v>
      </c>
      <c r="C344" s="60" t="s">
        <v>371</v>
      </c>
      <c r="D344" s="61">
        <v>1800</v>
      </c>
      <c r="E344" s="62"/>
    </row>
    <row r="345" spans="1:7" ht="14.25" customHeight="1" x14ac:dyDescent="0.2">
      <c r="A345" s="186"/>
      <c r="B345" s="59" t="s">
        <v>48</v>
      </c>
      <c r="C345" s="60" t="s">
        <v>372</v>
      </c>
      <c r="D345" s="61">
        <v>1600</v>
      </c>
      <c r="E345" s="62"/>
    </row>
    <row r="346" spans="1:7" ht="15" customHeight="1" x14ac:dyDescent="0.2">
      <c r="A346" s="186"/>
      <c r="B346" s="59" t="s">
        <v>148</v>
      </c>
      <c r="C346" s="60" t="s">
        <v>703</v>
      </c>
      <c r="D346" s="61">
        <v>2000</v>
      </c>
      <c r="E346" s="62"/>
    </row>
    <row r="347" spans="1:7" ht="14.25" customHeight="1" x14ac:dyDescent="0.2">
      <c r="A347" s="186"/>
      <c r="B347" s="187"/>
      <c r="C347" s="187"/>
      <c r="D347" s="187"/>
      <c r="E347" s="187"/>
    </row>
    <row r="348" spans="1:7" ht="15" customHeight="1" x14ac:dyDescent="0.2">
      <c r="A348" s="63">
        <v>46224</v>
      </c>
      <c r="B348" s="57" t="s">
        <v>597</v>
      </c>
      <c r="C348" s="57" t="s">
        <v>25</v>
      </c>
      <c r="D348" s="48" t="s">
        <v>598</v>
      </c>
      <c r="E348" s="58" t="s">
        <v>704</v>
      </c>
      <c r="F348" s="48"/>
      <c r="G348" s="51">
        <v>75000</v>
      </c>
    </row>
    <row r="349" spans="1:7" ht="15" customHeight="1" x14ac:dyDescent="0.2">
      <c r="A349" s="186"/>
      <c r="B349" s="3" t="s">
        <v>17</v>
      </c>
      <c r="C349" s="4" t="s">
        <v>18</v>
      </c>
      <c r="D349" s="4" t="s">
        <v>19</v>
      </c>
      <c r="E349" s="3" t="s">
        <v>20</v>
      </c>
    </row>
    <row r="350" spans="1:7" ht="14.25" customHeight="1" x14ac:dyDescent="0.2">
      <c r="A350" s="186"/>
      <c r="B350" s="59" t="s">
        <v>38</v>
      </c>
      <c r="C350" s="60" t="s">
        <v>351</v>
      </c>
      <c r="D350" s="61">
        <v>1800</v>
      </c>
      <c r="E350" s="62"/>
    </row>
    <row r="351" spans="1:7" ht="15" customHeight="1" x14ac:dyDescent="0.2">
      <c r="A351" s="186"/>
      <c r="B351" s="59" t="s">
        <v>48</v>
      </c>
      <c r="C351" s="60" t="s">
        <v>271</v>
      </c>
      <c r="D351" s="61">
        <v>1600</v>
      </c>
      <c r="E351" s="62"/>
    </row>
    <row r="352" spans="1:7" ht="14.25" customHeight="1" x14ac:dyDescent="0.2">
      <c r="A352" s="186"/>
      <c r="B352" s="187"/>
      <c r="C352" s="187"/>
      <c r="D352" s="187"/>
      <c r="E352" s="187"/>
    </row>
    <row r="353" spans="1:7" ht="15" customHeight="1" x14ac:dyDescent="0.2">
      <c r="A353" s="63">
        <v>46224</v>
      </c>
      <c r="B353" s="57" t="s">
        <v>597</v>
      </c>
      <c r="C353" s="57" t="s">
        <v>50</v>
      </c>
      <c r="D353" s="48" t="s">
        <v>598</v>
      </c>
      <c r="E353" s="58" t="s">
        <v>705</v>
      </c>
      <c r="F353" s="48"/>
      <c r="G353" s="51">
        <v>32400</v>
      </c>
    </row>
    <row r="354" spans="1:7" ht="15" customHeight="1" x14ac:dyDescent="0.2">
      <c r="A354" s="186"/>
      <c r="B354" s="3" t="s">
        <v>17</v>
      </c>
      <c r="C354" s="4" t="s">
        <v>18</v>
      </c>
      <c r="D354" s="4" t="s">
        <v>19</v>
      </c>
      <c r="E354" s="3" t="s">
        <v>20</v>
      </c>
    </row>
    <row r="355" spans="1:7" ht="15" customHeight="1" x14ac:dyDescent="0.2">
      <c r="A355" s="186"/>
      <c r="B355" s="59" t="s">
        <v>38</v>
      </c>
      <c r="C355" s="60" t="s">
        <v>376</v>
      </c>
      <c r="D355" s="61">
        <v>1800</v>
      </c>
      <c r="E355" s="62"/>
    </row>
    <row r="356" spans="1:7" ht="14.25" customHeight="1" x14ac:dyDescent="0.2">
      <c r="A356" s="186"/>
      <c r="B356" s="187"/>
      <c r="C356" s="187"/>
      <c r="D356" s="187"/>
      <c r="E356" s="187"/>
    </row>
    <row r="357" spans="1:7" ht="15" customHeight="1" x14ac:dyDescent="0.2">
      <c r="A357" s="63">
        <v>46224</v>
      </c>
      <c r="B357" s="57" t="s">
        <v>597</v>
      </c>
      <c r="C357" s="57" t="s">
        <v>29</v>
      </c>
      <c r="D357" s="48" t="s">
        <v>598</v>
      </c>
      <c r="E357" s="58" t="s">
        <v>706</v>
      </c>
      <c r="F357" s="48"/>
      <c r="G357" s="51">
        <v>42200</v>
      </c>
    </row>
    <row r="358" spans="1:7" ht="15" customHeight="1" x14ac:dyDescent="0.2">
      <c r="A358" s="186"/>
      <c r="B358" s="3" t="s">
        <v>17</v>
      </c>
      <c r="C358" s="4" t="s">
        <v>18</v>
      </c>
      <c r="D358" s="4" t="s">
        <v>19</v>
      </c>
      <c r="E358" s="3" t="s">
        <v>20</v>
      </c>
    </row>
    <row r="359" spans="1:7" ht="14.25" customHeight="1" x14ac:dyDescent="0.2">
      <c r="A359" s="186"/>
      <c r="B359" s="59" t="s">
        <v>38</v>
      </c>
      <c r="C359" s="60" t="s">
        <v>528</v>
      </c>
      <c r="D359" s="61">
        <v>1800</v>
      </c>
      <c r="E359" s="62"/>
    </row>
    <row r="360" spans="1:7" ht="15" customHeight="1" x14ac:dyDescent="0.2">
      <c r="A360" s="186"/>
      <c r="B360" s="59" t="s">
        <v>148</v>
      </c>
      <c r="C360" s="60" t="s">
        <v>354</v>
      </c>
      <c r="D360" s="61">
        <v>2000</v>
      </c>
      <c r="E360" s="62"/>
    </row>
    <row r="361" spans="1:7" ht="14.25" customHeight="1" x14ac:dyDescent="0.2">
      <c r="A361" s="186"/>
      <c r="B361" s="187"/>
      <c r="C361" s="187"/>
      <c r="D361" s="187"/>
      <c r="E361" s="187"/>
    </row>
    <row r="362" spans="1:7" ht="15" customHeight="1" x14ac:dyDescent="0.2">
      <c r="A362" s="63">
        <v>46224</v>
      </c>
      <c r="B362" s="57" t="s">
        <v>597</v>
      </c>
      <c r="C362" s="57" t="s">
        <v>85</v>
      </c>
      <c r="D362" s="48" t="s">
        <v>598</v>
      </c>
      <c r="E362" s="58" t="s">
        <v>707</v>
      </c>
      <c r="F362" s="48"/>
      <c r="G362" s="51">
        <v>17400</v>
      </c>
    </row>
    <row r="363" spans="1:7" ht="15" customHeight="1" x14ac:dyDescent="0.2">
      <c r="A363" s="186"/>
      <c r="B363" s="3" t="s">
        <v>17</v>
      </c>
      <c r="C363" s="4" t="s">
        <v>18</v>
      </c>
      <c r="D363" s="4" t="s">
        <v>19</v>
      </c>
      <c r="E363" s="3" t="s">
        <v>20</v>
      </c>
    </row>
    <row r="364" spans="1:7" ht="14.25" customHeight="1" x14ac:dyDescent="0.2">
      <c r="A364" s="186"/>
      <c r="B364" s="59" t="s">
        <v>38</v>
      </c>
      <c r="C364" s="60" t="s">
        <v>325</v>
      </c>
      <c r="D364" s="61">
        <v>1800</v>
      </c>
      <c r="E364" s="62"/>
    </row>
    <row r="365" spans="1:7" ht="15" customHeight="1" x14ac:dyDescent="0.2">
      <c r="A365" s="186"/>
      <c r="B365" s="59" t="s">
        <v>148</v>
      </c>
      <c r="C365" s="60" t="s">
        <v>289</v>
      </c>
      <c r="D365" s="61">
        <v>2000</v>
      </c>
      <c r="E365" s="62"/>
    </row>
    <row r="366" spans="1:7" ht="14.25" customHeight="1" x14ac:dyDescent="0.2">
      <c r="A366" s="186"/>
      <c r="B366" s="187"/>
      <c r="C366" s="187"/>
      <c r="D366" s="187"/>
      <c r="E366" s="187"/>
    </row>
    <row r="367" spans="1:7" ht="15" customHeight="1" x14ac:dyDescent="0.2">
      <c r="A367" s="63">
        <v>46225</v>
      </c>
      <c r="B367" s="57" t="s">
        <v>597</v>
      </c>
      <c r="C367" s="57" t="s">
        <v>50</v>
      </c>
      <c r="D367" s="48" t="s">
        <v>598</v>
      </c>
      <c r="E367" s="58" t="s">
        <v>708</v>
      </c>
      <c r="F367" s="48"/>
      <c r="G367" s="51">
        <v>10000</v>
      </c>
    </row>
    <row r="368" spans="1:7" ht="15" customHeight="1" x14ac:dyDescent="0.2">
      <c r="A368" s="186"/>
      <c r="B368" s="3" t="s">
        <v>17</v>
      </c>
      <c r="C368" s="4" t="s">
        <v>18</v>
      </c>
      <c r="D368" s="4" t="s">
        <v>19</v>
      </c>
      <c r="E368" s="3" t="s">
        <v>20</v>
      </c>
    </row>
    <row r="369" spans="1:7" ht="15" customHeight="1" x14ac:dyDescent="0.2">
      <c r="A369" s="186"/>
      <c r="B369" s="59" t="s">
        <v>148</v>
      </c>
      <c r="C369" s="60" t="s">
        <v>377</v>
      </c>
      <c r="D369" s="61">
        <v>2000</v>
      </c>
      <c r="E369" s="62"/>
    </row>
    <row r="370" spans="1:7" ht="14.25" customHeight="1" x14ac:dyDescent="0.2">
      <c r="A370" s="186"/>
      <c r="B370" s="187"/>
      <c r="C370" s="187"/>
      <c r="D370" s="187"/>
      <c r="E370" s="187"/>
    </row>
    <row r="371" spans="1:7" ht="15" customHeight="1" x14ac:dyDescent="0.2">
      <c r="A371" s="63">
        <v>46225</v>
      </c>
      <c r="B371" s="57" t="s">
        <v>597</v>
      </c>
      <c r="C371" s="57" t="s">
        <v>78</v>
      </c>
      <c r="D371" s="48" t="s">
        <v>598</v>
      </c>
      <c r="E371" s="58" t="s">
        <v>709</v>
      </c>
      <c r="F371" s="48"/>
      <c r="G371" s="51">
        <v>18000</v>
      </c>
    </row>
    <row r="372" spans="1:7" ht="15" customHeight="1" x14ac:dyDescent="0.2">
      <c r="A372" s="186"/>
      <c r="B372" s="3" t="s">
        <v>17</v>
      </c>
      <c r="C372" s="4" t="s">
        <v>18</v>
      </c>
      <c r="D372" s="4" t="s">
        <v>19</v>
      </c>
      <c r="E372" s="3" t="s">
        <v>20</v>
      </c>
    </row>
    <row r="373" spans="1:7" ht="15" customHeight="1" x14ac:dyDescent="0.2">
      <c r="A373" s="186"/>
      <c r="B373" s="59" t="s">
        <v>38</v>
      </c>
      <c r="C373" s="60" t="s">
        <v>315</v>
      </c>
      <c r="D373" s="61">
        <v>1800</v>
      </c>
      <c r="E373" s="62"/>
    </row>
    <row r="374" spans="1:7" ht="14.25" customHeight="1" x14ac:dyDescent="0.2">
      <c r="A374" s="186"/>
      <c r="B374" s="187"/>
      <c r="C374" s="187"/>
      <c r="D374" s="187"/>
      <c r="E374" s="187"/>
    </row>
    <row r="375" spans="1:7" ht="15" customHeight="1" x14ac:dyDescent="0.2">
      <c r="A375" s="63">
        <v>46226</v>
      </c>
      <c r="B375" s="57" t="s">
        <v>597</v>
      </c>
      <c r="C375" s="57" t="s">
        <v>29</v>
      </c>
      <c r="D375" s="48" t="s">
        <v>598</v>
      </c>
      <c r="E375" s="58" t="s">
        <v>710</v>
      </c>
      <c r="F375" s="48"/>
      <c r="G375" s="51">
        <v>62400</v>
      </c>
    </row>
    <row r="376" spans="1:7" ht="15" customHeight="1" x14ac:dyDescent="0.2">
      <c r="A376" s="186"/>
      <c r="B376" s="3" t="s">
        <v>17</v>
      </c>
      <c r="C376" s="4" t="s">
        <v>18</v>
      </c>
      <c r="D376" s="4" t="s">
        <v>19</v>
      </c>
      <c r="E376" s="3" t="s">
        <v>20</v>
      </c>
    </row>
    <row r="377" spans="1:7" ht="14.25" customHeight="1" x14ac:dyDescent="0.2">
      <c r="A377" s="186"/>
      <c r="B377" s="59" t="s">
        <v>38</v>
      </c>
      <c r="C377" s="60" t="s">
        <v>711</v>
      </c>
      <c r="D377" s="61">
        <v>1800</v>
      </c>
      <c r="E377" s="62"/>
    </row>
    <row r="378" spans="1:7" ht="15" customHeight="1" x14ac:dyDescent="0.2">
      <c r="A378" s="186"/>
      <c r="B378" s="59" t="s">
        <v>148</v>
      </c>
      <c r="C378" s="60" t="s">
        <v>289</v>
      </c>
      <c r="D378" s="61">
        <v>2000</v>
      </c>
      <c r="E378" s="62"/>
    </row>
    <row r="379" spans="1:7" ht="14.25" customHeight="1" x14ac:dyDescent="0.2">
      <c r="A379" s="186"/>
      <c r="B379" s="187"/>
      <c r="C379" s="187"/>
      <c r="D379" s="187"/>
      <c r="E379" s="187"/>
    </row>
    <row r="380" spans="1:7" ht="15" customHeight="1" x14ac:dyDescent="0.2">
      <c r="A380" s="63">
        <v>46226</v>
      </c>
      <c r="B380" s="57" t="s">
        <v>597</v>
      </c>
      <c r="C380" s="57" t="s">
        <v>157</v>
      </c>
      <c r="D380" s="48" t="s">
        <v>598</v>
      </c>
      <c r="E380" s="58" t="s">
        <v>712</v>
      </c>
      <c r="F380" s="48"/>
      <c r="G380" s="51">
        <v>71800</v>
      </c>
    </row>
    <row r="381" spans="1:7" ht="15" customHeight="1" x14ac:dyDescent="0.2">
      <c r="A381" s="186"/>
      <c r="B381" s="3" t="s">
        <v>17</v>
      </c>
      <c r="C381" s="4" t="s">
        <v>18</v>
      </c>
      <c r="D381" s="4" t="s">
        <v>19</v>
      </c>
      <c r="E381" s="3" t="s">
        <v>20</v>
      </c>
    </row>
    <row r="382" spans="1:7" ht="14.25" customHeight="1" x14ac:dyDescent="0.2">
      <c r="A382" s="186"/>
      <c r="B382" s="59" t="s">
        <v>38</v>
      </c>
      <c r="C382" s="60" t="s">
        <v>428</v>
      </c>
      <c r="D382" s="61">
        <v>1800</v>
      </c>
      <c r="E382" s="62"/>
    </row>
    <row r="383" spans="1:7" ht="15" customHeight="1" x14ac:dyDescent="0.2">
      <c r="A383" s="186"/>
      <c r="B383" s="59" t="s">
        <v>148</v>
      </c>
      <c r="C383" s="60" t="s">
        <v>372</v>
      </c>
      <c r="D383" s="61">
        <v>2000</v>
      </c>
      <c r="E383" s="62"/>
    </row>
    <row r="384" spans="1:7" ht="14.25" customHeight="1" x14ac:dyDescent="0.2">
      <c r="A384" s="186"/>
      <c r="B384" s="187"/>
      <c r="C384" s="187"/>
      <c r="D384" s="187"/>
      <c r="E384" s="187"/>
    </row>
    <row r="385" spans="1:7" ht="15" customHeight="1" x14ac:dyDescent="0.2">
      <c r="A385" s="63">
        <v>46226</v>
      </c>
      <c r="B385" s="57" t="s">
        <v>597</v>
      </c>
      <c r="C385" s="57" t="s">
        <v>29</v>
      </c>
      <c r="D385" s="48" t="s">
        <v>598</v>
      </c>
      <c r="E385" s="58" t="s">
        <v>713</v>
      </c>
      <c r="F385" s="48"/>
      <c r="G385" s="51">
        <v>3600</v>
      </c>
    </row>
    <row r="386" spans="1:7" ht="15" customHeight="1" x14ac:dyDescent="0.2">
      <c r="A386" s="186"/>
      <c r="B386" s="3" t="s">
        <v>17</v>
      </c>
      <c r="C386" s="4" t="s">
        <v>18</v>
      </c>
      <c r="D386" s="4" t="s">
        <v>19</v>
      </c>
      <c r="E386" s="3" t="s">
        <v>20</v>
      </c>
    </row>
    <row r="387" spans="1:7" ht="15" customHeight="1" x14ac:dyDescent="0.2">
      <c r="A387" s="186"/>
      <c r="B387" s="59" t="s">
        <v>38</v>
      </c>
      <c r="C387" s="60" t="s">
        <v>303</v>
      </c>
      <c r="D387" s="61">
        <v>1800</v>
      </c>
      <c r="E387" s="62"/>
    </row>
    <row r="388" spans="1:7" ht="14.25" customHeight="1" x14ac:dyDescent="0.2">
      <c r="A388" s="186"/>
      <c r="B388" s="187"/>
      <c r="C388" s="187"/>
      <c r="D388" s="187"/>
      <c r="E388" s="187"/>
    </row>
    <row r="389" spans="1:7" ht="15" customHeight="1" x14ac:dyDescent="0.2">
      <c r="A389" s="63">
        <v>46227</v>
      </c>
      <c r="B389" s="57" t="s">
        <v>597</v>
      </c>
      <c r="C389" s="57" t="s">
        <v>25</v>
      </c>
      <c r="D389" s="48" t="s">
        <v>598</v>
      </c>
      <c r="E389" s="58" t="s">
        <v>714</v>
      </c>
      <c r="F389" s="48"/>
      <c r="G389" s="51">
        <v>56500</v>
      </c>
    </row>
    <row r="390" spans="1:7" ht="15" customHeight="1" x14ac:dyDescent="0.2">
      <c r="A390" s="186"/>
      <c r="B390" s="3" t="s">
        <v>17</v>
      </c>
      <c r="C390" s="4" t="s">
        <v>18</v>
      </c>
      <c r="D390" s="4" t="s">
        <v>19</v>
      </c>
      <c r="E390" s="3" t="s">
        <v>20</v>
      </c>
    </row>
    <row r="391" spans="1:7" ht="14.25" customHeight="1" x14ac:dyDescent="0.2">
      <c r="A391" s="186"/>
      <c r="B391" s="59" t="s">
        <v>38</v>
      </c>
      <c r="C391" s="60" t="s">
        <v>315</v>
      </c>
      <c r="D391" s="61">
        <v>1800</v>
      </c>
      <c r="E391" s="62"/>
    </row>
    <row r="392" spans="1:7" ht="14.25" customHeight="1" x14ac:dyDescent="0.2">
      <c r="A392" s="186"/>
      <c r="B392" s="59" t="s">
        <v>48</v>
      </c>
      <c r="C392" s="60" t="s">
        <v>351</v>
      </c>
      <c r="D392" s="61">
        <v>1900</v>
      </c>
      <c r="E392" s="62"/>
    </row>
    <row r="393" spans="1:7" ht="15" customHeight="1" x14ac:dyDescent="0.2">
      <c r="A393" s="186"/>
      <c r="B393" s="59" t="s">
        <v>148</v>
      </c>
      <c r="C393" s="60" t="s">
        <v>377</v>
      </c>
      <c r="D393" s="61">
        <v>2000</v>
      </c>
      <c r="E393" s="62"/>
    </row>
    <row r="394" spans="1:7" ht="14.25" customHeight="1" x14ac:dyDescent="0.2">
      <c r="A394" s="186"/>
      <c r="B394" s="187"/>
      <c r="C394" s="187"/>
      <c r="D394" s="187"/>
      <c r="E394" s="187"/>
    </row>
    <row r="395" spans="1:7" ht="15" customHeight="1" x14ac:dyDescent="0.2">
      <c r="A395" s="63">
        <v>46227</v>
      </c>
      <c r="B395" s="57" t="s">
        <v>597</v>
      </c>
      <c r="C395" s="57" t="s">
        <v>66</v>
      </c>
      <c r="D395" s="48" t="s">
        <v>598</v>
      </c>
      <c r="E395" s="58" t="s">
        <v>715</v>
      </c>
      <c r="F395" s="48"/>
      <c r="G395" s="51">
        <v>764500</v>
      </c>
    </row>
    <row r="396" spans="1:7" ht="15" customHeight="1" x14ac:dyDescent="0.2">
      <c r="A396" s="186"/>
      <c r="B396" s="3" t="s">
        <v>17</v>
      </c>
      <c r="C396" s="4" t="s">
        <v>18</v>
      </c>
      <c r="D396" s="4" t="s">
        <v>19</v>
      </c>
      <c r="E396" s="3" t="s">
        <v>20</v>
      </c>
    </row>
    <row r="397" spans="1:7" ht="14.25" customHeight="1" x14ac:dyDescent="0.2">
      <c r="A397" s="186"/>
      <c r="B397" s="59" t="s">
        <v>22</v>
      </c>
      <c r="C397" s="60" t="s">
        <v>275</v>
      </c>
      <c r="D397" s="61">
        <v>8500</v>
      </c>
      <c r="E397" s="62"/>
    </row>
    <row r="398" spans="1:7" ht="15" customHeight="1" x14ac:dyDescent="0.2">
      <c r="A398" s="186"/>
      <c r="B398" s="59" t="s">
        <v>38</v>
      </c>
      <c r="C398" s="60" t="s">
        <v>362</v>
      </c>
      <c r="D398" s="61">
        <v>1800</v>
      </c>
      <c r="E398" s="62"/>
    </row>
    <row r="399" spans="1:7" ht="14.25" customHeight="1" x14ac:dyDescent="0.2">
      <c r="A399" s="186"/>
      <c r="B399" s="187"/>
      <c r="C399" s="187"/>
      <c r="D399" s="187"/>
      <c r="E399" s="187"/>
    </row>
    <row r="400" spans="1:7" ht="15" customHeight="1" x14ac:dyDescent="0.2">
      <c r="A400" s="63">
        <v>46227</v>
      </c>
      <c r="B400" s="57" t="s">
        <v>597</v>
      </c>
      <c r="C400" s="57" t="s">
        <v>29</v>
      </c>
      <c r="D400" s="48" t="s">
        <v>598</v>
      </c>
      <c r="E400" s="58" t="s">
        <v>716</v>
      </c>
      <c r="F400" s="48"/>
      <c r="G400" s="51">
        <v>56400</v>
      </c>
    </row>
    <row r="401" spans="1:7" ht="15" customHeight="1" x14ac:dyDescent="0.2">
      <c r="A401" s="186"/>
      <c r="B401" s="3" t="s">
        <v>17</v>
      </c>
      <c r="C401" s="4" t="s">
        <v>18</v>
      </c>
      <c r="D401" s="4" t="s">
        <v>19</v>
      </c>
      <c r="E401" s="3" t="s">
        <v>20</v>
      </c>
    </row>
    <row r="402" spans="1:7" ht="14.25" customHeight="1" x14ac:dyDescent="0.2">
      <c r="A402" s="186"/>
      <c r="B402" s="59" t="s">
        <v>38</v>
      </c>
      <c r="C402" s="60" t="s">
        <v>711</v>
      </c>
      <c r="D402" s="61">
        <v>1800</v>
      </c>
      <c r="E402" s="62"/>
    </row>
    <row r="403" spans="1:7" ht="15" customHeight="1" x14ac:dyDescent="0.2">
      <c r="A403" s="186"/>
      <c r="B403" s="59" t="s">
        <v>148</v>
      </c>
      <c r="C403" s="60" t="s">
        <v>325</v>
      </c>
      <c r="D403" s="61">
        <v>2000</v>
      </c>
      <c r="E403" s="62"/>
    </row>
    <row r="404" spans="1:7" ht="14.25" customHeight="1" x14ac:dyDescent="0.2">
      <c r="A404" s="186"/>
      <c r="B404" s="187"/>
      <c r="C404" s="187"/>
      <c r="D404" s="187"/>
      <c r="E404" s="187"/>
    </row>
    <row r="405" spans="1:7" ht="15" customHeight="1" x14ac:dyDescent="0.2">
      <c r="A405" s="63">
        <v>46228</v>
      </c>
      <c r="B405" s="57" t="s">
        <v>597</v>
      </c>
      <c r="C405" s="57" t="s">
        <v>75</v>
      </c>
      <c r="D405" s="48" t="s">
        <v>598</v>
      </c>
      <c r="E405" s="58" t="s">
        <v>717</v>
      </c>
      <c r="F405" s="48"/>
      <c r="G405" s="51">
        <v>1800</v>
      </c>
    </row>
    <row r="406" spans="1:7" ht="15" customHeight="1" x14ac:dyDescent="0.2">
      <c r="A406" s="186"/>
      <c r="B406" s="3" t="s">
        <v>17</v>
      </c>
      <c r="C406" s="4" t="s">
        <v>18</v>
      </c>
      <c r="D406" s="4" t="s">
        <v>19</v>
      </c>
      <c r="E406" s="3" t="s">
        <v>20</v>
      </c>
    </row>
    <row r="407" spans="1:7" ht="15" customHeight="1" x14ac:dyDescent="0.2">
      <c r="A407" s="186"/>
      <c r="B407" s="59" t="s">
        <v>38</v>
      </c>
      <c r="C407" s="60" t="s">
        <v>293</v>
      </c>
      <c r="D407" s="61">
        <v>1800</v>
      </c>
      <c r="E407" s="62"/>
    </row>
    <row r="408" spans="1:7" ht="14.25" customHeight="1" x14ac:dyDescent="0.2">
      <c r="A408" s="186"/>
      <c r="B408" s="187"/>
      <c r="C408" s="187"/>
      <c r="D408" s="187"/>
      <c r="E408" s="187"/>
    </row>
    <row r="409" spans="1:7" ht="15" customHeight="1" x14ac:dyDescent="0.2">
      <c r="A409" s="63">
        <v>46228</v>
      </c>
      <c r="B409" s="57" t="s">
        <v>597</v>
      </c>
      <c r="C409" s="57" t="s">
        <v>154</v>
      </c>
      <c r="D409" s="48" t="s">
        <v>598</v>
      </c>
      <c r="E409" s="58" t="s">
        <v>718</v>
      </c>
      <c r="F409" s="48"/>
      <c r="G409" s="51">
        <v>18000</v>
      </c>
    </row>
    <row r="410" spans="1:7" ht="15" customHeight="1" x14ac:dyDescent="0.2">
      <c r="A410" s="186"/>
      <c r="B410" s="3" t="s">
        <v>17</v>
      </c>
      <c r="C410" s="4" t="s">
        <v>18</v>
      </c>
      <c r="D410" s="4" t="s">
        <v>19</v>
      </c>
      <c r="E410" s="3" t="s">
        <v>20</v>
      </c>
    </row>
    <row r="411" spans="1:7" ht="15" customHeight="1" x14ac:dyDescent="0.2">
      <c r="A411" s="186"/>
      <c r="B411" s="59" t="s">
        <v>38</v>
      </c>
      <c r="C411" s="60" t="s">
        <v>315</v>
      </c>
      <c r="D411" s="61">
        <v>1800</v>
      </c>
      <c r="E411" s="62"/>
    </row>
    <row r="412" spans="1:7" ht="14.25" customHeight="1" x14ac:dyDescent="0.2">
      <c r="A412" s="186"/>
      <c r="B412" s="187"/>
      <c r="C412" s="187"/>
      <c r="D412" s="187"/>
      <c r="E412" s="187"/>
    </row>
    <row r="413" spans="1:7" ht="15" customHeight="1" x14ac:dyDescent="0.2">
      <c r="A413" s="63">
        <v>46228</v>
      </c>
      <c r="B413" s="57" t="s">
        <v>597</v>
      </c>
      <c r="C413" s="57" t="s">
        <v>29</v>
      </c>
      <c r="D413" s="48" t="s">
        <v>598</v>
      </c>
      <c r="E413" s="58" t="s">
        <v>719</v>
      </c>
      <c r="F413" s="48"/>
      <c r="G413" s="51">
        <v>100800</v>
      </c>
    </row>
    <row r="414" spans="1:7" ht="15" customHeight="1" x14ac:dyDescent="0.2">
      <c r="A414" s="186"/>
      <c r="B414" s="3" t="s">
        <v>17</v>
      </c>
      <c r="C414" s="4" t="s">
        <v>18</v>
      </c>
      <c r="D414" s="4" t="s">
        <v>19</v>
      </c>
      <c r="E414" s="3" t="s">
        <v>20</v>
      </c>
    </row>
    <row r="415" spans="1:7" ht="14.25" customHeight="1" x14ac:dyDescent="0.2">
      <c r="A415" s="186"/>
      <c r="B415" s="59" t="s">
        <v>38</v>
      </c>
      <c r="C415" s="60" t="s">
        <v>687</v>
      </c>
      <c r="D415" s="61">
        <v>1800</v>
      </c>
      <c r="E415" s="62"/>
    </row>
    <row r="416" spans="1:7" ht="15" customHeight="1" x14ac:dyDescent="0.2">
      <c r="A416" s="186"/>
      <c r="B416" s="59" t="s">
        <v>148</v>
      </c>
      <c r="C416" s="60" t="s">
        <v>529</v>
      </c>
      <c r="D416" s="61">
        <v>2000</v>
      </c>
      <c r="E416" s="62"/>
    </row>
    <row r="417" spans="1:7" ht="14.25" customHeight="1" x14ac:dyDescent="0.2">
      <c r="A417" s="186"/>
      <c r="B417" s="187"/>
      <c r="C417" s="187"/>
      <c r="D417" s="187"/>
      <c r="E417" s="187"/>
    </row>
    <row r="418" spans="1:7" ht="15" customHeight="1" x14ac:dyDescent="0.2">
      <c r="A418" s="63">
        <v>46228</v>
      </c>
      <c r="B418" s="57" t="s">
        <v>597</v>
      </c>
      <c r="C418" s="57" t="s">
        <v>75</v>
      </c>
      <c r="D418" s="48" t="s">
        <v>598</v>
      </c>
      <c r="E418" s="58" t="s">
        <v>720</v>
      </c>
      <c r="F418" s="48"/>
      <c r="G418" s="51">
        <v>5400</v>
      </c>
    </row>
    <row r="419" spans="1:7" ht="15" customHeight="1" x14ac:dyDescent="0.2">
      <c r="A419" s="186"/>
      <c r="B419" s="3" t="s">
        <v>17</v>
      </c>
      <c r="C419" s="4" t="s">
        <v>18</v>
      </c>
      <c r="D419" s="4" t="s">
        <v>19</v>
      </c>
      <c r="E419" s="3" t="s">
        <v>20</v>
      </c>
    </row>
    <row r="420" spans="1:7" ht="15" customHeight="1" x14ac:dyDescent="0.2">
      <c r="A420" s="186"/>
      <c r="B420" s="59" t="s">
        <v>38</v>
      </c>
      <c r="C420" s="60" t="s">
        <v>325</v>
      </c>
      <c r="D420" s="61">
        <v>1800</v>
      </c>
      <c r="E420" s="62"/>
    </row>
    <row r="421" spans="1:7" ht="14.25" customHeight="1" x14ac:dyDescent="0.2">
      <c r="A421" s="186"/>
      <c r="B421" s="187"/>
      <c r="C421" s="187"/>
      <c r="D421" s="187"/>
      <c r="E421" s="187"/>
    </row>
    <row r="422" spans="1:7" ht="15" customHeight="1" x14ac:dyDescent="0.2">
      <c r="A422" s="63">
        <v>46230</v>
      </c>
      <c r="B422" s="57" t="s">
        <v>597</v>
      </c>
      <c r="C422" s="57" t="s">
        <v>212</v>
      </c>
      <c r="D422" s="48" t="s">
        <v>598</v>
      </c>
      <c r="E422" s="58" t="s">
        <v>721</v>
      </c>
      <c r="F422" s="48"/>
      <c r="G422" s="51">
        <v>1900</v>
      </c>
    </row>
    <row r="423" spans="1:7" ht="15" customHeight="1" x14ac:dyDescent="0.2">
      <c r="A423" s="186"/>
      <c r="B423" s="3" t="s">
        <v>17</v>
      </c>
      <c r="C423" s="4" t="s">
        <v>18</v>
      </c>
      <c r="D423" s="4" t="s">
        <v>19</v>
      </c>
      <c r="E423" s="3" t="s">
        <v>20</v>
      </c>
    </row>
    <row r="424" spans="1:7" ht="15" customHeight="1" x14ac:dyDescent="0.2">
      <c r="A424" s="186"/>
      <c r="B424" s="59" t="s">
        <v>48</v>
      </c>
      <c r="C424" s="60" t="s">
        <v>293</v>
      </c>
      <c r="D424" s="61">
        <v>1900</v>
      </c>
      <c r="E424" s="62"/>
    </row>
    <row r="425" spans="1:7" ht="14.25" customHeight="1" x14ac:dyDescent="0.2">
      <c r="A425" s="186"/>
      <c r="B425" s="187"/>
      <c r="C425" s="187"/>
      <c r="D425" s="187"/>
      <c r="E425" s="187"/>
    </row>
    <row r="426" spans="1:7" ht="15" customHeight="1" x14ac:dyDescent="0.2">
      <c r="A426" s="63">
        <v>46230</v>
      </c>
      <c r="B426" s="57" t="s">
        <v>597</v>
      </c>
      <c r="C426" s="57" t="s">
        <v>145</v>
      </c>
      <c r="D426" s="48" t="s">
        <v>598</v>
      </c>
      <c r="E426" s="58" t="s">
        <v>722</v>
      </c>
      <c r="F426" s="48"/>
      <c r="G426" s="51">
        <v>13600</v>
      </c>
    </row>
    <row r="427" spans="1:7" ht="15" customHeight="1" x14ac:dyDescent="0.2">
      <c r="A427" s="186"/>
      <c r="B427" s="3" t="s">
        <v>17</v>
      </c>
      <c r="C427" s="4" t="s">
        <v>18</v>
      </c>
      <c r="D427" s="4" t="s">
        <v>19</v>
      </c>
      <c r="E427" s="3" t="s">
        <v>20</v>
      </c>
    </row>
    <row r="428" spans="1:7" ht="14.25" customHeight="1" x14ac:dyDescent="0.2">
      <c r="A428" s="186"/>
      <c r="B428" s="59" t="s">
        <v>38</v>
      </c>
      <c r="C428" s="60" t="s">
        <v>303</v>
      </c>
      <c r="D428" s="61">
        <v>1800</v>
      </c>
      <c r="E428" s="62"/>
    </row>
    <row r="429" spans="1:7" ht="15" customHeight="1" x14ac:dyDescent="0.2">
      <c r="A429" s="186"/>
      <c r="B429" s="59" t="s">
        <v>148</v>
      </c>
      <c r="C429" s="60" t="s">
        <v>377</v>
      </c>
      <c r="D429" s="61">
        <v>2000</v>
      </c>
      <c r="E429" s="62"/>
    </row>
    <row r="430" spans="1:7" ht="14.25" customHeight="1" x14ac:dyDescent="0.2">
      <c r="A430" s="186"/>
      <c r="B430" s="187"/>
      <c r="C430" s="187"/>
      <c r="D430" s="187"/>
      <c r="E430" s="187"/>
    </row>
    <row r="431" spans="1:7" ht="15" customHeight="1" x14ac:dyDescent="0.2">
      <c r="A431" s="63">
        <v>46230</v>
      </c>
      <c r="B431" s="57" t="s">
        <v>597</v>
      </c>
      <c r="C431" s="57" t="s">
        <v>85</v>
      </c>
      <c r="D431" s="48" t="s">
        <v>598</v>
      </c>
      <c r="E431" s="58" t="s">
        <v>723</v>
      </c>
      <c r="F431" s="48"/>
      <c r="G431" s="51">
        <v>44400</v>
      </c>
    </row>
    <row r="432" spans="1:7" ht="15" customHeight="1" x14ac:dyDescent="0.2">
      <c r="A432" s="186"/>
      <c r="B432" s="3" t="s">
        <v>17</v>
      </c>
      <c r="C432" s="4" t="s">
        <v>18</v>
      </c>
      <c r="D432" s="4" t="s">
        <v>19</v>
      </c>
      <c r="E432" s="3" t="s">
        <v>20</v>
      </c>
    </row>
    <row r="433" spans="1:7" ht="14.25" customHeight="1" x14ac:dyDescent="0.2">
      <c r="A433" s="186"/>
      <c r="B433" s="59" t="s">
        <v>38</v>
      </c>
      <c r="C433" s="60" t="s">
        <v>372</v>
      </c>
      <c r="D433" s="61">
        <v>1800</v>
      </c>
      <c r="E433" s="62"/>
    </row>
    <row r="434" spans="1:7" ht="15" customHeight="1" x14ac:dyDescent="0.2">
      <c r="A434" s="186"/>
      <c r="B434" s="59" t="s">
        <v>148</v>
      </c>
      <c r="C434" s="60" t="s">
        <v>351</v>
      </c>
      <c r="D434" s="61">
        <v>2000</v>
      </c>
      <c r="E434" s="62"/>
    </row>
    <row r="435" spans="1:7" ht="14.25" customHeight="1" x14ac:dyDescent="0.2">
      <c r="A435" s="186"/>
      <c r="B435" s="187"/>
      <c r="C435" s="187"/>
      <c r="D435" s="187"/>
      <c r="E435" s="187"/>
    </row>
    <row r="436" spans="1:7" ht="15" customHeight="1" x14ac:dyDescent="0.2">
      <c r="A436" s="63">
        <v>46230</v>
      </c>
      <c r="B436" s="57" t="s">
        <v>597</v>
      </c>
      <c r="C436" s="57" t="s">
        <v>15</v>
      </c>
      <c r="D436" s="48" t="s">
        <v>598</v>
      </c>
      <c r="E436" s="58" t="s">
        <v>724</v>
      </c>
      <c r="F436" s="48"/>
      <c r="G436" s="51">
        <v>7300</v>
      </c>
    </row>
    <row r="437" spans="1:7" ht="15" customHeight="1" x14ac:dyDescent="0.2">
      <c r="A437" s="186"/>
      <c r="B437" s="3" t="s">
        <v>17</v>
      </c>
      <c r="C437" s="4" t="s">
        <v>18</v>
      </c>
      <c r="D437" s="4" t="s">
        <v>19</v>
      </c>
      <c r="E437" s="3" t="s">
        <v>20</v>
      </c>
    </row>
    <row r="438" spans="1:7" ht="14.25" customHeight="1" x14ac:dyDescent="0.2">
      <c r="A438" s="186"/>
      <c r="B438" s="59" t="s">
        <v>38</v>
      </c>
      <c r="C438" s="60" t="s">
        <v>325</v>
      </c>
      <c r="D438" s="61">
        <v>1800</v>
      </c>
      <c r="E438" s="62"/>
    </row>
    <row r="439" spans="1:7" ht="15" customHeight="1" x14ac:dyDescent="0.2">
      <c r="A439" s="186"/>
      <c r="B439" s="59" t="s">
        <v>48</v>
      </c>
      <c r="C439" s="60" t="s">
        <v>293</v>
      </c>
      <c r="D439" s="61">
        <v>1900</v>
      </c>
      <c r="E439" s="62"/>
    </row>
    <row r="440" spans="1:7" ht="14.25" customHeight="1" x14ac:dyDescent="0.2">
      <c r="A440" s="186"/>
      <c r="B440" s="187"/>
      <c r="C440" s="187"/>
      <c r="D440" s="187"/>
      <c r="E440" s="187"/>
    </row>
    <row r="441" spans="1:7" ht="15" customHeight="1" x14ac:dyDescent="0.2">
      <c r="A441" s="48"/>
      <c r="B441" s="188" t="s">
        <v>725</v>
      </c>
      <c r="C441" s="188"/>
      <c r="D441" s="188"/>
    </row>
    <row r="442" spans="1:7" ht="15" customHeight="1" x14ac:dyDescent="0.2">
      <c r="A442" s="63">
        <v>46231</v>
      </c>
      <c r="B442" s="57" t="s">
        <v>597</v>
      </c>
      <c r="C442" s="57" t="s">
        <v>139</v>
      </c>
      <c r="D442" s="48" t="s">
        <v>598</v>
      </c>
      <c r="E442" s="58" t="s">
        <v>726</v>
      </c>
      <c r="F442" s="48"/>
      <c r="G442" s="51">
        <v>126000</v>
      </c>
    </row>
    <row r="443" spans="1:7" ht="15" customHeight="1" x14ac:dyDescent="0.2">
      <c r="A443" s="186"/>
      <c r="B443" s="3" t="s">
        <v>17</v>
      </c>
      <c r="C443" s="4" t="s">
        <v>18</v>
      </c>
      <c r="D443" s="4" t="s">
        <v>19</v>
      </c>
      <c r="E443" s="3" t="s">
        <v>20</v>
      </c>
    </row>
    <row r="444" spans="1:7" ht="15" customHeight="1" x14ac:dyDescent="0.2">
      <c r="A444" s="186"/>
      <c r="B444" s="59" t="s">
        <v>38</v>
      </c>
      <c r="C444" s="60" t="s">
        <v>340</v>
      </c>
      <c r="D444" s="61">
        <v>1800</v>
      </c>
      <c r="E444" s="62"/>
    </row>
    <row r="445" spans="1:7" ht="14.25" customHeight="1" x14ac:dyDescent="0.2">
      <c r="A445" s="186"/>
      <c r="B445" s="187"/>
      <c r="C445" s="187"/>
      <c r="D445" s="187"/>
      <c r="E445" s="187"/>
    </row>
    <row r="446" spans="1:7" ht="15" customHeight="1" x14ac:dyDescent="0.2">
      <c r="A446" s="63">
        <v>46231</v>
      </c>
      <c r="B446" s="57" t="s">
        <v>597</v>
      </c>
      <c r="C446" s="57" t="s">
        <v>165</v>
      </c>
      <c r="D446" s="48" t="s">
        <v>598</v>
      </c>
      <c r="E446" s="58" t="s">
        <v>727</v>
      </c>
      <c r="F446" s="48"/>
      <c r="G446" s="51">
        <v>700000</v>
      </c>
    </row>
    <row r="447" spans="1:7" ht="15" customHeight="1" x14ac:dyDescent="0.2">
      <c r="A447" s="186"/>
      <c r="B447" s="3" t="s">
        <v>17</v>
      </c>
      <c r="C447" s="4" t="s">
        <v>18</v>
      </c>
      <c r="D447" s="4" t="s">
        <v>19</v>
      </c>
      <c r="E447" s="3" t="s">
        <v>20</v>
      </c>
    </row>
    <row r="448" spans="1:7" ht="14.25" customHeight="1" x14ac:dyDescent="0.2">
      <c r="A448" s="186"/>
      <c r="B448" s="59" t="s">
        <v>38</v>
      </c>
      <c r="C448" s="60" t="s">
        <v>478</v>
      </c>
      <c r="D448" s="61">
        <v>1800</v>
      </c>
      <c r="E448" s="62"/>
    </row>
    <row r="449" spans="1:7" ht="14.25" customHeight="1" x14ac:dyDescent="0.2">
      <c r="A449" s="186"/>
      <c r="B449" s="59" t="s">
        <v>148</v>
      </c>
      <c r="C449" s="60" t="s">
        <v>271</v>
      </c>
      <c r="D449" s="61">
        <v>2000</v>
      </c>
      <c r="E449" s="62"/>
    </row>
    <row r="450" spans="1:7" ht="15" customHeight="1" x14ac:dyDescent="0.2">
      <c r="A450" s="186"/>
      <c r="B450" s="59" t="s">
        <v>49</v>
      </c>
      <c r="C450" s="60" t="s">
        <v>319</v>
      </c>
      <c r="D450" s="61">
        <v>5000</v>
      </c>
      <c r="E450" s="62"/>
    </row>
    <row r="451" spans="1:7" ht="14.25" customHeight="1" x14ac:dyDescent="0.2">
      <c r="A451" s="186"/>
      <c r="B451" s="187"/>
      <c r="C451" s="187"/>
      <c r="D451" s="187"/>
      <c r="E451" s="187"/>
    </row>
    <row r="452" spans="1:7" ht="15" customHeight="1" x14ac:dyDescent="0.2">
      <c r="A452" s="63">
        <v>46231</v>
      </c>
      <c r="B452" s="57" t="s">
        <v>597</v>
      </c>
      <c r="C452" s="57" t="s">
        <v>59</v>
      </c>
      <c r="D452" s="48" t="s">
        <v>598</v>
      </c>
      <c r="E452" s="58" t="s">
        <v>728</v>
      </c>
      <c r="F452" s="48"/>
      <c r="G452" s="51">
        <v>80000</v>
      </c>
    </row>
    <row r="453" spans="1:7" ht="15" customHeight="1" x14ac:dyDescent="0.2">
      <c r="A453" s="186"/>
      <c r="B453" s="3" t="s">
        <v>17</v>
      </c>
      <c r="C453" s="4" t="s">
        <v>18</v>
      </c>
      <c r="D453" s="4" t="s">
        <v>19</v>
      </c>
      <c r="E453" s="3" t="s">
        <v>20</v>
      </c>
    </row>
    <row r="454" spans="1:7" ht="15" customHeight="1" x14ac:dyDescent="0.2">
      <c r="A454" s="186"/>
      <c r="B454" s="59" t="s">
        <v>38</v>
      </c>
      <c r="C454" s="60" t="s">
        <v>481</v>
      </c>
      <c r="D454" s="61">
        <v>2000</v>
      </c>
      <c r="E454" s="62"/>
    </row>
    <row r="455" spans="1:7" ht="14.25" customHeight="1" x14ac:dyDescent="0.2">
      <c r="A455" s="186"/>
      <c r="B455" s="187"/>
      <c r="C455" s="187"/>
      <c r="D455" s="187"/>
      <c r="E455" s="187"/>
    </row>
    <row r="456" spans="1:7" ht="15" customHeight="1" x14ac:dyDescent="0.2">
      <c r="A456" s="63">
        <v>46231</v>
      </c>
      <c r="B456" s="57" t="s">
        <v>597</v>
      </c>
      <c r="C456" s="57" t="s">
        <v>75</v>
      </c>
      <c r="D456" s="48" t="s">
        <v>598</v>
      </c>
      <c r="E456" s="58" t="s">
        <v>729</v>
      </c>
      <c r="F456" s="48"/>
      <c r="G456" s="51">
        <v>7200</v>
      </c>
    </row>
    <row r="457" spans="1:7" ht="15" customHeight="1" x14ac:dyDescent="0.2">
      <c r="A457" s="186"/>
      <c r="B457" s="3" t="s">
        <v>17</v>
      </c>
      <c r="C457" s="4" t="s">
        <v>18</v>
      </c>
      <c r="D457" s="4" t="s">
        <v>19</v>
      </c>
      <c r="E457" s="3" t="s">
        <v>20</v>
      </c>
    </row>
    <row r="458" spans="1:7" ht="15" customHeight="1" x14ac:dyDescent="0.2">
      <c r="A458" s="186"/>
      <c r="B458" s="59" t="s">
        <v>38</v>
      </c>
      <c r="C458" s="60" t="s">
        <v>354</v>
      </c>
      <c r="D458" s="61">
        <v>1800</v>
      </c>
      <c r="E458" s="62"/>
    </row>
    <row r="459" spans="1:7" ht="14.25" customHeight="1" x14ac:dyDescent="0.2">
      <c r="A459" s="186"/>
      <c r="B459" s="187"/>
      <c r="C459" s="187"/>
      <c r="D459" s="187"/>
      <c r="E459" s="187"/>
    </row>
    <row r="460" spans="1:7" ht="15" customHeight="1" x14ac:dyDescent="0.2">
      <c r="A460" s="63">
        <v>46231</v>
      </c>
      <c r="B460" s="57" t="s">
        <v>597</v>
      </c>
      <c r="C460" s="57" t="s">
        <v>152</v>
      </c>
      <c r="D460" s="48" t="s">
        <v>598</v>
      </c>
      <c r="E460" s="58" t="s">
        <v>730</v>
      </c>
      <c r="F460" s="48"/>
      <c r="G460" s="51">
        <v>100000</v>
      </c>
    </row>
    <row r="461" spans="1:7" ht="15" customHeight="1" x14ac:dyDescent="0.2">
      <c r="A461" s="186"/>
      <c r="B461" s="3" t="s">
        <v>17</v>
      </c>
      <c r="C461" s="4" t="s">
        <v>18</v>
      </c>
      <c r="D461" s="4" t="s">
        <v>19</v>
      </c>
      <c r="E461" s="3" t="s">
        <v>20</v>
      </c>
    </row>
    <row r="462" spans="1:7" ht="15" customHeight="1" x14ac:dyDescent="0.2">
      <c r="A462" s="186"/>
      <c r="B462" s="59" t="s">
        <v>148</v>
      </c>
      <c r="C462" s="60" t="s">
        <v>453</v>
      </c>
      <c r="D462" s="61">
        <v>2000</v>
      </c>
      <c r="E462" s="62"/>
    </row>
    <row r="463" spans="1:7" ht="14.25" customHeight="1" x14ac:dyDescent="0.2">
      <c r="A463" s="186"/>
      <c r="B463" s="187"/>
      <c r="C463" s="187"/>
      <c r="D463" s="187"/>
      <c r="E463" s="187"/>
    </row>
    <row r="464" spans="1:7" ht="15" customHeight="1" x14ac:dyDescent="0.2">
      <c r="A464" s="63">
        <v>46231</v>
      </c>
      <c r="B464" s="57" t="s">
        <v>597</v>
      </c>
      <c r="C464" s="57" t="s">
        <v>29</v>
      </c>
      <c r="D464" s="48" t="s">
        <v>598</v>
      </c>
      <c r="E464" s="58" t="s">
        <v>731</v>
      </c>
      <c r="F464" s="48"/>
      <c r="G464" s="51">
        <v>18000</v>
      </c>
    </row>
    <row r="465" spans="1:7" ht="15" customHeight="1" x14ac:dyDescent="0.2">
      <c r="A465" s="186"/>
      <c r="B465" s="3" t="s">
        <v>17</v>
      </c>
      <c r="C465" s="4" t="s">
        <v>18</v>
      </c>
      <c r="D465" s="4" t="s">
        <v>19</v>
      </c>
      <c r="E465" s="3" t="s">
        <v>20</v>
      </c>
    </row>
    <row r="466" spans="1:7" ht="15" customHeight="1" x14ac:dyDescent="0.2">
      <c r="A466" s="186"/>
      <c r="B466" s="59" t="s">
        <v>38</v>
      </c>
      <c r="C466" s="60" t="s">
        <v>315</v>
      </c>
      <c r="D466" s="61">
        <v>1800</v>
      </c>
      <c r="E466" s="62"/>
    </row>
    <row r="467" spans="1:7" ht="14.25" customHeight="1" x14ac:dyDescent="0.2">
      <c r="A467" s="186"/>
      <c r="B467" s="187"/>
      <c r="C467" s="187"/>
      <c r="D467" s="187"/>
      <c r="E467" s="187"/>
    </row>
    <row r="468" spans="1:7" ht="15" customHeight="1" x14ac:dyDescent="0.2">
      <c r="A468" s="63">
        <v>46231</v>
      </c>
      <c r="B468" s="57" t="s">
        <v>597</v>
      </c>
      <c r="C468" s="57" t="s">
        <v>104</v>
      </c>
      <c r="D468" s="48" t="s">
        <v>598</v>
      </c>
      <c r="E468" s="58" t="s">
        <v>732</v>
      </c>
      <c r="F468" s="48"/>
      <c r="G468" s="51">
        <v>14400</v>
      </c>
    </row>
    <row r="469" spans="1:7" ht="15" customHeight="1" x14ac:dyDescent="0.2">
      <c r="A469" s="186"/>
      <c r="B469" s="3" t="s">
        <v>17</v>
      </c>
      <c r="C469" s="4" t="s">
        <v>18</v>
      </c>
      <c r="D469" s="4" t="s">
        <v>19</v>
      </c>
      <c r="E469" s="3" t="s">
        <v>20</v>
      </c>
    </row>
    <row r="470" spans="1:7" ht="15" customHeight="1" x14ac:dyDescent="0.2">
      <c r="A470" s="186"/>
      <c r="B470" s="59" t="s">
        <v>38</v>
      </c>
      <c r="C470" s="60" t="s">
        <v>372</v>
      </c>
      <c r="D470" s="61">
        <v>1800</v>
      </c>
      <c r="E470" s="62"/>
    </row>
    <row r="471" spans="1:7" ht="14.25" customHeight="1" x14ac:dyDescent="0.2">
      <c r="A471" s="186"/>
      <c r="B471" s="187"/>
      <c r="C471" s="187"/>
      <c r="D471" s="187"/>
      <c r="E471" s="187"/>
    </row>
    <row r="472" spans="1:7" ht="15" customHeight="1" x14ac:dyDescent="0.2">
      <c r="A472" s="63">
        <v>46232</v>
      </c>
      <c r="B472" s="57" t="s">
        <v>597</v>
      </c>
      <c r="C472" s="57" t="s">
        <v>29</v>
      </c>
      <c r="D472" s="48" t="s">
        <v>598</v>
      </c>
      <c r="E472" s="58" t="s">
        <v>733</v>
      </c>
      <c r="F472" s="48"/>
      <c r="G472" s="51">
        <v>120800</v>
      </c>
    </row>
    <row r="473" spans="1:7" ht="15" customHeight="1" x14ac:dyDescent="0.2">
      <c r="A473" s="186"/>
      <c r="B473" s="3" t="s">
        <v>17</v>
      </c>
      <c r="C473" s="4" t="s">
        <v>18</v>
      </c>
      <c r="D473" s="4" t="s">
        <v>19</v>
      </c>
      <c r="E473" s="3" t="s">
        <v>20</v>
      </c>
    </row>
    <row r="474" spans="1:7" ht="14.25" customHeight="1" x14ac:dyDescent="0.2">
      <c r="A474" s="186"/>
      <c r="B474" s="59" t="s">
        <v>38</v>
      </c>
      <c r="C474" s="60" t="s">
        <v>687</v>
      </c>
      <c r="D474" s="61">
        <v>1800</v>
      </c>
      <c r="E474" s="62"/>
    </row>
    <row r="475" spans="1:7" ht="15" customHeight="1" x14ac:dyDescent="0.2">
      <c r="A475" s="186"/>
      <c r="B475" s="59" t="s">
        <v>148</v>
      </c>
      <c r="C475" s="60" t="s">
        <v>528</v>
      </c>
      <c r="D475" s="61">
        <v>2000</v>
      </c>
      <c r="E475" s="62"/>
    </row>
    <row r="476" spans="1:7" ht="14.25" customHeight="1" x14ac:dyDescent="0.2">
      <c r="A476" s="186"/>
      <c r="B476" s="187"/>
      <c r="C476" s="187"/>
      <c r="D476" s="187"/>
      <c r="E476" s="187"/>
    </row>
    <row r="477" spans="1:7" ht="15" customHeight="1" x14ac:dyDescent="0.2">
      <c r="A477" s="63">
        <v>46232</v>
      </c>
      <c r="B477" s="57" t="s">
        <v>597</v>
      </c>
      <c r="C477" s="57" t="s">
        <v>63</v>
      </c>
      <c r="D477" s="48" t="s">
        <v>598</v>
      </c>
      <c r="E477" s="58" t="s">
        <v>734</v>
      </c>
      <c r="F477" s="48"/>
      <c r="G477" s="51">
        <v>572000</v>
      </c>
    </row>
    <row r="478" spans="1:7" ht="15" customHeight="1" x14ac:dyDescent="0.2">
      <c r="A478" s="186"/>
      <c r="B478" s="3" t="s">
        <v>17</v>
      </c>
      <c r="C478" s="4" t="s">
        <v>18</v>
      </c>
      <c r="D478" s="4" t="s">
        <v>19</v>
      </c>
      <c r="E478" s="3" t="s">
        <v>20</v>
      </c>
    </row>
    <row r="479" spans="1:7" ht="14.25" customHeight="1" x14ac:dyDescent="0.2">
      <c r="A479" s="186"/>
      <c r="B479" s="59" t="s">
        <v>38</v>
      </c>
      <c r="C479" s="60" t="s">
        <v>517</v>
      </c>
      <c r="D479" s="61">
        <v>1800</v>
      </c>
      <c r="E479" s="62"/>
    </row>
    <row r="480" spans="1:7" ht="15" customHeight="1" x14ac:dyDescent="0.2">
      <c r="A480" s="186"/>
      <c r="B480" s="59" t="s">
        <v>48</v>
      </c>
      <c r="C480" s="60" t="s">
        <v>308</v>
      </c>
      <c r="D480" s="61">
        <v>1900</v>
      </c>
      <c r="E480" s="62"/>
    </row>
    <row r="481" spans="1:7" ht="14.25" customHeight="1" x14ac:dyDescent="0.2">
      <c r="A481" s="186"/>
      <c r="B481" s="187"/>
      <c r="C481" s="187"/>
      <c r="D481" s="187"/>
      <c r="E481" s="187"/>
    </row>
    <row r="482" spans="1:7" ht="15" customHeight="1" x14ac:dyDescent="0.2">
      <c r="A482" s="63">
        <v>46232</v>
      </c>
      <c r="B482" s="57" t="s">
        <v>597</v>
      </c>
      <c r="C482" s="57" t="s">
        <v>75</v>
      </c>
      <c r="D482" s="48" t="s">
        <v>598</v>
      </c>
      <c r="E482" s="58" t="s">
        <v>735</v>
      </c>
      <c r="F482" s="48"/>
      <c r="G482" s="51">
        <v>72000</v>
      </c>
    </row>
    <row r="483" spans="1:7" ht="15" customHeight="1" x14ac:dyDescent="0.2">
      <c r="A483" s="186"/>
      <c r="B483" s="3" t="s">
        <v>17</v>
      </c>
      <c r="C483" s="4" t="s">
        <v>18</v>
      </c>
      <c r="D483" s="4" t="s">
        <v>19</v>
      </c>
      <c r="E483" s="3" t="s">
        <v>20</v>
      </c>
    </row>
    <row r="484" spans="1:7" ht="15" customHeight="1" x14ac:dyDescent="0.2">
      <c r="A484" s="186"/>
      <c r="B484" s="59" t="s">
        <v>38</v>
      </c>
      <c r="C484" s="60" t="s">
        <v>481</v>
      </c>
      <c r="D484" s="61">
        <v>1800</v>
      </c>
      <c r="E484" s="62"/>
    </row>
    <row r="485" spans="1:7" ht="14.25" customHeight="1" x14ac:dyDescent="0.2">
      <c r="A485" s="186"/>
      <c r="B485" s="187"/>
      <c r="C485" s="187"/>
      <c r="D485" s="187"/>
      <c r="E485" s="187"/>
    </row>
    <row r="486" spans="1:7" ht="15" customHeight="1" x14ac:dyDescent="0.2">
      <c r="A486" s="48"/>
      <c r="B486" s="188" t="s">
        <v>736</v>
      </c>
      <c r="C486" s="188"/>
      <c r="D486" s="188"/>
    </row>
    <row r="487" spans="1:7" ht="15" customHeight="1" x14ac:dyDescent="0.2">
      <c r="A487" s="63">
        <v>46232</v>
      </c>
      <c r="B487" s="57" t="s">
        <v>597</v>
      </c>
      <c r="C487" s="57" t="s">
        <v>29</v>
      </c>
      <c r="D487" s="48" t="s">
        <v>598</v>
      </c>
      <c r="E487" s="58" t="s">
        <v>737</v>
      </c>
      <c r="F487" s="48"/>
      <c r="G487" s="51">
        <v>71800</v>
      </c>
    </row>
    <row r="488" spans="1:7" ht="15" customHeight="1" x14ac:dyDescent="0.2">
      <c r="A488" s="186"/>
      <c r="B488" s="3" t="s">
        <v>17</v>
      </c>
      <c r="C488" s="4" t="s">
        <v>18</v>
      </c>
      <c r="D488" s="4" t="s">
        <v>19</v>
      </c>
      <c r="E488" s="3" t="s">
        <v>20</v>
      </c>
    </row>
    <row r="489" spans="1:7" ht="14.25" customHeight="1" x14ac:dyDescent="0.2">
      <c r="A489" s="186"/>
      <c r="B489" s="59" t="s">
        <v>38</v>
      </c>
      <c r="C489" s="60" t="s">
        <v>738</v>
      </c>
      <c r="D489" s="61">
        <v>1800</v>
      </c>
      <c r="E489" s="62"/>
    </row>
    <row r="490" spans="1:7" ht="15" customHeight="1" x14ac:dyDescent="0.2">
      <c r="A490" s="186"/>
      <c r="B490" s="59" t="s">
        <v>148</v>
      </c>
      <c r="C490" s="60" t="s">
        <v>739</v>
      </c>
      <c r="D490" s="61">
        <v>2000</v>
      </c>
      <c r="E490" s="62"/>
    </row>
    <row r="491" spans="1:7" ht="14.25" customHeight="1" x14ac:dyDescent="0.2">
      <c r="A491" s="186"/>
      <c r="B491" s="187"/>
      <c r="C491" s="187"/>
      <c r="D491" s="187"/>
      <c r="E491" s="187"/>
    </row>
    <row r="492" spans="1:7" ht="15" customHeight="1" x14ac:dyDescent="0.2">
      <c r="A492" s="63">
        <v>46232</v>
      </c>
      <c r="B492" s="57" t="s">
        <v>597</v>
      </c>
      <c r="C492" s="57" t="s">
        <v>63</v>
      </c>
      <c r="D492" s="48" t="s">
        <v>598</v>
      </c>
      <c r="E492" s="58" t="s">
        <v>740</v>
      </c>
      <c r="F492" s="48"/>
      <c r="G492" s="51">
        <v>17100</v>
      </c>
    </row>
    <row r="493" spans="1:7" ht="15" customHeight="1" x14ac:dyDescent="0.2">
      <c r="A493" s="186"/>
      <c r="B493" s="3" t="s">
        <v>17</v>
      </c>
      <c r="C493" s="4" t="s">
        <v>18</v>
      </c>
      <c r="D493" s="4" t="s">
        <v>19</v>
      </c>
      <c r="E493" s="3" t="s">
        <v>20</v>
      </c>
    </row>
    <row r="494" spans="1:7" ht="15" customHeight="1" x14ac:dyDescent="0.2">
      <c r="A494" s="186"/>
      <c r="B494" s="59" t="s">
        <v>31</v>
      </c>
      <c r="C494" s="60" t="s">
        <v>266</v>
      </c>
      <c r="D494" s="61">
        <v>17100</v>
      </c>
      <c r="E494" s="62"/>
    </row>
    <row r="495" spans="1:7" ht="14.25" customHeight="1" x14ac:dyDescent="0.2">
      <c r="A495" s="186"/>
      <c r="B495" s="187"/>
      <c r="C495" s="187"/>
      <c r="D495" s="187"/>
      <c r="E495" s="187"/>
    </row>
    <row r="496" spans="1:7" ht="15" customHeight="1" x14ac:dyDescent="0.2">
      <c r="A496" s="63">
        <v>46232</v>
      </c>
      <c r="B496" s="57" t="s">
        <v>597</v>
      </c>
      <c r="C496" s="57" t="s">
        <v>15</v>
      </c>
      <c r="D496" s="48" t="s">
        <v>598</v>
      </c>
      <c r="E496" s="58" t="s">
        <v>741</v>
      </c>
      <c r="F496" s="48"/>
      <c r="G496" s="51">
        <v>5000</v>
      </c>
    </row>
    <row r="497" spans="1:7" ht="15" customHeight="1" x14ac:dyDescent="0.2">
      <c r="A497" s="186"/>
      <c r="B497" s="3" t="s">
        <v>17</v>
      </c>
      <c r="C497" s="4" t="s">
        <v>18</v>
      </c>
      <c r="D497" s="4" t="s">
        <v>19</v>
      </c>
      <c r="E497" s="3" t="s">
        <v>20</v>
      </c>
    </row>
    <row r="498" spans="1:7" ht="15" customHeight="1" x14ac:dyDescent="0.2">
      <c r="A498" s="186"/>
      <c r="B498" s="59" t="s">
        <v>49</v>
      </c>
      <c r="C498" s="60" t="s">
        <v>293</v>
      </c>
      <c r="D498" s="61">
        <v>5000</v>
      </c>
      <c r="E498" s="62"/>
    </row>
    <row r="499" spans="1:7" ht="14.25" customHeight="1" x14ac:dyDescent="0.2">
      <c r="A499" s="186"/>
      <c r="B499" s="187"/>
      <c r="C499" s="187"/>
      <c r="D499" s="187"/>
      <c r="E499" s="187"/>
    </row>
    <row r="500" spans="1:7" ht="15" customHeight="1" x14ac:dyDescent="0.2">
      <c r="A500" s="63">
        <v>46233</v>
      </c>
      <c r="B500" s="57" t="s">
        <v>597</v>
      </c>
      <c r="C500" s="57" t="s">
        <v>210</v>
      </c>
      <c r="D500" s="48" t="s">
        <v>598</v>
      </c>
      <c r="E500" s="58" t="s">
        <v>742</v>
      </c>
      <c r="F500" s="48"/>
      <c r="G500" s="51">
        <v>4950</v>
      </c>
    </row>
    <row r="501" spans="1:7" ht="15" customHeight="1" x14ac:dyDescent="0.2">
      <c r="A501" s="186"/>
      <c r="B501" s="3" t="s">
        <v>17</v>
      </c>
      <c r="C501" s="4" t="s">
        <v>18</v>
      </c>
      <c r="D501" s="4" t="s">
        <v>19</v>
      </c>
      <c r="E501" s="3" t="s">
        <v>20</v>
      </c>
    </row>
    <row r="502" spans="1:7" ht="15" customHeight="1" x14ac:dyDescent="0.2">
      <c r="A502" s="186"/>
      <c r="B502" s="59" t="s">
        <v>24</v>
      </c>
      <c r="C502" s="60" t="s">
        <v>257</v>
      </c>
      <c r="D502" s="61">
        <v>4950</v>
      </c>
      <c r="E502" s="62"/>
    </row>
    <row r="503" spans="1:7" ht="14.25" customHeight="1" x14ac:dyDescent="0.2">
      <c r="A503" s="186"/>
      <c r="B503" s="187"/>
      <c r="C503" s="187"/>
      <c r="D503" s="187"/>
      <c r="E503" s="187"/>
    </row>
    <row r="504" spans="1:7" ht="15" customHeight="1" x14ac:dyDescent="0.2">
      <c r="A504" s="48"/>
      <c r="B504" s="188" t="s">
        <v>743</v>
      </c>
      <c r="C504" s="188"/>
      <c r="D504" s="188"/>
    </row>
    <row r="505" spans="1:7" ht="15" customHeight="1" x14ac:dyDescent="0.2">
      <c r="A505" s="63">
        <v>46233</v>
      </c>
      <c r="B505" s="57" t="s">
        <v>597</v>
      </c>
      <c r="C505" s="57" t="s">
        <v>75</v>
      </c>
      <c r="D505" s="48" t="s">
        <v>598</v>
      </c>
      <c r="E505" s="58" t="s">
        <v>744</v>
      </c>
      <c r="F505" s="48"/>
      <c r="G505" s="51">
        <v>19000</v>
      </c>
    </row>
    <row r="506" spans="1:7" ht="15" customHeight="1" x14ac:dyDescent="0.2">
      <c r="A506" s="186"/>
      <c r="B506" s="3" t="s">
        <v>17</v>
      </c>
      <c r="C506" s="4" t="s">
        <v>18</v>
      </c>
      <c r="D506" s="4" t="s">
        <v>19</v>
      </c>
      <c r="E506" s="3" t="s">
        <v>20</v>
      </c>
    </row>
    <row r="507" spans="1:7" ht="14.25" customHeight="1" x14ac:dyDescent="0.2">
      <c r="A507" s="186"/>
      <c r="B507" s="59" t="s">
        <v>38</v>
      </c>
      <c r="C507" s="60" t="s">
        <v>377</v>
      </c>
      <c r="D507" s="61">
        <v>1800</v>
      </c>
      <c r="E507" s="62"/>
    </row>
    <row r="508" spans="1:7" ht="15" customHeight="1" x14ac:dyDescent="0.2">
      <c r="A508" s="186"/>
      <c r="B508" s="59" t="s">
        <v>148</v>
      </c>
      <c r="C508" s="60" t="s">
        <v>377</v>
      </c>
      <c r="D508" s="61">
        <v>2000</v>
      </c>
      <c r="E508" s="62"/>
    </row>
    <row r="509" spans="1:7" ht="14.25" customHeight="1" x14ac:dyDescent="0.2">
      <c r="A509" s="186"/>
      <c r="B509" s="187"/>
      <c r="C509" s="187"/>
      <c r="D509" s="187"/>
      <c r="E509" s="187"/>
    </row>
    <row r="510" spans="1:7" ht="15" customHeight="1" x14ac:dyDescent="0.2">
      <c r="A510" s="48"/>
      <c r="B510" s="188" t="s">
        <v>745</v>
      </c>
      <c r="C510" s="188"/>
      <c r="D510" s="188"/>
    </row>
    <row r="511" spans="1:7" ht="15" customHeight="1" x14ac:dyDescent="0.2">
      <c r="A511" s="63">
        <v>46233</v>
      </c>
      <c r="B511" s="57" t="s">
        <v>597</v>
      </c>
      <c r="C511" s="57" t="s">
        <v>29</v>
      </c>
      <c r="D511" s="48" t="s">
        <v>598</v>
      </c>
      <c r="E511" s="58" t="s">
        <v>746</v>
      </c>
      <c r="F511" s="48"/>
      <c r="G511" s="51">
        <v>43000</v>
      </c>
    </row>
    <row r="512" spans="1:7" ht="15" customHeight="1" x14ac:dyDescent="0.2">
      <c r="A512" s="186"/>
      <c r="B512" s="3" t="s">
        <v>17</v>
      </c>
      <c r="C512" s="4" t="s">
        <v>18</v>
      </c>
      <c r="D512" s="4" t="s">
        <v>19</v>
      </c>
      <c r="E512" s="3" t="s">
        <v>20</v>
      </c>
    </row>
    <row r="513" spans="1:7" ht="14.25" customHeight="1" x14ac:dyDescent="0.2">
      <c r="A513" s="186"/>
      <c r="B513" s="59" t="s">
        <v>38</v>
      </c>
      <c r="C513" s="60" t="s">
        <v>351</v>
      </c>
      <c r="D513" s="61">
        <v>1800</v>
      </c>
      <c r="E513" s="62"/>
    </row>
    <row r="514" spans="1:7" ht="15" customHeight="1" x14ac:dyDescent="0.2">
      <c r="A514" s="186"/>
      <c r="B514" s="59" t="s">
        <v>148</v>
      </c>
      <c r="C514" s="60" t="s">
        <v>372</v>
      </c>
      <c r="D514" s="61">
        <v>2000</v>
      </c>
      <c r="E514" s="62"/>
    </row>
    <row r="515" spans="1:7" ht="14.25" customHeight="1" x14ac:dyDescent="0.2">
      <c r="A515" s="186"/>
      <c r="B515" s="187"/>
      <c r="C515" s="187"/>
      <c r="D515" s="187"/>
      <c r="E515" s="187"/>
    </row>
    <row r="516" spans="1:7" ht="15" customHeight="1" x14ac:dyDescent="0.2">
      <c r="A516" s="63">
        <v>46233</v>
      </c>
      <c r="B516" s="57" t="s">
        <v>597</v>
      </c>
      <c r="C516" s="57" t="s">
        <v>29</v>
      </c>
      <c r="D516" s="48" t="s">
        <v>598</v>
      </c>
      <c r="E516" s="58" t="s">
        <v>747</v>
      </c>
      <c r="F516" s="48"/>
      <c r="G516" s="51">
        <v>23400</v>
      </c>
    </row>
    <row r="517" spans="1:7" ht="15" customHeight="1" x14ac:dyDescent="0.2">
      <c r="A517" s="186"/>
      <c r="B517" s="3" t="s">
        <v>17</v>
      </c>
      <c r="C517" s="4" t="s">
        <v>18</v>
      </c>
      <c r="D517" s="4" t="s">
        <v>19</v>
      </c>
      <c r="E517" s="3" t="s">
        <v>20</v>
      </c>
    </row>
    <row r="518" spans="1:7" ht="14.25" customHeight="1" x14ac:dyDescent="0.2">
      <c r="A518" s="186"/>
      <c r="B518" s="59" t="s">
        <v>38</v>
      </c>
      <c r="C518" s="60" t="s">
        <v>325</v>
      </c>
      <c r="D518" s="61">
        <v>1800</v>
      </c>
      <c r="E518" s="62"/>
    </row>
    <row r="519" spans="1:7" ht="15" customHeight="1" x14ac:dyDescent="0.2">
      <c r="A519" s="186"/>
      <c r="B519" s="59" t="s">
        <v>148</v>
      </c>
      <c r="C519" s="60" t="s">
        <v>529</v>
      </c>
      <c r="D519" s="61">
        <v>2000</v>
      </c>
      <c r="E519" s="62"/>
    </row>
    <row r="520" spans="1:7" ht="14.25" customHeight="1" x14ac:dyDescent="0.2">
      <c r="A520" s="186"/>
      <c r="B520" s="187"/>
      <c r="C520" s="187"/>
      <c r="D520" s="187"/>
      <c r="E520" s="187"/>
    </row>
    <row r="521" spans="1:7" ht="15" customHeight="1" x14ac:dyDescent="0.2">
      <c r="A521" s="63">
        <v>46233</v>
      </c>
      <c r="B521" s="57" t="s">
        <v>597</v>
      </c>
      <c r="C521" s="57" t="s">
        <v>664</v>
      </c>
      <c r="D521" s="48" t="s">
        <v>598</v>
      </c>
      <c r="E521" s="58" t="s">
        <v>748</v>
      </c>
      <c r="F521" s="48"/>
      <c r="G521" s="51">
        <v>5400</v>
      </c>
    </row>
    <row r="522" spans="1:7" ht="15" customHeight="1" x14ac:dyDescent="0.2">
      <c r="A522" s="186"/>
      <c r="B522" s="3" t="s">
        <v>17</v>
      </c>
      <c r="C522" s="4" t="s">
        <v>18</v>
      </c>
      <c r="D522" s="4" t="s">
        <v>19</v>
      </c>
      <c r="E522" s="3" t="s">
        <v>20</v>
      </c>
    </row>
    <row r="523" spans="1:7" ht="15" customHeight="1" x14ac:dyDescent="0.2">
      <c r="A523" s="186"/>
      <c r="B523" s="59" t="s">
        <v>38</v>
      </c>
      <c r="C523" s="60" t="s">
        <v>325</v>
      </c>
      <c r="D523" s="61">
        <v>1800</v>
      </c>
      <c r="E523" s="62"/>
    </row>
    <row r="524" spans="1:7" ht="14.25" customHeight="1" x14ac:dyDescent="0.2">
      <c r="A524" s="186"/>
      <c r="B524" s="187"/>
      <c r="C524" s="187"/>
      <c r="D524" s="187"/>
      <c r="E524" s="187"/>
    </row>
    <row r="525" spans="1:7" ht="15" customHeight="1" x14ac:dyDescent="0.2">
      <c r="A525" s="63">
        <v>46234</v>
      </c>
      <c r="B525" s="57" t="s">
        <v>597</v>
      </c>
      <c r="C525" s="57" t="s">
        <v>29</v>
      </c>
      <c r="D525" s="48" t="s">
        <v>598</v>
      </c>
      <c r="E525" s="58" t="s">
        <v>749</v>
      </c>
      <c r="F525" s="48"/>
      <c r="G525" s="51">
        <v>76800</v>
      </c>
    </row>
    <row r="526" spans="1:7" ht="15" customHeight="1" x14ac:dyDescent="0.2">
      <c r="A526" s="186"/>
      <c r="B526" s="3" t="s">
        <v>17</v>
      </c>
      <c r="C526" s="4" t="s">
        <v>18</v>
      </c>
      <c r="D526" s="4" t="s">
        <v>19</v>
      </c>
      <c r="E526" s="3" t="s">
        <v>20</v>
      </c>
    </row>
    <row r="527" spans="1:7" ht="14.25" customHeight="1" x14ac:dyDescent="0.2">
      <c r="A527" s="186"/>
      <c r="B527" s="59" t="s">
        <v>38</v>
      </c>
      <c r="C527" s="60" t="s">
        <v>676</v>
      </c>
      <c r="D527" s="61">
        <v>1800</v>
      </c>
      <c r="E527" s="62"/>
    </row>
    <row r="528" spans="1:7" ht="15" customHeight="1" x14ac:dyDescent="0.2">
      <c r="A528" s="186"/>
      <c r="B528" s="59" t="s">
        <v>148</v>
      </c>
      <c r="C528" s="60" t="s">
        <v>289</v>
      </c>
      <c r="D528" s="61">
        <v>2000</v>
      </c>
      <c r="E528" s="62"/>
    </row>
    <row r="529" spans="1:7" ht="14.25" customHeight="1" x14ac:dyDescent="0.2">
      <c r="A529" s="186"/>
      <c r="B529" s="187"/>
      <c r="C529" s="187"/>
      <c r="D529" s="187"/>
      <c r="E529" s="187"/>
    </row>
    <row r="530" spans="1:7" ht="15" customHeight="1" x14ac:dyDescent="0.2">
      <c r="A530" s="63">
        <v>46234</v>
      </c>
      <c r="B530" s="57" t="s">
        <v>597</v>
      </c>
      <c r="C530" s="57" t="s">
        <v>75</v>
      </c>
      <c r="D530" s="48" t="s">
        <v>598</v>
      </c>
      <c r="E530" s="58" t="s">
        <v>750</v>
      </c>
      <c r="F530" s="48"/>
      <c r="G530" s="51">
        <v>25200</v>
      </c>
    </row>
    <row r="531" spans="1:7" ht="15" customHeight="1" x14ac:dyDescent="0.2">
      <c r="A531" s="186"/>
      <c r="B531" s="3" t="s">
        <v>17</v>
      </c>
      <c r="C531" s="4" t="s">
        <v>18</v>
      </c>
      <c r="D531" s="4" t="s">
        <v>19</v>
      </c>
      <c r="E531" s="3" t="s">
        <v>20</v>
      </c>
    </row>
    <row r="532" spans="1:7" ht="15" customHeight="1" x14ac:dyDescent="0.2">
      <c r="A532" s="186"/>
      <c r="B532" s="59" t="s">
        <v>38</v>
      </c>
      <c r="C532" s="60" t="s">
        <v>751</v>
      </c>
      <c r="D532" s="61">
        <v>1800</v>
      </c>
      <c r="E532" s="62"/>
    </row>
    <row r="533" spans="1:7" ht="14.25" customHeight="1" x14ac:dyDescent="0.2">
      <c r="A533" s="186"/>
      <c r="B533" s="187"/>
      <c r="C533" s="187"/>
      <c r="D533" s="187"/>
      <c r="E533" s="187"/>
    </row>
    <row r="534" spans="1:7" ht="15" customHeight="1" x14ac:dyDescent="0.2">
      <c r="A534" s="48"/>
      <c r="B534" s="189" t="s">
        <v>736</v>
      </c>
      <c r="C534" s="189"/>
      <c r="D534" s="189"/>
    </row>
    <row r="535" spans="1:7" ht="15" customHeight="1" x14ac:dyDescent="0.2">
      <c r="A535" s="40"/>
      <c r="B535" s="40"/>
      <c r="C535" s="40"/>
      <c r="D535" s="40"/>
      <c r="E535" s="40" t="s">
        <v>752</v>
      </c>
      <c r="F535" s="41">
        <v>0</v>
      </c>
      <c r="G535" s="64">
        <v>13955850</v>
      </c>
    </row>
  </sheetData>
  <mergeCells count="237">
    <mergeCell ref="A517:A520"/>
    <mergeCell ref="B520:E520"/>
    <mergeCell ref="A522:A524"/>
    <mergeCell ref="B524:E524"/>
    <mergeCell ref="A526:A529"/>
    <mergeCell ref="B529:E529"/>
    <mergeCell ref="A531:A533"/>
    <mergeCell ref="B533:E533"/>
    <mergeCell ref="B534:D534"/>
    <mergeCell ref="A497:A499"/>
    <mergeCell ref="B499:E499"/>
    <mergeCell ref="A501:A503"/>
    <mergeCell ref="B503:E503"/>
    <mergeCell ref="B504:D504"/>
    <mergeCell ref="A506:A509"/>
    <mergeCell ref="B509:E509"/>
    <mergeCell ref="B510:D510"/>
    <mergeCell ref="A512:A515"/>
    <mergeCell ref="B515:E515"/>
    <mergeCell ref="A478:A481"/>
    <mergeCell ref="B481:E481"/>
    <mergeCell ref="A483:A485"/>
    <mergeCell ref="B485:E485"/>
    <mergeCell ref="B486:D486"/>
    <mergeCell ref="A488:A491"/>
    <mergeCell ref="B491:E491"/>
    <mergeCell ref="A493:A495"/>
    <mergeCell ref="B495:E495"/>
    <mergeCell ref="A457:A459"/>
    <mergeCell ref="B459:E459"/>
    <mergeCell ref="A461:A463"/>
    <mergeCell ref="B463:E463"/>
    <mergeCell ref="A465:A467"/>
    <mergeCell ref="B467:E467"/>
    <mergeCell ref="A469:A471"/>
    <mergeCell ref="B471:E471"/>
    <mergeCell ref="A473:A476"/>
    <mergeCell ref="B476:E476"/>
    <mergeCell ref="A437:A440"/>
    <mergeCell ref="B440:E440"/>
    <mergeCell ref="B441:D441"/>
    <mergeCell ref="A443:A445"/>
    <mergeCell ref="B445:E445"/>
    <mergeCell ref="A447:A451"/>
    <mergeCell ref="B451:E451"/>
    <mergeCell ref="A453:A455"/>
    <mergeCell ref="B455:E455"/>
    <mergeCell ref="A414:A417"/>
    <mergeCell ref="B417:E417"/>
    <mergeCell ref="A419:A421"/>
    <mergeCell ref="B421:E421"/>
    <mergeCell ref="A423:A425"/>
    <mergeCell ref="B425:E425"/>
    <mergeCell ref="A427:A430"/>
    <mergeCell ref="B430:E430"/>
    <mergeCell ref="A432:A435"/>
    <mergeCell ref="B435:E435"/>
    <mergeCell ref="A390:A394"/>
    <mergeCell ref="B394:E394"/>
    <mergeCell ref="A396:A399"/>
    <mergeCell ref="B399:E399"/>
    <mergeCell ref="A401:A404"/>
    <mergeCell ref="B404:E404"/>
    <mergeCell ref="A406:A408"/>
    <mergeCell ref="B408:E408"/>
    <mergeCell ref="A410:A412"/>
    <mergeCell ref="B412:E412"/>
    <mergeCell ref="A368:A370"/>
    <mergeCell ref="B370:E370"/>
    <mergeCell ref="A372:A374"/>
    <mergeCell ref="B374:E374"/>
    <mergeCell ref="A376:A379"/>
    <mergeCell ref="B379:E379"/>
    <mergeCell ref="A381:A384"/>
    <mergeCell ref="B384:E384"/>
    <mergeCell ref="A386:A388"/>
    <mergeCell ref="B388:E388"/>
    <mergeCell ref="A343:A347"/>
    <mergeCell ref="B347:E347"/>
    <mergeCell ref="A349:A352"/>
    <mergeCell ref="B352:E352"/>
    <mergeCell ref="A354:A356"/>
    <mergeCell ref="B356:E356"/>
    <mergeCell ref="A358:A361"/>
    <mergeCell ref="B361:E361"/>
    <mergeCell ref="A363:A366"/>
    <mergeCell ref="B366:E366"/>
    <mergeCell ref="A321:A324"/>
    <mergeCell ref="B324:E324"/>
    <mergeCell ref="A326:A328"/>
    <mergeCell ref="B328:E328"/>
    <mergeCell ref="A330:A332"/>
    <mergeCell ref="B332:E332"/>
    <mergeCell ref="A334:A337"/>
    <mergeCell ref="B337:E337"/>
    <mergeCell ref="A339:A341"/>
    <mergeCell ref="B341:E341"/>
    <mergeCell ref="A293:A296"/>
    <mergeCell ref="B296:E296"/>
    <mergeCell ref="A298:A301"/>
    <mergeCell ref="B301:E301"/>
    <mergeCell ref="A303:A306"/>
    <mergeCell ref="B306:E306"/>
    <mergeCell ref="A308:A313"/>
    <mergeCell ref="B313:E313"/>
    <mergeCell ref="A315:A319"/>
    <mergeCell ref="B319:E319"/>
    <mergeCell ref="A271:A274"/>
    <mergeCell ref="B274:E274"/>
    <mergeCell ref="A276:A278"/>
    <mergeCell ref="B278:E278"/>
    <mergeCell ref="A280:A283"/>
    <mergeCell ref="B283:E283"/>
    <mergeCell ref="A285:A287"/>
    <mergeCell ref="B287:E287"/>
    <mergeCell ref="A289:A291"/>
    <mergeCell ref="B291:E291"/>
    <mergeCell ref="A248:A251"/>
    <mergeCell ref="B251:E251"/>
    <mergeCell ref="A253:A255"/>
    <mergeCell ref="B255:E255"/>
    <mergeCell ref="A257:A260"/>
    <mergeCell ref="B260:E260"/>
    <mergeCell ref="A262:A264"/>
    <mergeCell ref="B264:E264"/>
    <mergeCell ref="A266:A269"/>
    <mergeCell ref="B269:E269"/>
    <mergeCell ref="A224:A227"/>
    <mergeCell ref="B227:E227"/>
    <mergeCell ref="A229:A232"/>
    <mergeCell ref="B232:E232"/>
    <mergeCell ref="A234:A237"/>
    <mergeCell ref="B237:E237"/>
    <mergeCell ref="A239:A242"/>
    <mergeCell ref="B242:E242"/>
    <mergeCell ref="A244:A246"/>
    <mergeCell ref="B246:E246"/>
    <mergeCell ref="A201:A203"/>
    <mergeCell ref="B203:E203"/>
    <mergeCell ref="A205:A207"/>
    <mergeCell ref="B207:E207"/>
    <mergeCell ref="A209:A212"/>
    <mergeCell ref="B212:E212"/>
    <mergeCell ref="A214:A217"/>
    <mergeCell ref="B217:E217"/>
    <mergeCell ref="A219:A222"/>
    <mergeCell ref="B222:E222"/>
    <mergeCell ref="A179:A181"/>
    <mergeCell ref="B181:E181"/>
    <mergeCell ref="A183:A185"/>
    <mergeCell ref="B185:E185"/>
    <mergeCell ref="A187:A190"/>
    <mergeCell ref="B190:E190"/>
    <mergeCell ref="A192:A194"/>
    <mergeCell ref="B194:E194"/>
    <mergeCell ref="A196:A199"/>
    <mergeCell ref="B199:E199"/>
    <mergeCell ref="A157:A159"/>
    <mergeCell ref="B159:E159"/>
    <mergeCell ref="A161:A164"/>
    <mergeCell ref="B164:E164"/>
    <mergeCell ref="A166:A168"/>
    <mergeCell ref="B168:E168"/>
    <mergeCell ref="A170:A173"/>
    <mergeCell ref="B173:E173"/>
    <mergeCell ref="A175:A177"/>
    <mergeCell ref="B177:E177"/>
    <mergeCell ref="A134:A136"/>
    <mergeCell ref="B136:E136"/>
    <mergeCell ref="A138:A141"/>
    <mergeCell ref="B141:E141"/>
    <mergeCell ref="A143:A145"/>
    <mergeCell ref="B145:E145"/>
    <mergeCell ref="A147:A150"/>
    <mergeCell ref="B150:E150"/>
    <mergeCell ref="A152:A155"/>
    <mergeCell ref="B155:E155"/>
    <mergeCell ref="A111:A114"/>
    <mergeCell ref="B114:E114"/>
    <mergeCell ref="A116:A119"/>
    <mergeCell ref="B119:E119"/>
    <mergeCell ref="A121:A123"/>
    <mergeCell ref="B123:E123"/>
    <mergeCell ref="A125:A128"/>
    <mergeCell ref="B128:E128"/>
    <mergeCell ref="A130:A132"/>
    <mergeCell ref="B132:E132"/>
    <mergeCell ref="A90:A92"/>
    <mergeCell ref="B92:E92"/>
    <mergeCell ref="A94:A96"/>
    <mergeCell ref="B96:E96"/>
    <mergeCell ref="A98:A101"/>
    <mergeCell ref="B101:E101"/>
    <mergeCell ref="A103:A105"/>
    <mergeCell ref="B105:E105"/>
    <mergeCell ref="A107:A109"/>
    <mergeCell ref="B109:E109"/>
    <mergeCell ref="A69:A71"/>
    <mergeCell ref="B71:E71"/>
    <mergeCell ref="A73:A76"/>
    <mergeCell ref="B76:E76"/>
    <mergeCell ref="A78:A80"/>
    <mergeCell ref="B80:E80"/>
    <mergeCell ref="A82:A84"/>
    <mergeCell ref="B84:E84"/>
    <mergeCell ref="A86:A88"/>
    <mergeCell ref="B88:E88"/>
    <mergeCell ref="A49:A51"/>
    <mergeCell ref="B51:E51"/>
    <mergeCell ref="A53:A55"/>
    <mergeCell ref="B55:E55"/>
    <mergeCell ref="A57:A59"/>
    <mergeCell ref="B59:E59"/>
    <mergeCell ref="A61:A63"/>
    <mergeCell ref="B63:E63"/>
    <mergeCell ref="A65:A67"/>
    <mergeCell ref="B67:E67"/>
    <mergeCell ref="A29:A31"/>
    <mergeCell ref="B31:E31"/>
    <mergeCell ref="A33:A35"/>
    <mergeCell ref="B35:E35"/>
    <mergeCell ref="A37:A39"/>
    <mergeCell ref="B39:E39"/>
    <mergeCell ref="A41:A43"/>
    <mergeCell ref="B43:E43"/>
    <mergeCell ref="A45:A47"/>
    <mergeCell ref="B47:E47"/>
    <mergeCell ref="A6:A8"/>
    <mergeCell ref="B8:E8"/>
    <mergeCell ref="A10:A14"/>
    <mergeCell ref="B14:E14"/>
    <mergeCell ref="A16:A18"/>
    <mergeCell ref="B18:E18"/>
    <mergeCell ref="A20:A22"/>
    <mergeCell ref="B22:E22"/>
    <mergeCell ref="A24:A27"/>
    <mergeCell ref="B27:E27"/>
  </mergeCells>
  <hyperlinks>
    <hyperlink ref="E5" r:id="rId1" xr:uid="{00000000-0004-0000-0300-000000000000}"/>
    <hyperlink ref="E9" r:id="rId2" xr:uid="{00000000-0004-0000-0300-000001000000}"/>
    <hyperlink ref="E15" r:id="rId3" xr:uid="{00000000-0004-0000-0300-000002000000}"/>
    <hyperlink ref="E19" r:id="rId4" xr:uid="{00000000-0004-0000-0300-000003000000}"/>
    <hyperlink ref="E23" r:id="rId5" xr:uid="{00000000-0004-0000-0300-000004000000}"/>
    <hyperlink ref="E28" r:id="rId6" xr:uid="{00000000-0004-0000-0300-000005000000}"/>
    <hyperlink ref="E32" r:id="rId7" xr:uid="{00000000-0004-0000-0300-000006000000}"/>
    <hyperlink ref="E36" r:id="rId8" xr:uid="{00000000-0004-0000-0300-000007000000}"/>
    <hyperlink ref="E40" r:id="rId9" xr:uid="{00000000-0004-0000-0300-000008000000}"/>
    <hyperlink ref="E44" r:id="rId10" xr:uid="{00000000-0004-0000-0300-000009000000}"/>
    <hyperlink ref="E48" r:id="rId11" xr:uid="{00000000-0004-0000-0300-00000A000000}"/>
    <hyperlink ref="E52" r:id="rId12" xr:uid="{00000000-0004-0000-0300-00000B000000}"/>
    <hyperlink ref="E56" r:id="rId13" xr:uid="{00000000-0004-0000-0300-00000C000000}"/>
    <hyperlink ref="E60" r:id="rId14" xr:uid="{00000000-0004-0000-0300-00000D000000}"/>
    <hyperlink ref="E64" r:id="rId15" xr:uid="{00000000-0004-0000-0300-00000E000000}"/>
    <hyperlink ref="E68" r:id="rId16" xr:uid="{00000000-0004-0000-0300-00000F000000}"/>
    <hyperlink ref="E72" r:id="rId17" xr:uid="{00000000-0004-0000-0300-000010000000}"/>
    <hyperlink ref="E77" r:id="rId18" xr:uid="{00000000-0004-0000-0300-000011000000}"/>
    <hyperlink ref="E81" r:id="rId19" xr:uid="{00000000-0004-0000-0300-000012000000}"/>
    <hyperlink ref="E85" r:id="rId20" xr:uid="{00000000-0004-0000-0300-000013000000}"/>
    <hyperlink ref="E89" r:id="rId21" xr:uid="{00000000-0004-0000-0300-000014000000}"/>
    <hyperlink ref="E93" r:id="rId22" xr:uid="{00000000-0004-0000-0300-000015000000}"/>
    <hyperlink ref="E97" r:id="rId23" xr:uid="{00000000-0004-0000-0300-000016000000}"/>
    <hyperlink ref="E102" r:id="rId24" xr:uid="{00000000-0004-0000-0300-000017000000}"/>
    <hyperlink ref="E106" r:id="rId25" xr:uid="{00000000-0004-0000-0300-000018000000}"/>
    <hyperlink ref="E110" r:id="rId26" xr:uid="{00000000-0004-0000-0300-000019000000}"/>
    <hyperlink ref="E115" r:id="rId27" xr:uid="{00000000-0004-0000-0300-00001A000000}"/>
    <hyperlink ref="E120" r:id="rId28" xr:uid="{00000000-0004-0000-0300-00001B000000}"/>
    <hyperlink ref="E124" r:id="rId29" xr:uid="{00000000-0004-0000-0300-00001C000000}"/>
    <hyperlink ref="E129" r:id="rId30" xr:uid="{00000000-0004-0000-0300-00001D000000}"/>
    <hyperlink ref="E133" r:id="rId31" xr:uid="{00000000-0004-0000-0300-00001E000000}"/>
    <hyperlink ref="E137" r:id="rId32" xr:uid="{00000000-0004-0000-0300-00001F000000}"/>
    <hyperlink ref="E142" r:id="rId33" xr:uid="{00000000-0004-0000-0300-000020000000}"/>
    <hyperlink ref="E146" r:id="rId34" xr:uid="{00000000-0004-0000-0300-000021000000}"/>
    <hyperlink ref="E151" r:id="rId35" xr:uid="{00000000-0004-0000-0300-000022000000}"/>
    <hyperlink ref="E156" r:id="rId36" xr:uid="{00000000-0004-0000-0300-000023000000}"/>
    <hyperlink ref="E160" r:id="rId37" xr:uid="{00000000-0004-0000-0300-000024000000}"/>
    <hyperlink ref="E165" r:id="rId38" xr:uid="{00000000-0004-0000-0300-000025000000}"/>
    <hyperlink ref="E169" r:id="rId39" xr:uid="{00000000-0004-0000-0300-000026000000}"/>
    <hyperlink ref="E174" r:id="rId40" xr:uid="{00000000-0004-0000-0300-000027000000}"/>
    <hyperlink ref="E178" r:id="rId41" xr:uid="{00000000-0004-0000-0300-000028000000}"/>
    <hyperlink ref="E182" r:id="rId42" xr:uid="{00000000-0004-0000-0300-000029000000}"/>
    <hyperlink ref="E186" r:id="rId43" xr:uid="{00000000-0004-0000-0300-00002A000000}"/>
    <hyperlink ref="E191" r:id="rId44" xr:uid="{00000000-0004-0000-0300-00002B000000}"/>
    <hyperlink ref="E195" r:id="rId45" xr:uid="{00000000-0004-0000-0300-00002C000000}"/>
    <hyperlink ref="E200" r:id="rId46" xr:uid="{00000000-0004-0000-0300-00002D000000}"/>
    <hyperlink ref="E204" r:id="rId47" xr:uid="{00000000-0004-0000-0300-00002E000000}"/>
    <hyperlink ref="E208" r:id="rId48" xr:uid="{00000000-0004-0000-0300-00002F000000}"/>
    <hyperlink ref="E213" r:id="rId49" xr:uid="{00000000-0004-0000-0300-000030000000}"/>
    <hyperlink ref="E218" r:id="rId50" xr:uid="{00000000-0004-0000-0300-000031000000}"/>
    <hyperlink ref="E223" r:id="rId51" xr:uid="{00000000-0004-0000-0300-000032000000}"/>
    <hyperlink ref="E228" r:id="rId52" xr:uid="{00000000-0004-0000-0300-000033000000}"/>
    <hyperlink ref="E233" r:id="rId53" xr:uid="{00000000-0004-0000-0300-000034000000}"/>
    <hyperlink ref="E238" r:id="rId54" xr:uid="{00000000-0004-0000-0300-000035000000}"/>
    <hyperlink ref="E243" r:id="rId55" xr:uid="{00000000-0004-0000-0300-000036000000}"/>
    <hyperlink ref="E247" r:id="rId56" xr:uid="{00000000-0004-0000-0300-000037000000}"/>
    <hyperlink ref="E252" r:id="rId57" xr:uid="{00000000-0004-0000-0300-000038000000}"/>
    <hyperlink ref="E256" r:id="rId58" xr:uid="{00000000-0004-0000-0300-000039000000}"/>
    <hyperlink ref="E261" r:id="rId59" xr:uid="{00000000-0004-0000-0300-00003A000000}"/>
    <hyperlink ref="E265" r:id="rId60" xr:uid="{00000000-0004-0000-0300-00003B000000}"/>
    <hyperlink ref="E270" r:id="rId61" xr:uid="{00000000-0004-0000-0300-00003C000000}"/>
    <hyperlink ref="E275" r:id="rId62" xr:uid="{00000000-0004-0000-0300-00003D000000}"/>
    <hyperlink ref="E279" r:id="rId63" xr:uid="{00000000-0004-0000-0300-00003E000000}"/>
    <hyperlink ref="E284" r:id="rId64" xr:uid="{00000000-0004-0000-0300-00003F000000}"/>
    <hyperlink ref="E288" r:id="rId65" xr:uid="{00000000-0004-0000-0300-000040000000}"/>
    <hyperlink ref="E292" r:id="rId66" xr:uid="{00000000-0004-0000-0300-000041000000}"/>
    <hyperlink ref="E297" r:id="rId67" xr:uid="{00000000-0004-0000-0300-000042000000}"/>
    <hyperlink ref="E302" r:id="rId68" xr:uid="{00000000-0004-0000-0300-000043000000}"/>
    <hyperlink ref="E307" r:id="rId69" xr:uid="{00000000-0004-0000-0300-000044000000}"/>
    <hyperlink ref="E314" r:id="rId70" xr:uid="{00000000-0004-0000-0300-000045000000}"/>
    <hyperlink ref="E320" r:id="rId71" xr:uid="{00000000-0004-0000-0300-000046000000}"/>
    <hyperlink ref="E325" r:id="rId72" xr:uid="{00000000-0004-0000-0300-000047000000}"/>
    <hyperlink ref="E329" r:id="rId73" xr:uid="{00000000-0004-0000-0300-000048000000}"/>
    <hyperlink ref="E333" r:id="rId74" xr:uid="{00000000-0004-0000-0300-000049000000}"/>
    <hyperlink ref="E338" r:id="rId75" xr:uid="{00000000-0004-0000-0300-00004A000000}"/>
    <hyperlink ref="E342" r:id="rId76" xr:uid="{00000000-0004-0000-0300-00004B000000}"/>
    <hyperlink ref="E348" r:id="rId77" xr:uid="{00000000-0004-0000-0300-00004C000000}"/>
    <hyperlink ref="E353" r:id="rId78" xr:uid="{00000000-0004-0000-0300-00004D000000}"/>
    <hyperlink ref="E357" r:id="rId79" xr:uid="{00000000-0004-0000-0300-00004E000000}"/>
    <hyperlink ref="E362" r:id="rId80" xr:uid="{00000000-0004-0000-0300-00004F000000}"/>
    <hyperlink ref="E367" r:id="rId81" xr:uid="{00000000-0004-0000-0300-000050000000}"/>
    <hyperlink ref="E371" r:id="rId82" xr:uid="{00000000-0004-0000-0300-000051000000}"/>
    <hyperlink ref="E375" r:id="rId83" xr:uid="{00000000-0004-0000-0300-000052000000}"/>
    <hyperlink ref="E380" r:id="rId84" xr:uid="{00000000-0004-0000-0300-000053000000}"/>
    <hyperlink ref="E385" r:id="rId85" xr:uid="{00000000-0004-0000-0300-000054000000}"/>
    <hyperlink ref="E389" r:id="rId86" xr:uid="{00000000-0004-0000-0300-000055000000}"/>
    <hyperlink ref="E395" r:id="rId87" xr:uid="{00000000-0004-0000-0300-000056000000}"/>
    <hyperlink ref="E400" r:id="rId88" xr:uid="{00000000-0004-0000-0300-000057000000}"/>
    <hyperlink ref="E405" r:id="rId89" xr:uid="{00000000-0004-0000-0300-000058000000}"/>
    <hyperlink ref="E409" r:id="rId90" xr:uid="{00000000-0004-0000-0300-000059000000}"/>
    <hyperlink ref="E413" r:id="rId91" xr:uid="{00000000-0004-0000-0300-00005A000000}"/>
    <hyperlink ref="E418" r:id="rId92" xr:uid="{00000000-0004-0000-0300-00005B000000}"/>
    <hyperlink ref="E422" r:id="rId93" xr:uid="{00000000-0004-0000-0300-00005C000000}"/>
    <hyperlink ref="E426" r:id="rId94" xr:uid="{00000000-0004-0000-0300-00005D000000}"/>
    <hyperlink ref="E431" r:id="rId95" xr:uid="{00000000-0004-0000-0300-00005E000000}"/>
    <hyperlink ref="E436" r:id="rId96" xr:uid="{00000000-0004-0000-0300-00005F000000}"/>
    <hyperlink ref="E442" r:id="rId97" xr:uid="{00000000-0004-0000-0300-000060000000}"/>
    <hyperlink ref="E446" r:id="rId98" xr:uid="{00000000-0004-0000-0300-000061000000}"/>
    <hyperlink ref="E452" r:id="rId99" xr:uid="{00000000-0004-0000-0300-000062000000}"/>
    <hyperlink ref="E456" r:id="rId100" xr:uid="{00000000-0004-0000-0300-000063000000}"/>
    <hyperlink ref="E460" r:id="rId101" xr:uid="{00000000-0004-0000-0300-000064000000}"/>
    <hyperlink ref="E464" r:id="rId102" xr:uid="{00000000-0004-0000-0300-000065000000}"/>
    <hyperlink ref="E468" r:id="rId103" xr:uid="{00000000-0004-0000-0300-000066000000}"/>
    <hyperlink ref="E472" r:id="rId104" xr:uid="{00000000-0004-0000-0300-000067000000}"/>
    <hyperlink ref="E477" r:id="rId105" xr:uid="{00000000-0004-0000-0300-000068000000}"/>
    <hyperlink ref="E482" r:id="rId106" xr:uid="{00000000-0004-0000-0300-000069000000}"/>
    <hyperlink ref="E487" r:id="rId107" xr:uid="{00000000-0004-0000-0300-00006A000000}"/>
    <hyperlink ref="E492" r:id="rId108" xr:uid="{00000000-0004-0000-0300-00006B000000}"/>
    <hyperlink ref="E496" r:id="rId109" xr:uid="{00000000-0004-0000-0300-00006C000000}"/>
    <hyperlink ref="E500" r:id="rId110" xr:uid="{00000000-0004-0000-0300-00006D000000}"/>
    <hyperlink ref="E505" r:id="rId111" xr:uid="{00000000-0004-0000-0300-00006E000000}"/>
    <hyperlink ref="E511" r:id="rId112" xr:uid="{00000000-0004-0000-0300-00006F000000}"/>
    <hyperlink ref="E516" r:id="rId113" xr:uid="{00000000-0004-0000-0300-000070000000}"/>
    <hyperlink ref="E521" r:id="rId114" xr:uid="{00000000-0004-0000-0300-000071000000}"/>
    <hyperlink ref="E525" r:id="rId115" xr:uid="{00000000-0004-0000-0300-000072000000}"/>
    <hyperlink ref="E530" r:id="rId116" xr:uid="{00000000-0004-0000-0300-00007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2"/>
  <sheetViews>
    <sheetView topLeftCell="D1" zoomScale="93" zoomScaleNormal="93" workbookViewId="0">
      <selection activeCell="H10" sqref="H10"/>
    </sheetView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9.28125" style="38" customWidth="1"/>
    <col min="14" max="14" width="12.23828125" style="38" customWidth="1"/>
    <col min="15" max="15" width="15.46875" style="38" customWidth="1"/>
    <col min="16" max="16" width="15.6015625" style="38" customWidth="1"/>
    <col min="17" max="17" width="9.28125" style="38" customWidth="1"/>
  </cols>
  <sheetData>
    <row r="1" spans="1:16" ht="25.5" customHeight="1" x14ac:dyDescent="0.2">
      <c r="A1" s="65" t="s">
        <v>753</v>
      </c>
      <c r="B1" s="65" t="s">
        <v>754</v>
      </c>
      <c r="C1" s="65" t="s">
        <v>755</v>
      </c>
      <c r="D1" s="65" t="s">
        <v>756</v>
      </c>
      <c r="E1" s="65" t="s">
        <v>757</v>
      </c>
      <c r="F1" s="65" t="s">
        <v>758</v>
      </c>
      <c r="G1" s="65" t="s">
        <v>759</v>
      </c>
      <c r="I1" s="65" t="s">
        <v>754</v>
      </c>
      <c r="J1" s="65" t="s">
        <v>760</v>
      </c>
      <c r="K1" s="65" t="s">
        <v>761</v>
      </c>
      <c r="L1" s="65" t="s">
        <v>762</v>
      </c>
      <c r="N1" s="65" t="s">
        <v>763</v>
      </c>
      <c r="O1" s="65" t="s">
        <v>764</v>
      </c>
      <c r="P1" s="65" t="s">
        <v>765</v>
      </c>
    </row>
    <row r="2" spans="1:16" ht="16.5" customHeight="1" x14ac:dyDescent="0.25">
      <c r="A2" s="66">
        <v>46204</v>
      </c>
      <c r="B2" s="67" t="s">
        <v>21</v>
      </c>
      <c r="C2" s="68">
        <v>1</v>
      </c>
      <c r="D2" s="69">
        <v>9000</v>
      </c>
      <c r="E2" s="70">
        <f t="shared" ref="E2:E7" si="0">C2*D2</f>
        <v>9000</v>
      </c>
      <c r="F2" s="67" t="s">
        <v>766</v>
      </c>
      <c r="G2" s="71" t="s">
        <v>16</v>
      </c>
      <c r="I2" s="67" t="s">
        <v>21</v>
      </c>
      <c r="J2" s="72">
        <v>1</v>
      </c>
      <c r="K2" s="72">
        <v>9000</v>
      </c>
      <c r="L2" s="73">
        <f>K2/K$7</f>
        <v>5.7781201848998457E-3</v>
      </c>
      <c r="N2" s="70">
        <f>K7</f>
        <v>1557600</v>
      </c>
      <c r="O2" s="74">
        <f>J7</f>
        <v>258</v>
      </c>
      <c r="P2" s="72">
        <f>COUNT(I2:I6,J2:J6)</f>
        <v>5</v>
      </c>
    </row>
    <row r="3" spans="1:16" ht="16.5" customHeight="1" x14ac:dyDescent="0.25">
      <c r="A3" s="66">
        <v>46204</v>
      </c>
      <c r="B3" s="67" t="s">
        <v>22</v>
      </c>
      <c r="C3" s="68">
        <v>1</v>
      </c>
      <c r="D3" s="69">
        <v>9500</v>
      </c>
      <c r="E3" s="70">
        <f t="shared" si="0"/>
        <v>9500</v>
      </c>
      <c r="F3" s="67" t="s">
        <v>766</v>
      </c>
      <c r="G3" s="71" t="s">
        <v>16</v>
      </c>
      <c r="I3" s="67" t="s">
        <v>22</v>
      </c>
      <c r="J3" s="72">
        <v>1</v>
      </c>
      <c r="K3" s="72">
        <v>9500</v>
      </c>
      <c r="L3" s="73">
        <f>K3/K$7</f>
        <v>6.0991268618387261E-3</v>
      </c>
    </row>
    <row r="4" spans="1:16" ht="16.5" customHeight="1" x14ac:dyDescent="0.25">
      <c r="A4" s="66">
        <v>46204</v>
      </c>
      <c r="B4" s="75" t="s">
        <v>24</v>
      </c>
      <c r="C4" s="68">
        <v>1</v>
      </c>
      <c r="D4" s="69">
        <v>5400</v>
      </c>
      <c r="E4" s="70">
        <f t="shared" si="0"/>
        <v>5400</v>
      </c>
      <c r="F4" s="67" t="s">
        <v>767</v>
      </c>
      <c r="G4" s="71" t="s">
        <v>23</v>
      </c>
      <c r="I4" s="67" t="s">
        <v>24</v>
      </c>
      <c r="J4" s="72">
        <v>201</v>
      </c>
      <c r="K4" s="70">
        <f>SUM(E4+E5)</f>
        <v>995400</v>
      </c>
      <c r="L4" s="73">
        <f>K4/K$7</f>
        <v>0.63906009244992301</v>
      </c>
    </row>
    <row r="5" spans="1:16" ht="16.5" customHeight="1" x14ac:dyDescent="0.25">
      <c r="A5" s="66">
        <v>46204</v>
      </c>
      <c r="B5" s="75" t="s">
        <v>24</v>
      </c>
      <c r="C5" s="68">
        <v>200</v>
      </c>
      <c r="D5" s="69">
        <v>4950</v>
      </c>
      <c r="E5" s="70">
        <f t="shared" si="0"/>
        <v>990000</v>
      </c>
      <c r="F5" s="67" t="s">
        <v>25</v>
      </c>
      <c r="G5" s="71" t="s">
        <v>26</v>
      </c>
      <c r="I5" s="67" t="s">
        <v>27</v>
      </c>
      <c r="J5" s="72">
        <v>35</v>
      </c>
      <c r="K5" s="70">
        <f>E6</f>
        <v>280700</v>
      </c>
      <c r="L5" s="73">
        <f>K5/K$7</f>
        <v>0.18021314843348743</v>
      </c>
    </row>
    <row r="6" spans="1:16" ht="16.5" customHeight="1" x14ac:dyDescent="0.25">
      <c r="A6" s="66">
        <v>46204</v>
      </c>
      <c r="B6" s="67" t="s">
        <v>27</v>
      </c>
      <c r="C6" s="68">
        <v>35</v>
      </c>
      <c r="D6" s="69">
        <v>8020</v>
      </c>
      <c r="E6" s="70">
        <f t="shared" si="0"/>
        <v>280700</v>
      </c>
      <c r="F6" s="67" t="s">
        <v>25</v>
      </c>
      <c r="G6" s="71" t="s">
        <v>26</v>
      </c>
      <c r="I6" s="67" t="s">
        <v>28</v>
      </c>
      <c r="J6" s="72">
        <v>20</v>
      </c>
      <c r="K6" s="70">
        <f>E7</f>
        <v>263000</v>
      </c>
      <c r="L6" s="73">
        <f>K6/K$7</f>
        <v>0.16884951206985105</v>
      </c>
    </row>
    <row r="7" spans="1:16" ht="16.5" customHeight="1" x14ac:dyDescent="0.25">
      <c r="A7" s="66">
        <v>46204</v>
      </c>
      <c r="B7" s="67" t="s">
        <v>28</v>
      </c>
      <c r="C7" s="68">
        <v>20</v>
      </c>
      <c r="D7" s="69">
        <v>13150</v>
      </c>
      <c r="E7" s="70">
        <f t="shared" si="0"/>
        <v>263000</v>
      </c>
      <c r="F7" s="67" t="s">
        <v>25</v>
      </c>
      <c r="G7" s="71" t="s">
        <v>26</v>
      </c>
      <c r="I7" s="72" t="s">
        <v>768</v>
      </c>
      <c r="J7" s="74">
        <f>C8</f>
        <v>258</v>
      </c>
      <c r="K7" s="70">
        <f>SUM(K2:K6)</f>
        <v>1557600</v>
      </c>
      <c r="L7" s="73">
        <f>SUM(L2:L6)</f>
        <v>1</v>
      </c>
    </row>
    <row r="8" spans="1:16" ht="16.5" customHeight="1" x14ac:dyDescent="0.25">
      <c r="A8" s="76"/>
      <c r="B8" s="77" t="s">
        <v>768</v>
      </c>
      <c r="C8" s="78">
        <f>SUM(C2:C7)</f>
        <v>258</v>
      </c>
      <c r="D8" s="74">
        <f>SUM(D2:D7)</f>
        <v>50020</v>
      </c>
      <c r="E8" s="70">
        <f>SUM(E2:E7)</f>
        <v>1557600</v>
      </c>
      <c r="F8" s="67"/>
      <c r="G8" s="71"/>
    </row>
    <row r="9" spans="1:16" ht="16.5" customHeight="1" x14ac:dyDescent="0.25">
      <c r="A9" s="16"/>
      <c r="B9" s="6"/>
      <c r="C9" s="9"/>
      <c r="D9" s="8"/>
      <c r="E9" s="79"/>
      <c r="F9" s="6"/>
      <c r="G9" s="7"/>
      <c r="L9" s="80"/>
    </row>
    <row r="10" spans="1:16" ht="16.5" customHeight="1" x14ac:dyDescent="0.25">
      <c r="A10" s="16"/>
      <c r="B10" s="6"/>
      <c r="C10" s="9"/>
      <c r="D10" s="8"/>
      <c r="E10" s="79"/>
      <c r="F10" s="6"/>
      <c r="G10" s="7"/>
      <c r="L10" s="80"/>
    </row>
    <row r="11" spans="1:16" ht="16.5" customHeight="1" x14ac:dyDescent="0.25">
      <c r="A11" s="16"/>
      <c r="B11" s="6"/>
      <c r="C11" s="9"/>
      <c r="D11" s="8"/>
      <c r="E11" s="79"/>
      <c r="F11" s="6"/>
      <c r="G11" s="7"/>
      <c r="L11" s="80"/>
    </row>
    <row r="12" spans="1:16" ht="16.5" customHeight="1" x14ac:dyDescent="0.25">
      <c r="A12" s="16"/>
      <c r="B12" s="6"/>
      <c r="C12" s="9"/>
      <c r="D12" s="8"/>
      <c r="E12" s="79"/>
      <c r="F12" s="6"/>
      <c r="G12" s="7"/>
      <c r="L12" s="80"/>
    </row>
    <row r="13" spans="1:16" ht="16.5" customHeight="1" x14ac:dyDescent="0.25">
      <c r="A13" s="16"/>
      <c r="B13" s="6"/>
      <c r="C13" s="9"/>
      <c r="D13" s="8"/>
      <c r="E13" s="79"/>
      <c r="F13" s="6"/>
      <c r="G13" s="7"/>
      <c r="L13" s="80"/>
    </row>
    <row r="14" spans="1:16" ht="16.5" customHeight="1" x14ac:dyDescent="0.25">
      <c r="A14" s="16"/>
      <c r="B14" s="6"/>
      <c r="C14" s="9"/>
      <c r="D14" s="8"/>
      <c r="E14" s="79"/>
      <c r="F14" s="6"/>
      <c r="G14" s="7"/>
      <c r="L14" s="80"/>
    </row>
    <row r="15" spans="1:16" ht="16.5" customHeight="1" x14ac:dyDescent="0.25">
      <c r="A15" s="16"/>
      <c r="B15" s="6"/>
      <c r="C15" s="9"/>
      <c r="D15" s="8"/>
      <c r="E15" s="79"/>
      <c r="F15" s="6"/>
      <c r="G15" s="7"/>
      <c r="L15" s="80"/>
    </row>
    <row r="16" spans="1:16" ht="16.5" customHeight="1" x14ac:dyDescent="0.25">
      <c r="A16" s="16"/>
      <c r="B16" s="6"/>
      <c r="C16" s="9"/>
      <c r="D16" s="8"/>
      <c r="E16" s="79"/>
      <c r="F16" s="6"/>
      <c r="G16" s="7"/>
      <c r="L16" s="80"/>
    </row>
    <row r="17" spans="1:12" ht="16.5" customHeight="1" x14ac:dyDescent="0.25">
      <c r="A17" s="16"/>
      <c r="B17" s="6"/>
      <c r="C17" s="9"/>
      <c r="D17" s="8"/>
      <c r="E17" s="79"/>
      <c r="F17" s="6"/>
      <c r="G17" s="7"/>
      <c r="L17" s="80"/>
    </row>
    <row r="18" spans="1:12" ht="16.5" customHeight="1" x14ac:dyDescent="0.25">
      <c r="A18" s="16"/>
      <c r="B18" s="6"/>
      <c r="C18" s="9"/>
      <c r="D18" s="8"/>
      <c r="E18" s="79"/>
      <c r="F18" s="6"/>
      <c r="G18" s="7"/>
    </row>
    <row r="19" spans="1:12" ht="16.5" customHeight="1" x14ac:dyDescent="0.25">
      <c r="A19" s="16"/>
      <c r="B19" s="6"/>
      <c r="C19" s="9"/>
      <c r="D19" s="8"/>
      <c r="E19" s="79"/>
      <c r="F19" s="6"/>
      <c r="G19" s="7"/>
    </row>
    <row r="20" spans="1:12" ht="25.5" customHeight="1" x14ac:dyDescent="0.25">
      <c r="A20" s="16"/>
      <c r="B20" s="6"/>
      <c r="C20" s="9"/>
      <c r="D20" s="8"/>
      <c r="E20" s="79"/>
      <c r="F20" s="6"/>
      <c r="G20" s="7"/>
      <c r="I20" s="65" t="s">
        <v>758</v>
      </c>
      <c r="J20" s="65" t="s">
        <v>757</v>
      </c>
      <c r="K20" s="65" t="s">
        <v>762</v>
      </c>
      <c r="L20" s="65" t="s">
        <v>769</v>
      </c>
    </row>
    <row r="21" spans="1:12" ht="16.5" customHeight="1" x14ac:dyDescent="0.25">
      <c r="A21" s="16"/>
      <c r="B21" s="6"/>
      <c r="C21" s="9"/>
      <c r="D21" s="8"/>
      <c r="E21" s="79"/>
      <c r="F21" s="6"/>
      <c r="G21" s="7"/>
      <c r="I21" s="67" t="s">
        <v>766</v>
      </c>
      <c r="J21" s="70">
        <f>E2+E3</f>
        <v>18500</v>
      </c>
      <c r="K21" s="73">
        <f>J21/E$8</f>
        <v>1.1877247046738572E-2</v>
      </c>
      <c r="L21" s="73">
        <v>0.09</v>
      </c>
    </row>
    <row r="22" spans="1:12" ht="16.5" customHeight="1" x14ac:dyDescent="0.25">
      <c r="I22" s="67" t="s">
        <v>767</v>
      </c>
      <c r="J22" s="70">
        <f>E4</f>
        <v>5400</v>
      </c>
      <c r="K22" s="73">
        <f>J22/E$8</f>
        <v>3.4668721109399076E-3</v>
      </c>
      <c r="L22" s="73">
        <v>0.04</v>
      </c>
    </row>
    <row r="23" spans="1:12" ht="16.5" customHeight="1" x14ac:dyDescent="0.25">
      <c r="I23" s="67" t="s">
        <v>25</v>
      </c>
      <c r="J23" s="70">
        <f>SUM(E5:E7)</f>
        <v>1533700</v>
      </c>
      <c r="K23" s="73">
        <f>J23/E8</f>
        <v>0.98465588084232147</v>
      </c>
      <c r="L23" s="73">
        <v>-0.03</v>
      </c>
    </row>
    <row r="24" spans="1:12" ht="16.5" customHeight="1" x14ac:dyDescent="0.25">
      <c r="I24" s="81" t="s">
        <v>770</v>
      </c>
      <c r="J24" s="70">
        <f>SUM(J21:J23)</f>
        <v>1557600</v>
      </c>
      <c r="K24" s="73">
        <v>1</v>
      </c>
      <c r="L24" s="72"/>
    </row>
    <row r="25" spans="1:12" ht="16.5" customHeight="1" x14ac:dyDescent="0.25">
      <c r="I25" s="82"/>
      <c r="J25" s="79"/>
      <c r="K25" s="80"/>
      <c r="L25" s="80"/>
    </row>
    <row r="28" spans="1:12" ht="25.5" customHeight="1" x14ac:dyDescent="0.2">
      <c r="I28" s="65" t="s">
        <v>759</v>
      </c>
      <c r="J28" s="65" t="s">
        <v>757</v>
      </c>
      <c r="K28" s="65" t="s">
        <v>769</v>
      </c>
    </row>
    <row r="29" spans="1:12" ht="14.25" customHeight="1" x14ac:dyDescent="0.2">
      <c r="I29" s="71" t="s">
        <v>16</v>
      </c>
      <c r="J29" s="70">
        <v>18500</v>
      </c>
      <c r="K29" s="73">
        <v>0.09</v>
      </c>
    </row>
    <row r="30" spans="1:12" ht="16.5" customHeight="1" x14ac:dyDescent="0.25">
      <c r="I30" s="71" t="s">
        <v>23</v>
      </c>
      <c r="J30" s="8">
        <v>5400</v>
      </c>
      <c r="K30" s="73">
        <v>0.04</v>
      </c>
    </row>
    <row r="31" spans="1:12" ht="16.5" customHeight="1" x14ac:dyDescent="0.25">
      <c r="I31" s="71" t="s">
        <v>26</v>
      </c>
      <c r="J31" s="8">
        <v>1533700</v>
      </c>
      <c r="K31" s="73">
        <v>-0.03</v>
      </c>
    </row>
    <row r="32" spans="1:12" ht="16.5" customHeight="1" x14ac:dyDescent="0.25">
      <c r="I32" s="81" t="s">
        <v>770</v>
      </c>
      <c r="J32" s="70">
        <f>SUM(J29:J31)</f>
        <v>1557600</v>
      </c>
      <c r="K32" s="72"/>
    </row>
  </sheetData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I29" r:id="rId7" xr:uid="{00000000-0004-0000-0400-000006000000}"/>
    <hyperlink ref="I30" r:id="rId8" xr:uid="{00000000-0004-0000-0400-000007000000}"/>
    <hyperlink ref="I31" r:id="rId9" xr:uid="{00000000-0004-0000-0400-000008000000}"/>
  </hyperlinks>
  <pageMargins left="0.7" right="0.7" top="0.75" bottom="0.75" header="0.511811023622047" footer="0.511811023622047"/>
  <pageSetup orientation="portrait" horizontalDpi="300" verticalDpi="300"/>
  <drawing r:id="rId10"/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topLeftCell="B29" zoomScale="56" zoomScaleNormal="56" workbookViewId="0">
      <selection activeCell="J60" sqref="J60"/>
    </sheetView>
  </sheetViews>
  <sheetFormatPr defaultColWidth="8.609375" defaultRowHeight="15" x14ac:dyDescent="0.2"/>
  <cols>
    <col min="1" max="1" width="11.56640625" style="38" customWidth="1"/>
    <col min="2" max="2" width="24.078125" style="38" customWidth="1"/>
    <col min="3" max="3" width="10.89453125" style="38" customWidth="1"/>
    <col min="4" max="4" width="13.31640625" style="38" customWidth="1"/>
    <col min="5" max="5" width="12.5078125" style="38" customWidth="1"/>
    <col min="6" max="6" width="18.0234375" style="38" customWidth="1"/>
    <col min="7" max="7" width="11.8359375" style="38" customWidth="1"/>
    <col min="9" max="9" width="18.0234375" style="38" customWidth="1"/>
    <col min="10" max="10" width="14.9296875" style="38" customWidth="1"/>
    <col min="11" max="11" width="21.1171875" style="38" customWidth="1"/>
    <col min="12" max="12" width="13.5859375" style="38" customWidth="1"/>
    <col min="13" max="13" width="9.28125" style="38" customWidth="1"/>
    <col min="14" max="14" width="12.23828125" style="38" customWidth="1"/>
    <col min="15" max="15" width="15.46875" style="38" customWidth="1"/>
    <col min="16" max="16" width="15.6015625" style="38" customWidth="1"/>
    <col min="17" max="17" width="9.28125" style="38" customWidth="1"/>
  </cols>
  <sheetData>
    <row r="1" spans="1:16" ht="25.5" customHeight="1" x14ac:dyDescent="0.2">
      <c r="A1" s="65" t="s">
        <v>753</v>
      </c>
      <c r="B1" s="65" t="s">
        <v>754</v>
      </c>
      <c r="C1" s="65" t="s">
        <v>755</v>
      </c>
      <c r="D1" s="65" t="s">
        <v>756</v>
      </c>
      <c r="E1" s="65" t="s">
        <v>757</v>
      </c>
      <c r="F1" s="65" t="s">
        <v>758</v>
      </c>
      <c r="G1" s="65" t="s">
        <v>759</v>
      </c>
      <c r="I1" s="65" t="s">
        <v>754</v>
      </c>
      <c r="J1" s="65" t="s">
        <v>760</v>
      </c>
      <c r="K1" s="65" t="s">
        <v>761</v>
      </c>
      <c r="L1" s="65" t="s">
        <v>762</v>
      </c>
      <c r="N1" s="65" t="s">
        <v>763</v>
      </c>
      <c r="O1" s="65" t="s">
        <v>764</v>
      </c>
      <c r="P1" s="65" t="s">
        <v>765</v>
      </c>
    </row>
    <row r="2" spans="1:16" ht="16.5" customHeight="1" x14ac:dyDescent="0.25">
      <c r="A2" s="16">
        <v>46205</v>
      </c>
      <c r="B2" s="83" t="s">
        <v>24</v>
      </c>
      <c r="C2" s="68">
        <v>40</v>
      </c>
      <c r="D2" s="69">
        <v>4900</v>
      </c>
      <c r="E2" s="70">
        <f t="shared" ref="E2:E30" si="0">C2*D2</f>
        <v>196000</v>
      </c>
      <c r="F2" s="67" t="s">
        <v>29</v>
      </c>
      <c r="G2" s="71" t="s">
        <v>30</v>
      </c>
      <c r="I2" s="83" t="s">
        <v>24</v>
      </c>
      <c r="J2" s="72">
        <f>C2+C25</f>
        <v>300</v>
      </c>
      <c r="K2" s="70">
        <f>SUM(E2+E25)</f>
        <v>1496000</v>
      </c>
      <c r="L2" s="73">
        <f t="shared" ref="L2:L20" si="1">K2/K$20</f>
        <v>0.3537199110498459</v>
      </c>
      <c r="N2" s="70">
        <f>K20</f>
        <v>4229335</v>
      </c>
      <c r="O2" s="74">
        <f>J20</f>
        <v>488</v>
      </c>
      <c r="P2" s="72">
        <f>COUNT(I2:I19,J2:J19)</f>
        <v>18</v>
      </c>
    </row>
    <row r="3" spans="1:16" ht="16.5" customHeight="1" x14ac:dyDescent="0.25">
      <c r="A3" s="16">
        <v>46205</v>
      </c>
      <c r="B3" s="84" t="s">
        <v>31</v>
      </c>
      <c r="C3" s="68">
        <v>15</v>
      </c>
      <c r="D3" s="69">
        <v>17845</v>
      </c>
      <c r="E3" s="70">
        <f t="shared" si="0"/>
        <v>267675</v>
      </c>
      <c r="F3" s="67" t="s">
        <v>29</v>
      </c>
      <c r="G3" s="71" t="s">
        <v>30</v>
      </c>
      <c r="I3" s="84" t="s">
        <v>31</v>
      </c>
      <c r="J3" s="72">
        <f>C3+C11+C21</f>
        <v>32</v>
      </c>
      <c r="K3" s="70">
        <f>E3+E11+E21</f>
        <v>558375</v>
      </c>
      <c r="L3" s="73">
        <f t="shared" si="1"/>
        <v>0.13202430169281931</v>
      </c>
    </row>
    <row r="4" spans="1:16" ht="16.5" customHeight="1" x14ac:dyDescent="0.25">
      <c r="A4" s="16">
        <v>46205</v>
      </c>
      <c r="B4" s="85" t="s">
        <v>32</v>
      </c>
      <c r="C4" s="68">
        <v>3</v>
      </c>
      <c r="D4" s="69">
        <v>16145</v>
      </c>
      <c r="E4" s="70">
        <f t="shared" si="0"/>
        <v>48435</v>
      </c>
      <c r="F4" s="67" t="s">
        <v>29</v>
      </c>
      <c r="G4" s="71" t="s">
        <v>30</v>
      </c>
      <c r="I4" s="85" t="s">
        <v>32</v>
      </c>
      <c r="J4" s="72">
        <f>C4+C18</f>
        <v>33</v>
      </c>
      <c r="K4" s="70">
        <f>SUM(E4+E18)</f>
        <v>518085</v>
      </c>
      <c r="L4" s="73">
        <f t="shared" si="1"/>
        <v>0.12249798136113597</v>
      </c>
    </row>
    <row r="5" spans="1:16" ht="16.5" customHeight="1" x14ac:dyDescent="0.25">
      <c r="A5" s="16">
        <v>46205</v>
      </c>
      <c r="B5" s="86" t="s">
        <v>33</v>
      </c>
      <c r="C5" s="68">
        <v>2</v>
      </c>
      <c r="D5" s="69">
        <v>16145</v>
      </c>
      <c r="E5" s="70">
        <f t="shared" si="0"/>
        <v>32290</v>
      </c>
      <c r="F5" s="67" t="s">
        <v>29</v>
      </c>
      <c r="G5" s="71" t="s">
        <v>30</v>
      </c>
      <c r="I5" s="67" t="s">
        <v>56</v>
      </c>
      <c r="J5" s="72">
        <v>1</v>
      </c>
      <c r="K5" s="70">
        <f>E26</f>
        <v>24235</v>
      </c>
      <c r="L5" s="73">
        <f t="shared" si="1"/>
        <v>5.7302152702493414E-3</v>
      </c>
    </row>
    <row r="6" spans="1:16" ht="16.5" customHeight="1" x14ac:dyDescent="0.25">
      <c r="A6" s="16">
        <v>46205</v>
      </c>
      <c r="B6" s="87" t="s">
        <v>28</v>
      </c>
      <c r="C6" s="68">
        <v>5</v>
      </c>
      <c r="D6" s="69">
        <v>13200</v>
      </c>
      <c r="E6" s="70">
        <f t="shared" si="0"/>
        <v>66000</v>
      </c>
      <c r="F6" s="67" t="s">
        <v>29</v>
      </c>
      <c r="G6" s="71" t="s">
        <v>30</v>
      </c>
      <c r="I6" s="87" t="s">
        <v>28</v>
      </c>
      <c r="J6" s="72">
        <f>C6+C19</f>
        <v>40</v>
      </c>
      <c r="K6" s="70">
        <f>SUM(E6+E19)</f>
        <v>517500</v>
      </c>
      <c r="L6" s="73">
        <f t="shared" si="1"/>
        <v>0.12235966174351287</v>
      </c>
    </row>
    <row r="7" spans="1:16" ht="16.5" customHeight="1" x14ac:dyDescent="0.25">
      <c r="A7" s="16">
        <v>46205</v>
      </c>
      <c r="B7" s="88" t="s">
        <v>34</v>
      </c>
      <c r="C7" s="68">
        <v>2</v>
      </c>
      <c r="D7" s="69">
        <v>22740</v>
      </c>
      <c r="E7" s="70">
        <f t="shared" si="0"/>
        <v>45480</v>
      </c>
      <c r="F7" s="67" t="s">
        <v>29</v>
      </c>
      <c r="G7" s="71" t="s">
        <v>30</v>
      </c>
      <c r="I7" s="88" t="s">
        <v>34</v>
      </c>
      <c r="J7" s="72">
        <f>C7+C20+C22</f>
        <v>8</v>
      </c>
      <c r="K7" s="70">
        <f>SUM(E7+E20+E22)</f>
        <v>176695</v>
      </c>
      <c r="L7" s="73">
        <f t="shared" si="1"/>
        <v>4.1778435616946871E-2</v>
      </c>
    </row>
    <row r="8" spans="1:16" ht="16.5" customHeight="1" x14ac:dyDescent="0.25">
      <c r="A8" s="16">
        <v>46205</v>
      </c>
      <c r="B8" s="67" t="s">
        <v>35</v>
      </c>
      <c r="C8" s="68">
        <v>2</v>
      </c>
      <c r="D8" s="69">
        <v>21170</v>
      </c>
      <c r="E8" s="70">
        <f t="shared" si="0"/>
        <v>42340</v>
      </c>
      <c r="F8" s="67" t="s">
        <v>29</v>
      </c>
      <c r="G8" s="71" t="s">
        <v>30</v>
      </c>
      <c r="I8" s="67" t="s">
        <v>35</v>
      </c>
      <c r="J8" s="72">
        <v>2</v>
      </c>
      <c r="K8" s="70">
        <f>E8</f>
        <v>42340</v>
      </c>
      <c r="L8" s="73">
        <f t="shared" si="1"/>
        <v>1.0011030102841227E-2</v>
      </c>
    </row>
    <row r="9" spans="1:16" ht="16.5" customHeight="1" x14ac:dyDescent="0.25">
      <c r="A9" s="16">
        <v>46205</v>
      </c>
      <c r="B9" s="67" t="s">
        <v>36</v>
      </c>
      <c r="C9" s="68">
        <v>6</v>
      </c>
      <c r="D9" s="69">
        <v>15525</v>
      </c>
      <c r="E9" s="70">
        <f t="shared" si="0"/>
        <v>93150</v>
      </c>
      <c r="F9" s="67" t="s">
        <v>29</v>
      </c>
      <c r="G9" s="71" t="s">
        <v>30</v>
      </c>
      <c r="I9" s="67" t="s">
        <v>36</v>
      </c>
      <c r="J9" s="72">
        <v>6</v>
      </c>
      <c r="K9" s="70">
        <f>E9</f>
        <v>93150</v>
      </c>
      <c r="L9" s="73">
        <f t="shared" si="1"/>
        <v>2.2024739113832317E-2</v>
      </c>
    </row>
    <row r="10" spans="1:16" ht="16.5" customHeight="1" x14ac:dyDescent="0.25">
      <c r="A10" s="16">
        <v>46205</v>
      </c>
      <c r="B10" s="89" t="s">
        <v>37</v>
      </c>
      <c r="C10" s="68">
        <v>2</v>
      </c>
      <c r="D10" s="69">
        <v>8880</v>
      </c>
      <c r="E10" s="70">
        <f t="shared" si="0"/>
        <v>17760</v>
      </c>
      <c r="F10" s="67" t="s">
        <v>29</v>
      </c>
      <c r="G10" s="71" t="s">
        <v>30</v>
      </c>
      <c r="I10" s="89" t="s">
        <v>37</v>
      </c>
      <c r="J10" s="72">
        <v>2</v>
      </c>
      <c r="K10" s="70">
        <f>E10</f>
        <v>17760</v>
      </c>
      <c r="L10" s="73">
        <f t="shared" si="1"/>
        <v>4.1992417247628767E-3</v>
      </c>
    </row>
    <row r="11" spans="1:16" ht="16.5" customHeight="1" x14ac:dyDescent="0.25">
      <c r="A11" s="16">
        <v>46205</v>
      </c>
      <c r="B11" s="84" t="s">
        <v>31</v>
      </c>
      <c r="C11" s="68">
        <v>15</v>
      </c>
      <c r="D11" s="69">
        <v>17100</v>
      </c>
      <c r="E11" s="70">
        <f t="shared" si="0"/>
        <v>256500</v>
      </c>
      <c r="F11" s="67" t="s">
        <v>29</v>
      </c>
      <c r="G11" s="71" t="s">
        <v>39</v>
      </c>
      <c r="I11" s="90" t="s">
        <v>22</v>
      </c>
      <c r="J11" s="72">
        <f>C12+C23</f>
        <v>12</v>
      </c>
      <c r="K11" s="70">
        <f>E12+E23</f>
        <v>103200</v>
      </c>
      <c r="L11" s="73">
        <f t="shared" si="1"/>
        <v>2.4400999211459957E-2</v>
      </c>
    </row>
    <row r="12" spans="1:16" ht="16.5" customHeight="1" x14ac:dyDescent="0.25">
      <c r="A12" s="16">
        <v>46205</v>
      </c>
      <c r="B12" s="90" t="s">
        <v>22</v>
      </c>
      <c r="C12" s="68">
        <v>10</v>
      </c>
      <c r="D12" s="69">
        <v>8600</v>
      </c>
      <c r="E12" s="70">
        <f t="shared" si="0"/>
        <v>86000</v>
      </c>
      <c r="F12" s="67" t="s">
        <v>40</v>
      </c>
      <c r="G12" s="71" t="s">
        <v>41</v>
      </c>
      <c r="I12" s="67" t="s">
        <v>43</v>
      </c>
      <c r="J12" s="72">
        <v>1</v>
      </c>
      <c r="K12" s="70">
        <f>E13</f>
        <v>17700</v>
      </c>
      <c r="L12" s="73">
        <f t="shared" si="1"/>
        <v>4.1850550973143528E-3</v>
      </c>
    </row>
    <row r="13" spans="1:16" ht="16.5" customHeight="1" x14ac:dyDescent="0.25">
      <c r="A13" s="16">
        <v>46205</v>
      </c>
      <c r="B13" s="67" t="s">
        <v>43</v>
      </c>
      <c r="C13" s="68">
        <v>1</v>
      </c>
      <c r="D13" s="69">
        <v>17700</v>
      </c>
      <c r="E13" s="70">
        <f t="shared" si="0"/>
        <v>17700</v>
      </c>
      <c r="F13" s="67" t="s">
        <v>29</v>
      </c>
      <c r="G13" s="71" t="s">
        <v>42</v>
      </c>
      <c r="I13" s="67" t="s">
        <v>21</v>
      </c>
      <c r="J13" s="72">
        <v>1</v>
      </c>
      <c r="K13" s="70">
        <f>E14</f>
        <v>8500</v>
      </c>
      <c r="L13" s="73">
        <f t="shared" si="1"/>
        <v>2.0097722218741245E-3</v>
      </c>
    </row>
    <row r="14" spans="1:16" ht="16.5" customHeight="1" x14ac:dyDescent="0.25">
      <c r="A14" s="16">
        <v>46205</v>
      </c>
      <c r="B14" s="67" t="s">
        <v>21</v>
      </c>
      <c r="C14" s="68">
        <v>1</v>
      </c>
      <c r="D14" s="69">
        <v>8500</v>
      </c>
      <c r="E14" s="70">
        <f t="shared" si="0"/>
        <v>8500</v>
      </c>
      <c r="F14" s="67" t="s">
        <v>29</v>
      </c>
      <c r="G14" s="71" t="s">
        <v>42</v>
      </c>
      <c r="I14" s="67" t="s">
        <v>44</v>
      </c>
      <c r="J14" s="72">
        <v>1</v>
      </c>
      <c r="K14" s="70">
        <f>E15</f>
        <v>9200</v>
      </c>
      <c r="L14" s="73">
        <f t="shared" si="1"/>
        <v>2.1752828754402287E-3</v>
      </c>
    </row>
    <row r="15" spans="1:16" ht="16.5" customHeight="1" x14ac:dyDescent="0.25">
      <c r="A15" s="16">
        <v>46205</v>
      </c>
      <c r="B15" s="67" t="s">
        <v>44</v>
      </c>
      <c r="C15" s="68">
        <v>1</v>
      </c>
      <c r="D15" s="69">
        <v>9200</v>
      </c>
      <c r="E15" s="70">
        <f t="shared" si="0"/>
        <v>9200</v>
      </c>
      <c r="F15" s="67" t="s">
        <v>29</v>
      </c>
      <c r="G15" s="71" t="s">
        <v>42</v>
      </c>
      <c r="I15" s="67" t="s">
        <v>45</v>
      </c>
      <c r="J15" s="72">
        <v>2</v>
      </c>
      <c r="K15" s="70">
        <f>E16</f>
        <v>26670</v>
      </c>
      <c r="L15" s="73">
        <f t="shared" si="1"/>
        <v>6.3059559008685762E-3</v>
      </c>
    </row>
    <row r="16" spans="1:16" ht="16.5" customHeight="1" x14ac:dyDescent="0.25">
      <c r="A16" s="16">
        <v>46205</v>
      </c>
      <c r="B16" s="67" t="s">
        <v>45</v>
      </c>
      <c r="C16" s="68">
        <v>2</v>
      </c>
      <c r="D16" s="69">
        <v>13335</v>
      </c>
      <c r="E16" s="70">
        <f t="shared" si="0"/>
        <v>26670</v>
      </c>
      <c r="F16" s="67" t="s">
        <v>29</v>
      </c>
      <c r="G16" s="71" t="s">
        <v>42</v>
      </c>
      <c r="I16" s="86" t="s">
        <v>33</v>
      </c>
      <c r="J16" s="72">
        <f>C5+C17</f>
        <v>27</v>
      </c>
      <c r="K16" s="70">
        <f>E5+E17</f>
        <v>423665</v>
      </c>
      <c r="L16" s="73">
        <f t="shared" si="1"/>
        <v>0.10017295863297658</v>
      </c>
    </row>
    <row r="17" spans="1:12" ht="16.5" customHeight="1" x14ac:dyDescent="0.25">
      <c r="A17" s="16">
        <v>46205</v>
      </c>
      <c r="B17" s="86" t="s">
        <v>33</v>
      </c>
      <c r="C17" s="68">
        <v>25</v>
      </c>
      <c r="D17" s="69">
        <v>15655</v>
      </c>
      <c r="E17" s="70">
        <f t="shared" si="0"/>
        <v>391375</v>
      </c>
      <c r="F17" s="67" t="s">
        <v>50</v>
      </c>
      <c r="G17" s="71" t="s">
        <v>51</v>
      </c>
      <c r="I17" s="91" t="s">
        <v>27</v>
      </c>
      <c r="J17" s="72">
        <f>C27+C28</f>
        <v>15</v>
      </c>
      <c r="K17" s="70">
        <f>E27+E28</f>
        <v>120300</v>
      </c>
      <c r="L17" s="73">
        <f t="shared" si="1"/>
        <v>2.8444188034289077E-2</v>
      </c>
    </row>
    <row r="18" spans="1:12" ht="16.5" customHeight="1" x14ac:dyDescent="0.25">
      <c r="A18" s="16">
        <v>46205</v>
      </c>
      <c r="B18" s="85" t="s">
        <v>32</v>
      </c>
      <c r="C18" s="68">
        <v>30</v>
      </c>
      <c r="D18" s="69">
        <v>15655</v>
      </c>
      <c r="E18" s="70">
        <f t="shared" si="0"/>
        <v>469650</v>
      </c>
      <c r="F18" s="67" t="s">
        <v>50</v>
      </c>
      <c r="G18" s="71" t="s">
        <v>51</v>
      </c>
      <c r="I18" s="67" t="s">
        <v>61</v>
      </c>
      <c r="J18" s="72">
        <v>2</v>
      </c>
      <c r="K18" s="70">
        <f>E29</f>
        <v>25770</v>
      </c>
      <c r="L18" s="73">
        <f t="shared" si="1"/>
        <v>6.0931564891407277E-3</v>
      </c>
    </row>
    <row r="19" spans="1:12" ht="16.5" customHeight="1" x14ac:dyDescent="0.25">
      <c r="A19" s="16">
        <v>46205</v>
      </c>
      <c r="B19" s="87" t="s">
        <v>28</v>
      </c>
      <c r="C19" s="68">
        <v>35</v>
      </c>
      <c r="D19" s="69">
        <v>12900</v>
      </c>
      <c r="E19" s="70">
        <f t="shared" si="0"/>
        <v>451500</v>
      </c>
      <c r="F19" s="67" t="s">
        <v>50</v>
      </c>
      <c r="G19" s="71" t="s">
        <v>51</v>
      </c>
      <c r="I19" s="67" t="s">
        <v>62</v>
      </c>
      <c r="J19" s="72">
        <v>2</v>
      </c>
      <c r="K19" s="70">
        <f>E30</f>
        <v>41310</v>
      </c>
      <c r="L19" s="73">
        <f t="shared" si="1"/>
        <v>9.7674929983082442E-3</v>
      </c>
    </row>
    <row r="20" spans="1:12" ht="16.5" customHeight="1" x14ac:dyDescent="0.25">
      <c r="A20" s="16">
        <v>46205</v>
      </c>
      <c r="B20" s="88" t="s">
        <v>34</v>
      </c>
      <c r="C20" s="68">
        <v>5</v>
      </c>
      <c r="D20" s="69">
        <v>21695</v>
      </c>
      <c r="E20" s="70">
        <f t="shared" si="0"/>
        <v>108475</v>
      </c>
      <c r="F20" s="67" t="s">
        <v>50</v>
      </c>
      <c r="G20" s="71" t="s">
        <v>51</v>
      </c>
      <c r="I20" s="72" t="s">
        <v>768</v>
      </c>
      <c r="J20" s="74">
        <f>C31</f>
        <v>488</v>
      </c>
      <c r="K20" s="70">
        <f>E31</f>
        <v>4229335</v>
      </c>
      <c r="L20" s="73">
        <f t="shared" si="1"/>
        <v>1</v>
      </c>
    </row>
    <row r="21" spans="1:12" ht="16.5" customHeight="1" x14ac:dyDescent="0.25">
      <c r="A21" s="16">
        <v>46205</v>
      </c>
      <c r="B21" s="84" t="s">
        <v>31</v>
      </c>
      <c r="C21" s="68">
        <v>2</v>
      </c>
      <c r="D21" s="69">
        <v>17100</v>
      </c>
      <c r="E21" s="70">
        <f t="shared" si="0"/>
        <v>34200</v>
      </c>
      <c r="F21" s="67" t="s">
        <v>29</v>
      </c>
      <c r="G21" s="71" t="s">
        <v>52</v>
      </c>
    </row>
    <row r="22" spans="1:12" ht="16.5" customHeight="1" x14ac:dyDescent="0.25">
      <c r="A22" s="16">
        <v>46205</v>
      </c>
      <c r="B22" s="88" t="s">
        <v>34</v>
      </c>
      <c r="C22" s="68">
        <v>1</v>
      </c>
      <c r="D22" s="69">
        <v>22740</v>
      </c>
      <c r="E22" s="70">
        <f t="shared" si="0"/>
        <v>22740</v>
      </c>
      <c r="F22" s="67" t="s">
        <v>29</v>
      </c>
      <c r="G22" s="71" t="s">
        <v>52</v>
      </c>
      <c r="I22" s="6"/>
    </row>
    <row r="23" spans="1:12" ht="16.5" customHeight="1" x14ac:dyDescent="0.25">
      <c r="A23" s="16">
        <v>46205</v>
      </c>
      <c r="B23" s="90" t="s">
        <v>22</v>
      </c>
      <c r="C23" s="68">
        <v>2</v>
      </c>
      <c r="D23" s="69">
        <v>8600</v>
      </c>
      <c r="E23" s="70">
        <f t="shared" si="0"/>
        <v>17200</v>
      </c>
      <c r="F23" s="67" t="s">
        <v>40</v>
      </c>
      <c r="G23" s="71" t="s">
        <v>53</v>
      </c>
      <c r="I23" s="6"/>
    </row>
    <row r="24" spans="1:12" ht="16.5" customHeight="1" x14ac:dyDescent="0.25">
      <c r="A24" s="16">
        <v>46205</v>
      </c>
      <c r="B24" s="89" t="s">
        <v>37</v>
      </c>
      <c r="C24" s="68">
        <v>1</v>
      </c>
      <c r="D24" s="69">
        <v>8880</v>
      </c>
      <c r="E24" s="70">
        <f t="shared" si="0"/>
        <v>8880</v>
      </c>
      <c r="F24" s="67" t="s">
        <v>29</v>
      </c>
      <c r="G24" s="71" t="s">
        <v>54</v>
      </c>
      <c r="I24" s="6"/>
    </row>
    <row r="25" spans="1:12" ht="16.5" customHeight="1" x14ac:dyDescent="0.25">
      <c r="A25" s="16">
        <v>46205</v>
      </c>
      <c r="B25" s="83" t="s">
        <v>24</v>
      </c>
      <c r="C25" s="68">
        <v>260</v>
      </c>
      <c r="D25" s="69">
        <v>5000</v>
      </c>
      <c r="E25" s="70">
        <f t="shared" si="0"/>
        <v>1300000</v>
      </c>
      <c r="F25" s="67" t="s">
        <v>25</v>
      </c>
      <c r="G25" s="71" t="s">
        <v>55</v>
      </c>
      <c r="I25" s="6"/>
      <c r="J25" s="79"/>
      <c r="K25" s="80"/>
      <c r="L25" s="80"/>
    </row>
    <row r="26" spans="1:12" ht="16.5" customHeight="1" x14ac:dyDescent="0.25">
      <c r="A26" s="16">
        <v>46205</v>
      </c>
      <c r="B26" s="67" t="s">
        <v>56</v>
      </c>
      <c r="C26" s="68">
        <v>1</v>
      </c>
      <c r="D26" s="69">
        <v>24235</v>
      </c>
      <c r="E26" s="70">
        <f t="shared" si="0"/>
        <v>24235</v>
      </c>
      <c r="F26" s="67" t="s">
        <v>25</v>
      </c>
      <c r="G26" s="71" t="s">
        <v>55</v>
      </c>
      <c r="I26" s="6"/>
    </row>
    <row r="27" spans="1:12" ht="16.5" customHeight="1" x14ac:dyDescent="0.25">
      <c r="A27" s="16">
        <v>46205</v>
      </c>
      <c r="B27" s="91" t="s">
        <v>27</v>
      </c>
      <c r="C27" s="68">
        <v>5</v>
      </c>
      <c r="D27" s="69">
        <v>8020</v>
      </c>
      <c r="E27" s="70">
        <f t="shared" si="0"/>
        <v>40100</v>
      </c>
      <c r="F27" s="67" t="s">
        <v>25</v>
      </c>
      <c r="G27" s="71" t="s">
        <v>57</v>
      </c>
      <c r="I27" s="6"/>
    </row>
    <row r="28" spans="1:12" ht="16.5" customHeight="1" x14ac:dyDescent="0.25">
      <c r="A28" s="16">
        <v>46205</v>
      </c>
      <c r="B28" s="91" t="s">
        <v>27</v>
      </c>
      <c r="C28" s="68">
        <v>10</v>
      </c>
      <c r="D28" s="69">
        <v>8020</v>
      </c>
      <c r="E28" s="70">
        <f t="shared" si="0"/>
        <v>80200</v>
      </c>
      <c r="F28" s="67" t="s">
        <v>25</v>
      </c>
      <c r="G28" s="71" t="s">
        <v>58</v>
      </c>
    </row>
    <row r="29" spans="1:12" ht="16.5" customHeight="1" x14ac:dyDescent="0.25">
      <c r="A29" s="16">
        <v>46205</v>
      </c>
      <c r="B29" s="67" t="s">
        <v>61</v>
      </c>
      <c r="C29" s="68">
        <v>2</v>
      </c>
      <c r="D29" s="69">
        <v>12885</v>
      </c>
      <c r="E29" s="70">
        <f t="shared" si="0"/>
        <v>25770</v>
      </c>
      <c r="F29" s="67" t="s">
        <v>59</v>
      </c>
      <c r="G29" s="71" t="s">
        <v>60</v>
      </c>
    </row>
    <row r="30" spans="1:12" ht="16.5" customHeight="1" x14ac:dyDescent="0.25">
      <c r="A30" s="16">
        <v>46205</v>
      </c>
      <c r="B30" s="67" t="s">
        <v>62</v>
      </c>
      <c r="C30" s="68">
        <v>2</v>
      </c>
      <c r="D30" s="69">
        <v>20655</v>
      </c>
      <c r="E30" s="70">
        <f t="shared" si="0"/>
        <v>41310</v>
      </c>
      <c r="F30" s="67" t="s">
        <v>59</v>
      </c>
      <c r="G30" s="71" t="s">
        <v>60</v>
      </c>
    </row>
    <row r="31" spans="1:12" ht="16.5" customHeight="1" x14ac:dyDescent="0.25">
      <c r="A31" s="72"/>
      <c r="B31" s="67" t="s">
        <v>768</v>
      </c>
      <c r="C31" s="72">
        <f>SUM(C2:C30)</f>
        <v>488</v>
      </c>
      <c r="D31" s="74">
        <f>SUM(D2:D30)</f>
        <v>413025</v>
      </c>
      <c r="E31" s="70">
        <f>SUM(E2:E30)</f>
        <v>4229335</v>
      </c>
      <c r="F31" s="72"/>
      <c r="G31" s="72"/>
    </row>
    <row r="36" spans="5:12" ht="14.25" customHeight="1" x14ac:dyDescent="0.2">
      <c r="E36" s="92">
        <f>SUM(E2:E11)</f>
        <v>1065630</v>
      </c>
    </row>
    <row r="37" spans="5:12" ht="14.25" customHeight="1" x14ac:dyDescent="0.2">
      <c r="E37" s="92">
        <f>SUM(E13:E16)</f>
        <v>62070</v>
      </c>
    </row>
    <row r="38" spans="5:12" ht="13.5" customHeight="1" x14ac:dyDescent="0.2">
      <c r="E38" s="92">
        <f>+E21+E22</f>
        <v>56940</v>
      </c>
      <c r="I38" s="65" t="s">
        <v>758</v>
      </c>
      <c r="J38" s="65" t="s">
        <v>757</v>
      </c>
      <c r="K38" s="65" t="s">
        <v>762</v>
      </c>
      <c r="L38" s="65" t="s">
        <v>769</v>
      </c>
    </row>
    <row r="39" spans="5:12" ht="16.5" customHeight="1" x14ac:dyDescent="0.25">
      <c r="I39" s="67" t="s">
        <v>29</v>
      </c>
      <c r="J39" s="70">
        <f>E36+E37+E38+E24</f>
        <v>1193520</v>
      </c>
      <c r="K39" s="73">
        <f t="shared" ref="K39:K44" si="2">J39/E$31</f>
        <v>0.28220039320602414</v>
      </c>
      <c r="L39" s="73" t="s">
        <v>771</v>
      </c>
    </row>
    <row r="40" spans="5:12" ht="16.5" customHeight="1" x14ac:dyDescent="0.25">
      <c r="I40" s="67" t="s">
        <v>40</v>
      </c>
      <c r="J40" s="70">
        <f>E12+E23</f>
        <v>103200</v>
      </c>
      <c r="K40" s="73">
        <f t="shared" si="2"/>
        <v>2.4400999211459957E-2</v>
      </c>
      <c r="L40" s="73">
        <v>0.09</v>
      </c>
    </row>
    <row r="41" spans="5:12" ht="16.5" customHeight="1" x14ac:dyDescent="0.25">
      <c r="I41" s="67" t="s">
        <v>50</v>
      </c>
      <c r="J41" s="70">
        <f>SUM(E17:E20)</f>
        <v>1421000</v>
      </c>
      <c r="K41" s="73">
        <f t="shared" si="2"/>
        <v>0.33598662673919188</v>
      </c>
      <c r="L41" s="73">
        <v>0</v>
      </c>
    </row>
    <row r="42" spans="5:12" ht="16.5" customHeight="1" x14ac:dyDescent="0.25">
      <c r="I42" s="67" t="s">
        <v>25</v>
      </c>
      <c r="J42" s="70">
        <f>SUM(E25:E28)</f>
        <v>1444535</v>
      </c>
      <c r="K42" s="73">
        <f t="shared" si="2"/>
        <v>0.34155133135587512</v>
      </c>
      <c r="L42" s="72"/>
    </row>
    <row r="43" spans="5:12" ht="16.5" customHeight="1" x14ac:dyDescent="0.25">
      <c r="I43" s="67" t="s">
        <v>59</v>
      </c>
      <c r="J43" s="70">
        <f>E29+E30</f>
        <v>67080</v>
      </c>
      <c r="K43" s="73">
        <f t="shared" si="2"/>
        <v>1.5860649487448971E-2</v>
      </c>
      <c r="L43" s="73">
        <v>0.06</v>
      </c>
    </row>
    <row r="44" spans="5:12" ht="16.5" customHeight="1" x14ac:dyDescent="0.25">
      <c r="I44" s="81" t="s">
        <v>770</v>
      </c>
      <c r="J44" s="70">
        <f>SUM(J39:J43)</f>
        <v>4229335</v>
      </c>
      <c r="K44" s="73">
        <f t="shared" si="2"/>
        <v>1</v>
      </c>
      <c r="L44" s="72"/>
    </row>
    <row r="47" spans="5:12" ht="14.25" customHeight="1" x14ac:dyDescent="0.2">
      <c r="I47" s="65" t="s">
        <v>759</v>
      </c>
      <c r="J47" s="65" t="s">
        <v>757</v>
      </c>
      <c r="K47" s="65" t="s">
        <v>769</v>
      </c>
    </row>
    <row r="48" spans="5:12" ht="16.5" customHeight="1" x14ac:dyDescent="0.25">
      <c r="I48" s="71" t="s">
        <v>30</v>
      </c>
      <c r="J48" s="93">
        <v>821130</v>
      </c>
      <c r="K48" s="73">
        <v>0.01</v>
      </c>
    </row>
    <row r="49" spans="9:11" ht="16.5" customHeight="1" x14ac:dyDescent="0.25">
      <c r="I49" s="71" t="s">
        <v>39</v>
      </c>
      <c r="J49" s="93">
        <v>256500</v>
      </c>
      <c r="K49" s="73">
        <v>0</v>
      </c>
    </row>
    <row r="50" spans="9:11" ht="16.5" customHeight="1" x14ac:dyDescent="0.25">
      <c r="I50" s="71" t="s">
        <v>41</v>
      </c>
      <c r="J50" s="93">
        <v>86000</v>
      </c>
      <c r="K50" s="73">
        <v>0</v>
      </c>
    </row>
    <row r="51" spans="9:11" ht="16.5" customHeight="1" x14ac:dyDescent="0.25">
      <c r="I51" s="71" t="s">
        <v>42</v>
      </c>
      <c r="J51" s="93">
        <v>62070</v>
      </c>
      <c r="K51" s="73">
        <v>0.04</v>
      </c>
    </row>
    <row r="52" spans="9:11" ht="16.5" customHeight="1" x14ac:dyDescent="0.25">
      <c r="I52" s="71" t="s">
        <v>51</v>
      </c>
      <c r="J52" s="93">
        <v>1421000</v>
      </c>
      <c r="K52" s="73">
        <v>0</v>
      </c>
    </row>
    <row r="53" spans="9:11" ht="16.5" customHeight="1" x14ac:dyDescent="0.25">
      <c r="I53" s="71" t="s">
        <v>52</v>
      </c>
      <c r="J53" s="93">
        <v>56940</v>
      </c>
      <c r="K53" s="73">
        <v>0.02</v>
      </c>
    </row>
    <row r="54" spans="9:11" ht="16.5" customHeight="1" x14ac:dyDescent="0.25">
      <c r="I54" s="71" t="s">
        <v>53</v>
      </c>
      <c r="J54" s="93">
        <v>17200</v>
      </c>
      <c r="K54" s="73">
        <v>0</v>
      </c>
    </row>
    <row r="55" spans="9:11" ht="16.5" customHeight="1" x14ac:dyDescent="0.25">
      <c r="I55" s="71" t="s">
        <v>54</v>
      </c>
      <c r="J55" s="93">
        <v>8880</v>
      </c>
      <c r="K55" s="73">
        <v>0.04</v>
      </c>
    </row>
    <row r="56" spans="9:11" ht="16.5" customHeight="1" x14ac:dyDescent="0.25">
      <c r="I56" s="71" t="s">
        <v>55</v>
      </c>
      <c r="J56" s="93">
        <v>1324235</v>
      </c>
      <c r="K56" s="73">
        <v>-0.04</v>
      </c>
    </row>
    <row r="57" spans="9:11" ht="16.5" customHeight="1" x14ac:dyDescent="0.25">
      <c r="I57" s="71" t="s">
        <v>57</v>
      </c>
      <c r="J57" s="93">
        <v>40100</v>
      </c>
      <c r="K57" s="73">
        <v>0.04</v>
      </c>
    </row>
    <row r="58" spans="9:11" ht="16.5" customHeight="1" x14ac:dyDescent="0.25">
      <c r="I58" s="71" t="s">
        <v>58</v>
      </c>
      <c r="J58" s="93">
        <v>80200</v>
      </c>
      <c r="K58" s="73">
        <v>0.04</v>
      </c>
    </row>
    <row r="59" spans="9:11" ht="16.5" customHeight="1" x14ac:dyDescent="0.25">
      <c r="I59" s="71" t="s">
        <v>60</v>
      </c>
      <c r="J59" s="93">
        <v>67080</v>
      </c>
      <c r="K59" s="73">
        <v>0.06</v>
      </c>
    </row>
    <row r="60" spans="9:11" ht="16.5" customHeight="1" x14ac:dyDescent="0.25">
      <c r="I60" s="81" t="s">
        <v>770</v>
      </c>
      <c r="J60" s="70">
        <f>SUM(J48:J59)</f>
        <v>4241335</v>
      </c>
      <c r="K60" s="72"/>
    </row>
  </sheetData>
  <hyperlinks>
    <hyperlink ref="G2" r:id="rId1" xr:uid="{00000000-0004-0000-0500-000000000000}"/>
    <hyperlink ref="G3" r:id="rId2" xr:uid="{00000000-0004-0000-0500-000001000000}"/>
    <hyperlink ref="G4" r:id="rId3" xr:uid="{00000000-0004-0000-0500-000002000000}"/>
    <hyperlink ref="G5" r:id="rId4" xr:uid="{00000000-0004-0000-0500-000003000000}"/>
    <hyperlink ref="G6" r:id="rId5" xr:uid="{00000000-0004-0000-0500-000004000000}"/>
    <hyperlink ref="G7" r:id="rId6" xr:uid="{00000000-0004-0000-0500-000005000000}"/>
    <hyperlink ref="G8" r:id="rId7" xr:uid="{00000000-0004-0000-0500-000006000000}"/>
    <hyperlink ref="G9" r:id="rId8" xr:uid="{00000000-0004-0000-0500-000007000000}"/>
    <hyperlink ref="G10" r:id="rId9" xr:uid="{00000000-0004-0000-0500-000008000000}"/>
    <hyperlink ref="G11" r:id="rId10" xr:uid="{00000000-0004-0000-0500-000009000000}"/>
    <hyperlink ref="G12" r:id="rId11" xr:uid="{00000000-0004-0000-0500-00000A000000}"/>
    <hyperlink ref="G13" r:id="rId12" xr:uid="{00000000-0004-0000-0500-00000B000000}"/>
    <hyperlink ref="G14" r:id="rId13" xr:uid="{00000000-0004-0000-0500-00000C000000}"/>
    <hyperlink ref="G15" r:id="rId14" xr:uid="{00000000-0004-0000-0500-00000D000000}"/>
    <hyperlink ref="G16" r:id="rId15" xr:uid="{00000000-0004-0000-0500-00000E000000}"/>
    <hyperlink ref="G17" r:id="rId16" xr:uid="{00000000-0004-0000-0500-00000F000000}"/>
    <hyperlink ref="G18" r:id="rId17" xr:uid="{00000000-0004-0000-0500-000010000000}"/>
    <hyperlink ref="G19" r:id="rId18" xr:uid="{00000000-0004-0000-0500-000011000000}"/>
    <hyperlink ref="G20" r:id="rId19" xr:uid="{00000000-0004-0000-0500-000012000000}"/>
    <hyperlink ref="G21" r:id="rId20" xr:uid="{00000000-0004-0000-0500-000013000000}"/>
    <hyperlink ref="G22" r:id="rId21" xr:uid="{00000000-0004-0000-0500-000014000000}"/>
    <hyperlink ref="G23" r:id="rId22" xr:uid="{00000000-0004-0000-0500-000015000000}"/>
    <hyperlink ref="G24" r:id="rId23" xr:uid="{00000000-0004-0000-0500-000016000000}"/>
    <hyperlink ref="G25" r:id="rId24" xr:uid="{00000000-0004-0000-0500-000017000000}"/>
    <hyperlink ref="G26" r:id="rId25" xr:uid="{00000000-0004-0000-0500-000018000000}"/>
    <hyperlink ref="G27" r:id="rId26" xr:uid="{00000000-0004-0000-0500-000019000000}"/>
    <hyperlink ref="G28" r:id="rId27" xr:uid="{00000000-0004-0000-0500-00001A000000}"/>
    <hyperlink ref="G29" r:id="rId28" xr:uid="{00000000-0004-0000-0500-00001B000000}"/>
    <hyperlink ref="G30" r:id="rId29" xr:uid="{00000000-0004-0000-0500-00001C000000}"/>
    <hyperlink ref="I48" r:id="rId30" xr:uid="{00000000-0004-0000-0500-00001D000000}"/>
    <hyperlink ref="I49" r:id="rId31" xr:uid="{00000000-0004-0000-0500-00001E000000}"/>
    <hyperlink ref="I50" r:id="rId32" xr:uid="{00000000-0004-0000-0500-00001F000000}"/>
    <hyperlink ref="I51" r:id="rId33" xr:uid="{00000000-0004-0000-0500-000020000000}"/>
    <hyperlink ref="I53" r:id="rId34" xr:uid="{00000000-0004-0000-0500-000021000000}"/>
    <hyperlink ref="I54" r:id="rId35" xr:uid="{00000000-0004-0000-0500-000022000000}"/>
    <hyperlink ref="I55" r:id="rId36" xr:uid="{00000000-0004-0000-0500-000023000000}"/>
    <hyperlink ref="I56" r:id="rId37" xr:uid="{00000000-0004-0000-0500-000024000000}"/>
    <hyperlink ref="I57" r:id="rId38" xr:uid="{00000000-0004-0000-0500-000025000000}"/>
    <hyperlink ref="I58" r:id="rId39" xr:uid="{00000000-0004-0000-0500-000026000000}"/>
    <hyperlink ref="I59" r:id="rId40" xr:uid="{00000000-0004-0000-0500-000027000000}"/>
  </hyperlinks>
  <pageMargins left="0.7" right="0.7" top="0.75" bottom="0.75" header="0.511811023622047" footer="0.511811023622047"/>
  <pageSetup orientation="portrait" horizontalDpi="300" verticalDpi="300"/>
  <drawing r:id="rId41"/>
  <legacyDrawing r:id="rId4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9"/>
  <sheetViews>
    <sheetView topLeftCell="B27" zoomScale="49" zoomScaleNormal="49" workbookViewId="0">
      <selection activeCell="J59" sqref="J59"/>
    </sheetView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9.28125" style="38" customWidth="1"/>
    <col min="14" max="14" width="12.23828125" style="38" customWidth="1"/>
    <col min="15" max="15" width="15.46875" style="38" customWidth="1"/>
    <col min="16" max="16" width="15.6015625" style="38" customWidth="1"/>
    <col min="17" max="17" width="9.28125" style="38" customWidth="1"/>
  </cols>
  <sheetData>
    <row r="1" spans="1:16" ht="25.5" customHeight="1" x14ac:dyDescent="0.2">
      <c r="A1" s="65" t="s">
        <v>753</v>
      </c>
      <c r="B1" s="65" t="s">
        <v>754</v>
      </c>
      <c r="C1" s="65" t="s">
        <v>755</v>
      </c>
      <c r="D1" s="65" t="s">
        <v>756</v>
      </c>
      <c r="E1" s="65" t="s">
        <v>757</v>
      </c>
      <c r="F1" s="65" t="s">
        <v>758</v>
      </c>
      <c r="G1" s="65" t="s">
        <v>759</v>
      </c>
      <c r="I1" s="65" t="s">
        <v>754</v>
      </c>
      <c r="J1" s="65" t="s">
        <v>760</v>
      </c>
      <c r="K1" s="65" t="s">
        <v>761</v>
      </c>
      <c r="L1" s="65" t="s">
        <v>762</v>
      </c>
      <c r="N1" s="65" t="s">
        <v>763</v>
      </c>
      <c r="O1" s="65" t="s">
        <v>764</v>
      </c>
      <c r="P1" s="65" t="s">
        <v>765</v>
      </c>
    </row>
    <row r="2" spans="1:16" ht="16.5" customHeight="1" x14ac:dyDescent="0.25">
      <c r="A2" s="66">
        <v>46204</v>
      </c>
      <c r="B2" s="94" t="s">
        <v>45</v>
      </c>
      <c r="C2" s="68">
        <v>280</v>
      </c>
      <c r="D2" s="69">
        <v>12930</v>
      </c>
      <c r="E2" s="70">
        <f t="shared" ref="E2:E13" si="0">C2*D2</f>
        <v>3620400</v>
      </c>
      <c r="F2" s="67" t="s">
        <v>66</v>
      </c>
      <c r="G2" s="71" t="s">
        <v>67</v>
      </c>
      <c r="I2" s="94" t="s">
        <v>45</v>
      </c>
      <c r="J2" s="72">
        <f>SUM(C2+C7+C26+C30)</f>
        <v>432</v>
      </c>
      <c r="K2" s="70">
        <f>E2+E7+E26+E30</f>
        <v>5577850</v>
      </c>
      <c r="L2" s="73">
        <f t="shared" ref="L2:L18" si="1">K2/K$18</f>
        <v>0.36119549989331562</v>
      </c>
      <c r="N2" s="70">
        <f>E32</f>
        <v>15442745</v>
      </c>
      <c r="O2" s="74">
        <f>J18</f>
        <v>1474</v>
      </c>
      <c r="P2" s="72">
        <f>COUNT(I2:I17,J2:J17)</f>
        <v>16</v>
      </c>
    </row>
    <row r="3" spans="1:16" ht="16.5" customHeight="1" x14ac:dyDescent="0.25">
      <c r="A3" s="66">
        <v>46206</v>
      </c>
      <c r="B3" s="95" t="s">
        <v>22</v>
      </c>
      <c r="C3" s="68">
        <v>210</v>
      </c>
      <c r="D3" s="69">
        <v>8990</v>
      </c>
      <c r="E3" s="70">
        <f t="shared" si="0"/>
        <v>1887900</v>
      </c>
      <c r="F3" s="67" t="s">
        <v>66</v>
      </c>
      <c r="G3" s="71" t="s">
        <v>68</v>
      </c>
      <c r="I3" s="95" t="s">
        <v>22</v>
      </c>
      <c r="J3" s="72">
        <f>C3+C14+C23+C27</f>
        <v>252</v>
      </c>
      <c r="K3" s="70">
        <f>E3+E14+E23+E27</f>
        <v>2627755</v>
      </c>
      <c r="L3" s="73">
        <f t="shared" si="1"/>
        <v>0.17016113391757748</v>
      </c>
    </row>
    <row r="4" spans="1:16" ht="16.5" customHeight="1" x14ac:dyDescent="0.25">
      <c r="A4" s="66">
        <v>46206</v>
      </c>
      <c r="B4" s="83" t="s">
        <v>44</v>
      </c>
      <c r="C4" s="68">
        <v>140</v>
      </c>
      <c r="D4" s="69">
        <v>8990</v>
      </c>
      <c r="E4" s="70">
        <f t="shared" si="0"/>
        <v>1258600</v>
      </c>
      <c r="F4" s="67" t="s">
        <v>66</v>
      </c>
      <c r="G4" s="71" t="s">
        <v>72</v>
      </c>
      <c r="I4" s="83" t="s">
        <v>44</v>
      </c>
      <c r="J4" s="72">
        <f>C4+C6+C21+C29</f>
        <v>296</v>
      </c>
      <c r="K4" s="70">
        <f>SUM(E4+E6+E21+E29)</f>
        <v>2664400</v>
      </c>
      <c r="L4" s="73">
        <f t="shared" si="1"/>
        <v>0.17253409287014712</v>
      </c>
    </row>
    <row r="5" spans="1:16" ht="16.5" customHeight="1" x14ac:dyDescent="0.25">
      <c r="A5" s="66">
        <v>46206</v>
      </c>
      <c r="B5" s="75" t="s">
        <v>65</v>
      </c>
      <c r="C5" s="68">
        <v>84</v>
      </c>
      <c r="D5" s="69">
        <v>11415</v>
      </c>
      <c r="E5" s="70">
        <f t="shared" si="0"/>
        <v>958860</v>
      </c>
      <c r="F5" s="67" t="s">
        <v>66</v>
      </c>
      <c r="G5" s="71" t="s">
        <v>73</v>
      </c>
      <c r="I5" s="75" t="s">
        <v>65</v>
      </c>
      <c r="J5" s="72">
        <f>C5+C13+C31</f>
        <v>173</v>
      </c>
      <c r="K5" s="70">
        <f>E5+E13+E31</f>
        <v>1968870</v>
      </c>
      <c r="L5" s="73">
        <f t="shared" si="1"/>
        <v>0.12749482038329327</v>
      </c>
    </row>
    <row r="6" spans="1:16" ht="16.5" customHeight="1" x14ac:dyDescent="0.25">
      <c r="A6" s="66">
        <v>46206</v>
      </c>
      <c r="B6" s="83" t="s">
        <v>44</v>
      </c>
      <c r="C6" s="68">
        <v>15</v>
      </c>
      <c r="D6" s="69">
        <v>9200</v>
      </c>
      <c r="E6" s="70">
        <f t="shared" si="0"/>
        <v>138000</v>
      </c>
      <c r="F6" s="67" t="s">
        <v>29</v>
      </c>
      <c r="G6" s="71" t="s">
        <v>68</v>
      </c>
      <c r="I6" s="67" t="s">
        <v>69</v>
      </c>
      <c r="J6" s="72">
        <v>1</v>
      </c>
      <c r="K6" s="70">
        <f>E8</f>
        <v>14450</v>
      </c>
      <c r="L6" s="73">
        <f t="shared" si="1"/>
        <v>9.3571447304219551E-4</v>
      </c>
    </row>
    <row r="7" spans="1:16" ht="16.5" customHeight="1" x14ac:dyDescent="0.25">
      <c r="A7" s="66">
        <v>46206</v>
      </c>
      <c r="B7" s="94" t="s">
        <v>45</v>
      </c>
      <c r="C7" s="68">
        <v>10</v>
      </c>
      <c r="D7" s="69">
        <v>13335</v>
      </c>
      <c r="E7" s="70">
        <f t="shared" si="0"/>
        <v>133350</v>
      </c>
      <c r="F7" s="67" t="s">
        <v>29</v>
      </c>
      <c r="G7" s="71" t="s">
        <v>68</v>
      </c>
      <c r="I7" s="67" t="s">
        <v>70</v>
      </c>
      <c r="J7" s="72">
        <f>C9</f>
        <v>1</v>
      </c>
      <c r="K7" s="70">
        <f>E9</f>
        <v>13460</v>
      </c>
      <c r="L7" s="73">
        <f t="shared" si="1"/>
        <v>8.7160669945660562E-4</v>
      </c>
    </row>
    <row r="8" spans="1:16" ht="16.5" customHeight="1" x14ac:dyDescent="0.25">
      <c r="A8" s="66">
        <v>46206</v>
      </c>
      <c r="B8" s="67" t="s">
        <v>69</v>
      </c>
      <c r="C8" s="68">
        <v>1</v>
      </c>
      <c r="D8" s="69">
        <v>14450</v>
      </c>
      <c r="E8" s="70">
        <f t="shared" si="0"/>
        <v>14450</v>
      </c>
      <c r="F8" s="67" t="s">
        <v>29</v>
      </c>
      <c r="G8" s="71" t="s">
        <v>68</v>
      </c>
      <c r="I8" s="96" t="s">
        <v>37</v>
      </c>
      <c r="J8" s="72">
        <f>C10+C22</f>
        <v>6</v>
      </c>
      <c r="K8" s="70">
        <f>E10+E22</f>
        <v>53600</v>
      </c>
      <c r="L8" s="73">
        <f t="shared" si="1"/>
        <v>3.470885519381431E-3</v>
      </c>
    </row>
    <row r="9" spans="1:16" ht="16.5" customHeight="1" x14ac:dyDescent="0.25">
      <c r="A9" s="66">
        <v>46206</v>
      </c>
      <c r="B9" s="67" t="s">
        <v>70</v>
      </c>
      <c r="C9" s="68">
        <v>1</v>
      </c>
      <c r="D9" s="69">
        <v>13460</v>
      </c>
      <c r="E9" s="70">
        <f t="shared" si="0"/>
        <v>13460</v>
      </c>
      <c r="F9" s="67" t="s">
        <v>29</v>
      </c>
      <c r="G9" s="71" t="s">
        <v>68</v>
      </c>
      <c r="I9" s="67" t="s">
        <v>36</v>
      </c>
      <c r="J9" s="72">
        <f>C11</f>
        <v>1</v>
      </c>
      <c r="K9" s="70">
        <f>E11</f>
        <v>15525</v>
      </c>
      <c r="L9" s="73">
        <f t="shared" si="1"/>
        <v>1.0053264494103865E-3</v>
      </c>
    </row>
    <row r="10" spans="1:16" ht="16.5" customHeight="1" x14ac:dyDescent="0.25">
      <c r="A10" s="66">
        <v>46206</v>
      </c>
      <c r="B10" s="96" t="s">
        <v>37</v>
      </c>
      <c r="C10" s="68">
        <v>5</v>
      </c>
      <c r="D10" s="69">
        <v>8880</v>
      </c>
      <c r="E10" s="70">
        <f t="shared" si="0"/>
        <v>44400</v>
      </c>
      <c r="F10" s="67" t="s">
        <v>29</v>
      </c>
      <c r="G10" s="71" t="s">
        <v>68</v>
      </c>
      <c r="I10" s="67" t="s">
        <v>71</v>
      </c>
      <c r="J10" s="72">
        <f>C12</f>
        <v>1</v>
      </c>
      <c r="K10" s="70">
        <f>E12</f>
        <v>15945</v>
      </c>
      <c r="L10" s="73">
        <f t="shared" si="1"/>
        <v>1.0325236866891216E-3</v>
      </c>
    </row>
    <row r="11" spans="1:16" ht="16.5" customHeight="1" x14ac:dyDescent="0.25">
      <c r="A11" s="66">
        <v>46206</v>
      </c>
      <c r="B11" s="67" t="s">
        <v>36</v>
      </c>
      <c r="C11" s="68">
        <v>1</v>
      </c>
      <c r="D11" s="69">
        <v>15525</v>
      </c>
      <c r="E11" s="70">
        <f t="shared" si="0"/>
        <v>15525</v>
      </c>
      <c r="F11" s="67" t="s">
        <v>29</v>
      </c>
      <c r="G11" s="71" t="s">
        <v>68</v>
      </c>
      <c r="I11" s="90" t="s">
        <v>31</v>
      </c>
      <c r="J11" s="72">
        <f>C24+C28</f>
        <v>31</v>
      </c>
      <c r="K11" s="70">
        <f>E24+E28</f>
        <v>525300</v>
      </c>
      <c r="L11" s="73">
        <f t="shared" si="1"/>
        <v>3.4015973196475112E-2</v>
      </c>
    </row>
    <row r="12" spans="1:16" ht="16.5" customHeight="1" x14ac:dyDescent="0.25">
      <c r="A12" s="66">
        <v>46206</v>
      </c>
      <c r="B12" s="67" t="s">
        <v>71</v>
      </c>
      <c r="C12" s="68">
        <v>1</v>
      </c>
      <c r="D12" s="69">
        <v>15945</v>
      </c>
      <c r="E12" s="70">
        <f t="shared" si="0"/>
        <v>15945</v>
      </c>
      <c r="F12" s="67" t="s">
        <v>29</v>
      </c>
      <c r="G12" s="71" t="s">
        <v>68</v>
      </c>
      <c r="I12" s="67" t="s">
        <v>87</v>
      </c>
      <c r="J12" s="72">
        <f>C25</f>
        <v>2</v>
      </c>
      <c r="K12" s="70">
        <f>E25</f>
        <v>45130</v>
      </c>
      <c r="L12" s="73">
        <f t="shared" si="1"/>
        <v>2.92240790092694E-3</v>
      </c>
    </row>
    <row r="13" spans="1:16" ht="16.5" customHeight="1" x14ac:dyDescent="0.25">
      <c r="A13" s="66">
        <v>46206</v>
      </c>
      <c r="B13" s="75" t="s">
        <v>65</v>
      </c>
      <c r="C13" s="68">
        <v>5</v>
      </c>
      <c r="D13" s="69">
        <v>11910</v>
      </c>
      <c r="E13" s="70">
        <f t="shared" si="0"/>
        <v>59550</v>
      </c>
      <c r="F13" s="67" t="s">
        <v>29</v>
      </c>
      <c r="G13" s="71" t="s">
        <v>68</v>
      </c>
      <c r="I13" s="67" t="s">
        <v>62</v>
      </c>
      <c r="J13" s="72">
        <f>C15</f>
        <v>30</v>
      </c>
      <c r="K13" s="70">
        <f>E15</f>
        <v>258000</v>
      </c>
      <c r="L13" s="73">
        <f t="shared" si="1"/>
        <v>1.6706874328365845E-2</v>
      </c>
    </row>
    <row r="14" spans="1:16" ht="16.5" customHeight="1" x14ac:dyDescent="0.25">
      <c r="A14" s="97">
        <v>46206</v>
      </c>
      <c r="B14" s="81" t="s">
        <v>62</v>
      </c>
      <c r="C14" s="98">
        <v>1</v>
      </c>
      <c r="D14" s="99">
        <v>20655</v>
      </c>
      <c r="E14" s="100">
        <v>20655</v>
      </c>
      <c r="F14" s="81" t="s">
        <v>29</v>
      </c>
      <c r="G14" s="71" t="s">
        <v>73</v>
      </c>
      <c r="I14" s="91" t="s">
        <v>24</v>
      </c>
      <c r="J14" s="72">
        <f>C16+C19</f>
        <v>202</v>
      </c>
      <c r="K14" s="70">
        <f>E16+E19</f>
        <v>1010800</v>
      </c>
      <c r="L14" s="73">
        <f t="shared" si="1"/>
        <v>6.545468438415579E-2</v>
      </c>
    </row>
    <row r="15" spans="1:16" ht="16.5" customHeight="1" x14ac:dyDescent="0.25">
      <c r="A15" s="97">
        <v>46206</v>
      </c>
      <c r="B15" s="101" t="s">
        <v>22</v>
      </c>
      <c r="C15" s="98">
        <v>30</v>
      </c>
      <c r="D15" s="99">
        <v>8600</v>
      </c>
      <c r="E15" s="100">
        <v>258000</v>
      </c>
      <c r="F15" s="81" t="s">
        <v>40</v>
      </c>
      <c r="G15" s="71" t="s">
        <v>72</v>
      </c>
      <c r="I15" s="67" t="s">
        <v>77</v>
      </c>
      <c r="J15" s="72">
        <f>C17</f>
        <v>24</v>
      </c>
      <c r="K15" s="70">
        <f>E17</f>
        <v>428160</v>
      </c>
      <c r="L15" s="73">
        <f t="shared" si="1"/>
        <v>2.7725640745864807E-2</v>
      </c>
    </row>
    <row r="16" spans="1:16" ht="16.5" customHeight="1" x14ac:dyDescent="0.25">
      <c r="A16" s="66">
        <v>46206</v>
      </c>
      <c r="B16" s="91" t="s">
        <v>24</v>
      </c>
      <c r="C16" s="68">
        <v>200</v>
      </c>
      <c r="D16" s="69">
        <v>5000</v>
      </c>
      <c r="E16" s="70">
        <f t="shared" ref="E16:E23" si="2">C16*D16</f>
        <v>1000000</v>
      </c>
      <c r="F16" s="67" t="s">
        <v>25</v>
      </c>
      <c r="G16" s="71" t="s">
        <v>74</v>
      </c>
      <c r="I16" s="67" t="s">
        <v>80</v>
      </c>
      <c r="J16" s="72">
        <f>C18</f>
        <v>20</v>
      </c>
      <c r="K16" s="70">
        <f>E18</f>
        <v>186900</v>
      </c>
      <c r="L16" s="73">
        <f t="shared" si="1"/>
        <v>1.2102770589037118E-2</v>
      </c>
    </row>
    <row r="17" spans="1:12" ht="16.5" customHeight="1" x14ac:dyDescent="0.25">
      <c r="A17" s="66">
        <v>46206</v>
      </c>
      <c r="B17" s="67" t="s">
        <v>77</v>
      </c>
      <c r="C17" s="68">
        <v>24</v>
      </c>
      <c r="D17" s="69">
        <v>17840</v>
      </c>
      <c r="E17" s="70">
        <f t="shared" si="2"/>
        <v>428160</v>
      </c>
      <c r="F17" s="67" t="s">
        <v>75</v>
      </c>
      <c r="G17" s="71" t="s">
        <v>76</v>
      </c>
      <c r="I17" s="67" t="s">
        <v>43</v>
      </c>
      <c r="J17" s="72">
        <f>C20</f>
        <v>2</v>
      </c>
      <c r="K17" s="70">
        <f>E20</f>
        <v>36600</v>
      </c>
      <c r="L17" s="73">
        <f t="shared" si="1"/>
        <v>2.3700449628612013E-3</v>
      </c>
    </row>
    <row r="18" spans="1:12" ht="16.5" customHeight="1" x14ac:dyDescent="0.25">
      <c r="A18" s="66">
        <v>46206</v>
      </c>
      <c r="B18" s="67" t="s">
        <v>80</v>
      </c>
      <c r="C18" s="68">
        <v>20</v>
      </c>
      <c r="D18" s="69">
        <v>9345</v>
      </c>
      <c r="E18" s="70">
        <f t="shared" si="2"/>
        <v>186900</v>
      </c>
      <c r="F18" s="67" t="s">
        <v>78</v>
      </c>
      <c r="G18" s="71" t="s">
        <v>79</v>
      </c>
      <c r="I18" s="72" t="s">
        <v>768</v>
      </c>
      <c r="J18" s="74">
        <f>C32</f>
        <v>1474</v>
      </c>
      <c r="K18" s="70">
        <f>SUM(K2:K17)</f>
        <v>15442745</v>
      </c>
      <c r="L18" s="73">
        <f t="shared" si="1"/>
        <v>1</v>
      </c>
    </row>
    <row r="19" spans="1:12" ht="16.5" customHeight="1" x14ac:dyDescent="0.25">
      <c r="A19" s="66">
        <v>46206</v>
      </c>
      <c r="B19" s="91" t="s">
        <v>24</v>
      </c>
      <c r="C19" s="68">
        <v>2</v>
      </c>
      <c r="D19" s="69">
        <v>5400</v>
      </c>
      <c r="E19" s="70">
        <f t="shared" si="2"/>
        <v>10800</v>
      </c>
      <c r="F19" s="67" t="s">
        <v>81</v>
      </c>
      <c r="G19" s="71" t="s">
        <v>82</v>
      </c>
      <c r="L19" s="80"/>
    </row>
    <row r="20" spans="1:12" ht="16.5" customHeight="1" x14ac:dyDescent="0.25">
      <c r="A20" s="66">
        <v>46206</v>
      </c>
      <c r="B20" s="67" t="s">
        <v>43</v>
      </c>
      <c r="C20" s="68">
        <v>2</v>
      </c>
      <c r="D20" s="102">
        <v>18300</v>
      </c>
      <c r="E20" s="70">
        <f t="shared" si="2"/>
        <v>36600</v>
      </c>
      <c r="F20" s="67" t="s">
        <v>81</v>
      </c>
      <c r="G20" s="71" t="s">
        <v>82</v>
      </c>
    </row>
    <row r="21" spans="1:12" ht="16.5" customHeight="1" x14ac:dyDescent="0.25">
      <c r="A21" s="66">
        <v>46206</v>
      </c>
      <c r="B21" s="83" t="s">
        <v>44</v>
      </c>
      <c r="C21" s="68">
        <v>1</v>
      </c>
      <c r="D21" s="69">
        <v>9200</v>
      </c>
      <c r="E21" s="70">
        <f t="shared" si="2"/>
        <v>9200</v>
      </c>
      <c r="F21" s="67" t="s">
        <v>81</v>
      </c>
      <c r="G21" s="71" t="s">
        <v>82</v>
      </c>
      <c r="I21" s="6"/>
    </row>
    <row r="22" spans="1:12" ht="16.5" customHeight="1" x14ac:dyDescent="0.25">
      <c r="A22" s="66">
        <v>46206</v>
      </c>
      <c r="B22" s="96" t="s">
        <v>37</v>
      </c>
      <c r="C22" s="68">
        <v>1</v>
      </c>
      <c r="D22" s="69">
        <v>9200</v>
      </c>
      <c r="E22" s="70">
        <f t="shared" si="2"/>
        <v>9200</v>
      </c>
      <c r="F22" s="67" t="s">
        <v>81</v>
      </c>
      <c r="G22" s="71" t="s">
        <v>82</v>
      </c>
      <c r="I22" s="6"/>
    </row>
    <row r="23" spans="1:12" ht="16.5" customHeight="1" x14ac:dyDescent="0.25">
      <c r="A23" s="66">
        <v>46206</v>
      </c>
      <c r="B23" s="95" t="s">
        <v>22</v>
      </c>
      <c r="C23" s="68">
        <v>1</v>
      </c>
      <c r="D23" s="69">
        <v>9200</v>
      </c>
      <c r="E23" s="70">
        <f t="shared" si="2"/>
        <v>9200</v>
      </c>
      <c r="F23" s="67" t="s">
        <v>81</v>
      </c>
      <c r="G23" s="71" t="s">
        <v>82</v>
      </c>
      <c r="I23" s="6"/>
    </row>
    <row r="24" spans="1:12" ht="16.5" customHeight="1" x14ac:dyDescent="0.25">
      <c r="A24" s="97">
        <v>46206</v>
      </c>
      <c r="B24" s="101" t="s">
        <v>22</v>
      </c>
      <c r="C24" s="98">
        <v>1</v>
      </c>
      <c r="D24" s="99">
        <v>9300</v>
      </c>
      <c r="E24" s="100">
        <v>9300</v>
      </c>
      <c r="F24" s="81" t="s">
        <v>85</v>
      </c>
      <c r="G24" s="71" t="s">
        <v>86</v>
      </c>
    </row>
    <row r="25" spans="1:12" ht="16.5" customHeight="1" x14ac:dyDescent="0.25">
      <c r="A25" s="66">
        <v>46206</v>
      </c>
      <c r="B25" s="67" t="s">
        <v>87</v>
      </c>
      <c r="C25" s="68">
        <v>2</v>
      </c>
      <c r="D25" s="102">
        <v>22565</v>
      </c>
      <c r="E25" s="70">
        <f>C25*D25</f>
        <v>45130</v>
      </c>
      <c r="F25" s="67" t="s">
        <v>85</v>
      </c>
      <c r="G25" s="71" t="s">
        <v>86</v>
      </c>
      <c r="J25" s="79"/>
      <c r="K25" s="80"/>
      <c r="L25" s="80"/>
    </row>
    <row r="26" spans="1:12" ht="16.5" customHeight="1" x14ac:dyDescent="0.25">
      <c r="A26" s="66">
        <v>46206</v>
      </c>
      <c r="B26" s="94" t="s">
        <v>45</v>
      </c>
      <c r="C26" s="68">
        <v>2</v>
      </c>
      <c r="D26" s="69">
        <v>13950</v>
      </c>
      <c r="E26" s="70">
        <f>C26*D26</f>
        <v>27900</v>
      </c>
      <c r="F26" s="67" t="s">
        <v>85</v>
      </c>
      <c r="G26" s="71" t="s">
        <v>86</v>
      </c>
      <c r="I26" s="6"/>
    </row>
    <row r="27" spans="1:12" ht="16.5" customHeight="1" x14ac:dyDescent="0.25">
      <c r="A27" s="97">
        <v>46206</v>
      </c>
      <c r="B27" s="103" t="s">
        <v>31</v>
      </c>
      <c r="C27" s="98">
        <v>40</v>
      </c>
      <c r="D27" s="99">
        <v>17750</v>
      </c>
      <c r="E27" s="100">
        <v>710000</v>
      </c>
      <c r="F27" s="81" t="s">
        <v>50</v>
      </c>
      <c r="G27" s="71" t="s">
        <v>83</v>
      </c>
      <c r="I27" s="6"/>
    </row>
    <row r="28" spans="1:12" ht="16.5" customHeight="1" x14ac:dyDescent="0.25">
      <c r="A28" s="66">
        <v>46206</v>
      </c>
      <c r="B28" s="90" t="s">
        <v>31</v>
      </c>
      <c r="C28" s="68">
        <v>30</v>
      </c>
      <c r="D28" s="69">
        <v>17200</v>
      </c>
      <c r="E28" s="70">
        <f>C28*D28</f>
        <v>516000</v>
      </c>
      <c r="F28" s="67" t="s">
        <v>50</v>
      </c>
      <c r="G28" s="71" t="s">
        <v>88</v>
      </c>
      <c r="I28" s="6"/>
    </row>
    <row r="29" spans="1:12" ht="16.5" customHeight="1" x14ac:dyDescent="0.25">
      <c r="A29" s="97">
        <v>46206</v>
      </c>
      <c r="B29" s="95" t="s">
        <v>22</v>
      </c>
      <c r="C29" s="68">
        <v>140</v>
      </c>
      <c r="D29" s="93">
        <v>8990</v>
      </c>
      <c r="E29" s="70">
        <f>C29*D29</f>
        <v>1258600</v>
      </c>
      <c r="F29" s="67" t="s">
        <v>63</v>
      </c>
      <c r="G29" s="71" t="s">
        <v>64</v>
      </c>
    </row>
    <row r="30" spans="1:12" ht="16.5" customHeight="1" x14ac:dyDescent="0.25">
      <c r="A30" s="66">
        <v>46206</v>
      </c>
      <c r="B30" s="94" t="s">
        <v>45</v>
      </c>
      <c r="C30" s="68">
        <v>140</v>
      </c>
      <c r="D30" s="93">
        <v>12830</v>
      </c>
      <c r="E30" s="70">
        <f>C30*D30</f>
        <v>1796200</v>
      </c>
      <c r="F30" s="67" t="s">
        <v>63</v>
      </c>
      <c r="G30" s="71" t="s">
        <v>64</v>
      </c>
    </row>
    <row r="31" spans="1:12" ht="25.5" customHeight="1" x14ac:dyDescent="0.25">
      <c r="A31" s="97">
        <v>46206</v>
      </c>
      <c r="B31" s="75" t="s">
        <v>65</v>
      </c>
      <c r="C31" s="68">
        <v>84</v>
      </c>
      <c r="D31" s="93">
        <v>11315</v>
      </c>
      <c r="E31" s="70">
        <f>C31*D31</f>
        <v>950460</v>
      </c>
      <c r="F31" s="67" t="s">
        <v>63</v>
      </c>
      <c r="G31" s="71" t="s">
        <v>64</v>
      </c>
      <c r="I31" s="65" t="s">
        <v>758</v>
      </c>
      <c r="J31" s="65" t="s">
        <v>757</v>
      </c>
      <c r="K31" s="65" t="s">
        <v>762</v>
      </c>
      <c r="L31" s="65" t="s">
        <v>769</v>
      </c>
    </row>
    <row r="32" spans="1:12" ht="16.5" customHeight="1" x14ac:dyDescent="0.25">
      <c r="A32" s="72"/>
      <c r="B32" s="67" t="s">
        <v>768</v>
      </c>
      <c r="C32" s="72">
        <f>SUM(C2:C31)</f>
        <v>1474</v>
      </c>
      <c r="D32" s="74">
        <f>SUM(D2:D31)</f>
        <v>371670</v>
      </c>
      <c r="E32" s="70">
        <f>SUM(E2:E31)</f>
        <v>15442745</v>
      </c>
      <c r="F32" s="72"/>
      <c r="G32" s="72"/>
      <c r="I32" s="67" t="s">
        <v>66</v>
      </c>
      <c r="J32" s="70">
        <f>SUM(E2:E5)</f>
        <v>7725760</v>
      </c>
      <c r="K32" s="73">
        <f t="shared" ref="K32:K42" si="3">J32/E$32</f>
        <v>0.50028411399657247</v>
      </c>
      <c r="L32" s="73"/>
    </row>
    <row r="33" spans="9:12" ht="16.5" customHeight="1" x14ac:dyDescent="0.25">
      <c r="I33" s="67" t="s">
        <v>29</v>
      </c>
      <c r="J33" s="70">
        <f>SUM(E6:E14)</f>
        <v>455335</v>
      </c>
      <c r="K33" s="73">
        <f t="shared" si="3"/>
        <v>2.9485366753125821E-2</v>
      </c>
      <c r="L33" s="73"/>
    </row>
    <row r="34" spans="9:12" ht="16.5" customHeight="1" x14ac:dyDescent="0.25">
      <c r="I34" s="67" t="s">
        <v>40</v>
      </c>
      <c r="J34" s="70">
        <f>E15</f>
        <v>258000</v>
      </c>
      <c r="K34" s="73">
        <f t="shared" si="3"/>
        <v>1.6706874328365845E-2</v>
      </c>
      <c r="L34" s="73"/>
    </row>
    <row r="35" spans="9:12" ht="16.5" customHeight="1" x14ac:dyDescent="0.25">
      <c r="I35" s="67" t="s">
        <v>25</v>
      </c>
      <c r="J35" s="70">
        <f>E16</f>
        <v>1000000</v>
      </c>
      <c r="K35" s="73">
        <f t="shared" si="3"/>
        <v>6.4755326854131184E-2</v>
      </c>
      <c r="L35" s="73"/>
    </row>
    <row r="36" spans="9:12" ht="16.5" customHeight="1" x14ac:dyDescent="0.25">
      <c r="I36" s="67" t="s">
        <v>75</v>
      </c>
      <c r="J36" s="70">
        <f>E17</f>
        <v>428160</v>
      </c>
      <c r="K36" s="73">
        <f t="shared" si="3"/>
        <v>2.7725640745864807E-2</v>
      </c>
      <c r="L36" s="73"/>
    </row>
    <row r="37" spans="9:12" ht="16.5" customHeight="1" x14ac:dyDescent="0.25">
      <c r="I37" s="67" t="s">
        <v>78</v>
      </c>
      <c r="J37" s="70">
        <f>E18</f>
        <v>186900</v>
      </c>
      <c r="K37" s="73">
        <f t="shared" si="3"/>
        <v>1.2102770589037118E-2</v>
      </c>
      <c r="L37" s="73"/>
    </row>
    <row r="38" spans="9:12" ht="16.5" customHeight="1" x14ac:dyDescent="0.25">
      <c r="I38" s="67" t="s">
        <v>81</v>
      </c>
      <c r="J38" s="70">
        <f>SUM(E19:E23)</f>
        <v>75000</v>
      </c>
      <c r="K38" s="73">
        <f t="shared" si="3"/>
        <v>4.8566495140598383E-3</v>
      </c>
      <c r="L38" s="72"/>
    </row>
    <row r="39" spans="9:12" ht="16.5" customHeight="1" x14ac:dyDescent="0.25">
      <c r="I39" s="67" t="s">
        <v>50</v>
      </c>
      <c r="J39" s="70">
        <f>E27+E28</f>
        <v>1226000</v>
      </c>
      <c r="K39" s="73">
        <f t="shared" si="3"/>
        <v>7.939003072316482E-2</v>
      </c>
      <c r="L39" s="72"/>
    </row>
    <row r="40" spans="9:12" ht="16.5" customHeight="1" x14ac:dyDescent="0.25">
      <c r="I40" s="67" t="s">
        <v>85</v>
      </c>
      <c r="J40" s="70">
        <f>SUM(E24:E26)</f>
        <v>82330</v>
      </c>
      <c r="K40" s="73">
        <f t="shared" si="3"/>
        <v>5.3313060599006201E-3</v>
      </c>
      <c r="L40" s="73"/>
    </row>
    <row r="41" spans="9:12" ht="16.5" customHeight="1" x14ac:dyDescent="0.25">
      <c r="I41" s="67" t="s">
        <v>63</v>
      </c>
      <c r="J41" s="70">
        <f>SUM(E29:E31)</f>
        <v>4005260</v>
      </c>
      <c r="K41" s="73">
        <f t="shared" si="3"/>
        <v>0.25936192043577744</v>
      </c>
      <c r="L41" s="73"/>
    </row>
    <row r="42" spans="9:12" ht="16.5" customHeight="1" x14ac:dyDescent="0.25">
      <c r="I42" s="81" t="s">
        <v>770</v>
      </c>
      <c r="J42" s="70">
        <f>SUM(J32:J41)</f>
        <v>15442745</v>
      </c>
      <c r="K42" s="73">
        <f t="shared" si="3"/>
        <v>1</v>
      </c>
      <c r="L42" s="72"/>
    </row>
    <row r="45" spans="9:12" ht="25.5" customHeight="1" x14ac:dyDescent="0.2">
      <c r="I45" s="65" t="s">
        <v>759</v>
      </c>
      <c r="J45" s="65" t="s">
        <v>757</v>
      </c>
      <c r="K45" s="65" t="s">
        <v>769</v>
      </c>
    </row>
    <row r="46" spans="9:12" ht="16.5" customHeight="1" x14ac:dyDescent="0.25">
      <c r="I46" s="71" t="s">
        <v>64</v>
      </c>
      <c r="J46" s="93">
        <v>4026260</v>
      </c>
      <c r="K46" s="73">
        <v>0.02</v>
      </c>
    </row>
    <row r="47" spans="9:12" ht="16.5" customHeight="1" x14ac:dyDescent="0.25">
      <c r="I47" s="71" t="s">
        <v>67</v>
      </c>
      <c r="J47" s="93">
        <v>8796760</v>
      </c>
      <c r="K47" s="73">
        <v>0.02</v>
      </c>
    </row>
    <row r="48" spans="9:12" ht="16.5" customHeight="1" x14ac:dyDescent="0.25">
      <c r="I48" s="71" t="s">
        <v>68</v>
      </c>
      <c r="J48" s="93">
        <v>491680</v>
      </c>
      <c r="K48" s="73">
        <v>0.03</v>
      </c>
    </row>
    <row r="49" spans="9:11" ht="16.5" customHeight="1" x14ac:dyDescent="0.25">
      <c r="I49" s="71" t="s">
        <v>72</v>
      </c>
      <c r="J49" s="93">
        <v>303000</v>
      </c>
      <c r="K49" s="73">
        <v>0</v>
      </c>
    </row>
    <row r="50" spans="9:11" ht="16.5" customHeight="1" x14ac:dyDescent="0.25">
      <c r="I50" s="71" t="s">
        <v>73</v>
      </c>
      <c r="J50" s="93">
        <v>20655</v>
      </c>
      <c r="K50" s="73">
        <v>7.0000000000000007E-2</v>
      </c>
    </row>
    <row r="51" spans="9:11" ht="16.5" customHeight="1" x14ac:dyDescent="0.25">
      <c r="I51" s="71" t="s">
        <v>76</v>
      </c>
      <c r="J51" s="93">
        <v>428160</v>
      </c>
      <c r="K51" s="73">
        <v>0.03</v>
      </c>
    </row>
    <row r="52" spans="9:11" ht="16.5" customHeight="1" x14ac:dyDescent="0.25">
      <c r="I52" s="71" t="s">
        <v>79</v>
      </c>
      <c r="J52" s="93">
        <v>216900</v>
      </c>
      <c r="K52" s="73">
        <v>0.03</v>
      </c>
    </row>
    <row r="53" spans="9:11" ht="16.5" customHeight="1" x14ac:dyDescent="0.25">
      <c r="I53" s="71" t="s">
        <v>74</v>
      </c>
      <c r="J53" s="93">
        <v>1000000</v>
      </c>
      <c r="K53" s="73">
        <v>-0.04</v>
      </c>
    </row>
    <row r="54" spans="9:11" ht="16.5" customHeight="1" x14ac:dyDescent="0.25">
      <c r="I54" s="71" t="s">
        <v>86</v>
      </c>
      <c r="J54" s="93">
        <v>89830</v>
      </c>
      <c r="K54" s="73">
        <v>0.08</v>
      </c>
    </row>
    <row r="55" spans="9:11" ht="16.5" customHeight="1" x14ac:dyDescent="0.25">
      <c r="I55" s="71" t="s">
        <v>82</v>
      </c>
      <c r="J55" s="93">
        <v>75000</v>
      </c>
      <c r="K55" s="73">
        <v>0.06</v>
      </c>
    </row>
    <row r="56" spans="9:11" ht="16.5" customHeight="1" x14ac:dyDescent="0.25">
      <c r="I56" s="71"/>
      <c r="J56" s="93"/>
      <c r="K56" s="73"/>
    </row>
    <row r="57" spans="9:11" ht="16.5" customHeight="1" x14ac:dyDescent="0.25">
      <c r="I57" s="71" t="s">
        <v>83</v>
      </c>
      <c r="J57" s="93">
        <v>710000</v>
      </c>
      <c r="K57" s="73">
        <v>0.04</v>
      </c>
    </row>
    <row r="58" spans="9:11" ht="16.5" customHeight="1" x14ac:dyDescent="0.25">
      <c r="I58" s="71" t="s">
        <v>88</v>
      </c>
      <c r="J58" s="93">
        <v>516000</v>
      </c>
      <c r="K58" s="73">
        <v>0.01</v>
      </c>
    </row>
    <row r="59" spans="9:11" ht="16.5" customHeight="1" x14ac:dyDescent="0.25">
      <c r="I59" s="81" t="s">
        <v>770</v>
      </c>
      <c r="J59" s="70">
        <f>SUM(J46:J58)</f>
        <v>16674245</v>
      </c>
      <c r="K59" s="72"/>
    </row>
  </sheetData>
  <hyperlinks>
    <hyperlink ref="G5" r:id="rId1" xr:uid="{00000000-0004-0000-0600-000000000000}"/>
    <hyperlink ref="G6" r:id="rId2" xr:uid="{00000000-0004-0000-0600-000001000000}"/>
    <hyperlink ref="G7" r:id="rId3" xr:uid="{00000000-0004-0000-0600-000002000000}"/>
    <hyperlink ref="G8" r:id="rId4" xr:uid="{00000000-0004-0000-0600-000003000000}"/>
    <hyperlink ref="G9" r:id="rId5" xr:uid="{00000000-0004-0000-0600-000004000000}"/>
    <hyperlink ref="G10" r:id="rId6" xr:uid="{00000000-0004-0000-0600-000005000000}"/>
    <hyperlink ref="G11" r:id="rId7" xr:uid="{00000000-0004-0000-0600-000006000000}"/>
    <hyperlink ref="G12" r:id="rId8" xr:uid="{00000000-0004-0000-0600-000007000000}"/>
    <hyperlink ref="G13" r:id="rId9" xr:uid="{00000000-0004-0000-0600-000008000000}"/>
    <hyperlink ref="G14" r:id="rId10" xr:uid="{00000000-0004-0000-0600-000009000000}"/>
    <hyperlink ref="G15" r:id="rId11" xr:uid="{00000000-0004-0000-0600-00000A000000}"/>
    <hyperlink ref="G16" r:id="rId12" xr:uid="{00000000-0004-0000-0600-00000B000000}"/>
    <hyperlink ref="G17" r:id="rId13" xr:uid="{00000000-0004-0000-0600-00000C000000}"/>
    <hyperlink ref="G18" r:id="rId14" xr:uid="{00000000-0004-0000-0600-00000D000000}"/>
    <hyperlink ref="G19" r:id="rId15" xr:uid="{00000000-0004-0000-0600-00000E000000}"/>
    <hyperlink ref="G20" r:id="rId16" xr:uid="{00000000-0004-0000-0600-00000F000000}"/>
    <hyperlink ref="G21" r:id="rId17" xr:uid="{00000000-0004-0000-0600-000010000000}"/>
    <hyperlink ref="G22" r:id="rId18" xr:uid="{00000000-0004-0000-0600-000011000000}"/>
    <hyperlink ref="G23" r:id="rId19" xr:uid="{00000000-0004-0000-0600-000012000000}"/>
    <hyperlink ref="G24" r:id="rId20" xr:uid="{00000000-0004-0000-0600-000013000000}"/>
    <hyperlink ref="G25" r:id="rId21" xr:uid="{00000000-0004-0000-0600-000014000000}"/>
    <hyperlink ref="G26" r:id="rId22" xr:uid="{00000000-0004-0000-0600-000015000000}"/>
    <hyperlink ref="G27" r:id="rId23" xr:uid="{00000000-0004-0000-0600-000016000000}"/>
    <hyperlink ref="G28" r:id="rId24" xr:uid="{00000000-0004-0000-0600-000017000000}"/>
    <hyperlink ref="G29" r:id="rId25" xr:uid="{00000000-0004-0000-0600-000018000000}"/>
    <hyperlink ref="G30" r:id="rId26" xr:uid="{00000000-0004-0000-0600-000019000000}"/>
    <hyperlink ref="G31" r:id="rId27" xr:uid="{00000000-0004-0000-0600-00001A000000}"/>
    <hyperlink ref="I46" r:id="rId28" xr:uid="{00000000-0004-0000-0600-00001B000000}"/>
    <hyperlink ref="I47" r:id="rId29" xr:uid="{00000000-0004-0000-0600-00001C000000}"/>
    <hyperlink ref="I48" r:id="rId30" xr:uid="{00000000-0004-0000-0600-00001D000000}"/>
    <hyperlink ref="I49" r:id="rId31" xr:uid="{00000000-0004-0000-0600-00001E000000}"/>
    <hyperlink ref="I50" r:id="rId32" xr:uid="{00000000-0004-0000-0600-00001F000000}"/>
    <hyperlink ref="I51" r:id="rId33" xr:uid="{00000000-0004-0000-0600-000020000000}"/>
    <hyperlink ref="I52" r:id="rId34" xr:uid="{00000000-0004-0000-0600-000021000000}"/>
    <hyperlink ref="I53" r:id="rId35" xr:uid="{00000000-0004-0000-0600-000022000000}"/>
    <hyperlink ref="I54" r:id="rId36" xr:uid="{00000000-0004-0000-0600-000023000000}"/>
    <hyperlink ref="I55" r:id="rId37" xr:uid="{00000000-0004-0000-0600-000024000000}"/>
    <hyperlink ref="I57" r:id="rId38" xr:uid="{00000000-0004-0000-0600-000025000000}"/>
    <hyperlink ref="I58" r:id="rId39" xr:uid="{00000000-0004-0000-0600-000026000000}"/>
  </hyperlinks>
  <pageMargins left="0.7" right="0.7" top="0.75" bottom="0.75" header="0.511811023622047" footer="0.511811023622047"/>
  <pageSetup orientation="portrait" horizontalDpi="300" verticalDpi="300"/>
  <drawing r:id="rId40"/>
  <legacyDrawing r:id="rId4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zoomScale="44" zoomScaleNormal="44" workbookViewId="0">
      <selection activeCell="L17" sqref="L17"/>
    </sheetView>
  </sheetViews>
  <sheetFormatPr defaultColWidth="8.609375" defaultRowHeight="15" x14ac:dyDescent="0.2"/>
  <cols>
    <col min="1" max="1" width="11.56640625" style="38" customWidth="1"/>
    <col min="2" max="2" width="23.13671875" style="38" customWidth="1"/>
    <col min="3" max="3" width="11.8359375" style="38" customWidth="1"/>
    <col min="4" max="4" width="15.87109375" style="38" customWidth="1"/>
    <col min="5" max="5" width="13.31640625" style="38" customWidth="1"/>
    <col min="6" max="6" width="20.04296875" style="38" customWidth="1"/>
    <col min="7" max="7" width="11.8359375" style="38" customWidth="1"/>
    <col min="9" max="9" width="23.13671875" style="38" customWidth="1"/>
    <col min="10" max="10" width="13.31640625" style="38" customWidth="1"/>
    <col min="11" max="12" width="19.1015625" style="38" customWidth="1"/>
    <col min="13" max="13" width="9.28125" style="38" customWidth="1"/>
    <col min="14" max="14" width="13.44921875" style="38" customWidth="1"/>
    <col min="15" max="15" width="16.6796875" style="38" customWidth="1"/>
    <col min="16" max="16" width="16.8125" style="38" customWidth="1"/>
    <col min="17" max="17" width="9.28125" style="38" customWidth="1"/>
  </cols>
  <sheetData>
    <row r="1" spans="1:16" ht="25.5" customHeight="1" x14ac:dyDescent="0.2">
      <c r="A1" s="65" t="s">
        <v>753</v>
      </c>
      <c r="B1" s="65" t="s">
        <v>754</v>
      </c>
      <c r="C1" s="65" t="s">
        <v>755</v>
      </c>
      <c r="D1" s="65" t="s">
        <v>756</v>
      </c>
      <c r="E1" s="65" t="s">
        <v>757</v>
      </c>
      <c r="F1" s="65" t="s">
        <v>758</v>
      </c>
      <c r="G1" s="65" t="s">
        <v>759</v>
      </c>
      <c r="I1" s="65" t="s">
        <v>754</v>
      </c>
      <c r="J1" s="65" t="s">
        <v>760</v>
      </c>
      <c r="K1" s="65" t="s">
        <v>761</v>
      </c>
      <c r="L1" s="65" t="s">
        <v>762</v>
      </c>
      <c r="N1" s="65" t="s">
        <v>763</v>
      </c>
      <c r="O1" s="65" t="s">
        <v>764</v>
      </c>
      <c r="P1" s="65" t="s">
        <v>765</v>
      </c>
    </row>
    <row r="2" spans="1:16" ht="16.5" customHeight="1" x14ac:dyDescent="0.25">
      <c r="A2" s="16">
        <v>46207</v>
      </c>
      <c r="B2" s="91" t="s">
        <v>21</v>
      </c>
      <c r="C2" s="68">
        <v>3</v>
      </c>
      <c r="D2" s="69">
        <v>9000</v>
      </c>
      <c r="E2" s="70">
        <f t="shared" ref="E2:E17" si="0">C2*D2</f>
        <v>27000</v>
      </c>
      <c r="F2" s="67" t="s">
        <v>15</v>
      </c>
      <c r="G2" s="71" t="s">
        <v>89</v>
      </c>
      <c r="I2" s="91" t="s">
        <v>21</v>
      </c>
      <c r="J2" s="72">
        <f>C2+C10</f>
        <v>53</v>
      </c>
      <c r="K2" s="70">
        <f>E2+E10</f>
        <v>442000</v>
      </c>
      <c r="L2" s="73">
        <f t="shared" ref="L2:L12" si="1">K2/K$13</f>
        <v>6.0803904656175932E-2</v>
      </c>
      <c r="N2" s="70">
        <f>K13</f>
        <v>7269270</v>
      </c>
      <c r="O2" s="74">
        <f>J13</f>
        <v>756</v>
      </c>
      <c r="P2" s="72">
        <f>COUNT(I2:I4,J2:J6)</f>
        <v>5</v>
      </c>
    </row>
    <row r="3" spans="1:16" ht="16.5" customHeight="1" x14ac:dyDescent="0.25">
      <c r="A3" s="16">
        <v>46207</v>
      </c>
      <c r="B3" s="104" t="s">
        <v>24</v>
      </c>
      <c r="C3" s="68">
        <v>30</v>
      </c>
      <c r="D3" s="69">
        <v>5000</v>
      </c>
      <c r="E3" s="70">
        <f t="shared" si="0"/>
        <v>150000</v>
      </c>
      <c r="F3" s="67" t="s">
        <v>15</v>
      </c>
      <c r="G3" s="71" t="s">
        <v>90</v>
      </c>
      <c r="I3" s="104" t="s">
        <v>24</v>
      </c>
      <c r="J3" s="72">
        <f>C3+C4+C16</f>
        <v>283</v>
      </c>
      <c r="K3" s="70">
        <f>E3+E4+E16</f>
        <v>1416500</v>
      </c>
      <c r="L3" s="73">
        <f t="shared" si="1"/>
        <v>0.19486138222957738</v>
      </c>
    </row>
    <row r="4" spans="1:16" ht="16.5" customHeight="1" x14ac:dyDescent="0.25">
      <c r="A4" s="16">
        <v>46207</v>
      </c>
      <c r="B4" s="104" t="s">
        <v>24</v>
      </c>
      <c r="C4" s="68">
        <v>248</v>
      </c>
      <c r="D4" s="69">
        <v>5000</v>
      </c>
      <c r="E4" s="70">
        <f t="shared" si="0"/>
        <v>1240000</v>
      </c>
      <c r="F4" s="67" t="s">
        <v>50</v>
      </c>
      <c r="G4" s="71" t="s">
        <v>91</v>
      </c>
      <c r="I4" s="67" t="s">
        <v>93</v>
      </c>
      <c r="J4" s="72">
        <f>C6</f>
        <v>5</v>
      </c>
      <c r="K4" s="70">
        <f>E6</f>
        <v>56150</v>
      </c>
      <c r="L4" s="73">
        <f t="shared" si="1"/>
        <v>7.724296937656739E-3</v>
      </c>
    </row>
    <row r="5" spans="1:16" ht="16.5" customHeight="1" x14ac:dyDescent="0.25">
      <c r="A5" s="16">
        <v>46207</v>
      </c>
      <c r="B5" s="75" t="s">
        <v>31</v>
      </c>
      <c r="C5" s="68">
        <v>5</v>
      </c>
      <c r="D5" s="69">
        <v>17200</v>
      </c>
      <c r="E5" s="70">
        <f t="shared" si="0"/>
        <v>86000</v>
      </c>
      <c r="F5" s="67" t="s">
        <v>50</v>
      </c>
      <c r="G5" s="71" t="s">
        <v>91</v>
      </c>
      <c r="I5" s="67" t="s">
        <v>33</v>
      </c>
      <c r="J5" s="72">
        <f>C8</f>
        <v>20</v>
      </c>
      <c r="K5" s="70">
        <f>E8</f>
        <v>313100</v>
      </c>
      <c r="L5" s="73">
        <f t="shared" si="1"/>
        <v>4.3071725221377109E-2</v>
      </c>
    </row>
    <row r="6" spans="1:16" ht="16.5" customHeight="1" x14ac:dyDescent="0.25">
      <c r="A6" s="16">
        <v>46207</v>
      </c>
      <c r="B6" s="67" t="s">
        <v>93</v>
      </c>
      <c r="C6" s="68">
        <v>5</v>
      </c>
      <c r="D6" s="69">
        <v>11230</v>
      </c>
      <c r="E6" s="70">
        <f t="shared" si="0"/>
        <v>56150</v>
      </c>
      <c r="F6" s="67" t="s">
        <v>50</v>
      </c>
      <c r="G6" s="71" t="s">
        <v>92</v>
      </c>
      <c r="I6" s="67" t="s">
        <v>28</v>
      </c>
      <c r="J6" s="72">
        <f>C9</f>
        <v>30</v>
      </c>
      <c r="K6" s="70">
        <f>E9</f>
        <v>387000</v>
      </c>
      <c r="L6" s="73">
        <f t="shared" si="1"/>
        <v>5.3237807922941367E-2</v>
      </c>
    </row>
    <row r="7" spans="1:16" ht="16.5" customHeight="1" x14ac:dyDescent="0.25">
      <c r="A7" s="16">
        <v>46207</v>
      </c>
      <c r="B7" s="75" t="s">
        <v>31</v>
      </c>
      <c r="C7" s="68">
        <v>5</v>
      </c>
      <c r="D7" s="69">
        <v>17200</v>
      </c>
      <c r="E7" s="70">
        <f t="shared" si="0"/>
        <v>86000</v>
      </c>
      <c r="F7" s="67" t="s">
        <v>50</v>
      </c>
      <c r="G7" s="71" t="s">
        <v>92</v>
      </c>
      <c r="I7" s="67" t="s">
        <v>70</v>
      </c>
      <c r="J7" s="72">
        <f>C11</f>
        <v>3</v>
      </c>
      <c r="K7" s="70">
        <f>E11</f>
        <v>40380</v>
      </c>
      <c r="L7" s="73">
        <f t="shared" si="1"/>
        <v>5.5548906561456654E-3</v>
      </c>
    </row>
    <row r="8" spans="1:16" ht="16.5" customHeight="1" x14ac:dyDescent="0.25">
      <c r="A8" s="16">
        <v>46207</v>
      </c>
      <c r="B8" s="67" t="s">
        <v>33</v>
      </c>
      <c r="C8" s="68">
        <v>20</v>
      </c>
      <c r="D8" s="69">
        <v>15655</v>
      </c>
      <c r="E8" s="70">
        <f t="shared" si="0"/>
        <v>313100</v>
      </c>
      <c r="F8" s="67" t="s">
        <v>50</v>
      </c>
      <c r="G8" s="71" t="s">
        <v>92</v>
      </c>
      <c r="I8" s="67" t="s">
        <v>45</v>
      </c>
      <c r="J8" s="72">
        <f>C12</f>
        <v>300</v>
      </c>
      <c r="K8" s="70">
        <f>E12</f>
        <v>3849000</v>
      </c>
      <c r="L8" s="73">
        <f t="shared" si="1"/>
        <v>0.52948920593126958</v>
      </c>
    </row>
    <row r="9" spans="1:16" ht="16.5" customHeight="1" x14ac:dyDescent="0.25">
      <c r="A9" s="16">
        <v>46207</v>
      </c>
      <c r="B9" s="67" t="s">
        <v>28</v>
      </c>
      <c r="C9" s="68">
        <v>30</v>
      </c>
      <c r="D9" s="69">
        <v>12900</v>
      </c>
      <c r="E9" s="70">
        <f t="shared" si="0"/>
        <v>387000</v>
      </c>
      <c r="F9" s="67" t="s">
        <v>50</v>
      </c>
      <c r="G9" s="71" t="s">
        <v>92</v>
      </c>
      <c r="I9" s="67" t="s">
        <v>100</v>
      </c>
      <c r="J9" s="72">
        <f>C13</f>
        <v>40</v>
      </c>
      <c r="K9" s="70">
        <f>E13</f>
        <v>436600</v>
      </c>
      <c r="L9" s="73">
        <f t="shared" si="1"/>
        <v>6.0061051522367445E-2</v>
      </c>
    </row>
    <row r="10" spans="1:16" ht="16.5" customHeight="1" x14ac:dyDescent="0.25">
      <c r="A10" s="16">
        <v>46207</v>
      </c>
      <c r="B10" s="91" t="s">
        <v>21</v>
      </c>
      <c r="C10" s="68">
        <v>50</v>
      </c>
      <c r="D10" s="69">
        <v>8300</v>
      </c>
      <c r="E10" s="70">
        <f t="shared" si="0"/>
        <v>415000</v>
      </c>
      <c r="F10" s="67" t="s">
        <v>25</v>
      </c>
      <c r="G10" s="71" t="s">
        <v>94</v>
      </c>
      <c r="I10" s="67" t="s">
        <v>101</v>
      </c>
      <c r="J10" s="72">
        <f>C14</f>
        <v>10</v>
      </c>
      <c r="K10" s="70">
        <f>E14</f>
        <v>129200</v>
      </c>
      <c r="L10" s="73">
        <f t="shared" si="1"/>
        <v>1.7773449053343732E-2</v>
      </c>
    </row>
    <row r="11" spans="1:16" ht="16.5" customHeight="1" x14ac:dyDescent="0.25">
      <c r="A11" s="16">
        <v>46207</v>
      </c>
      <c r="B11" s="67" t="s">
        <v>70</v>
      </c>
      <c r="C11" s="68">
        <v>3</v>
      </c>
      <c r="D11" s="69">
        <v>13460</v>
      </c>
      <c r="E11" s="70">
        <f t="shared" si="0"/>
        <v>40380</v>
      </c>
      <c r="F11" s="67" t="s">
        <v>95</v>
      </c>
      <c r="G11" s="71" t="s">
        <v>96</v>
      </c>
      <c r="I11" s="67" t="s">
        <v>22</v>
      </c>
      <c r="J11" s="72">
        <f>C15</f>
        <v>1</v>
      </c>
      <c r="K11" s="70">
        <f>E15</f>
        <v>9500</v>
      </c>
      <c r="L11" s="73">
        <f t="shared" si="1"/>
        <v>1.3068712539223333E-3</v>
      </c>
    </row>
    <row r="12" spans="1:16" ht="16.5" customHeight="1" x14ac:dyDescent="0.25">
      <c r="A12" s="16">
        <v>46207</v>
      </c>
      <c r="B12" s="67" t="s">
        <v>45</v>
      </c>
      <c r="C12" s="68">
        <v>300</v>
      </c>
      <c r="D12" s="69">
        <v>12830</v>
      </c>
      <c r="E12" s="70">
        <f t="shared" si="0"/>
        <v>3849000</v>
      </c>
      <c r="F12" s="67" t="s">
        <v>97</v>
      </c>
      <c r="G12" s="71" t="s">
        <v>98</v>
      </c>
      <c r="I12" s="75" t="s">
        <v>31</v>
      </c>
      <c r="J12" s="72">
        <f>C5+C7+C17</f>
        <v>11</v>
      </c>
      <c r="K12" s="70">
        <f>E5+E7+E17</f>
        <v>189840</v>
      </c>
      <c r="L12" s="73">
        <f t="shared" si="1"/>
        <v>2.6115414615222713E-2</v>
      </c>
    </row>
    <row r="13" spans="1:16" ht="16.5" customHeight="1" x14ac:dyDescent="0.25">
      <c r="A13" s="16">
        <v>46207</v>
      </c>
      <c r="B13" s="67" t="s">
        <v>100</v>
      </c>
      <c r="C13" s="68">
        <v>40</v>
      </c>
      <c r="D13" s="69">
        <v>10915</v>
      </c>
      <c r="E13" s="70">
        <f t="shared" si="0"/>
        <v>436600</v>
      </c>
      <c r="F13" s="67" t="s">
        <v>97</v>
      </c>
      <c r="G13" s="71" t="s">
        <v>98</v>
      </c>
      <c r="I13" s="72" t="s">
        <v>768</v>
      </c>
      <c r="J13" s="74">
        <f>C18</f>
        <v>756</v>
      </c>
      <c r="K13" s="70">
        <f>SUM(K2:K12)</f>
        <v>7269270</v>
      </c>
      <c r="L13" s="73">
        <f>SUM(L2:L12)</f>
        <v>1</v>
      </c>
    </row>
    <row r="14" spans="1:16" ht="16.5" customHeight="1" x14ac:dyDescent="0.25">
      <c r="A14" s="16">
        <v>46207</v>
      </c>
      <c r="B14" s="67" t="s">
        <v>101</v>
      </c>
      <c r="C14" s="68">
        <v>10</v>
      </c>
      <c r="D14" s="69">
        <v>12920</v>
      </c>
      <c r="E14" s="70">
        <f t="shared" si="0"/>
        <v>129200</v>
      </c>
      <c r="F14" s="67" t="s">
        <v>97</v>
      </c>
      <c r="G14" s="71" t="s">
        <v>98</v>
      </c>
      <c r="L14" s="80"/>
    </row>
    <row r="15" spans="1:16" ht="16.5" customHeight="1" x14ac:dyDescent="0.25">
      <c r="A15" s="16">
        <v>46207</v>
      </c>
      <c r="B15" s="67" t="s">
        <v>22</v>
      </c>
      <c r="C15" s="68">
        <v>1</v>
      </c>
      <c r="D15" s="69">
        <v>9500</v>
      </c>
      <c r="E15" s="70">
        <f t="shared" si="0"/>
        <v>9500</v>
      </c>
      <c r="F15" s="67" t="s">
        <v>102</v>
      </c>
      <c r="G15" s="71" t="s">
        <v>103</v>
      </c>
      <c r="L15" s="80"/>
    </row>
    <row r="16" spans="1:16" ht="16.5" customHeight="1" x14ac:dyDescent="0.25">
      <c r="A16" s="16">
        <v>46207</v>
      </c>
      <c r="B16" s="104" t="s">
        <v>24</v>
      </c>
      <c r="C16" s="68">
        <v>5</v>
      </c>
      <c r="D16" s="69">
        <v>5300</v>
      </c>
      <c r="E16" s="70">
        <f t="shared" si="0"/>
        <v>26500</v>
      </c>
      <c r="F16" s="67" t="s">
        <v>104</v>
      </c>
      <c r="G16" s="71" t="s">
        <v>105</v>
      </c>
      <c r="I16" s="6"/>
      <c r="L16" s="80"/>
    </row>
    <row r="17" spans="1:12" ht="16.5" customHeight="1" x14ac:dyDescent="0.25">
      <c r="A17" s="16">
        <v>46207</v>
      </c>
      <c r="B17" s="75" t="s">
        <v>31</v>
      </c>
      <c r="C17" s="68">
        <v>1</v>
      </c>
      <c r="D17" s="69">
        <v>17840</v>
      </c>
      <c r="E17" s="70">
        <f t="shared" si="0"/>
        <v>17840</v>
      </c>
      <c r="F17" s="67" t="s">
        <v>104</v>
      </c>
      <c r="G17" s="71" t="s">
        <v>105</v>
      </c>
      <c r="I17" s="6"/>
      <c r="L17" s="80"/>
    </row>
    <row r="18" spans="1:12" ht="16.5" customHeight="1" x14ac:dyDescent="0.25">
      <c r="A18" s="66"/>
      <c r="B18" s="67" t="s">
        <v>768</v>
      </c>
      <c r="C18" s="72">
        <f>SUM(C2:C17)</f>
        <v>756</v>
      </c>
      <c r="D18" s="74">
        <f>SUM(D2:D17)</f>
        <v>184250</v>
      </c>
      <c r="E18" s="70">
        <f>SUM(E2:E17)</f>
        <v>7269270</v>
      </c>
      <c r="F18" s="67"/>
      <c r="G18" s="71"/>
    </row>
    <row r="19" spans="1:12" ht="16.5" customHeight="1" x14ac:dyDescent="0.25">
      <c r="A19" s="16"/>
      <c r="F19" s="6"/>
      <c r="G19" s="7"/>
    </row>
    <row r="20" spans="1:12" ht="25.5" customHeight="1" x14ac:dyDescent="0.25">
      <c r="A20" s="16"/>
      <c r="B20" s="6"/>
      <c r="C20" s="9"/>
      <c r="D20" s="8"/>
      <c r="E20" s="79"/>
      <c r="F20" s="6"/>
      <c r="G20" s="7"/>
      <c r="I20" s="65" t="s">
        <v>758</v>
      </c>
      <c r="J20" s="65" t="s">
        <v>757</v>
      </c>
      <c r="K20" s="65" t="s">
        <v>762</v>
      </c>
    </row>
    <row r="21" spans="1:12" ht="16.5" customHeight="1" x14ac:dyDescent="0.25">
      <c r="A21" s="16"/>
      <c r="B21" s="6"/>
      <c r="C21" s="9"/>
      <c r="D21" s="8"/>
      <c r="E21" s="79"/>
      <c r="F21" s="6"/>
      <c r="G21" s="7"/>
      <c r="I21" s="67" t="s">
        <v>766</v>
      </c>
      <c r="J21" s="70">
        <f>E2</f>
        <v>27000</v>
      </c>
      <c r="K21" s="73">
        <f t="shared" ref="K21:K28" si="2">J21/E$18</f>
        <v>3.7142656690424209E-3</v>
      </c>
    </row>
    <row r="22" spans="1:12" ht="16.5" customHeight="1" x14ac:dyDescent="0.25">
      <c r="I22" s="67" t="s">
        <v>767</v>
      </c>
      <c r="J22" s="70">
        <f>E3</f>
        <v>150000</v>
      </c>
      <c r="K22" s="73">
        <f t="shared" si="2"/>
        <v>2.0634809272457894E-2</v>
      </c>
    </row>
    <row r="23" spans="1:12" ht="16.5" customHeight="1" x14ac:dyDescent="0.25">
      <c r="I23" s="67" t="s">
        <v>25</v>
      </c>
      <c r="J23" s="70">
        <f>E10</f>
        <v>415000</v>
      </c>
      <c r="K23" s="73">
        <f t="shared" si="2"/>
        <v>5.7089638987133512E-2</v>
      </c>
    </row>
    <row r="24" spans="1:12" ht="16.5" customHeight="1" x14ac:dyDescent="0.25">
      <c r="I24" s="67" t="s">
        <v>50</v>
      </c>
      <c r="J24" s="70">
        <f>SUM(E4:E9)</f>
        <v>2168250</v>
      </c>
      <c r="K24" s="73">
        <f t="shared" si="2"/>
        <v>0.29827616803337886</v>
      </c>
    </row>
    <row r="25" spans="1:12" ht="16.5" customHeight="1" x14ac:dyDescent="0.25">
      <c r="I25" s="67" t="s">
        <v>95</v>
      </c>
      <c r="J25" s="70">
        <f>E11</f>
        <v>40380</v>
      </c>
      <c r="K25" s="73">
        <f t="shared" si="2"/>
        <v>5.5548906561456654E-3</v>
      </c>
    </row>
    <row r="26" spans="1:12" ht="16.5" customHeight="1" x14ac:dyDescent="0.25">
      <c r="I26" s="67" t="s">
        <v>97</v>
      </c>
      <c r="J26" s="70">
        <f>SUM(E12:E14)</f>
        <v>4414800</v>
      </c>
      <c r="K26" s="73">
        <f t="shared" si="2"/>
        <v>0.60732370650698075</v>
      </c>
    </row>
    <row r="27" spans="1:12" ht="16.5" customHeight="1" x14ac:dyDescent="0.25">
      <c r="I27" s="67" t="s">
        <v>102</v>
      </c>
      <c r="J27" s="70">
        <f>E15</f>
        <v>9500</v>
      </c>
      <c r="K27" s="73">
        <f t="shared" si="2"/>
        <v>1.3068712539223333E-3</v>
      </c>
    </row>
    <row r="28" spans="1:12" ht="16.5" customHeight="1" x14ac:dyDescent="0.25">
      <c r="I28" s="67" t="s">
        <v>104</v>
      </c>
      <c r="J28" s="70">
        <f>E16+E17</f>
        <v>44340</v>
      </c>
      <c r="K28" s="73">
        <f t="shared" si="2"/>
        <v>6.0996496209385536E-3</v>
      </c>
    </row>
    <row r="29" spans="1:12" ht="16.5" customHeight="1" x14ac:dyDescent="0.25">
      <c r="I29" s="81" t="s">
        <v>770</v>
      </c>
      <c r="J29" s="70">
        <f>SUM(J21:J28)</f>
        <v>7269270</v>
      </c>
      <c r="K29" s="73">
        <v>1</v>
      </c>
    </row>
    <row r="32" spans="1:12" ht="25.5" customHeight="1" x14ac:dyDescent="0.2">
      <c r="I32" s="65" t="s">
        <v>772</v>
      </c>
      <c r="J32" s="65" t="s">
        <v>757</v>
      </c>
      <c r="K32" s="65" t="s">
        <v>769</v>
      </c>
    </row>
    <row r="33" spans="9:11" ht="16.5" customHeight="1" x14ac:dyDescent="0.25">
      <c r="I33" s="71" t="s">
        <v>89</v>
      </c>
      <c r="J33" s="93">
        <v>27000</v>
      </c>
      <c r="K33" s="73">
        <v>0.1</v>
      </c>
    </row>
    <row r="34" spans="9:11" ht="16.5" customHeight="1" x14ac:dyDescent="0.25">
      <c r="I34" s="71" t="s">
        <v>90</v>
      </c>
      <c r="J34" s="93">
        <v>150000</v>
      </c>
      <c r="K34" s="73">
        <v>-0.04</v>
      </c>
    </row>
    <row r="35" spans="9:11" ht="16.5" customHeight="1" x14ac:dyDescent="0.25">
      <c r="I35" s="71" t="s">
        <v>91</v>
      </c>
      <c r="J35" s="93">
        <v>1326000</v>
      </c>
      <c r="K35" s="73">
        <v>-0.04</v>
      </c>
    </row>
    <row r="36" spans="9:11" ht="16.5" customHeight="1" x14ac:dyDescent="0.25">
      <c r="I36" s="71" t="s">
        <v>92</v>
      </c>
      <c r="J36" s="93">
        <v>842250</v>
      </c>
      <c r="K36" s="73">
        <v>-0.02</v>
      </c>
    </row>
    <row r="37" spans="9:11" ht="16.5" customHeight="1" x14ac:dyDescent="0.25">
      <c r="I37" s="71" t="s">
        <v>98</v>
      </c>
      <c r="J37" s="93">
        <v>4939800</v>
      </c>
      <c r="K37" s="73">
        <v>0</v>
      </c>
    </row>
    <row r="38" spans="9:11" ht="16.5" customHeight="1" x14ac:dyDescent="0.25">
      <c r="I38" s="71" t="s">
        <v>94</v>
      </c>
      <c r="J38" s="93">
        <v>495000</v>
      </c>
      <c r="K38" s="73">
        <v>0.02</v>
      </c>
    </row>
    <row r="39" spans="9:11" ht="16.5" customHeight="1" x14ac:dyDescent="0.25">
      <c r="I39" s="71" t="s">
        <v>96</v>
      </c>
      <c r="J39" s="93">
        <v>40380</v>
      </c>
      <c r="K39" s="73">
        <v>0.04</v>
      </c>
    </row>
    <row r="40" spans="9:11" ht="16.5" customHeight="1" x14ac:dyDescent="0.25">
      <c r="I40" s="71" t="s">
        <v>103</v>
      </c>
      <c r="J40" s="93">
        <v>9500</v>
      </c>
      <c r="K40" s="73">
        <v>0.09</v>
      </c>
    </row>
    <row r="41" spans="9:11" ht="16.5" customHeight="1" x14ac:dyDescent="0.25">
      <c r="I41" s="71" t="s">
        <v>105</v>
      </c>
      <c r="J41" s="93">
        <v>44340</v>
      </c>
      <c r="K41" s="73">
        <v>0.03</v>
      </c>
    </row>
    <row r="42" spans="9:11" ht="16.5" customHeight="1" x14ac:dyDescent="0.25">
      <c r="I42" s="81" t="s">
        <v>770</v>
      </c>
      <c r="J42" s="70">
        <f>SUM(J33:J41)</f>
        <v>7874270</v>
      </c>
      <c r="K42" s="73"/>
    </row>
  </sheetData>
  <hyperlinks>
    <hyperlink ref="G2" r:id="rId1" xr:uid="{00000000-0004-0000-0700-000000000000}"/>
    <hyperlink ref="G3" r:id="rId2" xr:uid="{00000000-0004-0000-0700-000001000000}"/>
    <hyperlink ref="G4" r:id="rId3" xr:uid="{00000000-0004-0000-0700-000002000000}"/>
    <hyperlink ref="G5" r:id="rId4" xr:uid="{00000000-0004-0000-0700-000003000000}"/>
    <hyperlink ref="G6" r:id="rId5" xr:uid="{00000000-0004-0000-0700-000004000000}"/>
    <hyperlink ref="G7" r:id="rId6" xr:uid="{00000000-0004-0000-0700-000005000000}"/>
    <hyperlink ref="G8" r:id="rId7" xr:uid="{00000000-0004-0000-0700-000006000000}"/>
    <hyperlink ref="G9" r:id="rId8" xr:uid="{00000000-0004-0000-0700-000007000000}"/>
    <hyperlink ref="G10" r:id="rId9" xr:uid="{00000000-0004-0000-0700-000008000000}"/>
    <hyperlink ref="G11" r:id="rId10" xr:uid="{00000000-0004-0000-0700-000009000000}"/>
    <hyperlink ref="G12" r:id="rId11" xr:uid="{00000000-0004-0000-0700-00000A000000}"/>
    <hyperlink ref="G13" r:id="rId12" xr:uid="{00000000-0004-0000-0700-00000B000000}"/>
    <hyperlink ref="G14" r:id="rId13" xr:uid="{00000000-0004-0000-0700-00000C000000}"/>
    <hyperlink ref="G15" r:id="rId14" xr:uid="{00000000-0004-0000-0700-00000D000000}"/>
    <hyperlink ref="G16" r:id="rId15" xr:uid="{00000000-0004-0000-0700-00000E000000}"/>
    <hyperlink ref="G17" r:id="rId16" xr:uid="{00000000-0004-0000-0700-00000F000000}"/>
    <hyperlink ref="I33" r:id="rId17" xr:uid="{00000000-0004-0000-0700-000010000000}"/>
    <hyperlink ref="I34" r:id="rId18" xr:uid="{00000000-0004-0000-0700-000011000000}"/>
    <hyperlink ref="I35" r:id="rId19" xr:uid="{00000000-0004-0000-0700-000012000000}"/>
    <hyperlink ref="I36" r:id="rId20" xr:uid="{00000000-0004-0000-0700-000013000000}"/>
    <hyperlink ref="I37" r:id="rId21" xr:uid="{00000000-0004-0000-0700-000014000000}"/>
    <hyperlink ref="I38" r:id="rId22" xr:uid="{00000000-0004-0000-0700-000015000000}"/>
    <hyperlink ref="I39" r:id="rId23" xr:uid="{00000000-0004-0000-0700-000016000000}"/>
    <hyperlink ref="I40" r:id="rId24" xr:uid="{00000000-0004-0000-0700-000017000000}"/>
    <hyperlink ref="I41" r:id="rId25" xr:uid="{00000000-0004-0000-0700-000018000000}"/>
  </hyperlinks>
  <pageMargins left="0.7" right="0.7" top="0.75" bottom="0.75" header="0.511811023622047" footer="0.511811023622047"/>
  <pageSetup orientation="portrait" horizontalDpi="300" verticalDpi="300"/>
  <drawing r:id="rId26"/>
  <legacyDrawing r:id="rId2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zoomScaleNormal="100" workbookViewId="0"/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" ht="18" customHeight="1" x14ac:dyDescent="0.2">
      <c r="A1" s="105" t="s">
        <v>773</v>
      </c>
    </row>
    <row r="2" spans="1:1" ht="14.25" customHeight="1" x14ac:dyDescent="0.2">
      <c r="A2" s="106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5"/>
  <sheetViews>
    <sheetView zoomScale="66" zoomScaleNormal="66" workbookViewId="0">
      <selection activeCell="F15" sqref="F15"/>
    </sheetView>
  </sheetViews>
  <sheetFormatPr defaultColWidth="8.609375" defaultRowHeight="15" x14ac:dyDescent="0.2"/>
  <cols>
    <col min="1" max="1" width="8.609375" style="38"/>
    <col min="2" max="2" width="19.234375" style="38" customWidth="1"/>
    <col min="3" max="3" width="11.296875" style="38" customWidth="1"/>
    <col min="4" max="4" width="14.9296875" style="38" customWidth="1"/>
    <col min="5" max="5" width="12.77734375" style="38" customWidth="1"/>
    <col min="6" max="6" width="15.6015625" style="38" customWidth="1"/>
    <col min="7" max="7" width="12.10546875" style="38" customWidth="1"/>
    <col min="8" max="8" width="2.95703125" style="38" customWidth="1"/>
    <col min="9" max="9" width="19.234375" style="38" customWidth="1"/>
    <col min="10" max="10" width="12.77734375" style="38" customWidth="1"/>
    <col min="11" max="12" width="17.890625" style="38" customWidth="1"/>
    <col min="13" max="13" width="2.95703125" style="38" customWidth="1"/>
    <col min="14" max="14" width="12.375" style="38" customWidth="1"/>
    <col min="15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46209</v>
      </c>
      <c r="B2" s="109" t="s">
        <v>24</v>
      </c>
      <c r="C2" s="110">
        <v>330</v>
      </c>
      <c r="D2" s="111">
        <v>4950</v>
      </c>
      <c r="E2" s="112">
        <f t="shared" ref="E2:E31" si="0">C2*D2</f>
        <v>1633500</v>
      </c>
      <c r="F2" s="110" t="s">
        <v>106</v>
      </c>
      <c r="G2" s="71" t="s">
        <v>107</v>
      </c>
      <c r="I2" s="109" t="s">
        <v>24</v>
      </c>
      <c r="J2" s="110">
        <f>C2+C15+C23</f>
        <v>431</v>
      </c>
      <c r="K2" s="112">
        <f>E2+E15+E23</f>
        <v>2133800</v>
      </c>
      <c r="L2" s="113">
        <f t="shared" ref="L2:L15" si="1">K2/K$15</f>
        <v>0.31123353527485997</v>
      </c>
      <c r="N2" s="112">
        <f>K15</f>
        <v>6855945</v>
      </c>
      <c r="O2" s="110">
        <f>J15</f>
        <v>931</v>
      </c>
      <c r="P2" s="110">
        <f>COUNT(J2:J14)</f>
        <v>13</v>
      </c>
    </row>
    <row r="3" spans="1:16" ht="14.25" customHeight="1" x14ac:dyDescent="0.2">
      <c r="A3" s="108">
        <v>46209</v>
      </c>
      <c r="B3" s="110" t="s">
        <v>27</v>
      </c>
      <c r="C3" s="110">
        <v>130</v>
      </c>
      <c r="D3" s="111">
        <v>7800</v>
      </c>
      <c r="E3" s="112">
        <f t="shared" si="0"/>
        <v>1014000</v>
      </c>
      <c r="F3" s="110" t="s">
        <v>106</v>
      </c>
      <c r="G3" s="71" t="s">
        <v>107</v>
      </c>
      <c r="I3" s="110" t="s">
        <v>27</v>
      </c>
      <c r="J3" s="110">
        <f>C3</f>
        <v>130</v>
      </c>
      <c r="K3" s="112">
        <f>E3</f>
        <v>1014000</v>
      </c>
      <c r="L3" s="113">
        <f t="shared" si="1"/>
        <v>0.1479008364273634</v>
      </c>
    </row>
    <row r="4" spans="1:16" ht="14.25" customHeight="1" x14ac:dyDescent="0.2">
      <c r="A4" s="108">
        <v>46209</v>
      </c>
      <c r="B4" s="114" t="s">
        <v>45</v>
      </c>
      <c r="C4" s="110">
        <v>60</v>
      </c>
      <c r="D4" s="111">
        <v>13335</v>
      </c>
      <c r="E4" s="112">
        <f t="shared" si="0"/>
        <v>800100</v>
      </c>
      <c r="F4" s="110" t="s">
        <v>25</v>
      </c>
      <c r="G4" s="71" t="s">
        <v>108</v>
      </c>
      <c r="I4" s="114" t="s">
        <v>45</v>
      </c>
      <c r="J4" s="110">
        <f>C4+C11+C17+C25</f>
        <v>73</v>
      </c>
      <c r="K4" s="112">
        <f>E4+E11+E17+E25</f>
        <v>973455</v>
      </c>
      <c r="L4" s="113">
        <f t="shared" si="1"/>
        <v>0.14198699085246455</v>
      </c>
    </row>
    <row r="5" spans="1:16" ht="14.25" customHeight="1" x14ac:dyDescent="0.2">
      <c r="A5" s="108">
        <v>46209</v>
      </c>
      <c r="B5" s="110" t="s">
        <v>43</v>
      </c>
      <c r="C5" s="110">
        <v>1</v>
      </c>
      <c r="D5" s="111">
        <v>18300</v>
      </c>
      <c r="E5" s="112">
        <f t="shared" si="0"/>
        <v>18300</v>
      </c>
      <c r="F5" s="110" t="s">
        <v>109</v>
      </c>
      <c r="G5" s="71" t="s">
        <v>110</v>
      </c>
      <c r="I5" s="110" t="s">
        <v>43</v>
      </c>
      <c r="J5" s="110">
        <f>C5</f>
        <v>1</v>
      </c>
      <c r="K5" s="112">
        <f>E5</f>
        <v>18300</v>
      </c>
      <c r="L5" s="113">
        <f t="shared" si="1"/>
        <v>2.6692162787186886E-3</v>
      </c>
    </row>
    <row r="6" spans="1:16" ht="14.25" customHeight="1" x14ac:dyDescent="0.2">
      <c r="A6" s="108">
        <v>46209</v>
      </c>
      <c r="B6" s="115" t="s">
        <v>44</v>
      </c>
      <c r="C6" s="110">
        <v>30</v>
      </c>
      <c r="D6" s="111">
        <v>9200</v>
      </c>
      <c r="E6" s="112">
        <f t="shared" si="0"/>
        <v>276000</v>
      </c>
      <c r="F6" s="110" t="s">
        <v>25</v>
      </c>
      <c r="G6" s="71" t="s">
        <v>111</v>
      </c>
      <c r="I6" s="115" t="s">
        <v>44</v>
      </c>
      <c r="J6" s="110">
        <f>C6+C10+C18+C21+C29</f>
        <v>81</v>
      </c>
      <c r="K6" s="112">
        <f>E6+E10+E18+E21+E29</f>
        <v>740040</v>
      </c>
      <c r="L6" s="113">
        <f t="shared" si="1"/>
        <v>0.10794135600562724</v>
      </c>
    </row>
    <row r="7" spans="1:16" ht="14.25" customHeight="1" x14ac:dyDescent="0.2">
      <c r="A7" s="108">
        <v>46209</v>
      </c>
      <c r="B7" s="116" t="s">
        <v>22</v>
      </c>
      <c r="C7" s="110">
        <v>30</v>
      </c>
      <c r="D7" s="111">
        <v>9200</v>
      </c>
      <c r="E7" s="112">
        <f t="shared" si="0"/>
        <v>276000</v>
      </c>
      <c r="F7" s="110" t="s">
        <v>25</v>
      </c>
      <c r="G7" s="71" t="s">
        <v>111</v>
      </c>
      <c r="I7" s="116" t="s">
        <v>22</v>
      </c>
      <c r="J7" s="110">
        <f>C7+C14+C16+C20+C24+C28+C31</f>
        <v>175</v>
      </c>
      <c r="K7" s="112">
        <f>E7+E14+E16+E20+E24+E28+E31</f>
        <v>1593800</v>
      </c>
      <c r="L7" s="113">
        <f t="shared" si="1"/>
        <v>0.23246977623070197</v>
      </c>
    </row>
    <row r="8" spans="1:16" ht="14.25" customHeight="1" x14ac:dyDescent="0.2">
      <c r="A8" s="108">
        <v>46209</v>
      </c>
      <c r="B8" s="110" t="s">
        <v>21</v>
      </c>
      <c r="C8" s="110">
        <v>20</v>
      </c>
      <c r="D8" s="111">
        <v>8300</v>
      </c>
      <c r="E8" s="112">
        <f t="shared" si="0"/>
        <v>166000</v>
      </c>
      <c r="F8" s="110" t="s">
        <v>25</v>
      </c>
      <c r="G8" s="71" t="s">
        <v>111</v>
      </c>
      <c r="I8" s="110" t="s">
        <v>21</v>
      </c>
      <c r="J8" s="110">
        <f>C8</f>
        <v>20</v>
      </c>
      <c r="K8" s="112">
        <f>E8</f>
        <v>166000</v>
      </c>
      <c r="L8" s="113">
        <f t="shared" si="1"/>
        <v>2.4212562965426357E-2</v>
      </c>
    </row>
    <row r="9" spans="1:16" ht="14.25" customHeight="1" x14ac:dyDescent="0.2">
      <c r="A9" s="108">
        <v>46209</v>
      </c>
      <c r="B9" s="117" t="s">
        <v>37</v>
      </c>
      <c r="C9" s="110">
        <v>12</v>
      </c>
      <c r="D9" s="111">
        <v>9200</v>
      </c>
      <c r="E9" s="112">
        <f t="shared" si="0"/>
        <v>110400</v>
      </c>
      <c r="F9" s="110" t="s">
        <v>25</v>
      </c>
      <c r="G9" s="71" t="s">
        <v>111</v>
      </c>
      <c r="I9" s="117" t="s">
        <v>37</v>
      </c>
      <c r="J9" s="110">
        <f>C9+C26+C30</f>
        <v>14</v>
      </c>
      <c r="K9" s="112">
        <f>E9+E26+E30</f>
        <v>128780</v>
      </c>
      <c r="L9" s="113">
        <f t="shared" si="1"/>
        <v>1.878369794390124E-2</v>
      </c>
    </row>
    <row r="10" spans="1:16" ht="14.25" customHeight="1" x14ac:dyDescent="0.2">
      <c r="A10" s="108">
        <v>46209</v>
      </c>
      <c r="B10" s="115" t="s">
        <v>44</v>
      </c>
      <c r="C10" s="110">
        <v>21</v>
      </c>
      <c r="D10" s="111">
        <v>9200</v>
      </c>
      <c r="E10" s="112">
        <f t="shared" si="0"/>
        <v>193200</v>
      </c>
      <c r="F10" s="110" t="s">
        <v>29</v>
      </c>
      <c r="G10" s="71" t="s">
        <v>112</v>
      </c>
      <c r="I10" s="110" t="s">
        <v>65</v>
      </c>
      <c r="J10" s="110">
        <f>C12</f>
        <v>1</v>
      </c>
      <c r="K10" s="112">
        <f>E12</f>
        <v>11910</v>
      </c>
      <c r="L10" s="113">
        <f t="shared" si="1"/>
        <v>1.7371784633628186E-3</v>
      </c>
    </row>
    <row r="11" spans="1:16" ht="14.25" customHeight="1" x14ac:dyDescent="0.2">
      <c r="A11" s="108">
        <v>46209</v>
      </c>
      <c r="B11" s="114" t="s">
        <v>45</v>
      </c>
      <c r="C11" s="110">
        <v>7</v>
      </c>
      <c r="D11" s="111">
        <v>13335</v>
      </c>
      <c r="E11" s="112">
        <f t="shared" si="0"/>
        <v>93345</v>
      </c>
      <c r="F11" s="110" t="s">
        <v>29</v>
      </c>
      <c r="G11" s="71" t="s">
        <v>112</v>
      </c>
      <c r="I11" s="110" t="s">
        <v>113</v>
      </c>
      <c r="J11" s="110">
        <f>C13</f>
        <v>1</v>
      </c>
      <c r="K11" s="112">
        <f>E13</f>
        <v>14575</v>
      </c>
      <c r="L11" s="113">
        <f t="shared" si="1"/>
        <v>2.1258922001270429E-3</v>
      </c>
    </row>
    <row r="12" spans="1:16" ht="14.25" customHeight="1" x14ac:dyDescent="0.2">
      <c r="A12" s="108">
        <v>46209</v>
      </c>
      <c r="B12" s="110" t="s">
        <v>65</v>
      </c>
      <c r="C12" s="110">
        <v>1</v>
      </c>
      <c r="D12" s="111">
        <v>11910</v>
      </c>
      <c r="E12" s="112">
        <f t="shared" si="0"/>
        <v>11910</v>
      </c>
      <c r="F12" s="110" t="s">
        <v>29</v>
      </c>
      <c r="G12" s="71" t="s">
        <v>112</v>
      </c>
      <c r="I12" s="110" t="s">
        <v>101</v>
      </c>
      <c r="J12" s="110">
        <f>C19</f>
        <v>1</v>
      </c>
      <c r="K12" s="112">
        <f>E19</f>
        <v>13550</v>
      </c>
      <c r="L12" s="113">
        <f t="shared" si="1"/>
        <v>1.9763869167561876E-3</v>
      </c>
    </row>
    <row r="13" spans="1:16" ht="14.25" customHeight="1" x14ac:dyDescent="0.2">
      <c r="A13" s="108">
        <v>46209</v>
      </c>
      <c r="B13" s="110" t="s">
        <v>113</v>
      </c>
      <c r="C13" s="110">
        <v>1</v>
      </c>
      <c r="D13" s="111">
        <v>14575</v>
      </c>
      <c r="E13" s="112">
        <f t="shared" si="0"/>
        <v>14575</v>
      </c>
      <c r="F13" s="110" t="s">
        <v>29</v>
      </c>
      <c r="G13" s="71" t="s">
        <v>112</v>
      </c>
      <c r="I13" s="110" t="s">
        <v>119</v>
      </c>
      <c r="J13" s="110">
        <f>C22</f>
        <v>2</v>
      </c>
      <c r="K13" s="112">
        <f>E22</f>
        <v>26250</v>
      </c>
      <c r="L13" s="113">
        <f t="shared" si="1"/>
        <v>3.8287938424243486E-3</v>
      </c>
    </row>
    <row r="14" spans="1:16" ht="14.25" customHeight="1" x14ac:dyDescent="0.2">
      <c r="A14" s="108">
        <v>46209</v>
      </c>
      <c r="B14" s="116" t="s">
        <v>22</v>
      </c>
      <c r="C14" s="110">
        <v>4</v>
      </c>
      <c r="D14" s="111">
        <v>8600</v>
      </c>
      <c r="E14" s="112">
        <f t="shared" si="0"/>
        <v>34400</v>
      </c>
      <c r="F14" s="110" t="s">
        <v>40</v>
      </c>
      <c r="G14" s="71" t="s">
        <v>114</v>
      </c>
      <c r="I14" s="110" t="s">
        <v>87</v>
      </c>
      <c r="J14" s="110">
        <f>C27</f>
        <v>1</v>
      </c>
      <c r="K14" s="112">
        <f>E27</f>
        <v>21485</v>
      </c>
      <c r="L14" s="113">
        <f t="shared" si="1"/>
        <v>3.1337765982661762E-3</v>
      </c>
    </row>
    <row r="15" spans="1:16" ht="14.25" customHeight="1" x14ac:dyDescent="0.2">
      <c r="A15" s="108">
        <v>46209</v>
      </c>
      <c r="B15" s="109" t="s">
        <v>24</v>
      </c>
      <c r="C15" s="110">
        <v>100</v>
      </c>
      <c r="D15" s="111">
        <v>4950</v>
      </c>
      <c r="E15" s="112">
        <f t="shared" si="0"/>
        <v>495000</v>
      </c>
      <c r="F15" s="110" t="s">
        <v>106</v>
      </c>
      <c r="G15" s="71" t="s">
        <v>115</v>
      </c>
      <c r="I15" s="110" t="s">
        <v>768</v>
      </c>
      <c r="J15" s="110">
        <f>SUM(J2:J14)</f>
        <v>931</v>
      </c>
      <c r="K15" s="112">
        <f>SUM(K2:K14)</f>
        <v>6855945</v>
      </c>
      <c r="L15" s="113">
        <f t="shared" si="1"/>
        <v>1</v>
      </c>
    </row>
    <row r="16" spans="1:16" ht="14.25" customHeight="1" x14ac:dyDescent="0.2">
      <c r="A16" s="108">
        <v>46209</v>
      </c>
      <c r="B16" s="116" t="s">
        <v>22</v>
      </c>
      <c r="C16" s="110">
        <v>4</v>
      </c>
      <c r="D16" s="111">
        <v>9200</v>
      </c>
      <c r="E16" s="112">
        <f t="shared" si="0"/>
        <v>36800</v>
      </c>
      <c r="F16" s="110" t="s">
        <v>95</v>
      </c>
      <c r="G16" s="71" t="s">
        <v>116</v>
      </c>
    </row>
    <row r="17" spans="1:12" ht="25.5" customHeight="1" x14ac:dyDescent="0.2">
      <c r="A17" s="108">
        <v>46209</v>
      </c>
      <c r="B17" s="114" t="s">
        <v>45</v>
      </c>
      <c r="C17" s="110">
        <v>2</v>
      </c>
      <c r="D17" s="111">
        <v>13335</v>
      </c>
      <c r="E17" s="112">
        <f t="shared" si="0"/>
        <v>26670</v>
      </c>
      <c r="F17" s="110" t="s">
        <v>95</v>
      </c>
      <c r="G17" s="71" t="s">
        <v>116</v>
      </c>
      <c r="I17" s="107" t="s">
        <v>758</v>
      </c>
      <c r="J17" s="107" t="s">
        <v>757</v>
      </c>
      <c r="K17" s="107" t="s">
        <v>762</v>
      </c>
      <c r="L17" s="107" t="s">
        <v>769</v>
      </c>
    </row>
    <row r="18" spans="1:12" ht="14.25" customHeight="1" x14ac:dyDescent="0.2">
      <c r="A18" s="108">
        <v>46209</v>
      </c>
      <c r="B18" s="115" t="s">
        <v>44</v>
      </c>
      <c r="C18" s="110">
        <v>3</v>
      </c>
      <c r="D18" s="111">
        <v>9200</v>
      </c>
      <c r="E18" s="112">
        <f t="shared" si="0"/>
        <v>27600</v>
      </c>
      <c r="F18" s="110" t="s">
        <v>95</v>
      </c>
      <c r="G18" s="71" t="s">
        <v>116</v>
      </c>
      <c r="I18" s="110" t="s">
        <v>106</v>
      </c>
      <c r="J18" s="112">
        <f>E2+E3+E15</f>
        <v>3142500</v>
      </c>
      <c r="K18" s="113">
        <f t="shared" ref="K18:K29" si="2">J18/J$29</f>
        <v>0.45836131999308627</v>
      </c>
      <c r="L18" s="113">
        <v>-2.9499999999999998E-2</v>
      </c>
    </row>
    <row r="19" spans="1:12" ht="14.25" customHeight="1" x14ac:dyDescent="0.2">
      <c r="A19" s="108">
        <v>46209</v>
      </c>
      <c r="B19" s="110" t="s">
        <v>101</v>
      </c>
      <c r="C19" s="110">
        <v>1</v>
      </c>
      <c r="D19" s="111">
        <v>13550</v>
      </c>
      <c r="E19" s="112">
        <f t="shared" si="0"/>
        <v>13550</v>
      </c>
      <c r="F19" s="110" t="s">
        <v>95</v>
      </c>
      <c r="G19" s="71" t="s">
        <v>116</v>
      </c>
      <c r="I19" s="110" t="s">
        <v>25</v>
      </c>
      <c r="J19" s="112">
        <f>E4+E6+E7+E8+E9</f>
        <v>1628500</v>
      </c>
      <c r="K19" s="113">
        <f t="shared" si="2"/>
        <v>0.23753107704335436</v>
      </c>
      <c r="L19" s="113">
        <v>3.7699999999999997E-2</v>
      </c>
    </row>
    <row r="20" spans="1:12" ht="14.25" customHeight="1" x14ac:dyDescent="0.2">
      <c r="A20" s="108">
        <v>46209</v>
      </c>
      <c r="B20" s="116" t="s">
        <v>22</v>
      </c>
      <c r="C20" s="110">
        <v>70</v>
      </c>
      <c r="D20" s="111">
        <v>8990</v>
      </c>
      <c r="E20" s="112">
        <f t="shared" si="0"/>
        <v>629300</v>
      </c>
      <c r="F20" s="110" t="s">
        <v>63</v>
      </c>
      <c r="G20" s="71" t="s">
        <v>117</v>
      </c>
      <c r="I20" s="110" t="s">
        <v>109</v>
      </c>
      <c r="J20" s="112">
        <f>E5</f>
        <v>18300</v>
      </c>
      <c r="K20" s="113">
        <f t="shared" si="2"/>
        <v>2.6692162787186886E-3</v>
      </c>
      <c r="L20" s="113">
        <v>6.2799999999999995E-2</v>
      </c>
    </row>
    <row r="21" spans="1:12" ht="14.25" customHeight="1" x14ac:dyDescent="0.2">
      <c r="A21" s="108">
        <v>46209</v>
      </c>
      <c r="B21" s="115" t="s">
        <v>44</v>
      </c>
      <c r="C21" s="110">
        <v>26</v>
      </c>
      <c r="D21" s="111">
        <v>8990</v>
      </c>
      <c r="E21" s="112">
        <f t="shared" si="0"/>
        <v>233740</v>
      </c>
      <c r="F21" s="110" t="s">
        <v>63</v>
      </c>
      <c r="G21" s="71" t="s">
        <v>117</v>
      </c>
      <c r="I21" s="110" t="s">
        <v>29</v>
      </c>
      <c r="J21" s="112">
        <f>E10+E11+E12+E13</f>
        <v>313030</v>
      </c>
      <c r="K21" s="113">
        <f t="shared" si="2"/>
        <v>4.5658184247394047E-2</v>
      </c>
      <c r="L21" s="113">
        <v>2.5700000000000001E-2</v>
      </c>
    </row>
    <row r="22" spans="1:12" ht="14.25" customHeight="1" x14ac:dyDescent="0.2">
      <c r="A22" s="108">
        <v>46209</v>
      </c>
      <c r="B22" s="110" t="s">
        <v>119</v>
      </c>
      <c r="C22" s="110">
        <v>2</v>
      </c>
      <c r="D22" s="111">
        <v>13125</v>
      </c>
      <c r="E22" s="112">
        <f t="shared" si="0"/>
        <v>26250</v>
      </c>
      <c r="F22" s="110" t="s">
        <v>104</v>
      </c>
      <c r="G22" s="71" t="s">
        <v>118</v>
      </c>
      <c r="I22" s="110" t="s">
        <v>40</v>
      </c>
      <c r="J22" s="112">
        <f>E14</f>
        <v>34400</v>
      </c>
      <c r="K22" s="113">
        <f t="shared" si="2"/>
        <v>5.0175431687389561E-3</v>
      </c>
      <c r="L22" s="113">
        <v>-4.4000000000000003E-3</v>
      </c>
    </row>
    <row r="23" spans="1:12" ht="14.25" customHeight="1" x14ac:dyDescent="0.2">
      <c r="A23" s="108">
        <v>46209</v>
      </c>
      <c r="B23" s="109" t="s">
        <v>24</v>
      </c>
      <c r="C23" s="110">
        <v>1</v>
      </c>
      <c r="D23" s="111">
        <v>5300</v>
      </c>
      <c r="E23" s="112">
        <f t="shared" si="0"/>
        <v>5300</v>
      </c>
      <c r="F23" s="110" t="s">
        <v>104</v>
      </c>
      <c r="G23" s="71" t="s">
        <v>118</v>
      </c>
      <c r="I23" s="110" t="s">
        <v>95</v>
      </c>
      <c r="J23" s="112">
        <f>E16+E17+E18+E19</f>
        <v>104620</v>
      </c>
      <c r="K23" s="113">
        <f t="shared" si="2"/>
        <v>1.5259749020740393E-2</v>
      </c>
      <c r="L23" s="113">
        <v>3.9199999999999999E-2</v>
      </c>
    </row>
    <row r="24" spans="1:12" ht="14.25" customHeight="1" x14ac:dyDescent="0.2">
      <c r="A24" s="108">
        <v>46209</v>
      </c>
      <c r="B24" s="116" t="s">
        <v>22</v>
      </c>
      <c r="C24" s="110">
        <v>64</v>
      </c>
      <c r="D24" s="111">
        <v>9200</v>
      </c>
      <c r="E24" s="112">
        <f t="shared" si="0"/>
        <v>588800</v>
      </c>
      <c r="F24" s="110" t="s">
        <v>78</v>
      </c>
      <c r="G24" s="71" t="s">
        <v>120</v>
      </c>
      <c r="I24" s="110" t="s">
        <v>63</v>
      </c>
      <c r="J24" s="112">
        <f>E20+E21</f>
        <v>863040</v>
      </c>
      <c r="K24" s="113">
        <f t="shared" si="2"/>
        <v>0.1258819900101299</v>
      </c>
      <c r="L24" s="113">
        <v>2.86E-2</v>
      </c>
    </row>
    <row r="25" spans="1:12" ht="14.25" customHeight="1" x14ac:dyDescent="0.2">
      <c r="A25" s="108">
        <v>46209</v>
      </c>
      <c r="B25" s="114" t="s">
        <v>45</v>
      </c>
      <c r="C25" s="110">
        <v>4</v>
      </c>
      <c r="D25" s="111">
        <v>13335</v>
      </c>
      <c r="E25" s="112">
        <f t="shared" si="0"/>
        <v>53340</v>
      </c>
      <c r="F25" s="110" t="s">
        <v>78</v>
      </c>
      <c r="G25" s="71" t="s">
        <v>120</v>
      </c>
      <c r="I25" s="110" t="s">
        <v>104</v>
      </c>
      <c r="J25" s="112">
        <f>E22+E23</f>
        <v>31550</v>
      </c>
      <c r="K25" s="113">
        <f t="shared" si="2"/>
        <v>4.6018455515614547E-3</v>
      </c>
      <c r="L25" s="113">
        <v>4.9799999999999997E-2</v>
      </c>
    </row>
    <row r="26" spans="1:12" ht="14.25" customHeight="1" x14ac:dyDescent="0.2">
      <c r="A26" s="108">
        <v>46209</v>
      </c>
      <c r="B26" s="117" t="s">
        <v>37</v>
      </c>
      <c r="C26" s="110">
        <v>1</v>
      </c>
      <c r="D26" s="111">
        <v>8880</v>
      </c>
      <c r="E26" s="112">
        <f t="shared" si="0"/>
        <v>8880</v>
      </c>
      <c r="F26" s="110" t="s">
        <v>78</v>
      </c>
      <c r="G26" s="71" t="s">
        <v>120</v>
      </c>
      <c r="I26" s="110" t="s">
        <v>78</v>
      </c>
      <c r="J26" s="112">
        <f>E24+E25+E26+E27</f>
        <v>672505</v>
      </c>
      <c r="K26" s="113">
        <f t="shared" si="2"/>
        <v>9.8090781066650909E-2</v>
      </c>
      <c r="L26" s="113">
        <v>5.11E-2</v>
      </c>
    </row>
    <row r="27" spans="1:12" ht="14.25" customHeight="1" x14ac:dyDescent="0.2">
      <c r="A27" s="108">
        <v>46209</v>
      </c>
      <c r="B27" s="110" t="s">
        <v>87</v>
      </c>
      <c r="C27" s="110">
        <v>1</v>
      </c>
      <c r="D27" s="111">
        <v>21485</v>
      </c>
      <c r="E27" s="112">
        <f t="shared" si="0"/>
        <v>21485</v>
      </c>
      <c r="F27" s="110" t="s">
        <v>78</v>
      </c>
      <c r="G27" s="71" t="s">
        <v>120</v>
      </c>
      <c r="I27" s="110" t="s">
        <v>15</v>
      </c>
      <c r="J27" s="112">
        <f>E28+E29+E30</f>
        <v>28500</v>
      </c>
      <c r="K27" s="113">
        <f t="shared" si="2"/>
        <v>4.1569761717750071E-3</v>
      </c>
      <c r="L27" s="113">
        <v>8.2400000000000001E-2</v>
      </c>
    </row>
    <row r="28" spans="1:12" ht="14.25" customHeight="1" x14ac:dyDescent="0.2">
      <c r="A28" s="108">
        <v>46209</v>
      </c>
      <c r="B28" s="116" t="s">
        <v>22</v>
      </c>
      <c r="C28" s="110">
        <v>1</v>
      </c>
      <c r="D28" s="111">
        <v>9500</v>
      </c>
      <c r="E28" s="112">
        <f t="shared" si="0"/>
        <v>9500</v>
      </c>
      <c r="F28" s="110" t="s">
        <v>15</v>
      </c>
      <c r="G28" s="71" t="s">
        <v>121</v>
      </c>
      <c r="I28" s="110" t="s">
        <v>122</v>
      </c>
      <c r="J28" s="112">
        <f>E31</f>
        <v>19000</v>
      </c>
      <c r="K28" s="113">
        <f t="shared" si="2"/>
        <v>2.7713174478500046E-3</v>
      </c>
      <c r="L28" s="113">
        <v>9.0800000000000006E-2</v>
      </c>
    </row>
    <row r="29" spans="1:12" ht="14.25" customHeight="1" x14ac:dyDescent="0.2">
      <c r="A29" s="108">
        <v>46209</v>
      </c>
      <c r="B29" s="115" t="s">
        <v>44</v>
      </c>
      <c r="C29" s="110">
        <v>1</v>
      </c>
      <c r="D29" s="111">
        <v>9500</v>
      </c>
      <c r="E29" s="112">
        <f t="shared" si="0"/>
        <v>9500</v>
      </c>
      <c r="F29" s="110" t="s">
        <v>15</v>
      </c>
      <c r="G29" s="71" t="s">
        <v>121</v>
      </c>
      <c r="I29" s="110" t="s">
        <v>770</v>
      </c>
      <c r="J29" s="112">
        <f>SUM(J18:J28)</f>
        <v>6855945</v>
      </c>
      <c r="K29" s="113">
        <f t="shared" si="2"/>
        <v>1</v>
      </c>
      <c r="L29" s="72"/>
    </row>
    <row r="30" spans="1:12" ht="14.25" customHeight="1" x14ac:dyDescent="0.2">
      <c r="A30" s="108">
        <v>46209</v>
      </c>
      <c r="B30" s="117" t="s">
        <v>37</v>
      </c>
      <c r="C30" s="110">
        <v>1</v>
      </c>
      <c r="D30" s="111">
        <v>9500</v>
      </c>
      <c r="E30" s="112">
        <f t="shared" si="0"/>
        <v>9500</v>
      </c>
      <c r="F30" s="110" t="s">
        <v>15</v>
      </c>
      <c r="G30" s="71" t="s">
        <v>121</v>
      </c>
    </row>
    <row r="31" spans="1:12" ht="25.5" customHeight="1" x14ac:dyDescent="0.2">
      <c r="A31" s="108">
        <v>46209</v>
      </c>
      <c r="B31" s="116" t="s">
        <v>22</v>
      </c>
      <c r="C31" s="110">
        <v>2</v>
      </c>
      <c r="D31" s="111">
        <v>9500</v>
      </c>
      <c r="E31" s="112">
        <f t="shared" si="0"/>
        <v>19000</v>
      </c>
      <c r="F31" s="110" t="s">
        <v>122</v>
      </c>
      <c r="G31" s="71" t="s">
        <v>123</v>
      </c>
      <c r="I31" s="107" t="s">
        <v>759</v>
      </c>
      <c r="J31" s="107" t="s">
        <v>757</v>
      </c>
      <c r="K31" s="107" t="s">
        <v>769</v>
      </c>
    </row>
    <row r="32" spans="1:12" ht="14.25" customHeight="1" x14ac:dyDescent="0.2">
      <c r="A32" s="72"/>
      <c r="B32" s="110" t="s">
        <v>768</v>
      </c>
      <c r="C32" s="110">
        <f>SUM(C2:C31)</f>
        <v>931</v>
      </c>
      <c r="D32" s="110">
        <f>SUM(D2:D31)</f>
        <v>315445</v>
      </c>
      <c r="E32" s="112">
        <f>SUM(E2:E31)</f>
        <v>6855945</v>
      </c>
      <c r="F32" s="72"/>
      <c r="G32" s="72"/>
      <c r="I32" s="118" t="s">
        <v>107</v>
      </c>
      <c r="J32" s="112">
        <v>2647500</v>
      </c>
      <c r="K32" s="113">
        <v>-0.03</v>
      </c>
    </row>
    <row r="33" spans="5:11" ht="14.25" customHeight="1" x14ac:dyDescent="0.2">
      <c r="I33" s="118" t="s">
        <v>108</v>
      </c>
      <c r="J33" s="112">
        <v>890100</v>
      </c>
      <c r="K33" s="113">
        <v>0.04</v>
      </c>
    </row>
    <row r="34" spans="5:11" ht="14.25" customHeight="1" x14ac:dyDescent="0.2">
      <c r="I34" s="118" t="s">
        <v>110</v>
      </c>
      <c r="J34" s="112">
        <v>18300</v>
      </c>
      <c r="K34" s="113">
        <v>0.06</v>
      </c>
    </row>
    <row r="35" spans="5:11" ht="14.25" customHeight="1" x14ac:dyDescent="0.2">
      <c r="E35" s="79"/>
      <c r="I35" s="118" t="s">
        <v>111</v>
      </c>
      <c r="J35" s="112">
        <v>968400</v>
      </c>
      <c r="K35" s="113">
        <v>0.04</v>
      </c>
    </row>
    <row r="36" spans="5:11" ht="14.25" customHeight="1" x14ac:dyDescent="0.2">
      <c r="I36" s="118" t="s">
        <v>112</v>
      </c>
      <c r="J36" s="112">
        <v>358030</v>
      </c>
      <c r="K36" s="113">
        <v>0.03</v>
      </c>
    </row>
    <row r="37" spans="5:11" ht="14.25" customHeight="1" x14ac:dyDescent="0.2">
      <c r="I37" s="118" t="s">
        <v>114</v>
      </c>
      <c r="J37" s="112">
        <v>34400</v>
      </c>
      <c r="K37" s="113">
        <v>0</v>
      </c>
    </row>
    <row r="38" spans="5:11" ht="14.25" customHeight="1" x14ac:dyDescent="0.2">
      <c r="I38" s="118" t="s">
        <v>115</v>
      </c>
      <c r="J38" s="112">
        <v>495000</v>
      </c>
      <c r="K38" s="113">
        <v>-0.05</v>
      </c>
    </row>
    <row r="39" spans="5:11" ht="14.25" customHeight="1" x14ac:dyDescent="0.2">
      <c r="I39" s="118" t="s">
        <v>116</v>
      </c>
      <c r="J39" s="112">
        <v>119620</v>
      </c>
      <c r="K39" s="113">
        <v>0.04</v>
      </c>
    </row>
    <row r="40" spans="5:11" ht="14.25" customHeight="1" x14ac:dyDescent="0.2">
      <c r="I40" s="118" t="s">
        <v>117</v>
      </c>
      <c r="J40" s="112">
        <v>863040</v>
      </c>
      <c r="K40" s="113">
        <v>0.03</v>
      </c>
    </row>
    <row r="41" spans="5:11" ht="14.25" customHeight="1" x14ac:dyDescent="0.2">
      <c r="I41" s="118" t="s">
        <v>118</v>
      </c>
      <c r="J41" s="112">
        <v>31550</v>
      </c>
      <c r="K41" s="113">
        <v>0.05</v>
      </c>
    </row>
    <row r="42" spans="5:11" ht="14.25" customHeight="1" x14ac:dyDescent="0.2">
      <c r="I42" s="118" t="s">
        <v>120</v>
      </c>
      <c r="J42" s="112">
        <v>777505</v>
      </c>
      <c r="K42" s="113">
        <v>0.05</v>
      </c>
    </row>
    <row r="43" spans="5:11" ht="14.25" customHeight="1" x14ac:dyDescent="0.2">
      <c r="I43" s="118" t="s">
        <v>121</v>
      </c>
      <c r="J43" s="112">
        <v>28500</v>
      </c>
      <c r="K43" s="113">
        <v>0.08</v>
      </c>
    </row>
    <row r="44" spans="5:11" ht="14.25" customHeight="1" x14ac:dyDescent="0.2">
      <c r="I44" s="118" t="s">
        <v>123</v>
      </c>
      <c r="J44" s="112">
        <v>19000</v>
      </c>
      <c r="K44" s="113">
        <v>0.09</v>
      </c>
    </row>
    <row r="45" spans="5:11" ht="14.25" customHeight="1" x14ac:dyDescent="0.2">
      <c r="I45" s="110" t="s">
        <v>770</v>
      </c>
      <c r="J45" s="112">
        <f>SUM(J32:J44)</f>
        <v>7250945</v>
      </c>
      <c r="K45" s="72"/>
    </row>
  </sheetData>
  <hyperlinks>
    <hyperlink ref="G2" r:id="rId1" xr:uid="{00000000-0004-0000-0900-000000000000}"/>
    <hyperlink ref="G3" r:id="rId2" xr:uid="{00000000-0004-0000-0900-000001000000}"/>
    <hyperlink ref="G4" r:id="rId3" xr:uid="{00000000-0004-0000-0900-000002000000}"/>
    <hyperlink ref="G5" r:id="rId4" xr:uid="{00000000-0004-0000-0900-000003000000}"/>
    <hyperlink ref="G6" r:id="rId5" xr:uid="{00000000-0004-0000-0900-000004000000}"/>
    <hyperlink ref="G7" r:id="rId6" xr:uid="{00000000-0004-0000-0900-000005000000}"/>
    <hyperlink ref="G8" r:id="rId7" xr:uid="{00000000-0004-0000-0900-000006000000}"/>
    <hyperlink ref="G9" r:id="rId8" xr:uid="{00000000-0004-0000-0900-000007000000}"/>
    <hyperlink ref="G10" r:id="rId9" xr:uid="{00000000-0004-0000-0900-000008000000}"/>
    <hyperlink ref="G11" r:id="rId10" xr:uid="{00000000-0004-0000-0900-000009000000}"/>
    <hyperlink ref="G12" r:id="rId11" xr:uid="{00000000-0004-0000-0900-00000A000000}"/>
    <hyperlink ref="G13" r:id="rId12" xr:uid="{00000000-0004-0000-0900-00000B000000}"/>
    <hyperlink ref="G14" r:id="rId13" xr:uid="{00000000-0004-0000-0900-00000C000000}"/>
    <hyperlink ref="G15" r:id="rId14" xr:uid="{00000000-0004-0000-0900-00000D000000}"/>
    <hyperlink ref="G16" r:id="rId15" xr:uid="{00000000-0004-0000-0900-00000E000000}"/>
    <hyperlink ref="G17" r:id="rId16" xr:uid="{00000000-0004-0000-0900-00000F000000}"/>
    <hyperlink ref="G18" r:id="rId17" xr:uid="{00000000-0004-0000-0900-000010000000}"/>
    <hyperlink ref="G19" r:id="rId18" xr:uid="{00000000-0004-0000-0900-000011000000}"/>
    <hyperlink ref="G20" r:id="rId19" xr:uid="{00000000-0004-0000-0900-000012000000}"/>
    <hyperlink ref="G21" r:id="rId20" xr:uid="{00000000-0004-0000-0900-000013000000}"/>
    <hyperlink ref="G22" r:id="rId21" xr:uid="{00000000-0004-0000-0900-000014000000}"/>
    <hyperlink ref="G23" r:id="rId22" xr:uid="{00000000-0004-0000-0900-000015000000}"/>
    <hyperlink ref="G24" r:id="rId23" xr:uid="{00000000-0004-0000-0900-000016000000}"/>
    <hyperlink ref="G25" r:id="rId24" xr:uid="{00000000-0004-0000-0900-000017000000}"/>
    <hyperlink ref="G26" r:id="rId25" xr:uid="{00000000-0004-0000-0900-000018000000}"/>
    <hyperlink ref="G27" r:id="rId26" xr:uid="{00000000-0004-0000-0900-000019000000}"/>
    <hyperlink ref="G28" r:id="rId27" xr:uid="{00000000-0004-0000-0900-00001A000000}"/>
    <hyperlink ref="G29" r:id="rId28" xr:uid="{00000000-0004-0000-0900-00001B000000}"/>
    <hyperlink ref="G30" r:id="rId29" xr:uid="{00000000-0004-0000-0900-00001C000000}"/>
    <hyperlink ref="G31" r:id="rId30" xr:uid="{00000000-0004-0000-0900-00001D000000}"/>
    <hyperlink ref="I32" r:id="rId31" xr:uid="{00000000-0004-0000-0900-00001E000000}"/>
    <hyperlink ref="I33" r:id="rId32" xr:uid="{00000000-0004-0000-0900-00001F000000}"/>
    <hyperlink ref="I34" r:id="rId33" xr:uid="{00000000-0004-0000-0900-000020000000}"/>
    <hyperlink ref="I35" r:id="rId34" xr:uid="{00000000-0004-0000-0900-000021000000}"/>
    <hyperlink ref="I36" r:id="rId35" xr:uid="{00000000-0004-0000-0900-000022000000}"/>
    <hyperlink ref="I37" r:id="rId36" xr:uid="{00000000-0004-0000-0900-000023000000}"/>
    <hyperlink ref="I38" r:id="rId37" xr:uid="{00000000-0004-0000-0900-000024000000}"/>
    <hyperlink ref="I39" r:id="rId38" xr:uid="{00000000-0004-0000-0900-000025000000}"/>
    <hyperlink ref="I40" r:id="rId39" xr:uid="{00000000-0004-0000-0900-000026000000}"/>
    <hyperlink ref="I41" r:id="rId40" xr:uid="{00000000-0004-0000-0900-000027000000}"/>
    <hyperlink ref="I42" r:id="rId41" xr:uid="{00000000-0004-0000-0900-000028000000}"/>
    <hyperlink ref="I43" r:id="rId42" xr:uid="{00000000-0004-0000-0900-000029000000}"/>
    <hyperlink ref="I44" r:id="rId43" xr:uid="{00000000-0004-0000-0900-00002A000000}"/>
  </hyperlinks>
  <pageMargins left="0.75" right="0.75" top="1" bottom="1" header="0.511811023622047" footer="0.511811023622047"/>
  <pageSetup paperSize="9" orientation="portrait" horizontalDpi="300" verticalDpi="300"/>
  <drawing r:id="rId4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9"/>
  <sheetViews>
    <sheetView zoomScale="62" zoomScaleNormal="62" workbookViewId="0">
      <selection activeCell="N8" sqref="N8"/>
    </sheetView>
  </sheetViews>
  <sheetFormatPr defaultColWidth="8.609375" defaultRowHeight="15" x14ac:dyDescent="0.2"/>
  <cols>
    <col min="1" max="1" width="9.14453125" style="38" customWidth="1"/>
    <col min="2" max="2" width="19.7734375" style="38" customWidth="1"/>
    <col min="3" max="3" width="10.89453125" style="38" customWidth="1"/>
    <col min="4" max="4" width="14.796875" style="38" customWidth="1"/>
    <col min="5" max="5" width="12.5078125" style="38" customWidth="1"/>
    <col min="6" max="6" width="16.0078125" style="38" customWidth="1"/>
    <col min="7" max="7" width="12.23828125" style="38" customWidth="1"/>
    <col min="8" max="8" width="2.95703125" style="38" customWidth="1"/>
    <col min="9" max="9" width="19.773437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46210</v>
      </c>
      <c r="B2" s="119" t="s">
        <v>22</v>
      </c>
      <c r="C2" s="110">
        <v>140</v>
      </c>
      <c r="D2" s="111">
        <v>8990</v>
      </c>
      <c r="E2" s="112">
        <f t="shared" ref="E2:E38" si="0">C2*D2</f>
        <v>1258600</v>
      </c>
      <c r="F2" s="110" t="s">
        <v>63</v>
      </c>
      <c r="G2" s="71" t="s">
        <v>124</v>
      </c>
      <c r="I2" s="119" t="s">
        <v>22</v>
      </c>
      <c r="J2" s="110">
        <f>C2+C7+C12+C13+C27</f>
        <v>403</v>
      </c>
      <c r="K2" s="112">
        <f>E2+E7+E12+E13+E27</f>
        <v>3540800</v>
      </c>
      <c r="L2" s="113">
        <f t="shared" ref="L2:L16" si="1">K2/K$16</f>
        <v>0.25325047572080506</v>
      </c>
      <c r="N2" s="112">
        <f>K16</f>
        <v>13981415</v>
      </c>
      <c r="O2" s="110">
        <f>J16</f>
        <v>1685</v>
      </c>
      <c r="P2" s="110">
        <f>COUNT(J2:J15)</f>
        <v>14</v>
      </c>
    </row>
    <row r="3" spans="1:16" ht="14.25" customHeight="1" x14ac:dyDescent="0.2">
      <c r="A3" s="108">
        <v>46210</v>
      </c>
      <c r="B3" s="120" t="s">
        <v>44</v>
      </c>
      <c r="C3" s="110">
        <v>44</v>
      </c>
      <c r="D3" s="111">
        <v>8990</v>
      </c>
      <c r="E3" s="112">
        <f t="shared" si="0"/>
        <v>395560</v>
      </c>
      <c r="F3" s="110" t="s">
        <v>63</v>
      </c>
      <c r="G3" s="71" t="s">
        <v>124</v>
      </c>
      <c r="I3" s="120" t="s">
        <v>44</v>
      </c>
      <c r="J3" s="110">
        <f>C3+C11+C15+C26+C32</f>
        <v>224</v>
      </c>
      <c r="K3" s="112">
        <f>E3+E11+E15+E26+E32</f>
        <v>2032510</v>
      </c>
      <c r="L3" s="113">
        <f t="shared" si="1"/>
        <v>0.14537226739925824</v>
      </c>
    </row>
    <row r="4" spans="1:16" ht="14.25" customHeight="1" x14ac:dyDescent="0.2">
      <c r="A4" s="108">
        <v>46210</v>
      </c>
      <c r="B4" s="121" t="s">
        <v>24</v>
      </c>
      <c r="C4" s="110">
        <v>120</v>
      </c>
      <c r="D4" s="111">
        <v>5100</v>
      </c>
      <c r="E4" s="112">
        <f t="shared" si="0"/>
        <v>612000</v>
      </c>
      <c r="F4" s="110" t="s">
        <v>125</v>
      </c>
      <c r="G4" s="71" t="s">
        <v>126</v>
      </c>
      <c r="I4" s="121" t="s">
        <v>24</v>
      </c>
      <c r="J4" s="110">
        <f>C4+C5+C17+C22+C38</f>
        <v>603</v>
      </c>
      <c r="K4" s="112">
        <f>E4+E5+E17+E22+E38</f>
        <v>3011800</v>
      </c>
      <c r="L4" s="113">
        <f t="shared" si="1"/>
        <v>0.21541453422275214</v>
      </c>
    </row>
    <row r="5" spans="1:16" ht="14.25" customHeight="1" x14ac:dyDescent="0.2">
      <c r="A5" s="108">
        <v>46210</v>
      </c>
      <c r="B5" s="121" t="s">
        <v>24</v>
      </c>
      <c r="C5" s="110">
        <v>250</v>
      </c>
      <c r="D5" s="111">
        <v>4950</v>
      </c>
      <c r="E5" s="112">
        <f t="shared" si="0"/>
        <v>1237500</v>
      </c>
      <c r="F5" s="110" t="s">
        <v>127</v>
      </c>
      <c r="G5" s="71" t="s">
        <v>128</v>
      </c>
      <c r="I5" s="122" t="s">
        <v>31</v>
      </c>
      <c r="J5" s="110">
        <f>C6+C20</f>
        <v>11</v>
      </c>
      <c r="K5" s="112">
        <f>E6+E20</f>
        <v>189100</v>
      </c>
      <c r="L5" s="113">
        <f t="shared" si="1"/>
        <v>1.3525097423973181E-2</v>
      </c>
    </row>
    <row r="6" spans="1:16" ht="14.25" customHeight="1" x14ac:dyDescent="0.2">
      <c r="A6" s="108">
        <v>46210</v>
      </c>
      <c r="B6" s="122" t="s">
        <v>31</v>
      </c>
      <c r="C6" s="110">
        <v>10</v>
      </c>
      <c r="D6" s="111">
        <v>17200</v>
      </c>
      <c r="E6" s="112">
        <f t="shared" si="0"/>
        <v>172000</v>
      </c>
      <c r="F6" s="110" t="s">
        <v>50</v>
      </c>
      <c r="G6" s="71" t="s">
        <v>130</v>
      </c>
      <c r="I6" s="115" t="s">
        <v>45</v>
      </c>
      <c r="J6" s="110">
        <f>C8+C10+C24+C34</f>
        <v>262</v>
      </c>
      <c r="K6" s="112">
        <f>E8+E10+E24+E34</f>
        <v>3394545</v>
      </c>
      <c r="L6" s="113">
        <f t="shared" si="1"/>
        <v>0.24278980346409859</v>
      </c>
    </row>
    <row r="7" spans="1:16" ht="14.25" customHeight="1" x14ac:dyDescent="0.2">
      <c r="A7" s="108">
        <v>46210</v>
      </c>
      <c r="B7" s="119" t="s">
        <v>22</v>
      </c>
      <c r="C7" s="110">
        <v>25</v>
      </c>
      <c r="D7" s="111">
        <v>9200</v>
      </c>
      <c r="E7" s="112">
        <f t="shared" si="0"/>
        <v>230000</v>
      </c>
      <c r="F7" s="110" t="s">
        <v>25</v>
      </c>
      <c r="G7" s="71" t="s">
        <v>131</v>
      </c>
      <c r="I7" s="114" t="s">
        <v>37</v>
      </c>
      <c r="J7" s="110">
        <f>C9+C16+C25+C28+C36</f>
        <v>67</v>
      </c>
      <c r="K7" s="112">
        <f>E9+E16+E25+E28+E36</f>
        <v>594160</v>
      </c>
      <c r="L7" s="113">
        <f t="shared" si="1"/>
        <v>4.2496413989571158E-2</v>
      </c>
    </row>
    <row r="8" spans="1:16" ht="14.25" customHeight="1" x14ac:dyDescent="0.2">
      <c r="A8" s="108">
        <v>46210</v>
      </c>
      <c r="B8" s="115" t="s">
        <v>45</v>
      </c>
      <c r="C8" s="110">
        <v>17</v>
      </c>
      <c r="D8" s="111">
        <v>13335</v>
      </c>
      <c r="E8" s="112">
        <f t="shared" si="0"/>
        <v>226695</v>
      </c>
      <c r="F8" s="110" t="s">
        <v>25</v>
      </c>
      <c r="G8" s="71" t="s">
        <v>131</v>
      </c>
      <c r="I8" s="110" t="s">
        <v>113</v>
      </c>
      <c r="J8" s="110">
        <f>C14</f>
        <v>2</v>
      </c>
      <c r="K8" s="112">
        <f>E14</f>
        <v>29150</v>
      </c>
      <c r="L8" s="113">
        <f t="shared" si="1"/>
        <v>2.0849105759324074E-3</v>
      </c>
    </row>
    <row r="9" spans="1:16" ht="14.25" customHeight="1" x14ac:dyDescent="0.2">
      <c r="A9" s="108">
        <v>46210</v>
      </c>
      <c r="B9" s="114" t="s">
        <v>37</v>
      </c>
      <c r="C9" s="110">
        <v>10</v>
      </c>
      <c r="D9" s="111">
        <v>9200</v>
      </c>
      <c r="E9" s="112">
        <f t="shared" si="0"/>
        <v>92000</v>
      </c>
      <c r="F9" s="110" t="s">
        <v>25</v>
      </c>
      <c r="G9" s="71" t="s">
        <v>131</v>
      </c>
      <c r="I9" s="116" t="s">
        <v>27</v>
      </c>
      <c r="J9" s="110">
        <f>C18+C23+C37</f>
        <v>55</v>
      </c>
      <c r="K9" s="112">
        <f>E18+E23+E37</f>
        <v>441100</v>
      </c>
      <c r="L9" s="113">
        <f t="shared" si="1"/>
        <v>3.154902418675077E-2</v>
      </c>
    </row>
    <row r="10" spans="1:16" ht="14.25" customHeight="1" x14ac:dyDescent="0.2">
      <c r="A10" s="108">
        <v>46210</v>
      </c>
      <c r="B10" s="115" t="s">
        <v>45</v>
      </c>
      <c r="C10" s="110">
        <v>210</v>
      </c>
      <c r="D10" s="111">
        <v>12930</v>
      </c>
      <c r="E10" s="112">
        <f t="shared" si="0"/>
        <v>2715300</v>
      </c>
      <c r="F10" s="110" t="s">
        <v>132</v>
      </c>
      <c r="G10" s="71" t="s">
        <v>133</v>
      </c>
      <c r="I10" s="117" t="s">
        <v>65</v>
      </c>
      <c r="J10" s="110">
        <f>C19+C31</f>
        <v>23</v>
      </c>
      <c r="K10" s="112">
        <f>E19+E31</f>
        <v>264030</v>
      </c>
      <c r="L10" s="113">
        <f t="shared" si="1"/>
        <v>1.8884354695143518E-2</v>
      </c>
    </row>
    <row r="11" spans="1:16" ht="14.25" customHeight="1" x14ac:dyDescent="0.2">
      <c r="A11" s="108">
        <v>46210</v>
      </c>
      <c r="B11" s="120" t="s">
        <v>44</v>
      </c>
      <c r="C11" s="110">
        <v>140</v>
      </c>
      <c r="D11" s="111">
        <v>9090</v>
      </c>
      <c r="E11" s="112">
        <f t="shared" si="0"/>
        <v>1272600</v>
      </c>
      <c r="F11" s="110" t="s">
        <v>132</v>
      </c>
      <c r="G11" s="71" t="s">
        <v>133</v>
      </c>
      <c r="I11" s="110" t="s">
        <v>32</v>
      </c>
      <c r="J11" s="110">
        <f>C21</f>
        <v>1</v>
      </c>
      <c r="K11" s="112">
        <f>E21</f>
        <v>16145</v>
      </c>
      <c r="L11" s="113">
        <f t="shared" si="1"/>
        <v>1.1547472126390641E-3</v>
      </c>
    </row>
    <row r="12" spans="1:16" ht="14.25" customHeight="1" x14ac:dyDescent="0.2">
      <c r="A12" s="108">
        <v>46210</v>
      </c>
      <c r="B12" s="119" t="s">
        <v>22</v>
      </c>
      <c r="C12" s="110">
        <v>11</v>
      </c>
      <c r="D12" s="111">
        <v>8600</v>
      </c>
      <c r="E12" s="112">
        <f t="shared" si="0"/>
        <v>94600</v>
      </c>
      <c r="F12" s="110" t="s">
        <v>40</v>
      </c>
      <c r="G12" s="71" t="s">
        <v>135</v>
      </c>
      <c r="I12" s="110" t="s">
        <v>87</v>
      </c>
      <c r="J12" s="110">
        <f>C29</f>
        <v>6</v>
      </c>
      <c r="K12" s="112">
        <f>E29</f>
        <v>123240</v>
      </c>
      <c r="L12" s="113">
        <f t="shared" si="1"/>
        <v>8.8145584692250391E-3</v>
      </c>
    </row>
    <row r="13" spans="1:16" ht="14.25" customHeight="1" x14ac:dyDescent="0.2">
      <c r="A13" s="108">
        <v>46210</v>
      </c>
      <c r="B13" s="119" t="s">
        <v>22</v>
      </c>
      <c r="C13" s="110">
        <v>27</v>
      </c>
      <c r="D13" s="111">
        <v>8800</v>
      </c>
      <c r="E13" s="112">
        <f t="shared" si="0"/>
        <v>237600</v>
      </c>
      <c r="F13" s="110" t="s">
        <v>29</v>
      </c>
      <c r="G13" s="71" t="s">
        <v>136</v>
      </c>
      <c r="I13" s="110" t="s">
        <v>100</v>
      </c>
      <c r="J13" s="110">
        <f>C30</f>
        <v>15</v>
      </c>
      <c r="K13" s="112">
        <f>E30</f>
        <v>172200</v>
      </c>
      <c r="L13" s="113">
        <f t="shared" si="1"/>
        <v>1.2316349954564685E-2</v>
      </c>
    </row>
    <row r="14" spans="1:16" ht="14.25" customHeight="1" x14ac:dyDescent="0.2">
      <c r="A14" s="108">
        <v>46210</v>
      </c>
      <c r="B14" s="110" t="s">
        <v>113</v>
      </c>
      <c r="C14" s="110">
        <v>2</v>
      </c>
      <c r="D14" s="111">
        <v>14575</v>
      </c>
      <c r="E14" s="112">
        <f t="shared" si="0"/>
        <v>29150</v>
      </c>
      <c r="F14" s="110" t="s">
        <v>29</v>
      </c>
      <c r="G14" s="71" t="s">
        <v>136</v>
      </c>
      <c r="I14" s="110" t="s">
        <v>101</v>
      </c>
      <c r="J14" s="110">
        <f>C33</f>
        <v>10</v>
      </c>
      <c r="K14" s="112">
        <f>E33</f>
        <v>130200</v>
      </c>
      <c r="L14" s="113">
        <f t="shared" si="1"/>
        <v>9.3123621607684205E-3</v>
      </c>
    </row>
    <row r="15" spans="1:16" ht="14.25" customHeight="1" x14ac:dyDescent="0.2">
      <c r="A15" s="108">
        <v>46210</v>
      </c>
      <c r="B15" s="120" t="s">
        <v>44</v>
      </c>
      <c r="C15" s="110">
        <v>5</v>
      </c>
      <c r="D15" s="111">
        <v>9200</v>
      </c>
      <c r="E15" s="112">
        <f t="shared" si="0"/>
        <v>46000</v>
      </c>
      <c r="F15" s="110" t="s">
        <v>29</v>
      </c>
      <c r="G15" s="71" t="s">
        <v>136</v>
      </c>
      <c r="I15" s="110" t="s">
        <v>141</v>
      </c>
      <c r="J15" s="110">
        <f>C35</f>
        <v>3</v>
      </c>
      <c r="K15" s="112">
        <f>E35</f>
        <v>42435</v>
      </c>
      <c r="L15" s="113">
        <f t="shared" si="1"/>
        <v>3.0351005245177259E-3</v>
      </c>
    </row>
    <row r="16" spans="1:16" ht="14.25" customHeight="1" x14ac:dyDescent="0.2">
      <c r="A16" s="108">
        <v>46210</v>
      </c>
      <c r="B16" s="114" t="s">
        <v>37</v>
      </c>
      <c r="C16" s="110">
        <v>5</v>
      </c>
      <c r="D16" s="111">
        <v>8880</v>
      </c>
      <c r="E16" s="112">
        <f t="shared" si="0"/>
        <v>44400</v>
      </c>
      <c r="F16" s="110" t="s">
        <v>29</v>
      </c>
      <c r="G16" s="71" t="s">
        <v>136</v>
      </c>
      <c r="I16" s="110" t="s">
        <v>768</v>
      </c>
      <c r="J16" s="110">
        <f>SUM(J2:J15)</f>
        <v>1685</v>
      </c>
      <c r="K16" s="112">
        <f>SUM(K2:K15)</f>
        <v>13981415</v>
      </c>
      <c r="L16" s="113">
        <f t="shared" si="1"/>
        <v>1</v>
      </c>
    </row>
    <row r="17" spans="1:12" ht="14.25" customHeight="1" x14ac:dyDescent="0.2">
      <c r="A17" s="108">
        <v>46210</v>
      </c>
      <c r="B17" s="121" t="s">
        <v>24</v>
      </c>
      <c r="C17" s="110">
        <v>30</v>
      </c>
      <c r="D17" s="111">
        <v>4900</v>
      </c>
      <c r="E17" s="112">
        <f t="shared" si="0"/>
        <v>147000</v>
      </c>
      <c r="F17" s="110" t="s">
        <v>29</v>
      </c>
      <c r="G17" s="71" t="s">
        <v>136</v>
      </c>
    </row>
    <row r="18" spans="1:12" ht="25.5" customHeight="1" x14ac:dyDescent="0.2">
      <c r="A18" s="108">
        <v>46210</v>
      </c>
      <c r="B18" s="116" t="s">
        <v>27</v>
      </c>
      <c r="C18" s="110">
        <v>15</v>
      </c>
      <c r="D18" s="111">
        <v>8020</v>
      </c>
      <c r="E18" s="112">
        <f t="shared" si="0"/>
        <v>120300</v>
      </c>
      <c r="F18" s="110" t="s">
        <v>29</v>
      </c>
      <c r="G18" s="71" t="s">
        <v>136</v>
      </c>
      <c r="I18" s="107" t="s">
        <v>758</v>
      </c>
      <c r="J18" s="107" t="s">
        <v>757</v>
      </c>
      <c r="K18" s="107" t="s">
        <v>762</v>
      </c>
      <c r="L18" s="107" t="s">
        <v>769</v>
      </c>
    </row>
    <row r="19" spans="1:12" ht="14.25" customHeight="1" x14ac:dyDescent="0.2">
      <c r="A19" s="108">
        <v>46210</v>
      </c>
      <c r="B19" s="117" t="s">
        <v>65</v>
      </c>
      <c r="C19" s="110">
        <v>3</v>
      </c>
      <c r="D19" s="111">
        <v>11910</v>
      </c>
      <c r="E19" s="112">
        <f t="shared" si="0"/>
        <v>35730</v>
      </c>
      <c r="F19" s="110" t="s">
        <v>29</v>
      </c>
      <c r="G19" s="71" t="s">
        <v>136</v>
      </c>
      <c r="I19" s="110" t="s">
        <v>63</v>
      </c>
      <c r="J19" s="112">
        <f>E2+E3</f>
        <v>1654160</v>
      </c>
      <c r="K19" s="113">
        <f t="shared" ref="K19:K32" si="2">J19/J$32</f>
        <v>0.11831134402347689</v>
      </c>
      <c r="L19" s="113">
        <v>2.5600000000000001E-2</v>
      </c>
    </row>
    <row r="20" spans="1:12" ht="14.25" customHeight="1" x14ac:dyDescent="0.2">
      <c r="A20" s="108">
        <v>46210</v>
      </c>
      <c r="B20" s="122" t="s">
        <v>31</v>
      </c>
      <c r="C20" s="110">
        <v>1</v>
      </c>
      <c r="D20" s="111">
        <v>17100</v>
      </c>
      <c r="E20" s="112">
        <f t="shared" si="0"/>
        <v>17100</v>
      </c>
      <c r="F20" s="110" t="s">
        <v>29</v>
      </c>
      <c r="G20" s="71" t="s">
        <v>136</v>
      </c>
      <c r="I20" s="110" t="s">
        <v>125</v>
      </c>
      <c r="J20" s="112">
        <f>E4</f>
        <v>612000</v>
      </c>
      <c r="K20" s="113">
        <f t="shared" si="2"/>
        <v>4.3772393566745567E-2</v>
      </c>
      <c r="L20" s="113">
        <v>-1.9599999999999999E-2</v>
      </c>
    </row>
    <row r="21" spans="1:12" ht="14.25" customHeight="1" x14ac:dyDescent="0.2">
      <c r="A21" s="108">
        <v>46210</v>
      </c>
      <c r="B21" s="110" t="s">
        <v>32</v>
      </c>
      <c r="C21" s="110">
        <v>1</v>
      </c>
      <c r="D21" s="111">
        <v>16145</v>
      </c>
      <c r="E21" s="112">
        <f t="shared" si="0"/>
        <v>16145</v>
      </c>
      <c r="F21" s="110" t="s">
        <v>29</v>
      </c>
      <c r="G21" s="71" t="s">
        <v>136</v>
      </c>
      <c r="I21" s="110" t="s">
        <v>127</v>
      </c>
      <c r="J21" s="112">
        <f>E5</f>
        <v>1237500</v>
      </c>
      <c r="K21" s="113">
        <f t="shared" si="2"/>
        <v>8.8510354638639932E-2</v>
      </c>
      <c r="L21" s="113">
        <v>-5.0500000000000003E-2</v>
      </c>
    </row>
    <row r="22" spans="1:12" ht="14.25" customHeight="1" x14ac:dyDescent="0.2">
      <c r="A22" s="108">
        <v>46210</v>
      </c>
      <c r="B22" s="121" t="s">
        <v>24</v>
      </c>
      <c r="C22" s="110">
        <v>202</v>
      </c>
      <c r="D22" s="111">
        <v>5000</v>
      </c>
      <c r="E22" s="112">
        <f t="shared" si="0"/>
        <v>1010000</v>
      </c>
      <c r="F22" s="110" t="s">
        <v>59</v>
      </c>
      <c r="G22" s="71" t="s">
        <v>137</v>
      </c>
      <c r="I22" s="110" t="s">
        <v>50</v>
      </c>
      <c r="J22" s="112">
        <f>E6</f>
        <v>172000</v>
      </c>
      <c r="K22" s="113">
        <f t="shared" si="2"/>
        <v>1.2302045250784703E-2</v>
      </c>
      <c r="L22" s="113">
        <v>5.7999999999999996E-3</v>
      </c>
    </row>
    <row r="23" spans="1:12" ht="14.25" customHeight="1" x14ac:dyDescent="0.2">
      <c r="A23" s="108">
        <v>46210</v>
      </c>
      <c r="B23" s="116" t="s">
        <v>27</v>
      </c>
      <c r="C23" s="110">
        <v>20</v>
      </c>
      <c r="D23" s="111">
        <v>8020</v>
      </c>
      <c r="E23" s="112">
        <f t="shared" si="0"/>
        <v>160400</v>
      </c>
      <c r="F23" s="110" t="s">
        <v>59</v>
      </c>
      <c r="G23" s="71" t="s">
        <v>137</v>
      </c>
      <c r="I23" s="110" t="s">
        <v>25</v>
      </c>
      <c r="J23" s="112">
        <f>E7+E8+E9</f>
        <v>548695</v>
      </c>
      <c r="K23" s="113">
        <f t="shared" si="2"/>
        <v>3.9244597202786696E-2</v>
      </c>
      <c r="L23" s="113">
        <v>4.9099999999999998E-2</v>
      </c>
    </row>
    <row r="24" spans="1:12" ht="14.25" customHeight="1" x14ac:dyDescent="0.2">
      <c r="A24" s="108">
        <v>46210</v>
      </c>
      <c r="B24" s="115" t="s">
        <v>45</v>
      </c>
      <c r="C24" s="110">
        <v>30</v>
      </c>
      <c r="D24" s="111">
        <v>12930</v>
      </c>
      <c r="E24" s="112">
        <f t="shared" si="0"/>
        <v>387900</v>
      </c>
      <c r="F24" s="110" t="s">
        <v>78</v>
      </c>
      <c r="G24" s="71" t="s">
        <v>138</v>
      </c>
      <c r="I24" s="110" t="s">
        <v>132</v>
      </c>
      <c r="J24" s="112">
        <f>E10+E11</f>
        <v>3987900</v>
      </c>
      <c r="K24" s="113">
        <f t="shared" si="2"/>
        <v>0.2852286410209553</v>
      </c>
      <c r="L24" s="113">
        <v>1.1599999999999999E-2</v>
      </c>
    </row>
    <row r="25" spans="1:12" ht="14.25" customHeight="1" x14ac:dyDescent="0.2">
      <c r="A25" s="108">
        <v>46210</v>
      </c>
      <c r="B25" s="114" t="s">
        <v>37</v>
      </c>
      <c r="C25" s="110">
        <v>10</v>
      </c>
      <c r="D25" s="111">
        <v>8800</v>
      </c>
      <c r="E25" s="112">
        <f t="shared" si="0"/>
        <v>88000</v>
      </c>
      <c r="F25" s="110" t="s">
        <v>78</v>
      </c>
      <c r="G25" s="71" t="s">
        <v>138</v>
      </c>
      <c r="I25" s="110" t="s">
        <v>40</v>
      </c>
      <c r="J25" s="112">
        <f>E12</f>
        <v>94600</v>
      </c>
      <c r="K25" s="113">
        <f t="shared" si="2"/>
        <v>6.766124887931586E-3</v>
      </c>
      <c r="L25" s="113">
        <v>-3.7000000000000002E-3</v>
      </c>
    </row>
    <row r="26" spans="1:12" ht="14.25" customHeight="1" x14ac:dyDescent="0.2">
      <c r="A26" s="108">
        <v>46210</v>
      </c>
      <c r="B26" s="120" t="s">
        <v>44</v>
      </c>
      <c r="C26" s="110">
        <v>20</v>
      </c>
      <c r="D26" s="111">
        <v>9100</v>
      </c>
      <c r="E26" s="112">
        <f t="shared" si="0"/>
        <v>182000</v>
      </c>
      <c r="F26" s="110" t="s">
        <v>78</v>
      </c>
      <c r="G26" s="71" t="s">
        <v>138</v>
      </c>
      <c r="I26" s="110" t="s">
        <v>29</v>
      </c>
      <c r="J26" s="112">
        <f>E13+E14+E15+E16+E17+E18+E19+E20+E21+E36</f>
        <v>711185</v>
      </c>
      <c r="K26" s="113">
        <f t="shared" si="2"/>
        <v>5.0866453788833248E-2</v>
      </c>
      <c r="L26" s="113">
        <v>8.8000000000000005E-3</v>
      </c>
    </row>
    <row r="27" spans="1:12" ht="14.25" customHeight="1" x14ac:dyDescent="0.2">
      <c r="A27" s="108">
        <v>46210</v>
      </c>
      <c r="B27" s="119" t="s">
        <v>22</v>
      </c>
      <c r="C27" s="110">
        <v>200</v>
      </c>
      <c r="D27" s="111">
        <v>8600</v>
      </c>
      <c r="E27" s="112">
        <f t="shared" si="0"/>
        <v>1720000</v>
      </c>
      <c r="F27" s="110" t="s">
        <v>139</v>
      </c>
      <c r="G27" s="71" t="s">
        <v>140</v>
      </c>
      <c r="I27" s="110" t="s">
        <v>59</v>
      </c>
      <c r="J27" s="112">
        <f>E22+E23</f>
        <v>1170400</v>
      </c>
      <c r="K27" s="113">
        <f t="shared" si="2"/>
        <v>8.3711126520455911E-2</v>
      </c>
      <c r="L27" s="113">
        <v>-2.8799999999999999E-2</v>
      </c>
    </row>
    <row r="28" spans="1:12" ht="14.25" customHeight="1" x14ac:dyDescent="0.2">
      <c r="A28" s="108">
        <v>46210</v>
      </c>
      <c r="B28" s="114" t="s">
        <v>37</v>
      </c>
      <c r="C28" s="110">
        <v>40</v>
      </c>
      <c r="D28" s="111">
        <v>8800</v>
      </c>
      <c r="E28" s="112">
        <f t="shared" si="0"/>
        <v>352000</v>
      </c>
      <c r="F28" s="110" t="s">
        <v>139</v>
      </c>
      <c r="G28" s="71" t="s">
        <v>140</v>
      </c>
      <c r="I28" s="110" t="s">
        <v>78</v>
      </c>
      <c r="J28" s="112">
        <f>E24+E25+E26</f>
        <v>657900</v>
      </c>
      <c r="K28" s="113">
        <f t="shared" si="2"/>
        <v>4.7055323084251484E-2</v>
      </c>
      <c r="L28" s="113">
        <v>1.3899999999999999E-2</v>
      </c>
    </row>
    <row r="29" spans="1:12" ht="14.25" customHeight="1" x14ac:dyDescent="0.2">
      <c r="A29" s="108">
        <v>46210</v>
      </c>
      <c r="B29" s="110" t="s">
        <v>87</v>
      </c>
      <c r="C29" s="110">
        <v>6</v>
      </c>
      <c r="D29" s="111">
        <v>20540</v>
      </c>
      <c r="E29" s="112">
        <f t="shared" si="0"/>
        <v>123240</v>
      </c>
      <c r="F29" s="110" t="s">
        <v>139</v>
      </c>
      <c r="G29" s="71" t="s">
        <v>140</v>
      </c>
      <c r="I29" s="110" t="s">
        <v>139</v>
      </c>
      <c r="J29" s="112">
        <f>E27+E28+E29+E30+E31+E32+E33+E34+E35</f>
        <v>2969375</v>
      </c>
      <c r="K29" s="113">
        <f t="shared" si="2"/>
        <v>0.21238014893342341</v>
      </c>
      <c r="L29" s="113">
        <v>4.9200000000000001E-2</v>
      </c>
    </row>
    <row r="30" spans="1:12" ht="14.25" customHeight="1" x14ac:dyDescent="0.2">
      <c r="A30" s="108">
        <v>46210</v>
      </c>
      <c r="B30" s="110" t="s">
        <v>100</v>
      </c>
      <c r="C30" s="110">
        <v>15</v>
      </c>
      <c r="D30" s="111">
        <v>11480</v>
      </c>
      <c r="E30" s="112">
        <f t="shared" si="0"/>
        <v>172200</v>
      </c>
      <c r="F30" s="110" t="s">
        <v>139</v>
      </c>
      <c r="G30" s="71" t="s">
        <v>140</v>
      </c>
      <c r="I30" s="110" t="s">
        <v>95</v>
      </c>
      <c r="J30" s="112">
        <f>E37</f>
        <v>160400</v>
      </c>
      <c r="K30" s="113">
        <f t="shared" si="2"/>
        <v>1.1472372431545735E-2</v>
      </c>
      <c r="L30" s="113">
        <v>4.1799999999999997E-2</v>
      </c>
    </row>
    <row r="31" spans="1:12" ht="14.25" customHeight="1" x14ac:dyDescent="0.2">
      <c r="A31" s="108">
        <v>46210</v>
      </c>
      <c r="B31" s="117" t="s">
        <v>65</v>
      </c>
      <c r="C31" s="110">
        <v>20</v>
      </c>
      <c r="D31" s="111">
        <v>11415</v>
      </c>
      <c r="E31" s="112">
        <f t="shared" si="0"/>
        <v>228300</v>
      </c>
      <c r="F31" s="110" t="s">
        <v>139</v>
      </c>
      <c r="G31" s="71" t="s">
        <v>140</v>
      </c>
      <c r="I31" s="110" t="s">
        <v>15</v>
      </c>
      <c r="J31" s="112">
        <f>E38</f>
        <v>5300</v>
      </c>
      <c r="K31" s="113">
        <f t="shared" si="2"/>
        <v>3.7907465016952864E-4</v>
      </c>
      <c r="L31" s="113">
        <v>1.89E-2</v>
      </c>
    </row>
    <row r="32" spans="1:12" ht="14.25" customHeight="1" x14ac:dyDescent="0.2">
      <c r="A32" s="108">
        <v>46210</v>
      </c>
      <c r="B32" s="120" t="s">
        <v>44</v>
      </c>
      <c r="C32" s="110">
        <v>15</v>
      </c>
      <c r="D32" s="111">
        <v>9090</v>
      </c>
      <c r="E32" s="112">
        <f t="shared" si="0"/>
        <v>136350</v>
      </c>
      <c r="F32" s="110" t="s">
        <v>139</v>
      </c>
      <c r="G32" s="71" t="s">
        <v>140</v>
      </c>
      <c r="I32" s="110" t="s">
        <v>770</v>
      </c>
      <c r="J32" s="112">
        <f>SUM(J19:J31)</f>
        <v>13981415</v>
      </c>
      <c r="K32" s="113">
        <f t="shared" si="2"/>
        <v>1</v>
      </c>
      <c r="L32" s="72"/>
    </row>
    <row r="33" spans="1:11" ht="14.25" customHeight="1" x14ac:dyDescent="0.2">
      <c r="A33" s="108">
        <v>46210</v>
      </c>
      <c r="B33" s="110" t="s">
        <v>101</v>
      </c>
      <c r="C33" s="110">
        <v>10</v>
      </c>
      <c r="D33" s="111">
        <v>13020</v>
      </c>
      <c r="E33" s="112">
        <f t="shared" si="0"/>
        <v>130200</v>
      </c>
      <c r="F33" s="110" t="s">
        <v>139</v>
      </c>
      <c r="G33" s="71" t="s">
        <v>140</v>
      </c>
    </row>
    <row r="34" spans="1:11" ht="25.5" customHeight="1" x14ac:dyDescent="0.2">
      <c r="A34" s="108">
        <v>46210</v>
      </c>
      <c r="B34" s="115" t="s">
        <v>45</v>
      </c>
      <c r="C34" s="110">
        <v>5</v>
      </c>
      <c r="D34" s="111">
        <v>12930</v>
      </c>
      <c r="E34" s="112">
        <f t="shared" si="0"/>
        <v>64650</v>
      </c>
      <c r="F34" s="110" t="s">
        <v>139</v>
      </c>
      <c r="G34" s="71" t="s">
        <v>140</v>
      </c>
      <c r="I34" s="107" t="s">
        <v>759</v>
      </c>
      <c r="J34" s="107" t="s">
        <v>757</v>
      </c>
      <c r="K34" s="107" t="s">
        <v>769</v>
      </c>
    </row>
    <row r="35" spans="1:11" ht="14.25" customHeight="1" x14ac:dyDescent="0.2">
      <c r="A35" s="108">
        <v>46210</v>
      </c>
      <c r="B35" s="110" t="s">
        <v>141</v>
      </c>
      <c r="C35" s="110">
        <v>3</v>
      </c>
      <c r="D35" s="111">
        <v>14145</v>
      </c>
      <c r="E35" s="112">
        <f t="shared" si="0"/>
        <v>42435</v>
      </c>
      <c r="F35" s="110" t="s">
        <v>139</v>
      </c>
      <c r="G35" s="71" t="s">
        <v>140</v>
      </c>
      <c r="I35" s="118" t="s">
        <v>124</v>
      </c>
      <c r="J35" s="112">
        <v>1930160</v>
      </c>
      <c r="K35" s="113">
        <v>0.03</v>
      </c>
    </row>
    <row r="36" spans="1:11" ht="14.25" customHeight="1" x14ac:dyDescent="0.2">
      <c r="A36" s="108">
        <v>46210</v>
      </c>
      <c r="B36" s="114" t="s">
        <v>37</v>
      </c>
      <c r="C36" s="110">
        <v>2</v>
      </c>
      <c r="D36" s="111">
        <v>8880</v>
      </c>
      <c r="E36" s="112">
        <f t="shared" si="0"/>
        <v>17760</v>
      </c>
      <c r="F36" s="110" t="s">
        <v>29</v>
      </c>
      <c r="G36" s="71" t="s">
        <v>142</v>
      </c>
      <c r="I36" s="118" t="s">
        <v>126</v>
      </c>
      <c r="J36" s="112">
        <v>612000</v>
      </c>
      <c r="K36" s="113">
        <v>-0.02</v>
      </c>
    </row>
    <row r="37" spans="1:11" ht="14.25" customHeight="1" x14ac:dyDescent="0.2">
      <c r="A37" s="108">
        <v>46210</v>
      </c>
      <c r="B37" s="116" t="s">
        <v>27</v>
      </c>
      <c r="C37" s="110">
        <v>20</v>
      </c>
      <c r="D37" s="111">
        <v>8020</v>
      </c>
      <c r="E37" s="112">
        <f t="shared" si="0"/>
        <v>160400</v>
      </c>
      <c r="F37" s="110" t="s">
        <v>95</v>
      </c>
      <c r="G37" s="71" t="s">
        <v>143</v>
      </c>
      <c r="I37" s="118" t="s">
        <v>128</v>
      </c>
      <c r="J37" s="112">
        <v>1237500</v>
      </c>
      <c r="K37" s="113">
        <v>-0.05</v>
      </c>
    </row>
    <row r="38" spans="1:11" ht="14.25" customHeight="1" x14ac:dyDescent="0.2">
      <c r="A38" s="108">
        <v>46210</v>
      </c>
      <c r="B38" s="121" t="s">
        <v>24</v>
      </c>
      <c r="C38" s="110">
        <v>1</v>
      </c>
      <c r="D38" s="111">
        <v>5300</v>
      </c>
      <c r="E38" s="112">
        <f t="shared" si="0"/>
        <v>5300</v>
      </c>
      <c r="F38" s="110" t="s">
        <v>15</v>
      </c>
      <c r="G38" s="71" t="s">
        <v>144</v>
      </c>
      <c r="I38" s="118" t="s">
        <v>130</v>
      </c>
      <c r="J38" s="112">
        <v>172000</v>
      </c>
      <c r="K38" s="113">
        <v>0.01</v>
      </c>
    </row>
    <row r="39" spans="1:11" ht="14.25" customHeight="1" x14ac:dyDescent="0.2">
      <c r="A39" s="72"/>
      <c r="B39" s="110" t="s">
        <v>768</v>
      </c>
      <c r="C39" s="110">
        <f>SUM(C2:C38)</f>
        <v>1685</v>
      </c>
      <c r="D39" s="110">
        <f>SUM(D2:D38)</f>
        <v>383185</v>
      </c>
      <c r="E39" s="112">
        <f>SUM(E2:E38)</f>
        <v>13981415</v>
      </c>
      <c r="F39" s="72"/>
      <c r="G39" s="72"/>
      <c r="I39" s="118" t="s">
        <v>131</v>
      </c>
      <c r="J39" s="112">
        <v>626695</v>
      </c>
      <c r="K39" s="113">
        <v>0.05</v>
      </c>
    </row>
    <row r="40" spans="1:11" ht="14.25" customHeight="1" x14ac:dyDescent="0.2">
      <c r="I40" s="118" t="s">
        <v>133</v>
      </c>
      <c r="J40" s="112">
        <v>4512900</v>
      </c>
      <c r="K40" s="113">
        <v>0.01</v>
      </c>
    </row>
    <row r="41" spans="1:11" ht="14.25" customHeight="1" x14ac:dyDescent="0.2">
      <c r="I41" s="118" t="s">
        <v>135</v>
      </c>
      <c r="J41" s="112">
        <v>111100</v>
      </c>
      <c r="K41" s="113">
        <v>0</v>
      </c>
    </row>
    <row r="42" spans="1:11" ht="14.25" customHeight="1" x14ac:dyDescent="0.2">
      <c r="I42" s="118" t="s">
        <v>136</v>
      </c>
      <c r="J42" s="112">
        <v>756425</v>
      </c>
      <c r="K42" s="113">
        <v>0.01</v>
      </c>
    </row>
    <row r="43" spans="1:11" ht="14.25" customHeight="1" x14ac:dyDescent="0.2">
      <c r="I43" s="118" t="s">
        <v>137</v>
      </c>
      <c r="J43" s="112">
        <v>1170400</v>
      </c>
      <c r="K43" s="113">
        <v>-0.03</v>
      </c>
    </row>
    <row r="44" spans="1:11" ht="14.25" customHeight="1" x14ac:dyDescent="0.2">
      <c r="I44" s="118" t="s">
        <v>138</v>
      </c>
      <c r="J44" s="112">
        <v>747900</v>
      </c>
      <c r="K44" s="113">
        <v>0.01</v>
      </c>
    </row>
    <row r="45" spans="1:11" ht="14.25" customHeight="1" x14ac:dyDescent="0.2">
      <c r="I45" s="118" t="s">
        <v>140</v>
      </c>
      <c r="J45" s="112">
        <v>3597375</v>
      </c>
      <c r="K45" s="113">
        <v>0.05</v>
      </c>
    </row>
    <row r="46" spans="1:11" ht="14.25" customHeight="1" x14ac:dyDescent="0.2">
      <c r="I46" s="118" t="s">
        <v>142</v>
      </c>
      <c r="J46" s="112">
        <v>17760</v>
      </c>
      <c r="K46" s="113">
        <v>0.04</v>
      </c>
    </row>
    <row r="47" spans="1:11" ht="14.25" customHeight="1" x14ac:dyDescent="0.2">
      <c r="I47" s="118" t="s">
        <v>143</v>
      </c>
      <c r="J47" s="112">
        <v>160400</v>
      </c>
      <c r="K47" s="113">
        <v>0.04</v>
      </c>
    </row>
    <row r="48" spans="1:11" ht="14.25" customHeight="1" x14ac:dyDescent="0.2">
      <c r="I48" s="118" t="s">
        <v>144</v>
      </c>
      <c r="J48" s="112">
        <v>5300</v>
      </c>
      <c r="K48" s="113">
        <v>0.02</v>
      </c>
    </row>
    <row r="49" spans="9:11" ht="14.25" customHeight="1" x14ac:dyDescent="0.2">
      <c r="I49" s="110" t="s">
        <v>770</v>
      </c>
      <c r="J49" s="112">
        <f>SUM(J35:J48)</f>
        <v>15657915</v>
      </c>
      <c r="K49" s="72"/>
    </row>
  </sheetData>
  <hyperlinks>
    <hyperlink ref="G2" r:id="rId1" xr:uid="{00000000-0004-0000-0A00-000000000000}"/>
    <hyperlink ref="G3" r:id="rId2" xr:uid="{00000000-0004-0000-0A00-000001000000}"/>
    <hyperlink ref="G4" r:id="rId3" xr:uid="{00000000-0004-0000-0A00-000002000000}"/>
    <hyperlink ref="G5" r:id="rId4" xr:uid="{00000000-0004-0000-0A00-000003000000}"/>
    <hyperlink ref="G6" r:id="rId5" xr:uid="{00000000-0004-0000-0A00-000004000000}"/>
    <hyperlink ref="G7" r:id="rId6" xr:uid="{00000000-0004-0000-0A00-000005000000}"/>
    <hyperlink ref="G8" r:id="rId7" xr:uid="{00000000-0004-0000-0A00-000006000000}"/>
    <hyperlink ref="G9" r:id="rId8" xr:uid="{00000000-0004-0000-0A00-000007000000}"/>
    <hyperlink ref="G10" r:id="rId9" xr:uid="{00000000-0004-0000-0A00-000008000000}"/>
    <hyperlink ref="G11" r:id="rId10" xr:uid="{00000000-0004-0000-0A00-000009000000}"/>
    <hyperlink ref="G12" r:id="rId11" xr:uid="{00000000-0004-0000-0A00-00000A000000}"/>
    <hyperlink ref="G13" r:id="rId12" xr:uid="{00000000-0004-0000-0A00-00000B000000}"/>
    <hyperlink ref="G14" r:id="rId13" xr:uid="{00000000-0004-0000-0A00-00000C000000}"/>
    <hyperlink ref="G15" r:id="rId14" xr:uid="{00000000-0004-0000-0A00-00000D000000}"/>
    <hyperlink ref="G16" r:id="rId15" xr:uid="{00000000-0004-0000-0A00-00000E000000}"/>
    <hyperlink ref="G17" r:id="rId16" xr:uid="{00000000-0004-0000-0A00-00000F000000}"/>
    <hyperlink ref="G18" r:id="rId17" xr:uid="{00000000-0004-0000-0A00-000010000000}"/>
    <hyperlink ref="G19" r:id="rId18" xr:uid="{00000000-0004-0000-0A00-000011000000}"/>
    <hyperlink ref="G20" r:id="rId19" xr:uid="{00000000-0004-0000-0A00-000012000000}"/>
    <hyperlink ref="G21" r:id="rId20" xr:uid="{00000000-0004-0000-0A00-000013000000}"/>
    <hyperlink ref="G22" r:id="rId21" xr:uid="{00000000-0004-0000-0A00-000014000000}"/>
    <hyperlink ref="G23" r:id="rId22" xr:uid="{00000000-0004-0000-0A00-000015000000}"/>
    <hyperlink ref="G24" r:id="rId23" xr:uid="{00000000-0004-0000-0A00-000016000000}"/>
    <hyperlink ref="G25" r:id="rId24" xr:uid="{00000000-0004-0000-0A00-000017000000}"/>
    <hyperlink ref="G26" r:id="rId25" xr:uid="{00000000-0004-0000-0A00-000018000000}"/>
    <hyperlink ref="G27" r:id="rId26" xr:uid="{00000000-0004-0000-0A00-000019000000}"/>
    <hyperlink ref="G28" r:id="rId27" xr:uid="{00000000-0004-0000-0A00-00001A000000}"/>
    <hyperlink ref="G29" r:id="rId28" xr:uid="{00000000-0004-0000-0A00-00001B000000}"/>
    <hyperlink ref="G30" r:id="rId29" xr:uid="{00000000-0004-0000-0A00-00001C000000}"/>
    <hyperlink ref="G31" r:id="rId30" xr:uid="{00000000-0004-0000-0A00-00001D000000}"/>
    <hyperlink ref="G32" r:id="rId31" xr:uid="{00000000-0004-0000-0A00-00001E000000}"/>
    <hyperlink ref="G33" r:id="rId32" xr:uid="{00000000-0004-0000-0A00-00001F000000}"/>
    <hyperlink ref="G34" r:id="rId33" xr:uid="{00000000-0004-0000-0A00-000020000000}"/>
    <hyperlink ref="G35" r:id="rId34" xr:uid="{00000000-0004-0000-0A00-000021000000}"/>
    <hyperlink ref="I35" r:id="rId35" xr:uid="{00000000-0004-0000-0A00-000022000000}"/>
    <hyperlink ref="G36" r:id="rId36" xr:uid="{00000000-0004-0000-0A00-000023000000}"/>
    <hyperlink ref="I36" r:id="rId37" xr:uid="{00000000-0004-0000-0A00-000024000000}"/>
    <hyperlink ref="G37" r:id="rId38" xr:uid="{00000000-0004-0000-0A00-000025000000}"/>
    <hyperlink ref="I37" r:id="rId39" xr:uid="{00000000-0004-0000-0A00-000026000000}"/>
    <hyperlink ref="G38" r:id="rId40" xr:uid="{00000000-0004-0000-0A00-000027000000}"/>
    <hyperlink ref="I38" r:id="rId41" xr:uid="{00000000-0004-0000-0A00-000028000000}"/>
    <hyperlink ref="I39" r:id="rId42" xr:uid="{00000000-0004-0000-0A00-000029000000}"/>
    <hyperlink ref="I40" r:id="rId43" xr:uid="{00000000-0004-0000-0A00-00002A000000}"/>
    <hyperlink ref="I41" r:id="rId44" xr:uid="{00000000-0004-0000-0A00-00002B000000}"/>
    <hyperlink ref="I42" r:id="rId45" xr:uid="{00000000-0004-0000-0A00-00002C000000}"/>
    <hyperlink ref="I43" r:id="rId46" xr:uid="{00000000-0004-0000-0A00-00002D000000}"/>
    <hyperlink ref="I44" r:id="rId47" xr:uid="{00000000-0004-0000-0A00-00002E000000}"/>
    <hyperlink ref="I45" r:id="rId48" xr:uid="{00000000-0004-0000-0A00-00002F000000}"/>
    <hyperlink ref="I46" r:id="rId49" xr:uid="{00000000-0004-0000-0A00-000030000000}"/>
    <hyperlink ref="I47" r:id="rId50" xr:uid="{00000000-0004-0000-0A00-000031000000}"/>
    <hyperlink ref="I48" r:id="rId51" xr:uid="{00000000-0004-0000-0A00-000032000000}"/>
  </hyperlinks>
  <pageMargins left="0.75" right="0.75" top="1" bottom="1" header="0.511811023622047" footer="0.511811023622047"/>
  <pageSetup paperSize="9" orientation="portrait" horizontalDpi="300" verticalDpi="300"/>
  <drawing r:id="rId5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8"/>
  <sheetViews>
    <sheetView zoomScaleNormal="100" workbookViewId="0"/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23">
        <v>46211</v>
      </c>
      <c r="B2" s="124" t="s">
        <v>45</v>
      </c>
      <c r="C2" s="124">
        <v>5</v>
      </c>
      <c r="D2" s="124">
        <v>13335</v>
      </c>
      <c r="E2" s="125">
        <f t="shared" ref="E2:E43" si="0">C2*D2</f>
        <v>66675</v>
      </c>
      <c r="F2" s="124" t="s">
        <v>145</v>
      </c>
      <c r="G2" s="124" t="s">
        <v>146</v>
      </c>
      <c r="I2" s="124" t="s">
        <v>45</v>
      </c>
      <c r="J2" s="124">
        <f>C2+C12+C16+C24+C37</f>
        <v>137</v>
      </c>
      <c r="K2" s="125">
        <f>E2+E12+E16+E24+E37</f>
        <v>1774245</v>
      </c>
      <c r="L2" s="126">
        <f t="shared" ref="L2:L22" si="1">K2/K$22</f>
        <v>0.22243067865837912</v>
      </c>
      <c r="N2" s="125">
        <f>K22</f>
        <v>7976620</v>
      </c>
      <c r="O2" s="124">
        <f>J22</f>
        <v>844</v>
      </c>
      <c r="P2" s="124">
        <f>COUNT(J2:J21)</f>
        <v>20</v>
      </c>
    </row>
    <row r="3" spans="1:16" ht="14.25" customHeight="1" x14ac:dyDescent="0.2">
      <c r="A3" s="123">
        <v>46211</v>
      </c>
      <c r="B3" s="124" t="s">
        <v>87</v>
      </c>
      <c r="C3" s="124">
        <v>5</v>
      </c>
      <c r="D3" s="124">
        <v>21485</v>
      </c>
      <c r="E3" s="125">
        <f t="shared" si="0"/>
        <v>107425</v>
      </c>
      <c r="F3" s="124" t="s">
        <v>145</v>
      </c>
      <c r="G3" s="124" t="s">
        <v>146</v>
      </c>
      <c r="I3" s="124" t="s">
        <v>87</v>
      </c>
      <c r="J3" s="124">
        <f>C3</f>
        <v>5</v>
      </c>
      <c r="K3" s="125">
        <f>E3</f>
        <v>107425</v>
      </c>
      <c r="L3" s="126">
        <f t="shared" si="1"/>
        <v>1.3467483721175134E-2</v>
      </c>
    </row>
    <row r="4" spans="1:16" ht="14.25" customHeight="1" x14ac:dyDescent="0.2">
      <c r="A4" s="123">
        <v>46211</v>
      </c>
      <c r="B4" s="124" t="s">
        <v>65</v>
      </c>
      <c r="C4" s="124">
        <v>5</v>
      </c>
      <c r="D4" s="124">
        <v>11910</v>
      </c>
      <c r="E4" s="125">
        <f t="shared" si="0"/>
        <v>59550</v>
      </c>
      <c r="F4" s="124" t="s">
        <v>145</v>
      </c>
      <c r="G4" s="124" t="s">
        <v>146</v>
      </c>
      <c r="I4" s="124" t="s">
        <v>65</v>
      </c>
      <c r="J4" s="124">
        <f>C4+C14+C25+C38</f>
        <v>19</v>
      </c>
      <c r="K4" s="125">
        <f>E4+E14+E25+E38</f>
        <v>226290</v>
      </c>
      <c r="L4" s="126">
        <f t="shared" si="1"/>
        <v>2.8369158866788188E-2</v>
      </c>
    </row>
    <row r="5" spans="1:16" ht="14.25" customHeight="1" x14ac:dyDescent="0.2">
      <c r="A5" s="123">
        <v>46211</v>
      </c>
      <c r="B5" s="124" t="s">
        <v>101</v>
      </c>
      <c r="C5" s="124">
        <v>5</v>
      </c>
      <c r="D5" s="124">
        <v>13550</v>
      </c>
      <c r="E5" s="125">
        <f t="shared" si="0"/>
        <v>67750</v>
      </c>
      <c r="F5" s="124" t="s">
        <v>145</v>
      </c>
      <c r="G5" s="124" t="s">
        <v>146</v>
      </c>
      <c r="I5" s="124" t="s">
        <v>101</v>
      </c>
      <c r="J5" s="124">
        <f>C5+C27</f>
        <v>10</v>
      </c>
      <c r="K5" s="125">
        <f>E5+E27</f>
        <v>135500</v>
      </c>
      <c r="L5" s="126">
        <f t="shared" si="1"/>
        <v>1.6987144931061026E-2</v>
      </c>
    </row>
    <row r="6" spans="1:16" ht="14.25" customHeight="1" x14ac:dyDescent="0.2">
      <c r="A6" s="123">
        <v>46211</v>
      </c>
      <c r="B6" s="124" t="s">
        <v>150</v>
      </c>
      <c r="C6" s="124">
        <v>2</v>
      </c>
      <c r="D6" s="124">
        <v>10315</v>
      </c>
      <c r="E6" s="125">
        <f t="shared" si="0"/>
        <v>20630</v>
      </c>
      <c r="F6" s="124" t="s">
        <v>29</v>
      </c>
      <c r="G6" s="124" t="s">
        <v>149</v>
      </c>
      <c r="I6" s="124" t="s">
        <v>150</v>
      </c>
      <c r="J6" s="124">
        <f>C6+C31</f>
        <v>4</v>
      </c>
      <c r="K6" s="125">
        <f>E6+E31</f>
        <v>41260</v>
      </c>
      <c r="L6" s="126">
        <f t="shared" si="1"/>
        <v>5.1726169731038957E-3</v>
      </c>
    </row>
    <row r="7" spans="1:16" ht="14.25" customHeight="1" x14ac:dyDescent="0.2">
      <c r="A7" s="123">
        <v>46211</v>
      </c>
      <c r="B7" s="124" t="s">
        <v>36</v>
      </c>
      <c r="C7" s="124">
        <v>1</v>
      </c>
      <c r="D7" s="124">
        <v>15525</v>
      </c>
      <c r="E7" s="125">
        <f t="shared" si="0"/>
        <v>15525</v>
      </c>
      <c r="F7" s="124" t="s">
        <v>29</v>
      </c>
      <c r="G7" s="124" t="s">
        <v>149</v>
      </c>
      <c r="I7" s="124" t="s">
        <v>36</v>
      </c>
      <c r="J7" s="124">
        <f>C7+C41</f>
        <v>7</v>
      </c>
      <c r="K7" s="125">
        <f>E7+E41</f>
        <v>108675</v>
      </c>
      <c r="L7" s="126">
        <f t="shared" si="1"/>
        <v>1.3624191700243963E-2</v>
      </c>
    </row>
    <row r="8" spans="1:16" ht="14.25" customHeight="1" x14ac:dyDescent="0.2">
      <c r="A8" s="123">
        <v>46211</v>
      </c>
      <c r="B8" s="124" t="s">
        <v>69</v>
      </c>
      <c r="C8" s="124">
        <v>1</v>
      </c>
      <c r="D8" s="124">
        <v>14450</v>
      </c>
      <c r="E8" s="125">
        <f t="shared" si="0"/>
        <v>14450</v>
      </c>
      <c r="F8" s="124" t="s">
        <v>29</v>
      </c>
      <c r="G8" s="124" t="s">
        <v>149</v>
      </c>
      <c r="I8" s="124" t="s">
        <v>69</v>
      </c>
      <c r="J8" s="124">
        <f>C8+C26+C34</f>
        <v>5</v>
      </c>
      <c r="K8" s="125">
        <f>E8+E26+E34</f>
        <v>72250</v>
      </c>
      <c r="L8" s="126">
        <f t="shared" si="1"/>
        <v>9.0577211901782962E-3</v>
      </c>
    </row>
    <row r="9" spans="1:16" ht="14.25" customHeight="1" x14ac:dyDescent="0.2">
      <c r="A9" s="123">
        <v>46211</v>
      </c>
      <c r="B9" s="124" t="s">
        <v>100</v>
      </c>
      <c r="C9" s="124">
        <v>2</v>
      </c>
      <c r="D9" s="124">
        <v>11480</v>
      </c>
      <c r="E9" s="125">
        <f t="shared" si="0"/>
        <v>22960</v>
      </c>
      <c r="F9" s="124" t="s">
        <v>29</v>
      </c>
      <c r="G9" s="124" t="s">
        <v>149</v>
      </c>
      <c r="I9" s="124" t="s">
        <v>100</v>
      </c>
      <c r="J9" s="124">
        <f>C9</f>
        <v>2</v>
      </c>
      <c r="K9" s="125">
        <f>E9</f>
        <v>22960</v>
      </c>
      <c r="L9" s="126">
        <f t="shared" si="1"/>
        <v>2.8784121595362448E-3</v>
      </c>
    </row>
    <row r="10" spans="1:16" ht="14.25" customHeight="1" x14ac:dyDescent="0.2">
      <c r="A10" s="123">
        <v>46211</v>
      </c>
      <c r="B10" s="124" t="s">
        <v>31</v>
      </c>
      <c r="C10" s="124">
        <v>20</v>
      </c>
      <c r="D10" s="124">
        <v>17100</v>
      </c>
      <c r="E10" s="125">
        <f t="shared" si="0"/>
        <v>342000</v>
      </c>
      <c r="F10" s="124" t="s">
        <v>29</v>
      </c>
      <c r="G10" s="124" t="s">
        <v>151</v>
      </c>
      <c r="I10" s="124" t="s">
        <v>31</v>
      </c>
      <c r="J10" s="124">
        <f>C10+C29</f>
        <v>25</v>
      </c>
      <c r="K10" s="125">
        <f>E10+E29</f>
        <v>431225</v>
      </c>
      <c r="L10" s="126">
        <f t="shared" si="1"/>
        <v>5.406111861916451E-2</v>
      </c>
    </row>
    <row r="11" spans="1:16" ht="14.25" customHeight="1" x14ac:dyDescent="0.2">
      <c r="A11" s="123">
        <v>46211</v>
      </c>
      <c r="B11" s="124" t="s">
        <v>32</v>
      </c>
      <c r="C11" s="124">
        <v>25</v>
      </c>
      <c r="D11" s="124">
        <v>16145</v>
      </c>
      <c r="E11" s="125">
        <f t="shared" si="0"/>
        <v>403625</v>
      </c>
      <c r="F11" s="124" t="s">
        <v>29</v>
      </c>
      <c r="G11" s="124" t="s">
        <v>151</v>
      </c>
      <c r="I11" s="124" t="s">
        <v>32</v>
      </c>
      <c r="J11" s="124">
        <f>C11</f>
        <v>25</v>
      </c>
      <c r="K11" s="125">
        <f>E11</f>
        <v>403625</v>
      </c>
      <c r="L11" s="126">
        <f t="shared" si="1"/>
        <v>5.0601006441324772E-2</v>
      </c>
    </row>
    <row r="12" spans="1:16" ht="14.25" customHeight="1" x14ac:dyDescent="0.2">
      <c r="A12" s="123">
        <v>46211</v>
      </c>
      <c r="B12" s="124" t="s">
        <v>45</v>
      </c>
      <c r="C12" s="124">
        <v>10</v>
      </c>
      <c r="D12" s="124">
        <v>12930</v>
      </c>
      <c r="E12" s="125">
        <f t="shared" si="0"/>
        <v>129300</v>
      </c>
      <c r="F12" s="124" t="s">
        <v>152</v>
      </c>
      <c r="G12" s="124" t="s">
        <v>153</v>
      </c>
      <c r="I12" s="124" t="s">
        <v>44</v>
      </c>
      <c r="J12" s="124">
        <f>C13</f>
        <v>4</v>
      </c>
      <c r="K12" s="125">
        <f>E13</f>
        <v>36800</v>
      </c>
      <c r="L12" s="126">
        <f t="shared" si="1"/>
        <v>4.6134829037863152E-3</v>
      </c>
    </row>
    <row r="13" spans="1:16" ht="14.25" customHeight="1" x14ac:dyDescent="0.2">
      <c r="A13" s="123">
        <v>46211</v>
      </c>
      <c r="B13" s="124" t="s">
        <v>44</v>
      </c>
      <c r="C13" s="124">
        <v>4</v>
      </c>
      <c r="D13" s="124">
        <v>9200</v>
      </c>
      <c r="E13" s="125">
        <f t="shared" si="0"/>
        <v>36800</v>
      </c>
      <c r="F13" s="124" t="s">
        <v>154</v>
      </c>
      <c r="G13" s="124" t="s">
        <v>155</v>
      </c>
      <c r="I13" s="124" t="s">
        <v>37</v>
      </c>
      <c r="J13" s="124">
        <f>C15+C22+C36</f>
        <v>55</v>
      </c>
      <c r="K13" s="125">
        <f>E15+E22+E36</f>
        <v>490000</v>
      </c>
      <c r="L13" s="126">
        <f t="shared" si="1"/>
        <v>6.1429527794980829E-2</v>
      </c>
    </row>
    <row r="14" spans="1:16" ht="14.25" customHeight="1" x14ac:dyDescent="0.2">
      <c r="A14" s="123">
        <v>46211</v>
      </c>
      <c r="B14" s="124" t="s">
        <v>65</v>
      </c>
      <c r="C14" s="124">
        <v>2</v>
      </c>
      <c r="D14" s="124">
        <v>11910</v>
      </c>
      <c r="E14" s="125">
        <f t="shared" si="0"/>
        <v>23820</v>
      </c>
      <c r="F14" s="124" t="s">
        <v>154</v>
      </c>
      <c r="G14" s="124" t="s">
        <v>155</v>
      </c>
      <c r="I14" s="124" t="s">
        <v>27</v>
      </c>
      <c r="J14" s="124">
        <f>C17+C20</f>
        <v>20</v>
      </c>
      <c r="K14" s="125">
        <f>E17+E20</f>
        <v>160400</v>
      </c>
      <c r="L14" s="126">
        <f t="shared" si="1"/>
        <v>2.0108767874112091E-2</v>
      </c>
    </row>
    <row r="15" spans="1:16" ht="14.25" customHeight="1" x14ac:dyDescent="0.2">
      <c r="A15" s="123">
        <v>46211</v>
      </c>
      <c r="B15" s="124" t="s">
        <v>37</v>
      </c>
      <c r="C15" s="124">
        <v>4</v>
      </c>
      <c r="D15" s="124">
        <v>9200</v>
      </c>
      <c r="E15" s="125">
        <f t="shared" si="0"/>
        <v>36800</v>
      </c>
      <c r="F15" s="124" t="s">
        <v>154</v>
      </c>
      <c r="G15" s="124" t="s">
        <v>155</v>
      </c>
      <c r="I15" s="124" t="s">
        <v>22</v>
      </c>
      <c r="J15" s="124">
        <f>C18+C21+C30+C35</f>
        <v>310</v>
      </c>
      <c r="K15" s="125">
        <f>E18+E21+E30+E35</f>
        <v>2672300</v>
      </c>
      <c r="L15" s="126">
        <f t="shared" si="1"/>
        <v>0.33501658597250467</v>
      </c>
    </row>
    <row r="16" spans="1:16" ht="14.25" customHeight="1" x14ac:dyDescent="0.2">
      <c r="A16" s="123">
        <v>46211</v>
      </c>
      <c r="B16" s="124" t="s">
        <v>45</v>
      </c>
      <c r="C16" s="124">
        <v>2</v>
      </c>
      <c r="D16" s="124">
        <v>13335</v>
      </c>
      <c r="E16" s="125">
        <f t="shared" si="0"/>
        <v>26670</v>
      </c>
      <c r="F16" s="124" t="s">
        <v>154</v>
      </c>
      <c r="G16" s="124" t="s">
        <v>155</v>
      </c>
      <c r="I16" s="124" t="s">
        <v>24</v>
      </c>
      <c r="J16" s="124">
        <f>C19+C28+C43</f>
        <v>190</v>
      </c>
      <c r="K16" s="125">
        <f>E19+E28+E43</f>
        <v>950000</v>
      </c>
      <c r="L16" s="126">
        <f t="shared" si="1"/>
        <v>0.11909806409230977</v>
      </c>
    </row>
    <row r="17" spans="1:12" ht="14.25" customHeight="1" x14ac:dyDescent="0.2">
      <c r="A17" s="123">
        <v>46211</v>
      </c>
      <c r="B17" s="124" t="s">
        <v>27</v>
      </c>
      <c r="C17" s="124">
        <v>10</v>
      </c>
      <c r="D17" s="124">
        <v>8020</v>
      </c>
      <c r="E17" s="125">
        <f t="shared" si="0"/>
        <v>80200</v>
      </c>
      <c r="F17" s="124" t="s">
        <v>154</v>
      </c>
      <c r="G17" s="124" t="s">
        <v>155</v>
      </c>
      <c r="I17" s="124" t="s">
        <v>119</v>
      </c>
      <c r="J17" s="124">
        <f>C23</f>
        <v>1</v>
      </c>
      <c r="K17" s="125">
        <f>E23</f>
        <v>13125</v>
      </c>
      <c r="L17" s="126">
        <f t="shared" si="1"/>
        <v>1.6454337802227009E-3</v>
      </c>
    </row>
    <row r="18" spans="1:12" ht="14.25" customHeight="1" x14ac:dyDescent="0.2">
      <c r="A18" s="123">
        <v>46211</v>
      </c>
      <c r="B18" s="124" t="s">
        <v>22</v>
      </c>
      <c r="C18" s="124">
        <v>1</v>
      </c>
      <c r="D18" s="124">
        <v>9500</v>
      </c>
      <c r="E18" s="125">
        <f t="shared" si="0"/>
        <v>9500</v>
      </c>
      <c r="F18" s="124" t="s">
        <v>102</v>
      </c>
      <c r="G18" s="124" t="s">
        <v>156</v>
      </c>
      <c r="I18" s="124" t="s">
        <v>93</v>
      </c>
      <c r="J18" s="124">
        <f>C32</f>
        <v>3</v>
      </c>
      <c r="K18" s="125">
        <f>E32</f>
        <v>34800</v>
      </c>
      <c r="L18" s="126">
        <f t="shared" si="1"/>
        <v>4.3627501372761899E-3</v>
      </c>
    </row>
    <row r="19" spans="1:12" ht="14.25" customHeight="1" x14ac:dyDescent="0.2">
      <c r="A19" s="123">
        <v>46211</v>
      </c>
      <c r="B19" s="124" t="s">
        <v>24</v>
      </c>
      <c r="C19" s="124">
        <v>30</v>
      </c>
      <c r="D19" s="124">
        <v>5000</v>
      </c>
      <c r="E19" s="125">
        <f t="shared" si="0"/>
        <v>150000</v>
      </c>
      <c r="F19" s="124" t="s">
        <v>157</v>
      </c>
      <c r="G19" s="124" t="s">
        <v>158</v>
      </c>
      <c r="I19" s="124" t="s">
        <v>141</v>
      </c>
      <c r="J19" s="124">
        <f>C33+C40</f>
        <v>7</v>
      </c>
      <c r="K19" s="125">
        <f>E33+E40</f>
        <v>99015</v>
      </c>
      <c r="L19" s="126">
        <f t="shared" si="1"/>
        <v>1.2413152438000055E-2</v>
      </c>
    </row>
    <row r="20" spans="1:12" ht="14.25" customHeight="1" x14ac:dyDescent="0.2">
      <c r="A20" s="123">
        <v>46211</v>
      </c>
      <c r="B20" s="124" t="s">
        <v>27</v>
      </c>
      <c r="C20" s="124">
        <v>10</v>
      </c>
      <c r="D20" s="124">
        <v>8020</v>
      </c>
      <c r="E20" s="125">
        <f t="shared" si="0"/>
        <v>80200</v>
      </c>
      <c r="F20" s="124" t="s">
        <v>157</v>
      </c>
      <c r="G20" s="124" t="s">
        <v>158</v>
      </c>
      <c r="I20" s="124" t="s">
        <v>80</v>
      </c>
      <c r="J20" s="124">
        <f>C39</f>
        <v>10</v>
      </c>
      <c r="K20" s="125">
        <f>E39</f>
        <v>93450</v>
      </c>
      <c r="L20" s="126">
        <f t="shared" si="1"/>
        <v>1.171548851518563E-2</v>
      </c>
    </row>
    <row r="21" spans="1:12" ht="14.25" customHeight="1" x14ac:dyDescent="0.2">
      <c r="A21" s="123">
        <v>46211</v>
      </c>
      <c r="B21" s="124" t="s">
        <v>22</v>
      </c>
      <c r="C21" s="124">
        <v>4</v>
      </c>
      <c r="D21" s="124">
        <v>9200</v>
      </c>
      <c r="E21" s="125">
        <f t="shared" si="0"/>
        <v>36800</v>
      </c>
      <c r="F21" s="124" t="s">
        <v>15</v>
      </c>
      <c r="G21" s="124" t="s">
        <v>159</v>
      </c>
      <c r="I21" s="124" t="s">
        <v>62</v>
      </c>
      <c r="J21" s="124">
        <f>C42</f>
        <v>5</v>
      </c>
      <c r="K21" s="125">
        <f>E42</f>
        <v>103275</v>
      </c>
      <c r="L21" s="126">
        <f t="shared" si="1"/>
        <v>1.2947213230666624E-2</v>
      </c>
    </row>
    <row r="22" spans="1:12" ht="14.25" customHeight="1" x14ac:dyDescent="0.2">
      <c r="A22" s="123">
        <v>46211</v>
      </c>
      <c r="B22" s="124" t="s">
        <v>37</v>
      </c>
      <c r="C22" s="124">
        <v>1</v>
      </c>
      <c r="D22" s="124">
        <v>9200</v>
      </c>
      <c r="E22" s="125">
        <f t="shared" si="0"/>
        <v>9200</v>
      </c>
      <c r="F22" s="124" t="s">
        <v>15</v>
      </c>
      <c r="G22" s="124" t="s">
        <v>159</v>
      </c>
      <c r="I22" s="124" t="s">
        <v>768</v>
      </c>
      <c r="J22" s="124">
        <f>SUM(J2:J21)</f>
        <v>844</v>
      </c>
      <c r="K22" s="125">
        <f>SUM(K2:K21)</f>
        <v>7976620</v>
      </c>
      <c r="L22" s="126">
        <f t="shared" si="1"/>
        <v>1</v>
      </c>
    </row>
    <row r="23" spans="1:12" ht="14.25" customHeight="1" x14ac:dyDescent="0.2">
      <c r="A23" s="123">
        <v>46211</v>
      </c>
      <c r="B23" s="124" t="s">
        <v>119</v>
      </c>
      <c r="C23" s="124">
        <v>1</v>
      </c>
      <c r="D23" s="124">
        <v>13125</v>
      </c>
      <c r="E23" s="125">
        <f t="shared" si="0"/>
        <v>13125</v>
      </c>
      <c r="F23" s="124" t="s">
        <v>104</v>
      </c>
      <c r="G23" s="124" t="s">
        <v>160</v>
      </c>
    </row>
    <row r="24" spans="1:12" ht="25.5" customHeight="1" x14ac:dyDescent="0.2">
      <c r="A24" s="123">
        <v>46211</v>
      </c>
      <c r="B24" s="124" t="s">
        <v>45</v>
      </c>
      <c r="C24" s="124">
        <v>60</v>
      </c>
      <c r="D24" s="124">
        <v>12930</v>
      </c>
      <c r="E24" s="125">
        <f t="shared" si="0"/>
        <v>775800</v>
      </c>
      <c r="F24" s="124" t="s">
        <v>78</v>
      </c>
      <c r="G24" s="124" t="s">
        <v>161</v>
      </c>
      <c r="I24" s="107" t="s">
        <v>758</v>
      </c>
      <c r="J24" s="107" t="s">
        <v>757</v>
      </c>
      <c r="K24" s="107" t="s">
        <v>762</v>
      </c>
      <c r="L24" s="107" t="s">
        <v>769</v>
      </c>
    </row>
    <row r="25" spans="1:12" ht="14.25" customHeight="1" x14ac:dyDescent="0.2">
      <c r="A25" s="123">
        <v>46211</v>
      </c>
      <c r="B25" s="124" t="s">
        <v>65</v>
      </c>
      <c r="C25" s="124">
        <v>2</v>
      </c>
      <c r="D25" s="124">
        <v>11910</v>
      </c>
      <c r="E25" s="125">
        <f t="shared" si="0"/>
        <v>23820</v>
      </c>
      <c r="F25" s="124" t="s">
        <v>78</v>
      </c>
      <c r="G25" s="124" t="s">
        <v>161</v>
      </c>
      <c r="I25" s="124" t="s">
        <v>145</v>
      </c>
      <c r="J25" s="125">
        <f>E2+E3+E4+E5</f>
        <v>301400</v>
      </c>
      <c r="K25" s="126">
        <f t="shared" ref="K25:K39" si="2">J25/J$39</f>
        <v>3.7785427913075965E-2</v>
      </c>
      <c r="L25" s="126">
        <v>0.10580000000000001</v>
      </c>
    </row>
    <row r="26" spans="1:12" ht="14.25" customHeight="1" x14ac:dyDescent="0.2">
      <c r="A26" s="123">
        <v>46211</v>
      </c>
      <c r="B26" s="124" t="s">
        <v>69</v>
      </c>
      <c r="C26" s="124">
        <v>3</v>
      </c>
      <c r="D26" s="124">
        <v>14450</v>
      </c>
      <c r="E26" s="125">
        <f t="shared" si="0"/>
        <v>43350</v>
      </c>
      <c r="F26" s="124" t="s">
        <v>78</v>
      </c>
      <c r="G26" s="124" t="s">
        <v>161</v>
      </c>
      <c r="I26" s="124" t="s">
        <v>29</v>
      </c>
      <c r="J26" s="125">
        <f>E6+E7+E8+E9+E10+E11</f>
        <v>819190</v>
      </c>
      <c r="K26" s="126">
        <f t="shared" si="2"/>
        <v>0.10269888749871499</v>
      </c>
      <c r="L26" s="126">
        <v>3.3099999999999997E-2</v>
      </c>
    </row>
    <row r="27" spans="1:12" ht="14.25" customHeight="1" x14ac:dyDescent="0.2">
      <c r="A27" s="123">
        <v>46211</v>
      </c>
      <c r="B27" s="124" t="s">
        <v>101</v>
      </c>
      <c r="C27" s="124">
        <v>5</v>
      </c>
      <c r="D27" s="124">
        <v>13550</v>
      </c>
      <c r="E27" s="125">
        <f t="shared" si="0"/>
        <v>67750</v>
      </c>
      <c r="F27" s="124" t="s">
        <v>78</v>
      </c>
      <c r="G27" s="124" t="s">
        <v>161</v>
      </c>
      <c r="I27" s="124" t="s">
        <v>152</v>
      </c>
      <c r="J27" s="125">
        <f>E12</f>
        <v>129300</v>
      </c>
      <c r="K27" s="126">
        <f t="shared" si="2"/>
        <v>1.6209873354879636E-2</v>
      </c>
      <c r="L27" s="126">
        <v>0.13700000000000001</v>
      </c>
    </row>
    <row r="28" spans="1:12" ht="14.25" customHeight="1" x14ac:dyDescent="0.2">
      <c r="A28" s="123">
        <v>46211</v>
      </c>
      <c r="B28" s="124" t="s">
        <v>24</v>
      </c>
      <c r="C28" s="124">
        <v>150</v>
      </c>
      <c r="D28" s="124">
        <v>5000</v>
      </c>
      <c r="E28" s="125">
        <f t="shared" si="0"/>
        <v>750000</v>
      </c>
      <c r="F28" s="124" t="s">
        <v>25</v>
      </c>
      <c r="G28" s="124" t="s">
        <v>162</v>
      </c>
      <c r="I28" s="124" t="s">
        <v>154</v>
      </c>
      <c r="J28" s="125">
        <f>E13+E14+E15+E16+E17</f>
        <v>204290</v>
      </c>
      <c r="K28" s="126">
        <f t="shared" si="2"/>
        <v>2.5611098435176803E-2</v>
      </c>
      <c r="L28" s="126">
        <v>7.0599999999999996E-2</v>
      </c>
    </row>
    <row r="29" spans="1:12" ht="14.25" customHeight="1" x14ac:dyDescent="0.2">
      <c r="A29" s="123">
        <v>46211</v>
      </c>
      <c r="B29" s="124" t="s">
        <v>31</v>
      </c>
      <c r="C29" s="124">
        <v>5</v>
      </c>
      <c r="D29" s="124">
        <v>17845</v>
      </c>
      <c r="E29" s="125">
        <f t="shared" si="0"/>
        <v>89225</v>
      </c>
      <c r="F29" s="124" t="s">
        <v>25</v>
      </c>
      <c r="G29" s="124" t="s">
        <v>162</v>
      </c>
      <c r="I29" s="124" t="s">
        <v>102</v>
      </c>
      <c r="J29" s="125">
        <f>E18</f>
        <v>9500</v>
      </c>
      <c r="K29" s="126">
        <f t="shared" si="2"/>
        <v>1.1909806409230977E-3</v>
      </c>
      <c r="L29" s="126">
        <v>9.0800000000000006E-2</v>
      </c>
    </row>
    <row r="30" spans="1:12" ht="14.25" customHeight="1" x14ac:dyDescent="0.2">
      <c r="A30" s="123">
        <v>46211</v>
      </c>
      <c r="B30" s="124" t="s">
        <v>22</v>
      </c>
      <c r="C30" s="124">
        <v>5</v>
      </c>
      <c r="D30" s="124">
        <v>9200</v>
      </c>
      <c r="E30" s="125">
        <f t="shared" si="0"/>
        <v>46000</v>
      </c>
      <c r="F30" s="124" t="s">
        <v>163</v>
      </c>
      <c r="G30" s="124" t="s">
        <v>164</v>
      </c>
      <c r="I30" s="124" t="s">
        <v>157</v>
      </c>
      <c r="J30" s="125">
        <f>E19+E20+E43</f>
        <v>280200</v>
      </c>
      <c r="K30" s="126">
        <f t="shared" si="2"/>
        <v>3.5127660588068634E-2</v>
      </c>
      <c r="L30" s="126">
        <v>-1.66E-2</v>
      </c>
    </row>
    <row r="31" spans="1:12" ht="14.25" customHeight="1" x14ac:dyDescent="0.2">
      <c r="A31" s="123">
        <v>46211</v>
      </c>
      <c r="B31" s="124" t="s">
        <v>150</v>
      </c>
      <c r="C31" s="124">
        <v>2</v>
      </c>
      <c r="D31" s="124">
        <v>10315</v>
      </c>
      <c r="E31" s="125">
        <f t="shared" si="0"/>
        <v>20630</v>
      </c>
      <c r="F31" s="124" t="s">
        <v>163</v>
      </c>
      <c r="G31" s="124" t="s">
        <v>164</v>
      </c>
      <c r="I31" s="124" t="s">
        <v>15</v>
      </c>
      <c r="J31" s="125">
        <f>E21+E22</f>
        <v>46000</v>
      </c>
      <c r="K31" s="126">
        <f t="shared" si="2"/>
        <v>5.766853629732894E-3</v>
      </c>
      <c r="L31" s="126">
        <v>8.0500000000000002E-2</v>
      </c>
    </row>
    <row r="32" spans="1:12" ht="14.25" customHeight="1" x14ac:dyDescent="0.2">
      <c r="A32" s="123">
        <v>46211</v>
      </c>
      <c r="B32" s="124" t="s">
        <v>93</v>
      </c>
      <c r="C32" s="124">
        <v>3</v>
      </c>
      <c r="D32" s="124">
        <v>11600</v>
      </c>
      <c r="E32" s="125">
        <f t="shared" si="0"/>
        <v>34800</v>
      </c>
      <c r="F32" s="124" t="s">
        <v>163</v>
      </c>
      <c r="G32" s="124" t="s">
        <v>164</v>
      </c>
      <c r="I32" s="124" t="s">
        <v>104</v>
      </c>
      <c r="J32" s="125">
        <f>E23</f>
        <v>13125</v>
      </c>
      <c r="K32" s="126">
        <f t="shared" si="2"/>
        <v>1.6454337802227009E-3</v>
      </c>
      <c r="L32" s="126">
        <v>8.1699999999999995E-2</v>
      </c>
    </row>
    <row r="33" spans="1:12" ht="14.25" customHeight="1" x14ac:dyDescent="0.2">
      <c r="A33" s="123">
        <v>46211</v>
      </c>
      <c r="B33" s="124" t="s">
        <v>141</v>
      </c>
      <c r="C33" s="124">
        <v>2</v>
      </c>
      <c r="D33" s="124">
        <v>14145</v>
      </c>
      <c r="E33" s="125">
        <f t="shared" si="0"/>
        <v>28290</v>
      </c>
      <c r="F33" s="124" t="s">
        <v>163</v>
      </c>
      <c r="G33" s="124" t="s">
        <v>164</v>
      </c>
      <c r="I33" s="124" t="s">
        <v>78</v>
      </c>
      <c r="J33" s="125">
        <f>E24+E25+E26+E27</f>
        <v>910720</v>
      </c>
      <c r="K33" s="126">
        <f t="shared" si="2"/>
        <v>0.1141736725580509</v>
      </c>
      <c r="L33" s="126">
        <v>0.12590000000000001</v>
      </c>
    </row>
    <row r="34" spans="1:12" ht="14.25" customHeight="1" x14ac:dyDescent="0.2">
      <c r="A34" s="123">
        <v>46211</v>
      </c>
      <c r="B34" s="124" t="s">
        <v>69</v>
      </c>
      <c r="C34" s="124">
        <v>1</v>
      </c>
      <c r="D34" s="124">
        <v>14450</v>
      </c>
      <c r="E34" s="125">
        <f t="shared" si="0"/>
        <v>14450</v>
      </c>
      <c r="F34" s="124" t="s">
        <v>163</v>
      </c>
      <c r="G34" s="124" t="s">
        <v>164</v>
      </c>
      <c r="I34" s="124" t="s">
        <v>25</v>
      </c>
      <c r="J34" s="125">
        <f>E28+E29</f>
        <v>839225</v>
      </c>
      <c r="K34" s="126">
        <f t="shared" si="2"/>
        <v>0.10521060298723019</v>
      </c>
      <c r="L34" s="126">
        <v>-3.1300000000000001E-2</v>
      </c>
    </row>
    <row r="35" spans="1:12" ht="14.25" customHeight="1" x14ac:dyDescent="0.2">
      <c r="A35" s="123">
        <v>46211</v>
      </c>
      <c r="B35" s="124" t="s">
        <v>22</v>
      </c>
      <c r="C35" s="124">
        <v>300</v>
      </c>
      <c r="D35" s="124">
        <v>8600</v>
      </c>
      <c r="E35" s="125">
        <f t="shared" si="0"/>
        <v>2580000</v>
      </c>
      <c r="F35" s="124" t="s">
        <v>165</v>
      </c>
      <c r="G35" s="124" t="s">
        <v>166</v>
      </c>
      <c r="I35" s="124" t="s">
        <v>163</v>
      </c>
      <c r="J35" s="125">
        <f>E30+E31+E32+E33+E34</f>
        <v>144170</v>
      </c>
      <c r="K35" s="126">
        <f t="shared" si="2"/>
        <v>1.807407147388242E-2</v>
      </c>
      <c r="L35" s="126">
        <v>6.4600000000000005E-2</v>
      </c>
    </row>
    <row r="36" spans="1:12" ht="14.25" customHeight="1" x14ac:dyDescent="0.2">
      <c r="A36" s="123">
        <v>46211</v>
      </c>
      <c r="B36" s="124" t="s">
        <v>37</v>
      </c>
      <c r="C36" s="124">
        <v>50</v>
      </c>
      <c r="D36" s="124">
        <v>8880</v>
      </c>
      <c r="E36" s="125">
        <f t="shared" si="0"/>
        <v>444000</v>
      </c>
      <c r="F36" s="124" t="s">
        <v>165</v>
      </c>
      <c r="G36" s="124" t="s">
        <v>166</v>
      </c>
      <c r="I36" s="124" t="s">
        <v>165</v>
      </c>
      <c r="J36" s="125">
        <f>E35+E36</f>
        <v>3024000</v>
      </c>
      <c r="K36" s="126">
        <f t="shared" si="2"/>
        <v>0.3791079429633103</v>
      </c>
      <c r="L36" s="126">
        <v>4.87E-2</v>
      </c>
    </row>
    <row r="37" spans="1:12" ht="14.25" customHeight="1" x14ac:dyDescent="0.2">
      <c r="A37" s="123">
        <v>46211</v>
      </c>
      <c r="B37" s="124" t="s">
        <v>45</v>
      </c>
      <c r="C37" s="124">
        <v>60</v>
      </c>
      <c r="D37" s="124">
        <v>12930</v>
      </c>
      <c r="E37" s="125">
        <f t="shared" si="0"/>
        <v>775800</v>
      </c>
      <c r="F37" s="124" t="s">
        <v>168</v>
      </c>
      <c r="G37" s="124" t="s">
        <v>169</v>
      </c>
      <c r="I37" s="124" t="s">
        <v>168</v>
      </c>
      <c r="J37" s="125">
        <f>E37</f>
        <v>775800</v>
      </c>
      <c r="K37" s="126">
        <f t="shared" si="2"/>
        <v>9.7259240129277807E-2</v>
      </c>
      <c r="L37" s="126">
        <v>1.4200000000000001E-2</v>
      </c>
    </row>
    <row r="38" spans="1:12" ht="14.25" customHeight="1" x14ac:dyDescent="0.2">
      <c r="A38" s="123">
        <v>46211</v>
      </c>
      <c r="B38" s="124" t="s">
        <v>65</v>
      </c>
      <c r="C38" s="124">
        <v>10</v>
      </c>
      <c r="D38" s="124">
        <v>11910</v>
      </c>
      <c r="E38" s="125">
        <f t="shared" si="0"/>
        <v>119100</v>
      </c>
      <c r="F38" s="124" t="s">
        <v>59</v>
      </c>
      <c r="G38" s="124" t="s">
        <v>171</v>
      </c>
      <c r="I38" s="124" t="s">
        <v>59</v>
      </c>
      <c r="J38" s="125">
        <f>E38+E39+E40+E41+E42</f>
        <v>479700</v>
      </c>
      <c r="K38" s="126">
        <f t="shared" si="2"/>
        <v>6.0138254047453682E-2</v>
      </c>
      <c r="L38" s="126">
        <v>6.0900000000000003E-2</v>
      </c>
    </row>
    <row r="39" spans="1:12" ht="14.25" customHeight="1" x14ac:dyDescent="0.2">
      <c r="A39" s="123">
        <v>46211</v>
      </c>
      <c r="B39" s="124" t="s">
        <v>80</v>
      </c>
      <c r="C39" s="124">
        <v>10</v>
      </c>
      <c r="D39" s="124">
        <v>9345</v>
      </c>
      <c r="E39" s="125">
        <f t="shared" si="0"/>
        <v>93450</v>
      </c>
      <c r="F39" s="124" t="s">
        <v>59</v>
      </c>
      <c r="G39" s="124" t="s">
        <v>171</v>
      </c>
      <c r="I39" s="124" t="s">
        <v>770</v>
      </c>
      <c r="J39" s="125">
        <f>SUM(J25:J38)</f>
        <v>7976620</v>
      </c>
      <c r="K39" s="126">
        <f t="shared" si="2"/>
        <v>1</v>
      </c>
    </row>
    <row r="40" spans="1:12" ht="14.25" customHeight="1" x14ac:dyDescent="0.2">
      <c r="A40" s="123">
        <v>46211</v>
      </c>
      <c r="B40" s="124" t="s">
        <v>141</v>
      </c>
      <c r="C40" s="124">
        <v>5</v>
      </c>
      <c r="D40" s="124">
        <v>14145</v>
      </c>
      <c r="E40" s="125">
        <f t="shared" si="0"/>
        <v>70725</v>
      </c>
      <c r="F40" s="124" t="s">
        <v>59</v>
      </c>
      <c r="G40" s="124" t="s">
        <v>171</v>
      </c>
    </row>
    <row r="41" spans="1:12" ht="25.5" customHeight="1" x14ac:dyDescent="0.2">
      <c r="A41" s="123">
        <v>46211</v>
      </c>
      <c r="B41" s="124" t="s">
        <v>36</v>
      </c>
      <c r="C41" s="124">
        <v>6</v>
      </c>
      <c r="D41" s="124">
        <v>15525</v>
      </c>
      <c r="E41" s="125">
        <f t="shared" si="0"/>
        <v>93150</v>
      </c>
      <c r="F41" s="124" t="s">
        <v>59</v>
      </c>
      <c r="G41" s="124" t="s">
        <v>171</v>
      </c>
      <c r="I41" s="107" t="s">
        <v>759</v>
      </c>
      <c r="J41" s="107" t="s">
        <v>757</v>
      </c>
      <c r="K41" s="107" t="s">
        <v>769</v>
      </c>
    </row>
    <row r="42" spans="1:12" ht="14.25" customHeight="1" x14ac:dyDescent="0.2">
      <c r="A42" s="123">
        <v>46211</v>
      </c>
      <c r="B42" s="124" t="s">
        <v>62</v>
      </c>
      <c r="C42" s="124">
        <v>5</v>
      </c>
      <c r="D42" s="124">
        <v>20655</v>
      </c>
      <c r="E42" s="125">
        <f t="shared" si="0"/>
        <v>103275</v>
      </c>
      <c r="F42" s="124" t="s">
        <v>59</v>
      </c>
      <c r="G42" s="124" t="s">
        <v>171</v>
      </c>
      <c r="I42" s="124" t="s">
        <v>146</v>
      </c>
      <c r="J42" s="125">
        <v>339400</v>
      </c>
      <c r="K42" s="126">
        <v>0.11</v>
      </c>
    </row>
    <row r="43" spans="1:12" ht="14.25" customHeight="1" x14ac:dyDescent="0.2">
      <c r="A43" s="123">
        <v>46211</v>
      </c>
      <c r="B43" s="124" t="s">
        <v>24</v>
      </c>
      <c r="C43" s="124">
        <v>10</v>
      </c>
      <c r="D43" s="124">
        <v>5000</v>
      </c>
      <c r="E43" s="125">
        <f t="shared" si="0"/>
        <v>50000</v>
      </c>
      <c r="F43" s="124" t="s">
        <v>157</v>
      </c>
      <c r="G43" s="124" t="s">
        <v>172</v>
      </c>
      <c r="I43" s="124" t="s">
        <v>149</v>
      </c>
      <c r="J43" s="125">
        <v>84365</v>
      </c>
      <c r="K43" s="126">
        <v>0.06</v>
      </c>
    </row>
    <row r="44" spans="1:12" ht="14.25" customHeight="1" x14ac:dyDescent="0.2">
      <c r="B44" s="124" t="s">
        <v>768</v>
      </c>
      <c r="C44" s="124">
        <f>SUM(C2:C43)</f>
        <v>844</v>
      </c>
      <c r="D44" s="124">
        <f>SUM(D2:D43)</f>
        <v>506320</v>
      </c>
      <c r="E44" s="125">
        <f>SUM(E2:E43)</f>
        <v>7976620</v>
      </c>
      <c r="I44" s="124" t="s">
        <v>151</v>
      </c>
      <c r="J44" s="125">
        <v>745625</v>
      </c>
      <c r="K44" s="126">
        <v>0.03</v>
      </c>
    </row>
    <row r="45" spans="1:12" ht="14.25" customHeight="1" x14ac:dyDescent="0.2">
      <c r="I45" s="124" t="s">
        <v>153</v>
      </c>
      <c r="J45" s="125">
        <v>149300</v>
      </c>
      <c r="K45" s="126">
        <v>0.14000000000000001</v>
      </c>
    </row>
    <row r="46" spans="1:12" ht="14.25" customHeight="1" x14ac:dyDescent="0.2">
      <c r="I46" s="124" t="s">
        <v>155</v>
      </c>
      <c r="J46" s="125">
        <v>226290</v>
      </c>
      <c r="K46" s="126">
        <v>7.0000000000000007E-2</v>
      </c>
    </row>
    <row r="47" spans="1:12" ht="14.25" customHeight="1" x14ac:dyDescent="0.2">
      <c r="I47" s="124" t="s">
        <v>156</v>
      </c>
      <c r="J47" s="125">
        <v>9500</v>
      </c>
      <c r="K47" s="126">
        <v>0.09</v>
      </c>
    </row>
    <row r="48" spans="1:12" ht="14.25" customHeight="1" x14ac:dyDescent="0.2">
      <c r="I48" s="124" t="s">
        <v>158</v>
      </c>
      <c r="J48" s="125">
        <v>230200</v>
      </c>
      <c r="K48" s="126">
        <v>-0.01</v>
      </c>
    </row>
    <row r="49" spans="9:11" ht="14.25" customHeight="1" x14ac:dyDescent="0.2">
      <c r="I49" s="124" t="s">
        <v>159</v>
      </c>
      <c r="J49" s="125">
        <v>55000</v>
      </c>
      <c r="K49" s="126">
        <v>0.08</v>
      </c>
    </row>
    <row r="50" spans="9:11" ht="14.25" customHeight="1" x14ac:dyDescent="0.2">
      <c r="I50" s="124" t="s">
        <v>160</v>
      </c>
      <c r="J50" s="125">
        <v>15125</v>
      </c>
      <c r="K50" s="126">
        <v>0.08</v>
      </c>
    </row>
    <row r="51" spans="9:11" ht="14.25" customHeight="1" x14ac:dyDescent="0.2">
      <c r="I51" s="124" t="s">
        <v>161</v>
      </c>
      <c r="J51" s="125">
        <v>1048720</v>
      </c>
      <c r="K51" s="126">
        <v>0.13</v>
      </c>
    </row>
    <row r="52" spans="9:11" ht="14.25" customHeight="1" x14ac:dyDescent="0.2">
      <c r="I52" s="124" t="s">
        <v>162</v>
      </c>
      <c r="J52" s="125">
        <v>839225</v>
      </c>
      <c r="K52" s="126">
        <v>-0.03</v>
      </c>
    </row>
    <row r="53" spans="9:11" ht="14.25" customHeight="1" x14ac:dyDescent="0.2">
      <c r="I53" s="124" t="s">
        <v>164</v>
      </c>
      <c r="J53" s="125">
        <v>167570</v>
      </c>
      <c r="K53" s="126">
        <v>0.06</v>
      </c>
    </row>
    <row r="54" spans="9:11" ht="14.25" customHeight="1" x14ac:dyDescent="0.2">
      <c r="I54" s="124" t="s">
        <v>166</v>
      </c>
      <c r="J54" s="125">
        <v>3724000</v>
      </c>
      <c r="K54" s="126">
        <v>0.05</v>
      </c>
    </row>
    <row r="55" spans="9:11" ht="14.25" customHeight="1" x14ac:dyDescent="0.2">
      <c r="I55" s="124" t="s">
        <v>169</v>
      </c>
      <c r="J55" s="125">
        <v>775800</v>
      </c>
      <c r="K55" s="126">
        <v>0.01</v>
      </c>
    </row>
    <row r="56" spans="9:11" ht="14.25" customHeight="1" x14ac:dyDescent="0.2">
      <c r="I56" s="124" t="s">
        <v>171</v>
      </c>
      <c r="J56" s="125">
        <v>535500</v>
      </c>
      <c r="K56" s="126">
        <v>0.06</v>
      </c>
    </row>
    <row r="57" spans="9:11" ht="14.25" customHeight="1" x14ac:dyDescent="0.2">
      <c r="I57" s="124" t="s">
        <v>172</v>
      </c>
      <c r="J57" s="125">
        <v>50000</v>
      </c>
      <c r="K57" s="126">
        <v>-0.04</v>
      </c>
    </row>
    <row r="58" spans="9:11" ht="14.25" customHeight="1" x14ac:dyDescent="0.2">
      <c r="I58" s="124" t="s">
        <v>770</v>
      </c>
      <c r="J58" s="125">
        <f>SUM(J42:J57)</f>
        <v>8995620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2"/>
  <sheetViews>
    <sheetView topLeftCell="F22" zoomScale="96" zoomScaleNormal="96" workbookViewId="0">
      <selection activeCell="K40" sqref="K40"/>
    </sheetView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46212</v>
      </c>
      <c r="B2" s="119" t="s">
        <v>45</v>
      </c>
      <c r="C2" s="110">
        <v>60</v>
      </c>
      <c r="D2" s="111">
        <v>12930</v>
      </c>
      <c r="E2" s="112">
        <f t="shared" ref="E2:E33" si="0">C2*D2</f>
        <v>775800</v>
      </c>
      <c r="F2" s="110" t="s">
        <v>152</v>
      </c>
      <c r="G2" s="71" t="s">
        <v>175</v>
      </c>
      <c r="I2" s="119" t="s">
        <v>45</v>
      </c>
      <c r="J2" s="110">
        <f>C2+C36+C42+C46</f>
        <v>69</v>
      </c>
      <c r="K2" s="112">
        <f>E2+E36+E42+E46</f>
        <v>895815</v>
      </c>
      <c r="L2" s="113">
        <f t="shared" ref="L2:L24" si="1">K2/K$24</f>
        <v>0.28770805732867638</v>
      </c>
      <c r="N2" s="112">
        <f>K24</f>
        <v>3113625</v>
      </c>
      <c r="O2" s="110">
        <f>J24</f>
        <v>236</v>
      </c>
      <c r="P2" s="110">
        <f>COUNT(J2:J23)</f>
        <v>22</v>
      </c>
    </row>
    <row r="3" spans="1:16" ht="14.25" customHeight="1" x14ac:dyDescent="0.2">
      <c r="A3" s="108">
        <v>46212</v>
      </c>
      <c r="B3" s="110" t="s">
        <v>34</v>
      </c>
      <c r="C3" s="110">
        <v>10</v>
      </c>
      <c r="D3" s="111">
        <v>21695</v>
      </c>
      <c r="E3" s="112">
        <f t="shared" si="0"/>
        <v>216950</v>
      </c>
      <c r="F3" s="110" t="s">
        <v>29</v>
      </c>
      <c r="G3" s="71" t="s">
        <v>176</v>
      </c>
      <c r="I3" s="110" t="s">
        <v>34</v>
      </c>
      <c r="J3" s="110">
        <f>C3</f>
        <v>10</v>
      </c>
      <c r="K3" s="112">
        <f>E3</f>
        <v>216950</v>
      </c>
      <c r="L3" s="113">
        <f t="shared" si="1"/>
        <v>6.9677626560680883E-2</v>
      </c>
    </row>
    <row r="4" spans="1:16" ht="14.25" customHeight="1" x14ac:dyDescent="0.2">
      <c r="A4" s="108">
        <v>46212</v>
      </c>
      <c r="B4" s="120" t="s">
        <v>69</v>
      </c>
      <c r="C4" s="110">
        <v>2</v>
      </c>
      <c r="D4" s="111">
        <v>14450</v>
      </c>
      <c r="E4" s="112">
        <f t="shared" si="0"/>
        <v>28900</v>
      </c>
      <c r="F4" s="110" t="s">
        <v>50</v>
      </c>
      <c r="G4" s="71" t="s">
        <v>177</v>
      </c>
      <c r="I4" s="120" t="s">
        <v>69</v>
      </c>
      <c r="J4" s="110">
        <f>C4+C41</f>
        <v>3</v>
      </c>
      <c r="K4" s="112">
        <f>E4+E41</f>
        <v>43350</v>
      </c>
      <c r="L4" s="113">
        <f t="shared" si="1"/>
        <v>1.3922678549921715E-2</v>
      </c>
    </row>
    <row r="5" spans="1:16" ht="14.25" customHeight="1" x14ac:dyDescent="0.2">
      <c r="A5" s="108">
        <v>46212</v>
      </c>
      <c r="B5" s="110" t="s">
        <v>150</v>
      </c>
      <c r="C5" s="110">
        <v>2</v>
      </c>
      <c r="D5" s="111">
        <v>10315</v>
      </c>
      <c r="E5" s="112">
        <f t="shared" si="0"/>
        <v>20630</v>
      </c>
      <c r="F5" s="110" t="s">
        <v>50</v>
      </c>
      <c r="G5" s="71" t="s">
        <v>177</v>
      </c>
      <c r="I5" s="110" t="s">
        <v>150</v>
      </c>
      <c r="J5" s="110">
        <f>C5</f>
        <v>2</v>
      </c>
      <c r="K5" s="112">
        <f>E5</f>
        <v>20630</v>
      </c>
      <c r="L5" s="113">
        <f t="shared" si="1"/>
        <v>6.6257176121080731E-3</v>
      </c>
    </row>
    <row r="6" spans="1:16" ht="14.25" customHeight="1" x14ac:dyDescent="0.2">
      <c r="A6" s="108">
        <v>46212</v>
      </c>
      <c r="B6" s="121" t="s">
        <v>70</v>
      </c>
      <c r="C6" s="110">
        <v>3</v>
      </c>
      <c r="D6" s="111">
        <v>13350</v>
      </c>
      <c r="E6" s="112">
        <f t="shared" si="0"/>
        <v>40050</v>
      </c>
      <c r="F6" s="110" t="s">
        <v>50</v>
      </c>
      <c r="G6" s="71" t="s">
        <v>177</v>
      </c>
      <c r="I6" s="121" t="s">
        <v>70</v>
      </c>
      <c r="J6" s="110">
        <f>C6+C38</f>
        <v>4</v>
      </c>
      <c r="K6" s="112">
        <f>E6+E38</f>
        <v>53510</v>
      </c>
      <c r="L6" s="113">
        <f t="shared" si="1"/>
        <v>1.7185756152394718E-2</v>
      </c>
    </row>
    <row r="7" spans="1:16" ht="14.25" customHeight="1" x14ac:dyDescent="0.2">
      <c r="A7" s="108">
        <v>46212</v>
      </c>
      <c r="B7" s="110" t="s">
        <v>62</v>
      </c>
      <c r="C7" s="110">
        <v>3</v>
      </c>
      <c r="D7" s="111">
        <v>20655</v>
      </c>
      <c r="E7" s="112">
        <f t="shared" si="0"/>
        <v>61965</v>
      </c>
      <c r="F7" s="110" t="s">
        <v>50</v>
      </c>
      <c r="G7" s="71" t="s">
        <v>177</v>
      </c>
      <c r="I7" s="110" t="s">
        <v>62</v>
      </c>
      <c r="J7" s="110">
        <f>C7</f>
        <v>3</v>
      </c>
      <c r="K7" s="112">
        <f>E7</f>
        <v>61965</v>
      </c>
      <c r="L7" s="113">
        <f t="shared" si="1"/>
        <v>1.9901240515476332E-2</v>
      </c>
    </row>
    <row r="8" spans="1:16" ht="14.25" customHeight="1" x14ac:dyDescent="0.2">
      <c r="A8" s="108">
        <v>46212</v>
      </c>
      <c r="B8" s="115" t="s">
        <v>65</v>
      </c>
      <c r="C8" s="110">
        <v>10</v>
      </c>
      <c r="D8" s="111">
        <v>11910</v>
      </c>
      <c r="E8" s="112">
        <f t="shared" si="0"/>
        <v>119100</v>
      </c>
      <c r="F8" s="110" t="s">
        <v>50</v>
      </c>
      <c r="G8" s="71" t="s">
        <v>177</v>
      </c>
      <c r="I8" s="115" t="s">
        <v>65</v>
      </c>
      <c r="J8" s="110">
        <f>C8+C15+C23+C29+C35+C43</f>
        <v>24</v>
      </c>
      <c r="K8" s="112">
        <f>E8+E15+E23+E29+E35+E43</f>
        <v>285840</v>
      </c>
      <c r="L8" s="113">
        <f t="shared" si="1"/>
        <v>9.1802962784535716E-2</v>
      </c>
    </row>
    <row r="9" spans="1:16" ht="14.25" customHeight="1" x14ac:dyDescent="0.2">
      <c r="A9" s="108">
        <v>46212</v>
      </c>
      <c r="B9" s="114" t="s">
        <v>36</v>
      </c>
      <c r="C9" s="110">
        <v>4</v>
      </c>
      <c r="D9" s="111">
        <v>15525</v>
      </c>
      <c r="E9" s="112">
        <f t="shared" si="0"/>
        <v>62100</v>
      </c>
      <c r="F9" s="110" t="s">
        <v>50</v>
      </c>
      <c r="G9" s="71" t="s">
        <v>177</v>
      </c>
      <c r="I9" s="114" t="s">
        <v>36</v>
      </c>
      <c r="J9" s="110">
        <f>C9+C17+C25+C30+C34</f>
        <v>11</v>
      </c>
      <c r="K9" s="112">
        <f>E9+E17+E25+E30+E34</f>
        <v>170775</v>
      </c>
      <c r="L9" s="113">
        <f t="shared" si="1"/>
        <v>5.4847645429362879E-2</v>
      </c>
    </row>
    <row r="10" spans="1:16" ht="14.25" customHeight="1" x14ac:dyDescent="0.2">
      <c r="A10" s="108">
        <v>46212</v>
      </c>
      <c r="B10" s="116" t="s">
        <v>44</v>
      </c>
      <c r="C10" s="110">
        <v>2</v>
      </c>
      <c r="D10" s="111">
        <v>9200</v>
      </c>
      <c r="E10" s="112">
        <f t="shared" si="0"/>
        <v>18400</v>
      </c>
      <c r="F10" s="110" t="s">
        <v>50</v>
      </c>
      <c r="G10" s="71" t="s">
        <v>177</v>
      </c>
      <c r="I10" s="116" t="s">
        <v>44</v>
      </c>
      <c r="J10" s="110">
        <f>C10+C26+C32+C45</f>
        <v>15</v>
      </c>
      <c r="K10" s="112">
        <f>E10+E26+E32+E45</f>
        <v>138000</v>
      </c>
      <c r="L10" s="113">
        <f t="shared" si="1"/>
        <v>4.4321329639889197E-2</v>
      </c>
    </row>
    <row r="11" spans="1:16" ht="14.25" customHeight="1" x14ac:dyDescent="0.2">
      <c r="A11" s="108">
        <v>46212</v>
      </c>
      <c r="B11" s="110" t="s">
        <v>27</v>
      </c>
      <c r="C11" s="110">
        <v>30</v>
      </c>
      <c r="D11" s="111">
        <v>8020</v>
      </c>
      <c r="E11" s="112">
        <f t="shared" si="0"/>
        <v>240600</v>
      </c>
      <c r="F11" s="110" t="s">
        <v>50</v>
      </c>
      <c r="G11" s="71" t="s">
        <v>177</v>
      </c>
      <c r="I11" s="110" t="s">
        <v>27</v>
      </c>
      <c r="J11" s="110">
        <f>C11</f>
        <v>30</v>
      </c>
      <c r="K11" s="112">
        <f>E11</f>
        <v>240600</v>
      </c>
      <c r="L11" s="113">
        <f t="shared" si="1"/>
        <v>7.7273274719980731E-2</v>
      </c>
    </row>
    <row r="12" spans="1:16" ht="14.25" customHeight="1" x14ac:dyDescent="0.2">
      <c r="A12" s="108">
        <v>46212</v>
      </c>
      <c r="B12" s="110" t="s">
        <v>178</v>
      </c>
      <c r="C12" s="110">
        <v>20</v>
      </c>
      <c r="D12" s="111">
        <v>23770</v>
      </c>
      <c r="E12" s="112">
        <f t="shared" si="0"/>
        <v>475400</v>
      </c>
      <c r="F12" s="110" t="s">
        <v>50</v>
      </c>
      <c r="G12" s="71" t="s">
        <v>177</v>
      </c>
      <c r="I12" s="110" t="s">
        <v>178</v>
      </c>
      <c r="J12" s="110">
        <f>C12</f>
        <v>20</v>
      </c>
      <c r="K12" s="112">
        <f>E12</f>
        <v>475400</v>
      </c>
      <c r="L12" s="113">
        <f t="shared" si="1"/>
        <v>0.15268376891886468</v>
      </c>
    </row>
    <row r="13" spans="1:16" ht="14.25" customHeight="1" x14ac:dyDescent="0.2">
      <c r="A13" s="108">
        <v>46212</v>
      </c>
      <c r="B13" s="117" t="s">
        <v>80</v>
      </c>
      <c r="C13" s="110">
        <v>2</v>
      </c>
      <c r="D13" s="111">
        <v>9345</v>
      </c>
      <c r="E13" s="112">
        <f t="shared" si="0"/>
        <v>18690</v>
      </c>
      <c r="F13" s="110" t="s">
        <v>50</v>
      </c>
      <c r="G13" s="71" t="s">
        <v>177</v>
      </c>
      <c r="I13" s="117" t="s">
        <v>80</v>
      </c>
      <c r="J13" s="110">
        <f>C13+C16+C24+C28</f>
        <v>9</v>
      </c>
      <c r="K13" s="112">
        <f>E13+E16+E24+E28</f>
        <v>84105</v>
      </c>
      <c r="L13" s="113">
        <f t="shared" si="1"/>
        <v>2.7011923401180297E-2</v>
      </c>
    </row>
    <row r="14" spans="1:16" ht="14.25" customHeight="1" x14ac:dyDescent="0.2">
      <c r="A14" s="108">
        <v>46212</v>
      </c>
      <c r="B14" s="110" t="s">
        <v>35</v>
      </c>
      <c r="C14" s="110">
        <v>5</v>
      </c>
      <c r="D14" s="111">
        <v>21170</v>
      </c>
      <c r="E14" s="112">
        <f t="shared" si="0"/>
        <v>105850</v>
      </c>
      <c r="F14" s="110" t="s">
        <v>50</v>
      </c>
      <c r="G14" s="71" t="s">
        <v>177</v>
      </c>
      <c r="I14" s="110" t="s">
        <v>35</v>
      </c>
      <c r="J14" s="110">
        <f>C14</f>
        <v>5</v>
      </c>
      <c r="K14" s="112">
        <f>E14</f>
        <v>105850</v>
      </c>
      <c r="L14" s="113">
        <f t="shared" si="1"/>
        <v>3.3995744510016461E-2</v>
      </c>
    </row>
    <row r="15" spans="1:16" ht="14.25" customHeight="1" x14ac:dyDescent="0.2">
      <c r="A15" s="108">
        <v>46212</v>
      </c>
      <c r="B15" s="115" t="s">
        <v>65</v>
      </c>
      <c r="C15" s="110">
        <v>3</v>
      </c>
      <c r="D15" s="111">
        <v>11910</v>
      </c>
      <c r="E15" s="112">
        <f t="shared" si="0"/>
        <v>35730</v>
      </c>
      <c r="F15" s="110" t="s">
        <v>157</v>
      </c>
      <c r="G15" s="71" t="s">
        <v>179</v>
      </c>
      <c r="I15" s="127" t="s">
        <v>37</v>
      </c>
      <c r="J15" s="110">
        <f>C18+C37+C44</f>
        <v>6</v>
      </c>
      <c r="K15" s="112">
        <f>E18+E37+E44</f>
        <v>53280</v>
      </c>
      <c r="L15" s="113">
        <f t="shared" si="1"/>
        <v>1.7111887269661567E-2</v>
      </c>
    </row>
    <row r="16" spans="1:16" ht="14.25" customHeight="1" x14ac:dyDescent="0.2">
      <c r="A16" s="108">
        <v>46212</v>
      </c>
      <c r="B16" s="117" t="s">
        <v>80</v>
      </c>
      <c r="C16" s="110">
        <v>3</v>
      </c>
      <c r="D16" s="111">
        <v>9345</v>
      </c>
      <c r="E16" s="112">
        <f t="shared" si="0"/>
        <v>28035</v>
      </c>
      <c r="F16" s="110" t="s">
        <v>157</v>
      </c>
      <c r="G16" s="71" t="s">
        <v>179</v>
      </c>
      <c r="I16" s="128" t="s">
        <v>21</v>
      </c>
      <c r="J16" s="110">
        <f>C19+C50</f>
        <v>5</v>
      </c>
      <c r="K16" s="112">
        <f>E19+E50</f>
        <v>43000</v>
      </c>
      <c r="L16" s="113">
        <f t="shared" si="1"/>
        <v>1.3810269380545184E-2</v>
      </c>
    </row>
    <row r="17" spans="1:12" ht="14.25" customHeight="1" x14ac:dyDescent="0.2">
      <c r="A17" s="108">
        <v>46212</v>
      </c>
      <c r="B17" s="114" t="s">
        <v>36</v>
      </c>
      <c r="C17" s="110">
        <v>2</v>
      </c>
      <c r="D17" s="111">
        <v>15525</v>
      </c>
      <c r="E17" s="112">
        <f t="shared" si="0"/>
        <v>31050</v>
      </c>
      <c r="F17" s="110" t="s">
        <v>157</v>
      </c>
      <c r="G17" s="71" t="s">
        <v>179</v>
      </c>
      <c r="I17" s="129" t="s">
        <v>22</v>
      </c>
      <c r="J17" s="110">
        <f>C20+C27+C31+C47+C49</f>
        <v>11</v>
      </c>
      <c r="K17" s="112">
        <f>E20+E27+E31+E47+E49</f>
        <v>98700</v>
      </c>
      <c r="L17" s="113">
        <f t="shared" si="1"/>
        <v>3.1699385764181624E-2</v>
      </c>
    </row>
    <row r="18" spans="1:12" ht="14.25" customHeight="1" x14ac:dyDescent="0.2">
      <c r="A18" s="108">
        <v>46212</v>
      </c>
      <c r="B18" s="127" t="s">
        <v>37</v>
      </c>
      <c r="C18" s="110">
        <v>3</v>
      </c>
      <c r="D18" s="111">
        <v>8880</v>
      </c>
      <c r="E18" s="112">
        <f t="shared" si="0"/>
        <v>26640</v>
      </c>
      <c r="F18" s="110" t="s">
        <v>157</v>
      </c>
      <c r="G18" s="71" t="s">
        <v>179</v>
      </c>
      <c r="I18" s="110" t="s">
        <v>181</v>
      </c>
      <c r="J18" s="110">
        <f>C21</f>
        <v>1</v>
      </c>
      <c r="K18" s="112">
        <f>E21</f>
        <v>17000</v>
      </c>
      <c r="L18" s="113">
        <f t="shared" si="1"/>
        <v>5.4598739411457703E-3</v>
      </c>
    </row>
    <row r="19" spans="1:12" ht="14.25" customHeight="1" x14ac:dyDescent="0.2">
      <c r="A19" s="108">
        <v>46212</v>
      </c>
      <c r="B19" s="128" t="s">
        <v>21</v>
      </c>
      <c r="C19" s="110">
        <v>4</v>
      </c>
      <c r="D19" s="111">
        <v>8500</v>
      </c>
      <c r="E19" s="112">
        <f t="shared" si="0"/>
        <v>34000</v>
      </c>
      <c r="F19" s="110" t="s">
        <v>81</v>
      </c>
      <c r="G19" s="71" t="s">
        <v>180</v>
      </c>
      <c r="I19" s="110" t="s">
        <v>43</v>
      </c>
      <c r="J19" s="110">
        <f>C22</f>
        <v>1</v>
      </c>
      <c r="K19" s="112">
        <f>E22</f>
        <v>18300</v>
      </c>
      <c r="L19" s="113">
        <f t="shared" si="1"/>
        <v>5.8773937131157417E-3</v>
      </c>
    </row>
    <row r="20" spans="1:12" ht="14.25" customHeight="1" x14ac:dyDescent="0.2">
      <c r="A20" s="108">
        <v>46212</v>
      </c>
      <c r="B20" s="129" t="s">
        <v>22</v>
      </c>
      <c r="C20" s="110">
        <v>2</v>
      </c>
      <c r="D20" s="111">
        <v>9200</v>
      </c>
      <c r="E20" s="112">
        <f t="shared" si="0"/>
        <v>18400</v>
      </c>
      <c r="F20" s="110" t="s">
        <v>81</v>
      </c>
      <c r="G20" s="71" t="s">
        <v>180</v>
      </c>
      <c r="I20" s="110" t="s">
        <v>87</v>
      </c>
      <c r="J20" s="110">
        <f>C33</f>
        <v>2</v>
      </c>
      <c r="K20" s="112">
        <f>E33</f>
        <v>42800</v>
      </c>
      <c r="L20" s="113">
        <f t="shared" si="1"/>
        <v>1.3746035569472881E-2</v>
      </c>
    </row>
    <row r="21" spans="1:12" ht="14.25" customHeight="1" x14ac:dyDescent="0.2">
      <c r="A21" s="108">
        <v>46212</v>
      </c>
      <c r="B21" s="110" t="s">
        <v>181</v>
      </c>
      <c r="C21" s="110">
        <v>1</v>
      </c>
      <c r="D21" s="111">
        <v>17000</v>
      </c>
      <c r="E21" s="112">
        <f t="shared" si="0"/>
        <v>17000</v>
      </c>
      <c r="F21" s="110" t="s">
        <v>81</v>
      </c>
      <c r="G21" s="71" t="s">
        <v>180</v>
      </c>
      <c r="I21" s="110" t="s">
        <v>93</v>
      </c>
      <c r="J21" s="110">
        <f>C39</f>
        <v>1</v>
      </c>
      <c r="K21" s="112">
        <f>E39</f>
        <v>11415</v>
      </c>
      <c r="L21" s="113">
        <f t="shared" si="1"/>
        <v>3.6661447669517041E-3</v>
      </c>
    </row>
    <row r="22" spans="1:12" ht="14.25" customHeight="1" x14ac:dyDescent="0.2">
      <c r="A22" s="108">
        <v>46212</v>
      </c>
      <c r="B22" s="110" t="s">
        <v>43</v>
      </c>
      <c r="C22" s="110">
        <v>1</v>
      </c>
      <c r="D22" s="111">
        <v>18300</v>
      </c>
      <c r="E22" s="112">
        <f t="shared" si="0"/>
        <v>18300</v>
      </c>
      <c r="F22" s="110" t="s">
        <v>81</v>
      </c>
      <c r="G22" s="71" t="s">
        <v>180</v>
      </c>
      <c r="I22" s="110" t="s">
        <v>101</v>
      </c>
      <c r="J22" s="110">
        <f>C40</f>
        <v>2</v>
      </c>
      <c r="K22" s="112">
        <f>E40</f>
        <v>26040</v>
      </c>
      <c r="L22" s="113">
        <f t="shared" si="1"/>
        <v>8.3632422016138748E-3</v>
      </c>
    </row>
    <row r="23" spans="1:12" ht="14.25" customHeight="1" x14ac:dyDescent="0.2">
      <c r="A23" s="108">
        <v>46212</v>
      </c>
      <c r="B23" s="115" t="s">
        <v>65</v>
      </c>
      <c r="C23" s="110">
        <v>4</v>
      </c>
      <c r="D23" s="111">
        <v>11910</v>
      </c>
      <c r="E23" s="112">
        <f t="shared" si="0"/>
        <v>47640</v>
      </c>
      <c r="F23" s="110" t="s">
        <v>154</v>
      </c>
      <c r="G23" s="71" t="s">
        <v>182</v>
      </c>
      <c r="I23" s="130" t="s">
        <v>24</v>
      </c>
      <c r="J23" s="110">
        <f>C48+C51</f>
        <v>2</v>
      </c>
      <c r="K23" s="112">
        <f>E48+E51</f>
        <v>10300</v>
      </c>
      <c r="L23" s="113">
        <f t="shared" si="1"/>
        <v>3.3080412702236142E-3</v>
      </c>
    </row>
    <row r="24" spans="1:12" ht="14.25" customHeight="1" x14ac:dyDescent="0.2">
      <c r="A24" s="108">
        <v>46212</v>
      </c>
      <c r="B24" s="117" t="s">
        <v>80</v>
      </c>
      <c r="C24" s="110">
        <v>2</v>
      </c>
      <c r="D24" s="111">
        <v>9345</v>
      </c>
      <c r="E24" s="112">
        <f t="shared" si="0"/>
        <v>18690</v>
      </c>
      <c r="F24" s="110" t="s">
        <v>154</v>
      </c>
      <c r="G24" s="71" t="s">
        <v>182</v>
      </c>
      <c r="I24" s="110" t="s">
        <v>768</v>
      </c>
      <c r="J24" s="110">
        <f>SUM(J2:J23)</f>
        <v>236</v>
      </c>
      <c r="K24" s="112">
        <f>SUM(K2:K23)</f>
        <v>3113625</v>
      </c>
      <c r="L24" s="113">
        <f t="shared" si="1"/>
        <v>1</v>
      </c>
    </row>
    <row r="25" spans="1:12" ht="14.25" customHeight="1" x14ac:dyDescent="0.2">
      <c r="A25" s="108">
        <v>46212</v>
      </c>
      <c r="B25" s="114" t="s">
        <v>36</v>
      </c>
      <c r="C25" s="110">
        <v>1</v>
      </c>
      <c r="D25" s="111">
        <v>15525</v>
      </c>
      <c r="E25" s="112">
        <f t="shared" si="0"/>
        <v>15525</v>
      </c>
      <c r="F25" s="110" t="s">
        <v>154</v>
      </c>
      <c r="G25" s="71" t="s">
        <v>182</v>
      </c>
    </row>
    <row r="26" spans="1:12" ht="25.5" customHeight="1" x14ac:dyDescent="0.2">
      <c r="A26" s="108">
        <v>46212</v>
      </c>
      <c r="B26" s="116" t="s">
        <v>44</v>
      </c>
      <c r="C26" s="110">
        <v>1</v>
      </c>
      <c r="D26" s="111">
        <v>9200</v>
      </c>
      <c r="E26" s="112">
        <f t="shared" si="0"/>
        <v>9200</v>
      </c>
      <c r="F26" s="110" t="s">
        <v>15</v>
      </c>
      <c r="G26" s="71" t="s">
        <v>183</v>
      </c>
      <c r="I26" s="107" t="s">
        <v>758</v>
      </c>
      <c r="J26" s="107" t="s">
        <v>757</v>
      </c>
      <c r="K26" s="107" t="s">
        <v>762</v>
      </c>
      <c r="L26" s="107" t="s">
        <v>769</v>
      </c>
    </row>
    <row r="27" spans="1:12" ht="14.25" customHeight="1" x14ac:dyDescent="0.2">
      <c r="A27" s="108">
        <v>46212</v>
      </c>
      <c r="B27" s="129" t="s">
        <v>22</v>
      </c>
      <c r="C27" s="110">
        <v>1</v>
      </c>
      <c r="D27" s="111">
        <v>9200</v>
      </c>
      <c r="E27" s="112">
        <f t="shared" si="0"/>
        <v>9200</v>
      </c>
      <c r="F27" s="110" t="s">
        <v>15</v>
      </c>
      <c r="G27" s="71" t="s">
        <v>183</v>
      </c>
      <c r="I27" s="110" t="s">
        <v>152</v>
      </c>
      <c r="J27" s="112">
        <f>E2</f>
        <v>775800</v>
      </c>
      <c r="K27" s="113">
        <f t="shared" ref="K27:K36" si="2">J27/J$36</f>
        <v>0.24916295314946404</v>
      </c>
      <c r="L27" s="113">
        <v>0.13700000000000001</v>
      </c>
    </row>
    <row r="28" spans="1:12" ht="14.25" customHeight="1" x14ac:dyDescent="0.2">
      <c r="A28" s="108">
        <v>46212</v>
      </c>
      <c r="B28" s="117" t="s">
        <v>80</v>
      </c>
      <c r="C28" s="110">
        <v>2</v>
      </c>
      <c r="D28" s="111">
        <v>9345</v>
      </c>
      <c r="E28" s="112">
        <f t="shared" si="0"/>
        <v>18690</v>
      </c>
      <c r="F28" s="110" t="s">
        <v>95</v>
      </c>
      <c r="G28" s="71" t="s">
        <v>184</v>
      </c>
      <c r="I28" s="110" t="s">
        <v>29</v>
      </c>
      <c r="J28" s="112">
        <f>E3+E31+E32+E33+E34+E35+E36+E37+E38+E39+E40+E41+E42+E43+E44+E45+E46+E47+E48</f>
        <v>727460</v>
      </c>
      <c r="K28" s="113">
        <f t="shared" si="2"/>
        <v>0.23363764101328838</v>
      </c>
      <c r="L28" s="113">
        <v>5.9700000000000003E-2</v>
      </c>
    </row>
    <row r="29" spans="1:12" ht="14.25" customHeight="1" x14ac:dyDescent="0.2">
      <c r="A29" s="108">
        <v>46212</v>
      </c>
      <c r="B29" s="115" t="s">
        <v>65</v>
      </c>
      <c r="C29" s="110">
        <v>3</v>
      </c>
      <c r="D29" s="111">
        <v>11910</v>
      </c>
      <c r="E29" s="112">
        <f t="shared" si="0"/>
        <v>35730</v>
      </c>
      <c r="F29" s="110" t="s">
        <v>95</v>
      </c>
      <c r="G29" s="71" t="s">
        <v>184</v>
      </c>
      <c r="I29" s="110" t="s">
        <v>50</v>
      </c>
      <c r="J29" s="112">
        <f>E4+E5+E6+E7+E8+E9+E10+E11+E12+E13+E14</f>
        <v>1191685</v>
      </c>
      <c r="K29" s="113">
        <f t="shared" si="2"/>
        <v>0.38273234573848808</v>
      </c>
      <c r="L29" s="113">
        <v>4.1700000000000001E-2</v>
      </c>
    </row>
    <row r="30" spans="1:12" ht="14.25" customHeight="1" x14ac:dyDescent="0.2">
      <c r="A30" s="108">
        <v>46212</v>
      </c>
      <c r="B30" s="114" t="s">
        <v>36</v>
      </c>
      <c r="C30" s="110">
        <v>2</v>
      </c>
      <c r="D30" s="111">
        <v>15525</v>
      </c>
      <c r="E30" s="112">
        <f t="shared" si="0"/>
        <v>31050</v>
      </c>
      <c r="F30" s="110" t="s">
        <v>95</v>
      </c>
      <c r="G30" s="71" t="s">
        <v>184</v>
      </c>
      <c r="I30" s="110" t="s">
        <v>157</v>
      </c>
      <c r="J30" s="112">
        <f>E15+E16+E17+E18</f>
        <v>121455</v>
      </c>
      <c r="K30" s="113">
        <f t="shared" si="2"/>
        <v>3.9007587618932915E-2</v>
      </c>
      <c r="L30" s="113">
        <v>6.0400000000000002E-2</v>
      </c>
    </row>
    <row r="31" spans="1:12" ht="14.25" customHeight="1" x14ac:dyDescent="0.2">
      <c r="A31" s="108">
        <v>46212</v>
      </c>
      <c r="B31" s="129" t="s">
        <v>22</v>
      </c>
      <c r="C31" s="110">
        <v>5</v>
      </c>
      <c r="D31" s="111">
        <v>8800</v>
      </c>
      <c r="E31" s="112">
        <f t="shared" si="0"/>
        <v>44000</v>
      </c>
      <c r="F31" s="110" t="s">
        <v>29</v>
      </c>
      <c r="G31" s="71" t="s">
        <v>185</v>
      </c>
      <c r="I31" s="110" t="s">
        <v>81</v>
      </c>
      <c r="J31" s="112">
        <f>E19+E20+E21+E22</f>
        <v>87700</v>
      </c>
      <c r="K31" s="113">
        <f t="shared" si="2"/>
        <v>2.8166526155204947E-2</v>
      </c>
      <c r="L31" s="113">
        <v>5.0599999999999999E-2</v>
      </c>
    </row>
    <row r="32" spans="1:12" ht="14.25" customHeight="1" x14ac:dyDescent="0.2">
      <c r="A32" s="108">
        <v>46212</v>
      </c>
      <c r="B32" s="116" t="s">
        <v>44</v>
      </c>
      <c r="C32" s="110">
        <v>10</v>
      </c>
      <c r="D32" s="111">
        <v>9200</v>
      </c>
      <c r="E32" s="112">
        <f t="shared" si="0"/>
        <v>92000</v>
      </c>
      <c r="F32" s="110" t="s">
        <v>29</v>
      </c>
      <c r="G32" s="71" t="s">
        <v>185</v>
      </c>
      <c r="I32" s="110" t="s">
        <v>154</v>
      </c>
      <c r="J32" s="112">
        <f>E23+E24+E25</f>
        <v>81855</v>
      </c>
      <c r="K32" s="113">
        <f t="shared" si="2"/>
        <v>2.6289293026616884E-2</v>
      </c>
      <c r="L32" s="113">
        <v>6.2E-2</v>
      </c>
    </row>
    <row r="33" spans="1:12" ht="14.25" customHeight="1" x14ac:dyDescent="0.2">
      <c r="A33" s="108">
        <v>46212</v>
      </c>
      <c r="B33" s="110" t="s">
        <v>87</v>
      </c>
      <c r="C33" s="110">
        <v>2</v>
      </c>
      <c r="D33" s="111">
        <v>21400</v>
      </c>
      <c r="E33" s="112">
        <f t="shared" si="0"/>
        <v>42800</v>
      </c>
      <c r="F33" s="110" t="s">
        <v>29</v>
      </c>
      <c r="G33" s="71" t="s">
        <v>185</v>
      </c>
      <c r="I33" s="110" t="s">
        <v>15</v>
      </c>
      <c r="J33" s="112">
        <f>E26+E27</f>
        <v>18400</v>
      </c>
      <c r="K33" s="113">
        <f t="shared" si="2"/>
        <v>5.9095106186518925E-3</v>
      </c>
      <c r="L33" s="113">
        <v>4.2000000000000003E-2</v>
      </c>
    </row>
    <row r="34" spans="1:12" ht="14.25" customHeight="1" x14ac:dyDescent="0.2">
      <c r="A34" s="108">
        <v>46212</v>
      </c>
      <c r="B34" s="114" t="s">
        <v>36</v>
      </c>
      <c r="C34" s="110">
        <v>2</v>
      </c>
      <c r="D34" s="111">
        <v>15525</v>
      </c>
      <c r="E34" s="112">
        <f t="shared" ref="E34:E51" si="3">C34*D34</f>
        <v>31050</v>
      </c>
      <c r="F34" s="110" t="s">
        <v>29</v>
      </c>
      <c r="G34" s="71" t="s">
        <v>185</v>
      </c>
      <c r="I34" s="110" t="s">
        <v>95</v>
      </c>
      <c r="J34" s="112">
        <f>E28+E29+E30</f>
        <v>85470</v>
      </c>
      <c r="K34" s="113">
        <f t="shared" si="2"/>
        <v>2.7450319161748764E-2</v>
      </c>
      <c r="L34" s="113">
        <v>3.9399999999999998E-2</v>
      </c>
    </row>
    <row r="35" spans="1:12" ht="14.25" customHeight="1" x14ac:dyDescent="0.2">
      <c r="A35" s="108">
        <v>46212</v>
      </c>
      <c r="B35" s="115" t="s">
        <v>65</v>
      </c>
      <c r="C35" s="110">
        <v>2</v>
      </c>
      <c r="D35" s="111">
        <v>11910</v>
      </c>
      <c r="E35" s="112">
        <f t="shared" si="3"/>
        <v>23820</v>
      </c>
      <c r="F35" s="110" t="s">
        <v>29</v>
      </c>
      <c r="G35" s="71" t="s">
        <v>185</v>
      </c>
      <c r="I35" s="110" t="s">
        <v>122</v>
      </c>
      <c r="J35" s="112">
        <f>E49+E50+E51</f>
        <v>23800</v>
      </c>
      <c r="K35" s="113">
        <f t="shared" si="2"/>
        <v>7.6438235176040786E-3</v>
      </c>
      <c r="L35" s="113">
        <v>7.7399999999999997E-2</v>
      </c>
    </row>
    <row r="36" spans="1:12" ht="14.25" customHeight="1" x14ac:dyDescent="0.2">
      <c r="A36" s="108">
        <v>46212</v>
      </c>
      <c r="B36" s="119" t="s">
        <v>45</v>
      </c>
      <c r="C36" s="110">
        <v>3</v>
      </c>
      <c r="D36" s="111">
        <v>13335</v>
      </c>
      <c r="E36" s="112">
        <f t="shared" si="3"/>
        <v>40005</v>
      </c>
      <c r="F36" s="110" t="s">
        <v>29</v>
      </c>
      <c r="G36" s="71" t="s">
        <v>185</v>
      </c>
      <c r="I36" s="110" t="s">
        <v>770</v>
      </c>
      <c r="J36" s="112">
        <f>SUM(J27:J35)</f>
        <v>3113625</v>
      </c>
      <c r="K36" s="113">
        <f t="shared" si="2"/>
        <v>1</v>
      </c>
      <c r="L36" s="72"/>
    </row>
    <row r="37" spans="1:12" ht="14.25" customHeight="1" x14ac:dyDescent="0.2">
      <c r="A37" s="108">
        <v>46212</v>
      </c>
      <c r="B37" s="127" t="s">
        <v>37</v>
      </c>
      <c r="C37" s="110">
        <v>2</v>
      </c>
      <c r="D37" s="111">
        <v>8880</v>
      </c>
      <c r="E37" s="112">
        <f t="shared" si="3"/>
        <v>17760</v>
      </c>
      <c r="F37" s="110" t="s">
        <v>29</v>
      </c>
      <c r="G37" s="71" t="s">
        <v>185</v>
      </c>
    </row>
    <row r="38" spans="1:12" ht="25.5" customHeight="1" x14ac:dyDescent="0.2">
      <c r="A38" s="108">
        <v>46212</v>
      </c>
      <c r="B38" s="121" t="s">
        <v>70</v>
      </c>
      <c r="C38" s="110">
        <v>1</v>
      </c>
      <c r="D38" s="111">
        <v>13460</v>
      </c>
      <c r="E38" s="112">
        <f t="shared" si="3"/>
        <v>13460</v>
      </c>
      <c r="F38" s="110" t="s">
        <v>29</v>
      </c>
      <c r="G38" s="71" t="s">
        <v>185</v>
      </c>
      <c r="I38" s="107" t="s">
        <v>759</v>
      </c>
      <c r="J38" s="107" t="s">
        <v>757</v>
      </c>
      <c r="K38" s="107" t="s">
        <v>769</v>
      </c>
    </row>
    <row r="39" spans="1:12" ht="14.25" customHeight="1" x14ac:dyDescent="0.2">
      <c r="A39" s="108">
        <v>46212</v>
      </c>
      <c r="B39" s="110" t="s">
        <v>93</v>
      </c>
      <c r="C39" s="110">
        <v>1</v>
      </c>
      <c r="D39" s="111">
        <v>11415</v>
      </c>
      <c r="E39" s="112">
        <f t="shared" si="3"/>
        <v>11415</v>
      </c>
      <c r="F39" s="110" t="s">
        <v>29</v>
      </c>
      <c r="G39" s="71" t="s">
        <v>185</v>
      </c>
      <c r="I39" s="118" t="s">
        <v>175</v>
      </c>
      <c r="J39" s="112">
        <v>895800</v>
      </c>
      <c r="K39" s="113">
        <v>0.14000000000000001</v>
      </c>
    </row>
    <row r="40" spans="1:12" ht="14.25" customHeight="1" x14ac:dyDescent="0.2">
      <c r="A40" s="108">
        <v>46212</v>
      </c>
      <c r="B40" s="110" t="s">
        <v>101</v>
      </c>
      <c r="C40" s="110">
        <v>2</v>
      </c>
      <c r="D40" s="111">
        <v>13020</v>
      </c>
      <c r="E40" s="112">
        <f t="shared" si="3"/>
        <v>26040</v>
      </c>
      <c r="F40" s="110" t="s">
        <v>29</v>
      </c>
      <c r="G40" s="71" t="s">
        <v>185</v>
      </c>
      <c r="I40" s="118" t="s">
        <v>176</v>
      </c>
      <c r="J40" s="112">
        <v>216950</v>
      </c>
      <c r="K40" s="113">
        <v>0</v>
      </c>
    </row>
    <row r="41" spans="1:12" ht="14.25" customHeight="1" x14ac:dyDescent="0.2">
      <c r="A41" s="108">
        <v>46212</v>
      </c>
      <c r="B41" s="120" t="s">
        <v>69</v>
      </c>
      <c r="C41" s="110">
        <v>1</v>
      </c>
      <c r="D41" s="111">
        <v>14450</v>
      </c>
      <c r="E41" s="112">
        <f t="shared" si="3"/>
        <v>14450</v>
      </c>
      <c r="F41" s="110" t="s">
        <v>29</v>
      </c>
      <c r="G41" s="71" t="s">
        <v>185</v>
      </c>
      <c r="I41" s="118" t="s">
        <v>177</v>
      </c>
      <c r="J41" s="112">
        <v>1224685</v>
      </c>
      <c r="K41" s="113">
        <v>0.04</v>
      </c>
    </row>
    <row r="42" spans="1:12" ht="14.25" customHeight="1" x14ac:dyDescent="0.2">
      <c r="A42" s="108">
        <v>46212</v>
      </c>
      <c r="B42" s="119" t="s">
        <v>45</v>
      </c>
      <c r="C42" s="110">
        <v>5</v>
      </c>
      <c r="D42" s="111">
        <v>13335</v>
      </c>
      <c r="E42" s="112">
        <f t="shared" si="3"/>
        <v>66675</v>
      </c>
      <c r="F42" s="110" t="s">
        <v>29</v>
      </c>
      <c r="G42" s="71" t="s">
        <v>186</v>
      </c>
      <c r="I42" s="118" t="s">
        <v>179</v>
      </c>
      <c r="J42" s="112">
        <v>141255</v>
      </c>
      <c r="K42" s="113">
        <v>0.06</v>
      </c>
    </row>
    <row r="43" spans="1:12" ht="14.25" customHeight="1" x14ac:dyDescent="0.2">
      <c r="A43" s="108">
        <v>46212</v>
      </c>
      <c r="B43" s="115" t="s">
        <v>65</v>
      </c>
      <c r="C43" s="110">
        <v>2</v>
      </c>
      <c r="D43" s="111">
        <v>11910</v>
      </c>
      <c r="E43" s="112">
        <f t="shared" si="3"/>
        <v>23820</v>
      </c>
      <c r="F43" s="110" t="s">
        <v>29</v>
      </c>
      <c r="G43" s="71" t="s">
        <v>187</v>
      </c>
      <c r="I43" s="118" t="s">
        <v>180</v>
      </c>
      <c r="J43" s="112">
        <v>87700</v>
      </c>
      <c r="K43" s="113">
        <v>0.05</v>
      </c>
    </row>
    <row r="44" spans="1:12" ht="14.25" customHeight="1" x14ac:dyDescent="0.2">
      <c r="A44" s="108">
        <v>46212</v>
      </c>
      <c r="B44" s="127" t="s">
        <v>37</v>
      </c>
      <c r="C44" s="110">
        <v>1</v>
      </c>
      <c r="D44" s="111">
        <v>8880</v>
      </c>
      <c r="E44" s="112">
        <f t="shared" si="3"/>
        <v>8880</v>
      </c>
      <c r="F44" s="110" t="s">
        <v>29</v>
      </c>
      <c r="G44" s="71" t="s">
        <v>187</v>
      </c>
      <c r="I44" s="118" t="s">
        <v>182</v>
      </c>
      <c r="J44" s="112">
        <v>94455</v>
      </c>
      <c r="K44" s="113">
        <v>0.06</v>
      </c>
    </row>
    <row r="45" spans="1:12" ht="14.25" customHeight="1" x14ac:dyDescent="0.2">
      <c r="A45" s="108">
        <v>46212</v>
      </c>
      <c r="B45" s="116" t="s">
        <v>44</v>
      </c>
      <c r="C45" s="110">
        <v>2</v>
      </c>
      <c r="D45" s="111">
        <v>9200</v>
      </c>
      <c r="E45" s="112">
        <f t="shared" si="3"/>
        <v>18400</v>
      </c>
      <c r="F45" s="110" t="s">
        <v>29</v>
      </c>
      <c r="G45" s="71" t="s">
        <v>187</v>
      </c>
      <c r="I45" s="118" t="s">
        <v>183</v>
      </c>
      <c r="J45" s="112">
        <v>18400</v>
      </c>
      <c r="K45" s="113">
        <v>0.04</v>
      </c>
    </row>
    <row r="46" spans="1:12" ht="14.25" customHeight="1" x14ac:dyDescent="0.2">
      <c r="A46" s="108">
        <v>46212</v>
      </c>
      <c r="B46" s="119" t="s">
        <v>45</v>
      </c>
      <c r="C46" s="110">
        <v>1</v>
      </c>
      <c r="D46" s="111">
        <v>13335</v>
      </c>
      <c r="E46" s="112">
        <f t="shared" si="3"/>
        <v>13335</v>
      </c>
      <c r="F46" s="110" t="s">
        <v>29</v>
      </c>
      <c r="G46" s="71" t="s">
        <v>187</v>
      </c>
      <c r="I46" s="118" t="s">
        <v>184</v>
      </c>
      <c r="J46" s="112">
        <v>95970</v>
      </c>
      <c r="K46" s="113">
        <v>0.04</v>
      </c>
    </row>
    <row r="47" spans="1:12" ht="14.25" customHeight="1" x14ac:dyDescent="0.2">
      <c r="A47" s="108">
        <v>46212</v>
      </c>
      <c r="B47" s="129" t="s">
        <v>22</v>
      </c>
      <c r="C47" s="110">
        <v>2</v>
      </c>
      <c r="D47" s="111">
        <v>8800</v>
      </c>
      <c r="E47" s="112">
        <f t="shared" si="3"/>
        <v>17600</v>
      </c>
      <c r="F47" s="110" t="s">
        <v>29</v>
      </c>
      <c r="G47" s="71" t="s">
        <v>187</v>
      </c>
      <c r="I47" s="118" t="s">
        <v>185</v>
      </c>
      <c r="J47" s="112">
        <v>411800</v>
      </c>
      <c r="K47" s="113">
        <v>7.0000000000000007E-2</v>
      </c>
    </row>
    <row r="48" spans="1:12" ht="14.25" customHeight="1" x14ac:dyDescent="0.2">
      <c r="A48" s="108">
        <v>46212</v>
      </c>
      <c r="B48" s="130" t="s">
        <v>24</v>
      </c>
      <c r="C48" s="110">
        <v>1</v>
      </c>
      <c r="D48" s="111">
        <v>5000</v>
      </c>
      <c r="E48" s="112">
        <f t="shared" si="3"/>
        <v>5000</v>
      </c>
      <c r="F48" s="110" t="s">
        <v>29</v>
      </c>
      <c r="G48" s="71" t="s">
        <v>187</v>
      </c>
      <c r="I48" s="118" t="s">
        <v>186</v>
      </c>
      <c r="J48" s="112">
        <v>76675</v>
      </c>
      <c r="K48" s="113">
        <v>0.16</v>
      </c>
    </row>
    <row r="49" spans="1:11" ht="14.25" customHeight="1" x14ac:dyDescent="0.2">
      <c r="A49" s="108">
        <v>46212</v>
      </c>
      <c r="B49" s="129" t="s">
        <v>22</v>
      </c>
      <c r="C49" s="110">
        <v>1</v>
      </c>
      <c r="D49" s="111">
        <v>9500</v>
      </c>
      <c r="E49" s="112">
        <f t="shared" si="3"/>
        <v>9500</v>
      </c>
      <c r="F49" s="110" t="s">
        <v>122</v>
      </c>
      <c r="G49" s="71" t="s">
        <v>188</v>
      </c>
      <c r="I49" s="118" t="s">
        <v>187</v>
      </c>
      <c r="J49" s="112">
        <v>101635</v>
      </c>
      <c r="K49" s="113">
        <v>7.0000000000000007E-2</v>
      </c>
    </row>
    <row r="50" spans="1:11" ht="14.25" customHeight="1" x14ac:dyDescent="0.2">
      <c r="A50" s="108">
        <v>46212</v>
      </c>
      <c r="B50" s="128" t="s">
        <v>21</v>
      </c>
      <c r="C50" s="110">
        <v>1</v>
      </c>
      <c r="D50" s="111">
        <v>9000</v>
      </c>
      <c r="E50" s="112">
        <f t="shared" si="3"/>
        <v>9000</v>
      </c>
      <c r="F50" s="110" t="s">
        <v>122</v>
      </c>
      <c r="G50" s="71" t="s">
        <v>188</v>
      </c>
      <c r="I50" s="118" t="s">
        <v>188</v>
      </c>
      <c r="J50" s="112">
        <v>23800</v>
      </c>
      <c r="K50" s="113">
        <v>0.08</v>
      </c>
    </row>
    <row r="51" spans="1:11" ht="14.25" customHeight="1" x14ac:dyDescent="0.2">
      <c r="A51" s="108">
        <v>46212</v>
      </c>
      <c r="B51" s="130" t="s">
        <v>24</v>
      </c>
      <c r="C51" s="110">
        <v>1</v>
      </c>
      <c r="D51" s="111">
        <v>5300</v>
      </c>
      <c r="E51" s="112">
        <f t="shared" si="3"/>
        <v>5300</v>
      </c>
      <c r="F51" s="110" t="s">
        <v>122</v>
      </c>
      <c r="G51" s="71" t="s">
        <v>188</v>
      </c>
      <c r="I51" s="110" t="s">
        <v>770</v>
      </c>
      <c r="J51" s="112">
        <f>SUM(J39:J50)</f>
        <v>3389125</v>
      </c>
      <c r="K51" s="72"/>
    </row>
    <row r="52" spans="1:11" ht="14.25" customHeight="1" x14ac:dyDescent="0.2">
      <c r="A52" s="72"/>
      <c r="B52" s="110" t="s">
        <v>768</v>
      </c>
      <c r="C52" s="110">
        <f>SUM(C2:C51)</f>
        <v>236</v>
      </c>
      <c r="D52" s="110">
        <f>SUM(D2:D51)</f>
        <v>618610</v>
      </c>
      <c r="E52" s="112">
        <f>SUM(E2:E51)</f>
        <v>3113625</v>
      </c>
      <c r="F52" s="72"/>
      <c r="G52" s="72"/>
    </row>
  </sheetData>
  <hyperlinks>
    <hyperlink ref="G2" r:id="rId1" xr:uid="{00000000-0004-0000-0C00-000000000000}"/>
    <hyperlink ref="G3" r:id="rId2" xr:uid="{00000000-0004-0000-0C00-000001000000}"/>
    <hyperlink ref="G4" r:id="rId3" xr:uid="{00000000-0004-0000-0C00-000002000000}"/>
    <hyperlink ref="G5" r:id="rId4" xr:uid="{00000000-0004-0000-0C00-000003000000}"/>
    <hyperlink ref="G6" r:id="rId5" xr:uid="{00000000-0004-0000-0C00-000004000000}"/>
    <hyperlink ref="G7" r:id="rId6" xr:uid="{00000000-0004-0000-0C00-000005000000}"/>
    <hyperlink ref="G8" r:id="rId7" xr:uid="{00000000-0004-0000-0C00-000006000000}"/>
    <hyperlink ref="G9" r:id="rId8" xr:uid="{00000000-0004-0000-0C00-000007000000}"/>
    <hyperlink ref="G10" r:id="rId9" xr:uid="{00000000-0004-0000-0C00-000008000000}"/>
    <hyperlink ref="G11" r:id="rId10" xr:uid="{00000000-0004-0000-0C00-000009000000}"/>
    <hyperlink ref="G12" r:id="rId11" xr:uid="{00000000-0004-0000-0C00-00000A000000}"/>
    <hyperlink ref="G13" r:id="rId12" xr:uid="{00000000-0004-0000-0C00-00000B000000}"/>
    <hyperlink ref="G14" r:id="rId13" xr:uid="{00000000-0004-0000-0C00-00000C000000}"/>
    <hyperlink ref="G15" r:id="rId14" xr:uid="{00000000-0004-0000-0C00-00000D000000}"/>
    <hyperlink ref="G16" r:id="rId15" xr:uid="{00000000-0004-0000-0C00-00000E000000}"/>
    <hyperlink ref="G17" r:id="rId16" xr:uid="{00000000-0004-0000-0C00-00000F000000}"/>
    <hyperlink ref="G18" r:id="rId17" xr:uid="{00000000-0004-0000-0C00-000010000000}"/>
    <hyperlink ref="G19" r:id="rId18" xr:uid="{00000000-0004-0000-0C00-000011000000}"/>
    <hyperlink ref="G20" r:id="rId19" xr:uid="{00000000-0004-0000-0C00-000012000000}"/>
    <hyperlink ref="G21" r:id="rId20" xr:uid="{00000000-0004-0000-0C00-000013000000}"/>
    <hyperlink ref="G22" r:id="rId21" xr:uid="{00000000-0004-0000-0C00-000014000000}"/>
    <hyperlink ref="G23" r:id="rId22" xr:uid="{00000000-0004-0000-0C00-000015000000}"/>
    <hyperlink ref="G24" r:id="rId23" xr:uid="{00000000-0004-0000-0C00-000016000000}"/>
    <hyperlink ref="G25" r:id="rId24" xr:uid="{00000000-0004-0000-0C00-000017000000}"/>
    <hyperlink ref="G26" r:id="rId25" xr:uid="{00000000-0004-0000-0C00-000018000000}"/>
    <hyperlink ref="G27" r:id="rId26" xr:uid="{00000000-0004-0000-0C00-000019000000}"/>
    <hyperlink ref="G28" r:id="rId27" xr:uid="{00000000-0004-0000-0C00-00001A000000}"/>
    <hyperlink ref="G29" r:id="rId28" xr:uid="{00000000-0004-0000-0C00-00001B000000}"/>
    <hyperlink ref="G30" r:id="rId29" xr:uid="{00000000-0004-0000-0C00-00001C000000}"/>
    <hyperlink ref="G31" r:id="rId30" xr:uid="{00000000-0004-0000-0C00-00001D000000}"/>
    <hyperlink ref="G32" r:id="rId31" xr:uid="{00000000-0004-0000-0C00-00001E000000}"/>
    <hyperlink ref="G33" r:id="rId32" xr:uid="{00000000-0004-0000-0C00-00001F000000}"/>
    <hyperlink ref="G34" r:id="rId33" xr:uid="{00000000-0004-0000-0C00-000020000000}"/>
    <hyperlink ref="G35" r:id="rId34" xr:uid="{00000000-0004-0000-0C00-000021000000}"/>
    <hyperlink ref="G36" r:id="rId35" xr:uid="{00000000-0004-0000-0C00-000022000000}"/>
    <hyperlink ref="G37" r:id="rId36" xr:uid="{00000000-0004-0000-0C00-000023000000}"/>
    <hyperlink ref="G38" r:id="rId37" xr:uid="{00000000-0004-0000-0C00-000024000000}"/>
    <hyperlink ref="G39" r:id="rId38" xr:uid="{00000000-0004-0000-0C00-000025000000}"/>
    <hyperlink ref="I39" r:id="rId39" xr:uid="{00000000-0004-0000-0C00-000026000000}"/>
    <hyperlink ref="G40" r:id="rId40" xr:uid="{00000000-0004-0000-0C00-000027000000}"/>
    <hyperlink ref="I40" r:id="rId41" xr:uid="{00000000-0004-0000-0C00-000028000000}"/>
    <hyperlink ref="G41" r:id="rId42" xr:uid="{00000000-0004-0000-0C00-000029000000}"/>
    <hyperlink ref="I41" r:id="rId43" xr:uid="{00000000-0004-0000-0C00-00002A000000}"/>
    <hyperlink ref="G42" r:id="rId44" xr:uid="{00000000-0004-0000-0C00-00002B000000}"/>
    <hyperlink ref="I42" r:id="rId45" xr:uid="{00000000-0004-0000-0C00-00002C000000}"/>
    <hyperlink ref="G43" r:id="rId46" xr:uid="{00000000-0004-0000-0C00-00002D000000}"/>
    <hyperlink ref="I43" r:id="rId47" xr:uid="{00000000-0004-0000-0C00-00002E000000}"/>
    <hyperlink ref="G44" r:id="rId48" xr:uid="{00000000-0004-0000-0C00-00002F000000}"/>
    <hyperlink ref="I44" r:id="rId49" xr:uid="{00000000-0004-0000-0C00-000030000000}"/>
    <hyperlink ref="G45" r:id="rId50" xr:uid="{00000000-0004-0000-0C00-000031000000}"/>
    <hyperlink ref="I45" r:id="rId51" xr:uid="{00000000-0004-0000-0C00-000032000000}"/>
    <hyperlink ref="G46" r:id="rId52" xr:uid="{00000000-0004-0000-0C00-000033000000}"/>
    <hyperlink ref="I46" r:id="rId53" xr:uid="{00000000-0004-0000-0C00-000034000000}"/>
    <hyperlink ref="G47" r:id="rId54" xr:uid="{00000000-0004-0000-0C00-000035000000}"/>
    <hyperlink ref="I47" r:id="rId55" xr:uid="{00000000-0004-0000-0C00-000036000000}"/>
    <hyperlink ref="G48" r:id="rId56" xr:uid="{00000000-0004-0000-0C00-000037000000}"/>
    <hyperlink ref="I48" r:id="rId57" xr:uid="{00000000-0004-0000-0C00-000038000000}"/>
    <hyperlink ref="G49" r:id="rId58" xr:uid="{00000000-0004-0000-0C00-000039000000}"/>
    <hyperlink ref="I49" r:id="rId59" xr:uid="{00000000-0004-0000-0C00-00003A000000}"/>
    <hyperlink ref="G50" r:id="rId60" xr:uid="{00000000-0004-0000-0C00-00003B000000}"/>
    <hyperlink ref="I50" r:id="rId61" xr:uid="{00000000-0004-0000-0C00-00003C000000}"/>
    <hyperlink ref="G51" r:id="rId62" xr:uid="{00000000-0004-0000-0C00-00003D000000}"/>
  </hyperlinks>
  <pageMargins left="0.75" right="0.75" top="1" bottom="1" header="0.511811023622047" footer="0.511811023622047"/>
  <pageSetup paperSize="9" orientation="portrait" horizontalDpi="300" verticalDpi="300"/>
  <drawing r:id="rId6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1"/>
  <sheetViews>
    <sheetView topLeftCell="A2" zoomScale="63" zoomScaleNormal="63" workbookViewId="0">
      <selection activeCell="P23" sqref="P23"/>
    </sheetView>
  </sheetViews>
  <sheetFormatPr defaultColWidth="8.609375" defaultRowHeight="15" x14ac:dyDescent="0.2"/>
  <cols>
    <col min="1" max="1" width="9.4140625" style="38" customWidth="1"/>
    <col min="2" max="2" width="17.890625" style="38" customWidth="1"/>
    <col min="3" max="3" width="10.89453125" style="38" customWidth="1"/>
    <col min="4" max="4" width="14.66015625" style="38" customWidth="1"/>
    <col min="5" max="5" width="12.5078125" style="38" customWidth="1"/>
    <col min="6" max="6" width="15.6015625" style="38" customWidth="1"/>
    <col min="7" max="7" width="11.8359375" style="38" customWidth="1"/>
    <col min="8" max="8" width="2.95703125" style="38" customWidth="1"/>
    <col min="9" max="9" width="17.8906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46213</v>
      </c>
      <c r="B2" s="110" t="s">
        <v>190</v>
      </c>
      <c r="C2" s="110">
        <v>10</v>
      </c>
      <c r="D2" s="111">
        <v>28445</v>
      </c>
      <c r="E2" s="112">
        <f t="shared" ref="E2:E13" si="0">C2*D2</f>
        <v>284450</v>
      </c>
      <c r="F2" s="110" t="s">
        <v>104</v>
      </c>
      <c r="G2" s="71" t="s">
        <v>189</v>
      </c>
      <c r="I2" s="110" t="s">
        <v>190</v>
      </c>
      <c r="J2" s="110">
        <f>C2</f>
        <v>10</v>
      </c>
      <c r="K2" s="112">
        <f>E2</f>
        <v>284450</v>
      </c>
      <c r="L2" s="113">
        <f t="shared" ref="L2:L12" si="1">K2/K$12</f>
        <v>0.18600742852658836</v>
      </c>
      <c r="N2" s="112">
        <f>K12</f>
        <v>1529240</v>
      </c>
      <c r="O2" s="110">
        <f>J12</f>
        <v>231</v>
      </c>
      <c r="P2" s="110">
        <f>COUNT(J2:J11)</f>
        <v>10</v>
      </c>
    </row>
    <row r="3" spans="1:16" ht="14.25" customHeight="1" x14ac:dyDescent="0.2">
      <c r="A3" s="108">
        <v>46213</v>
      </c>
      <c r="B3" s="110" t="s">
        <v>24</v>
      </c>
      <c r="C3" s="110">
        <v>200</v>
      </c>
      <c r="D3" s="111">
        <v>5000</v>
      </c>
      <c r="E3" s="112">
        <f t="shared" si="0"/>
        <v>1000000</v>
      </c>
      <c r="F3" s="110" t="s">
        <v>25</v>
      </c>
      <c r="G3" s="71" t="s">
        <v>191</v>
      </c>
      <c r="I3" s="110" t="s">
        <v>24</v>
      </c>
      <c r="J3" s="110">
        <f>C3</f>
        <v>200</v>
      </c>
      <c r="K3" s="112">
        <f>E3</f>
        <v>1000000</v>
      </c>
      <c r="L3" s="113">
        <f t="shared" si="1"/>
        <v>0.65391959404671607</v>
      </c>
    </row>
    <row r="4" spans="1:16" ht="14.25" customHeight="1" x14ac:dyDescent="0.2">
      <c r="A4" s="108">
        <v>46213</v>
      </c>
      <c r="B4" s="110" t="s">
        <v>150</v>
      </c>
      <c r="C4" s="110">
        <v>5</v>
      </c>
      <c r="D4" s="111">
        <v>10315</v>
      </c>
      <c r="E4" s="112">
        <f t="shared" si="0"/>
        <v>51575</v>
      </c>
      <c r="F4" s="110" t="s">
        <v>29</v>
      </c>
      <c r="G4" s="71" t="s">
        <v>192</v>
      </c>
      <c r="I4" s="110" t="s">
        <v>150</v>
      </c>
      <c r="J4" s="110">
        <f>C4</f>
        <v>5</v>
      </c>
      <c r="K4" s="112">
        <f>E4</f>
        <v>51575</v>
      </c>
      <c r="L4" s="113">
        <f t="shared" si="1"/>
        <v>3.3725903062959375E-2</v>
      </c>
    </row>
    <row r="5" spans="1:16" ht="14.25" customHeight="1" x14ac:dyDescent="0.2">
      <c r="A5" s="108">
        <v>46213</v>
      </c>
      <c r="B5" s="110" t="s">
        <v>65</v>
      </c>
      <c r="C5" s="110">
        <v>4</v>
      </c>
      <c r="D5" s="111">
        <v>11910</v>
      </c>
      <c r="E5" s="112">
        <f t="shared" si="0"/>
        <v>47640</v>
      </c>
      <c r="F5" s="110" t="s">
        <v>29</v>
      </c>
      <c r="G5" s="71" t="s">
        <v>192</v>
      </c>
      <c r="I5" s="110" t="s">
        <v>65</v>
      </c>
      <c r="J5" s="110">
        <f>C5</f>
        <v>4</v>
      </c>
      <c r="K5" s="112">
        <f>E5</f>
        <v>47640</v>
      </c>
      <c r="L5" s="113">
        <f t="shared" si="1"/>
        <v>3.115272946038555E-2</v>
      </c>
    </row>
    <row r="6" spans="1:16" ht="14.25" customHeight="1" x14ac:dyDescent="0.2">
      <c r="A6" s="108">
        <v>46213</v>
      </c>
      <c r="B6" s="110" t="s">
        <v>45</v>
      </c>
      <c r="C6" s="110">
        <v>1</v>
      </c>
      <c r="D6" s="111">
        <v>13335</v>
      </c>
      <c r="E6" s="112">
        <f t="shared" si="0"/>
        <v>13335</v>
      </c>
      <c r="F6" s="110" t="s">
        <v>81</v>
      </c>
      <c r="G6" s="71" t="s">
        <v>193</v>
      </c>
      <c r="I6" s="110" t="s">
        <v>45</v>
      </c>
      <c r="J6" s="110">
        <f>C6</f>
        <v>1</v>
      </c>
      <c r="K6" s="112">
        <f>E6</f>
        <v>13335</v>
      </c>
      <c r="L6" s="113">
        <f t="shared" si="1"/>
        <v>8.7200177866129588E-3</v>
      </c>
    </row>
    <row r="7" spans="1:16" ht="14.25" customHeight="1" x14ac:dyDescent="0.2">
      <c r="A7" s="108">
        <v>46213</v>
      </c>
      <c r="B7" s="120" t="s">
        <v>22</v>
      </c>
      <c r="C7" s="110">
        <v>1</v>
      </c>
      <c r="D7" s="111">
        <v>9200</v>
      </c>
      <c r="E7" s="112">
        <f t="shared" si="0"/>
        <v>9200</v>
      </c>
      <c r="F7" s="110" t="s">
        <v>81</v>
      </c>
      <c r="G7" s="71" t="s">
        <v>193</v>
      </c>
      <c r="I7" s="120" t="s">
        <v>22</v>
      </c>
      <c r="J7" s="110">
        <f>C7+C12+C13</f>
        <v>4</v>
      </c>
      <c r="K7" s="112">
        <f>E7+E12+E13</f>
        <v>37700</v>
      </c>
      <c r="L7" s="113">
        <f t="shared" si="1"/>
        <v>2.4652768695561194E-2</v>
      </c>
    </row>
    <row r="8" spans="1:16" ht="14.25" customHeight="1" x14ac:dyDescent="0.2">
      <c r="A8" s="108">
        <v>46213</v>
      </c>
      <c r="B8" s="110" t="s">
        <v>43</v>
      </c>
      <c r="C8" s="110">
        <v>1</v>
      </c>
      <c r="D8" s="111">
        <v>18300</v>
      </c>
      <c r="E8" s="112">
        <f t="shared" si="0"/>
        <v>18300</v>
      </c>
      <c r="F8" s="110" t="s">
        <v>81</v>
      </c>
      <c r="G8" s="71" t="s">
        <v>193</v>
      </c>
      <c r="I8" s="110" t="s">
        <v>43</v>
      </c>
      <c r="J8" s="110">
        <f>C8</f>
        <v>1</v>
      </c>
      <c r="K8" s="112">
        <f>E8</f>
        <v>18300</v>
      </c>
      <c r="L8" s="113">
        <f t="shared" si="1"/>
        <v>1.1966728571054902E-2</v>
      </c>
    </row>
    <row r="9" spans="1:16" ht="14.25" customHeight="1" x14ac:dyDescent="0.2">
      <c r="A9" s="108">
        <v>46213</v>
      </c>
      <c r="B9" s="110" t="s">
        <v>113</v>
      </c>
      <c r="C9" s="110">
        <v>1</v>
      </c>
      <c r="D9" s="111">
        <v>15115</v>
      </c>
      <c r="E9" s="112">
        <f t="shared" si="0"/>
        <v>15115</v>
      </c>
      <c r="F9" s="110" t="s">
        <v>81</v>
      </c>
      <c r="G9" s="71" t="s">
        <v>193</v>
      </c>
      <c r="I9" s="110" t="s">
        <v>113</v>
      </c>
      <c r="J9" s="110">
        <f>C9</f>
        <v>1</v>
      </c>
      <c r="K9" s="112">
        <f>E9</f>
        <v>15115</v>
      </c>
      <c r="L9" s="113">
        <f t="shared" si="1"/>
        <v>9.883994664016113E-3</v>
      </c>
    </row>
    <row r="10" spans="1:16" ht="14.25" customHeight="1" x14ac:dyDescent="0.2">
      <c r="A10" s="108">
        <v>46213</v>
      </c>
      <c r="B10" s="110" t="s">
        <v>141</v>
      </c>
      <c r="C10" s="110">
        <v>3</v>
      </c>
      <c r="D10" s="111">
        <v>14145</v>
      </c>
      <c r="E10" s="112">
        <f t="shared" si="0"/>
        <v>42435</v>
      </c>
      <c r="F10" s="110" t="s">
        <v>163</v>
      </c>
      <c r="G10" s="71" t="s">
        <v>194</v>
      </c>
      <c r="I10" s="110" t="s">
        <v>141</v>
      </c>
      <c r="J10" s="110">
        <f>C10</f>
        <v>3</v>
      </c>
      <c r="K10" s="112">
        <f>E10</f>
        <v>42435</v>
      </c>
      <c r="L10" s="113">
        <f t="shared" si="1"/>
        <v>2.7749077973372394E-2</v>
      </c>
    </row>
    <row r="11" spans="1:16" ht="14.25" customHeight="1" x14ac:dyDescent="0.2">
      <c r="A11" s="108">
        <v>46213</v>
      </c>
      <c r="B11" s="110" t="s">
        <v>80</v>
      </c>
      <c r="C11" s="110">
        <v>2</v>
      </c>
      <c r="D11" s="111">
        <v>9345</v>
      </c>
      <c r="E11" s="112">
        <f t="shared" si="0"/>
        <v>18690</v>
      </c>
      <c r="F11" s="110" t="s">
        <v>163</v>
      </c>
      <c r="G11" s="71" t="s">
        <v>194</v>
      </c>
      <c r="I11" s="110" t="s">
        <v>80</v>
      </c>
      <c r="J11" s="110">
        <f>C11</f>
        <v>2</v>
      </c>
      <c r="K11" s="112">
        <f>E11</f>
        <v>18690</v>
      </c>
      <c r="L11" s="113">
        <f t="shared" si="1"/>
        <v>1.2221757212733123E-2</v>
      </c>
    </row>
    <row r="12" spans="1:16" ht="14.25" customHeight="1" x14ac:dyDescent="0.2">
      <c r="A12" s="108">
        <v>46213</v>
      </c>
      <c r="B12" s="120" t="s">
        <v>22</v>
      </c>
      <c r="C12" s="110">
        <v>2</v>
      </c>
      <c r="D12" s="111">
        <v>9500</v>
      </c>
      <c r="E12" s="112">
        <f t="shared" si="0"/>
        <v>19000</v>
      </c>
      <c r="F12" s="110" t="s">
        <v>15</v>
      </c>
      <c r="G12" s="71" t="s">
        <v>195</v>
      </c>
      <c r="I12" s="110" t="s">
        <v>768</v>
      </c>
      <c r="J12" s="110">
        <f>SUM(J2:J11)</f>
        <v>231</v>
      </c>
      <c r="K12" s="112">
        <f>SUM(K2:K11)</f>
        <v>1529240</v>
      </c>
      <c r="L12" s="113">
        <f t="shared" si="1"/>
        <v>1</v>
      </c>
    </row>
    <row r="13" spans="1:16" ht="14.25" customHeight="1" x14ac:dyDescent="0.2">
      <c r="A13" s="108">
        <v>46213</v>
      </c>
      <c r="B13" s="120" t="s">
        <v>22</v>
      </c>
      <c r="C13" s="110">
        <v>1</v>
      </c>
      <c r="D13" s="111">
        <v>9500</v>
      </c>
      <c r="E13" s="112">
        <f t="shared" si="0"/>
        <v>9500</v>
      </c>
      <c r="F13" s="110" t="s">
        <v>15</v>
      </c>
      <c r="G13" s="71" t="s">
        <v>197</v>
      </c>
    </row>
    <row r="14" spans="1:16" ht="25.5" customHeight="1" x14ac:dyDescent="0.2">
      <c r="A14" s="72"/>
      <c r="B14" s="110" t="s">
        <v>768</v>
      </c>
      <c r="C14" s="110">
        <f>SUM(C2:C13)</f>
        <v>231</v>
      </c>
      <c r="D14" s="110">
        <f>SUM(D2:D13)</f>
        <v>154110</v>
      </c>
      <c r="E14" s="112">
        <f>SUM(E2:E13)</f>
        <v>1529240</v>
      </c>
      <c r="F14" s="72"/>
      <c r="G14" s="72"/>
      <c r="I14" s="107" t="s">
        <v>758</v>
      </c>
      <c r="J14" s="107" t="s">
        <v>757</v>
      </c>
      <c r="K14" s="107" t="s">
        <v>762</v>
      </c>
      <c r="L14" s="107" t="s">
        <v>769</v>
      </c>
    </row>
    <row r="15" spans="1:16" ht="14.25" customHeight="1" x14ac:dyDescent="0.2">
      <c r="I15" s="110" t="s">
        <v>104</v>
      </c>
      <c r="J15" s="112">
        <f>E2</f>
        <v>284450</v>
      </c>
      <c r="K15" s="113">
        <f t="shared" ref="K15:K21" si="2">J15/J$21</f>
        <v>0.18600742852658836</v>
      </c>
      <c r="L15" s="113">
        <v>8.8400000000000006E-2</v>
      </c>
    </row>
    <row r="16" spans="1:16" ht="14.25" customHeight="1" x14ac:dyDescent="0.2">
      <c r="I16" s="110" t="s">
        <v>25</v>
      </c>
      <c r="J16" s="112">
        <f>E3</f>
        <v>1000000</v>
      </c>
      <c r="K16" s="113">
        <f t="shared" si="2"/>
        <v>0.65391959404671607</v>
      </c>
      <c r="L16" s="113">
        <v>-0.04</v>
      </c>
    </row>
    <row r="17" spans="9:12" ht="14.25" customHeight="1" x14ac:dyDescent="0.2">
      <c r="I17" s="110" t="s">
        <v>29</v>
      </c>
      <c r="J17" s="112">
        <f>E4+E5</f>
        <v>99215</v>
      </c>
      <c r="K17" s="113">
        <f t="shared" si="2"/>
        <v>6.4878632523344928E-2</v>
      </c>
      <c r="L17" s="113">
        <v>6.0699999999999997E-2</v>
      </c>
    </row>
    <row r="18" spans="9:12" ht="14.25" customHeight="1" x14ac:dyDescent="0.2">
      <c r="I18" s="110" t="s">
        <v>81</v>
      </c>
      <c r="J18" s="112">
        <f>E6+E7+E8+E9</f>
        <v>55950</v>
      </c>
      <c r="K18" s="113">
        <f t="shared" si="2"/>
        <v>3.6586801286913759E-2</v>
      </c>
      <c r="L18" s="113">
        <v>5.2600000000000001E-2</v>
      </c>
    </row>
    <row r="19" spans="9:12" ht="14.25" customHeight="1" x14ac:dyDescent="0.2">
      <c r="I19" s="110" t="s">
        <v>163</v>
      </c>
      <c r="J19" s="112">
        <f>E10+E11</f>
        <v>61125</v>
      </c>
      <c r="K19" s="113">
        <f t="shared" si="2"/>
        <v>3.9970835186105516E-2</v>
      </c>
      <c r="L19" s="113">
        <v>4.2900000000000001E-2</v>
      </c>
    </row>
    <row r="20" spans="9:12" ht="14.25" customHeight="1" x14ac:dyDescent="0.2">
      <c r="I20" s="110" t="s">
        <v>15</v>
      </c>
      <c r="J20" s="112">
        <f>E12+E13</f>
        <v>28500</v>
      </c>
      <c r="K20" s="113">
        <f t="shared" si="2"/>
        <v>1.8636708430331408E-2</v>
      </c>
      <c r="L20" s="113">
        <v>9.9199999999999997E-2</v>
      </c>
    </row>
    <row r="21" spans="9:12" ht="14.25" customHeight="1" x14ac:dyDescent="0.2">
      <c r="I21" s="110" t="s">
        <v>770</v>
      </c>
      <c r="J21" s="112">
        <f>SUM(J15:J20)</f>
        <v>1529240</v>
      </c>
      <c r="K21" s="113">
        <f t="shared" si="2"/>
        <v>1</v>
      </c>
      <c r="L21" s="72"/>
    </row>
    <row r="23" spans="9:12" ht="25.5" customHeight="1" x14ac:dyDescent="0.2">
      <c r="I23" s="107" t="s">
        <v>759</v>
      </c>
      <c r="J23" s="107" t="s">
        <v>757</v>
      </c>
      <c r="K23" s="107" t="s">
        <v>769</v>
      </c>
    </row>
    <row r="24" spans="9:12" ht="14.25" customHeight="1" x14ac:dyDescent="0.2">
      <c r="I24" s="118" t="s">
        <v>189</v>
      </c>
      <c r="J24" s="112">
        <v>284450</v>
      </c>
      <c r="K24" s="113">
        <v>0.09</v>
      </c>
    </row>
    <row r="25" spans="9:12" ht="14.25" customHeight="1" x14ac:dyDescent="0.2">
      <c r="I25" s="118" t="s">
        <v>191</v>
      </c>
      <c r="J25" s="112">
        <v>1000000</v>
      </c>
      <c r="K25" s="113">
        <v>-0.04</v>
      </c>
    </row>
    <row r="26" spans="9:12" ht="14.25" customHeight="1" x14ac:dyDescent="0.2">
      <c r="I26" s="118" t="s">
        <v>192</v>
      </c>
      <c r="J26" s="112">
        <v>115415</v>
      </c>
      <c r="K26" s="113">
        <v>0.06</v>
      </c>
    </row>
    <row r="27" spans="9:12" ht="14.25" customHeight="1" x14ac:dyDescent="0.2">
      <c r="I27" s="118" t="s">
        <v>193</v>
      </c>
      <c r="J27" s="112">
        <v>55950</v>
      </c>
      <c r="K27" s="113">
        <v>0.05</v>
      </c>
    </row>
    <row r="28" spans="9:12" ht="14.25" customHeight="1" x14ac:dyDescent="0.2">
      <c r="I28" s="118" t="s">
        <v>194</v>
      </c>
      <c r="J28" s="112">
        <v>61125</v>
      </c>
      <c r="K28" s="113">
        <v>0.04</v>
      </c>
    </row>
    <row r="29" spans="9:12" ht="14.25" customHeight="1" x14ac:dyDescent="0.2">
      <c r="I29" s="71" t="s">
        <v>195</v>
      </c>
      <c r="J29" s="112">
        <v>22600</v>
      </c>
      <c r="K29" s="113">
        <v>0.1</v>
      </c>
    </row>
    <row r="30" spans="9:12" ht="14.25" customHeight="1" x14ac:dyDescent="0.2">
      <c r="I30" s="71" t="s">
        <v>197</v>
      </c>
      <c r="J30" s="112">
        <v>9500</v>
      </c>
      <c r="K30" s="113">
        <v>0.09</v>
      </c>
    </row>
    <row r="31" spans="9:12" ht="14.25" customHeight="1" x14ac:dyDescent="0.2">
      <c r="I31" s="110" t="s">
        <v>770</v>
      </c>
      <c r="J31" s="112">
        <f>SUM(J24:J30)</f>
        <v>1549040</v>
      </c>
      <c r="K31" s="72"/>
    </row>
  </sheetData>
  <hyperlinks>
    <hyperlink ref="G2" r:id="rId1" xr:uid="{00000000-0004-0000-0D00-000000000000}"/>
    <hyperlink ref="G3" r:id="rId2" xr:uid="{00000000-0004-0000-0D00-000001000000}"/>
    <hyperlink ref="G4" r:id="rId3" xr:uid="{00000000-0004-0000-0D00-000002000000}"/>
    <hyperlink ref="G5" r:id="rId4" xr:uid="{00000000-0004-0000-0D00-000003000000}"/>
    <hyperlink ref="G6" r:id="rId5" xr:uid="{00000000-0004-0000-0D00-000004000000}"/>
    <hyperlink ref="G7" r:id="rId6" xr:uid="{00000000-0004-0000-0D00-000005000000}"/>
    <hyperlink ref="G8" r:id="rId7" xr:uid="{00000000-0004-0000-0D00-000006000000}"/>
    <hyperlink ref="G9" r:id="rId8" xr:uid="{00000000-0004-0000-0D00-000007000000}"/>
    <hyperlink ref="G10" r:id="rId9" xr:uid="{00000000-0004-0000-0D00-000008000000}"/>
    <hyperlink ref="G11" r:id="rId10" xr:uid="{00000000-0004-0000-0D00-000009000000}"/>
    <hyperlink ref="G12" r:id="rId11" xr:uid="{00000000-0004-0000-0D00-00000A000000}"/>
    <hyperlink ref="G13" r:id="rId12" xr:uid="{00000000-0004-0000-0D00-00000B000000}"/>
    <hyperlink ref="I24" r:id="rId13" xr:uid="{00000000-0004-0000-0D00-00000C000000}"/>
    <hyperlink ref="I25" r:id="rId14" xr:uid="{00000000-0004-0000-0D00-00000D000000}"/>
    <hyperlink ref="I26" r:id="rId15" xr:uid="{00000000-0004-0000-0D00-00000E000000}"/>
    <hyperlink ref="I27" r:id="rId16" xr:uid="{00000000-0004-0000-0D00-00000F000000}"/>
    <hyperlink ref="I28" r:id="rId17" xr:uid="{00000000-0004-0000-0D00-000010000000}"/>
    <hyperlink ref="I29" r:id="rId18" xr:uid="{00000000-0004-0000-0D00-000011000000}"/>
    <hyperlink ref="I30" r:id="rId19" xr:uid="{00000000-0004-0000-0D00-000012000000}"/>
  </hyperlinks>
  <pageMargins left="0.75" right="0.75" top="1" bottom="1" header="0.511811023622047" footer="0.511811023622047"/>
  <pageSetup paperSize="9" orientation="portrait" horizontalDpi="300" verticalDpi="300"/>
  <drawing r:id="rId2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6"/>
  <sheetViews>
    <sheetView topLeftCell="A14" zoomScale="62" zoomScaleNormal="62" workbookViewId="0">
      <selection activeCell="P2" sqref="P2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0.89453125" style="38" customWidth="1"/>
    <col min="4" max="4" width="14.66015625" style="38" customWidth="1"/>
    <col min="5" max="5" width="12.5078125" style="38" customWidth="1"/>
    <col min="6" max="6" width="15.6015625" style="38" customWidth="1"/>
    <col min="7" max="7" width="11.8359375" style="38" customWidth="1"/>
    <col min="8" max="8" width="2.95703125" style="38" customWidth="1"/>
    <col min="9" max="9" width="18.9648437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46214</v>
      </c>
      <c r="B2" s="119" t="s">
        <v>21</v>
      </c>
      <c r="C2" s="110">
        <v>2</v>
      </c>
      <c r="D2" s="110">
        <v>9000</v>
      </c>
      <c r="E2" s="112">
        <f t="shared" ref="E2:E39" si="0">C2*D2</f>
        <v>18000</v>
      </c>
      <c r="F2" s="110" t="s">
        <v>102</v>
      </c>
      <c r="G2" s="71" t="s">
        <v>198</v>
      </c>
      <c r="I2" s="119" t="s">
        <v>21</v>
      </c>
      <c r="J2" s="110">
        <f>C2+C30</f>
        <v>3</v>
      </c>
      <c r="K2" s="112">
        <f>E2+E30</f>
        <v>27000</v>
      </c>
      <c r="L2" s="113">
        <f t="shared" ref="L2:L18" si="1">K2/K$18</f>
        <v>8.1727414855925166E-3</v>
      </c>
      <c r="N2" s="112">
        <f>K18</f>
        <v>3303665</v>
      </c>
      <c r="O2" s="110">
        <f>J18</f>
        <v>410</v>
      </c>
      <c r="P2" s="110">
        <f>COUNT(J2:J17)</f>
        <v>16</v>
      </c>
    </row>
    <row r="3" spans="1:16" ht="14.25" customHeight="1" x14ac:dyDescent="0.2">
      <c r="A3" s="108">
        <v>46214</v>
      </c>
      <c r="B3" s="120" t="s">
        <v>22</v>
      </c>
      <c r="C3" s="110">
        <v>3</v>
      </c>
      <c r="D3" s="110">
        <v>9500</v>
      </c>
      <c r="E3" s="112">
        <f t="shared" si="0"/>
        <v>28500</v>
      </c>
      <c r="F3" s="110" t="s">
        <v>102</v>
      </c>
      <c r="G3" s="71" t="s">
        <v>198</v>
      </c>
      <c r="I3" s="120" t="s">
        <v>22</v>
      </c>
      <c r="J3" s="110">
        <f>C3+C11+C14+C23+C29</f>
        <v>43</v>
      </c>
      <c r="K3" s="112">
        <f>E3+E11+E14+E23+E29</f>
        <v>395000</v>
      </c>
      <c r="L3" s="113">
        <f t="shared" si="1"/>
        <v>0.11956418099292755</v>
      </c>
    </row>
    <row r="4" spans="1:16" ht="14.25" customHeight="1" x14ac:dyDescent="0.2">
      <c r="A4" s="108">
        <v>46214</v>
      </c>
      <c r="B4" s="121" t="s">
        <v>44</v>
      </c>
      <c r="C4" s="110">
        <v>1</v>
      </c>
      <c r="D4" s="110">
        <v>9500</v>
      </c>
      <c r="E4" s="112">
        <f t="shared" si="0"/>
        <v>9500</v>
      </c>
      <c r="F4" s="110" t="s">
        <v>102</v>
      </c>
      <c r="G4" s="71" t="s">
        <v>198</v>
      </c>
      <c r="I4" s="121" t="s">
        <v>44</v>
      </c>
      <c r="J4" s="110">
        <f>C4+C12+C24+C31</f>
        <v>22</v>
      </c>
      <c r="K4" s="112">
        <f>E4+E12+E24+E31</f>
        <v>202700</v>
      </c>
      <c r="L4" s="113">
        <f t="shared" si="1"/>
        <v>6.1356099967763075E-2</v>
      </c>
    </row>
    <row r="5" spans="1:16" ht="14.25" customHeight="1" x14ac:dyDescent="0.2">
      <c r="A5" s="108">
        <v>46214</v>
      </c>
      <c r="B5" s="115" t="s">
        <v>36</v>
      </c>
      <c r="C5" s="110">
        <v>1</v>
      </c>
      <c r="D5" s="110">
        <v>16140</v>
      </c>
      <c r="E5" s="112">
        <f t="shared" si="0"/>
        <v>16140</v>
      </c>
      <c r="F5" s="110" t="s">
        <v>15</v>
      </c>
      <c r="G5" s="71" t="s">
        <v>199</v>
      </c>
      <c r="I5" s="115" t="s">
        <v>36</v>
      </c>
      <c r="J5" s="110">
        <f>C5+C16</f>
        <v>4</v>
      </c>
      <c r="K5" s="112">
        <f>E5+E16</f>
        <v>62715</v>
      </c>
      <c r="L5" s="113">
        <f t="shared" si="1"/>
        <v>1.8983462306256839E-2</v>
      </c>
    </row>
    <row r="6" spans="1:16" ht="14.25" customHeight="1" x14ac:dyDescent="0.2">
      <c r="A6" s="108">
        <v>46214</v>
      </c>
      <c r="B6" s="114" t="s">
        <v>24</v>
      </c>
      <c r="C6" s="110">
        <v>30</v>
      </c>
      <c r="D6" s="110">
        <v>5000</v>
      </c>
      <c r="E6" s="112">
        <f t="shared" si="0"/>
        <v>150000</v>
      </c>
      <c r="F6" s="110" t="s">
        <v>95</v>
      </c>
      <c r="G6" s="71" t="s">
        <v>200</v>
      </c>
      <c r="I6" s="114" t="s">
        <v>24</v>
      </c>
      <c r="J6" s="110">
        <f>C6+C8+C21</f>
        <v>230</v>
      </c>
      <c r="K6" s="112">
        <f>E6+E8+E21</f>
        <v>1150000</v>
      </c>
      <c r="L6" s="113">
        <f t="shared" si="1"/>
        <v>0.34809824846042198</v>
      </c>
    </row>
    <row r="7" spans="1:16" ht="14.25" customHeight="1" x14ac:dyDescent="0.2">
      <c r="A7" s="108">
        <v>46214</v>
      </c>
      <c r="B7" s="116" t="s">
        <v>45</v>
      </c>
      <c r="C7" s="110">
        <v>1</v>
      </c>
      <c r="D7" s="110">
        <v>13950</v>
      </c>
      <c r="E7" s="112">
        <f t="shared" si="0"/>
        <v>13950</v>
      </c>
      <c r="F7" s="110" t="s">
        <v>15</v>
      </c>
      <c r="G7" s="71" t="s">
        <v>201</v>
      </c>
      <c r="I7" s="116" t="s">
        <v>45</v>
      </c>
      <c r="J7" s="110">
        <f>C7+C9+C15+C25+C34</f>
        <v>37</v>
      </c>
      <c r="K7" s="112">
        <f>E7+E9+E15+E25+E34</f>
        <v>500775</v>
      </c>
      <c r="L7" s="113">
        <f t="shared" si="1"/>
        <v>0.15158165249805897</v>
      </c>
    </row>
    <row r="8" spans="1:16" ht="14.25" customHeight="1" x14ac:dyDescent="0.2">
      <c r="A8" s="108">
        <v>46214</v>
      </c>
      <c r="B8" s="114" t="s">
        <v>24</v>
      </c>
      <c r="C8" s="110">
        <v>100</v>
      </c>
      <c r="D8" s="110">
        <v>5000</v>
      </c>
      <c r="E8" s="112">
        <f t="shared" si="0"/>
        <v>500000</v>
      </c>
      <c r="F8" s="110" t="s">
        <v>106</v>
      </c>
      <c r="G8" s="71" t="s">
        <v>202</v>
      </c>
      <c r="I8" s="117" t="s">
        <v>87</v>
      </c>
      <c r="J8" s="110">
        <f>C10+C28+C37</f>
        <v>16</v>
      </c>
      <c r="K8" s="112">
        <f>E10+E28+E37</f>
        <v>348225</v>
      </c>
      <c r="L8" s="113">
        <f t="shared" si="1"/>
        <v>0.10540566310446126</v>
      </c>
    </row>
    <row r="9" spans="1:16" ht="14.25" customHeight="1" x14ac:dyDescent="0.2">
      <c r="A9" s="108">
        <v>46214</v>
      </c>
      <c r="B9" s="116" t="s">
        <v>45</v>
      </c>
      <c r="C9" s="110">
        <v>10</v>
      </c>
      <c r="D9" s="110">
        <v>13950</v>
      </c>
      <c r="E9" s="112">
        <f t="shared" si="0"/>
        <v>139500</v>
      </c>
      <c r="F9" s="110" t="s">
        <v>85</v>
      </c>
      <c r="G9" s="71" t="s">
        <v>203</v>
      </c>
      <c r="I9" s="111" t="s">
        <v>65</v>
      </c>
      <c r="J9" s="110">
        <f>C13+C26+C33</f>
        <v>15</v>
      </c>
      <c r="K9" s="112">
        <f>E13+E26+E33</f>
        <v>178650</v>
      </c>
      <c r="L9" s="113">
        <f t="shared" si="1"/>
        <v>5.4076306163003816E-2</v>
      </c>
    </row>
    <row r="10" spans="1:16" ht="14.25" customHeight="1" x14ac:dyDescent="0.2">
      <c r="A10" s="108">
        <v>46214</v>
      </c>
      <c r="B10" s="117" t="s">
        <v>87</v>
      </c>
      <c r="C10" s="110">
        <v>5</v>
      </c>
      <c r="D10" s="110">
        <v>22565</v>
      </c>
      <c r="E10" s="112">
        <f t="shared" si="0"/>
        <v>112825</v>
      </c>
      <c r="F10" s="110" t="s">
        <v>85</v>
      </c>
      <c r="G10" s="71" t="s">
        <v>203</v>
      </c>
      <c r="I10" s="131" t="s">
        <v>93</v>
      </c>
      <c r="J10" s="110">
        <f>C17+C35</f>
        <v>3</v>
      </c>
      <c r="K10" s="112">
        <f>E17+E35</f>
        <v>34430</v>
      </c>
      <c r="L10" s="113">
        <f t="shared" si="1"/>
        <v>1.0421758864775938E-2</v>
      </c>
    </row>
    <row r="11" spans="1:16" ht="14.25" customHeight="1" x14ac:dyDescent="0.2">
      <c r="A11" s="108">
        <v>46214</v>
      </c>
      <c r="B11" s="120" t="s">
        <v>22</v>
      </c>
      <c r="C11" s="110">
        <v>5</v>
      </c>
      <c r="D11" s="110">
        <v>9300</v>
      </c>
      <c r="E11" s="112">
        <f t="shared" si="0"/>
        <v>46500</v>
      </c>
      <c r="F11" s="110" t="s">
        <v>85</v>
      </c>
      <c r="G11" s="71" t="s">
        <v>203</v>
      </c>
      <c r="I11" s="110" t="s">
        <v>32</v>
      </c>
      <c r="J11" s="110">
        <f>C18</f>
        <v>1</v>
      </c>
      <c r="K11" s="112">
        <f>E18</f>
        <v>16145</v>
      </c>
      <c r="L11" s="113">
        <f t="shared" si="1"/>
        <v>4.886996714255229E-3</v>
      </c>
    </row>
    <row r="12" spans="1:16" ht="14.25" customHeight="1" x14ac:dyDescent="0.2">
      <c r="A12" s="108">
        <v>46214</v>
      </c>
      <c r="B12" s="121" t="s">
        <v>44</v>
      </c>
      <c r="C12" s="110">
        <v>10</v>
      </c>
      <c r="D12" s="110">
        <v>9200</v>
      </c>
      <c r="E12" s="112">
        <f t="shared" si="0"/>
        <v>92000</v>
      </c>
      <c r="F12" s="110" t="s">
        <v>29</v>
      </c>
      <c r="G12" s="71" t="s">
        <v>204</v>
      </c>
      <c r="I12" s="132" t="s">
        <v>113</v>
      </c>
      <c r="J12" s="110">
        <f>C19+C27</f>
        <v>11</v>
      </c>
      <c r="K12" s="112">
        <f>E19+E27</f>
        <v>159325</v>
      </c>
      <c r="L12" s="113">
        <f t="shared" si="1"/>
        <v>4.8226742118223247E-2</v>
      </c>
    </row>
    <row r="13" spans="1:16" ht="14.25" customHeight="1" x14ac:dyDescent="0.2">
      <c r="A13" s="108">
        <v>46214</v>
      </c>
      <c r="B13" s="111" t="s">
        <v>65</v>
      </c>
      <c r="C13" s="110">
        <v>5</v>
      </c>
      <c r="D13" s="110">
        <v>11910</v>
      </c>
      <c r="E13" s="112">
        <f t="shared" si="0"/>
        <v>59550</v>
      </c>
      <c r="F13" s="110" t="s">
        <v>29</v>
      </c>
      <c r="G13" s="71" t="s">
        <v>204</v>
      </c>
      <c r="I13" s="110" t="s">
        <v>77</v>
      </c>
      <c r="J13" s="110">
        <f>C20</f>
        <v>1</v>
      </c>
      <c r="K13" s="112">
        <f>E20</f>
        <v>17840</v>
      </c>
      <c r="L13" s="113">
        <f t="shared" si="1"/>
        <v>5.400063263072981E-3</v>
      </c>
    </row>
    <row r="14" spans="1:16" ht="14.25" customHeight="1" x14ac:dyDescent="0.2">
      <c r="A14" s="108">
        <v>46214</v>
      </c>
      <c r="B14" s="120" t="s">
        <v>22</v>
      </c>
      <c r="C14" s="110">
        <v>5</v>
      </c>
      <c r="D14" s="110">
        <v>8800</v>
      </c>
      <c r="E14" s="112">
        <f t="shared" si="0"/>
        <v>44000</v>
      </c>
      <c r="F14" s="110" t="s">
        <v>29</v>
      </c>
      <c r="G14" s="71" t="s">
        <v>204</v>
      </c>
      <c r="I14" s="110" t="s">
        <v>27</v>
      </c>
      <c r="J14" s="110">
        <f>C22</f>
        <v>20</v>
      </c>
      <c r="K14" s="112">
        <f>E22</f>
        <v>160400</v>
      </c>
      <c r="L14" s="113">
        <f t="shared" si="1"/>
        <v>4.8552138307001468E-2</v>
      </c>
    </row>
    <row r="15" spans="1:16" ht="14.25" customHeight="1" x14ac:dyDescent="0.2">
      <c r="A15" s="108">
        <v>46214</v>
      </c>
      <c r="B15" s="116" t="s">
        <v>45</v>
      </c>
      <c r="C15" s="110">
        <v>5</v>
      </c>
      <c r="D15" s="110">
        <v>13335</v>
      </c>
      <c r="E15" s="112">
        <f t="shared" si="0"/>
        <v>66675</v>
      </c>
      <c r="F15" s="110" t="s">
        <v>29</v>
      </c>
      <c r="G15" s="71" t="s">
        <v>204</v>
      </c>
      <c r="I15" s="128" t="s">
        <v>37</v>
      </c>
      <c r="J15" s="110">
        <f>C32+C39</f>
        <v>2</v>
      </c>
      <c r="K15" s="112">
        <f>E32+E39</f>
        <v>18700</v>
      </c>
      <c r="L15" s="113">
        <f t="shared" si="1"/>
        <v>5.6603802140955577E-3</v>
      </c>
    </row>
    <row r="16" spans="1:16" ht="14.25" customHeight="1" x14ac:dyDescent="0.2">
      <c r="A16" s="108">
        <v>46214</v>
      </c>
      <c r="B16" s="115" t="s">
        <v>36</v>
      </c>
      <c r="C16" s="110">
        <v>3</v>
      </c>
      <c r="D16" s="110">
        <v>15525</v>
      </c>
      <c r="E16" s="112">
        <f t="shared" si="0"/>
        <v>46575</v>
      </c>
      <c r="F16" s="110" t="s">
        <v>29</v>
      </c>
      <c r="G16" s="71" t="s">
        <v>204</v>
      </c>
      <c r="I16" s="110" t="s">
        <v>43</v>
      </c>
      <c r="J16" s="110">
        <f>C36</f>
        <v>1</v>
      </c>
      <c r="K16" s="112">
        <f>E36</f>
        <v>18300</v>
      </c>
      <c r="L16" s="113">
        <f t="shared" si="1"/>
        <v>5.5393025624571497E-3</v>
      </c>
    </row>
    <row r="17" spans="1:12" ht="14.25" customHeight="1" x14ac:dyDescent="0.2">
      <c r="A17" s="108">
        <v>46214</v>
      </c>
      <c r="B17" s="131" t="s">
        <v>93</v>
      </c>
      <c r="C17" s="110">
        <v>2</v>
      </c>
      <c r="D17" s="110">
        <v>11415</v>
      </c>
      <c r="E17" s="112">
        <f t="shared" si="0"/>
        <v>22830</v>
      </c>
      <c r="F17" s="110" t="s">
        <v>29</v>
      </c>
      <c r="G17" s="71" t="s">
        <v>204</v>
      </c>
      <c r="I17" s="110" t="s">
        <v>70</v>
      </c>
      <c r="J17" s="110">
        <f>C38</f>
        <v>1</v>
      </c>
      <c r="K17" s="112">
        <f>E38</f>
        <v>13460</v>
      </c>
      <c r="L17" s="113">
        <f t="shared" si="1"/>
        <v>4.0742629776324172E-3</v>
      </c>
    </row>
    <row r="18" spans="1:12" ht="14.25" customHeight="1" x14ac:dyDescent="0.2">
      <c r="A18" s="108">
        <v>46214</v>
      </c>
      <c r="B18" s="110" t="s">
        <v>32</v>
      </c>
      <c r="C18" s="110">
        <v>1</v>
      </c>
      <c r="D18" s="110">
        <v>16145</v>
      </c>
      <c r="E18" s="112">
        <f t="shared" si="0"/>
        <v>16145</v>
      </c>
      <c r="F18" s="110" t="s">
        <v>29</v>
      </c>
      <c r="G18" s="71" t="s">
        <v>204</v>
      </c>
      <c r="I18" s="110" t="s">
        <v>768</v>
      </c>
      <c r="J18" s="110">
        <f>SUM(J2:J17)</f>
        <v>410</v>
      </c>
      <c r="K18" s="112">
        <f>SUM(K2:K17)</f>
        <v>3303665</v>
      </c>
      <c r="L18" s="113">
        <f t="shared" si="1"/>
        <v>1</v>
      </c>
    </row>
    <row r="19" spans="1:12" ht="14.25" customHeight="1" x14ac:dyDescent="0.2">
      <c r="A19" s="108">
        <v>46214</v>
      </c>
      <c r="B19" s="132" t="s">
        <v>113</v>
      </c>
      <c r="C19" s="110">
        <v>1</v>
      </c>
      <c r="D19" s="110">
        <v>14575</v>
      </c>
      <c r="E19" s="112">
        <f t="shared" si="0"/>
        <v>14575</v>
      </c>
      <c r="F19" s="110" t="s">
        <v>29</v>
      </c>
      <c r="G19" s="71" t="s">
        <v>204</v>
      </c>
    </row>
    <row r="20" spans="1:12" ht="25.5" customHeight="1" x14ac:dyDescent="0.2">
      <c r="A20" s="108">
        <v>46214</v>
      </c>
      <c r="B20" s="110" t="s">
        <v>77</v>
      </c>
      <c r="C20" s="110">
        <v>1</v>
      </c>
      <c r="D20" s="110">
        <v>17840</v>
      </c>
      <c r="E20" s="112">
        <f t="shared" si="0"/>
        <v>17840</v>
      </c>
      <c r="F20" s="110" t="s">
        <v>29</v>
      </c>
      <c r="G20" s="71" t="s">
        <v>204</v>
      </c>
      <c r="I20" s="107" t="s">
        <v>758</v>
      </c>
      <c r="J20" s="107" t="s">
        <v>757</v>
      </c>
      <c r="K20" s="107" t="s">
        <v>762</v>
      </c>
      <c r="L20" s="107" t="s">
        <v>769</v>
      </c>
    </row>
    <row r="21" spans="1:12" ht="14.25" customHeight="1" x14ac:dyDescent="0.2">
      <c r="A21" s="108">
        <v>46214</v>
      </c>
      <c r="B21" s="114" t="s">
        <v>24</v>
      </c>
      <c r="C21" s="110">
        <v>100</v>
      </c>
      <c r="D21" s="110">
        <v>5000</v>
      </c>
      <c r="E21" s="112">
        <f t="shared" si="0"/>
        <v>500000</v>
      </c>
      <c r="F21" s="110" t="s">
        <v>25</v>
      </c>
      <c r="G21" s="71" t="s">
        <v>205</v>
      </c>
      <c r="I21" s="110" t="s">
        <v>102</v>
      </c>
      <c r="J21" s="112">
        <f>E2+E3+E4+E39</f>
        <v>65500</v>
      </c>
      <c r="K21" s="113">
        <f t="shared" ref="K21:K31" si="2">J21/J$31</f>
        <v>1.9826465455789252E-2</v>
      </c>
      <c r="L21" s="113">
        <v>8.8999999999999996E-2</v>
      </c>
    </row>
    <row r="22" spans="1:12" ht="14.25" customHeight="1" x14ac:dyDescent="0.2">
      <c r="A22" s="108">
        <v>46214</v>
      </c>
      <c r="B22" s="110" t="s">
        <v>27</v>
      </c>
      <c r="C22" s="110">
        <v>20</v>
      </c>
      <c r="D22" s="110">
        <v>8020</v>
      </c>
      <c r="E22" s="112">
        <f t="shared" si="0"/>
        <v>160400</v>
      </c>
      <c r="F22" s="110" t="s">
        <v>25</v>
      </c>
      <c r="G22" s="71" t="s">
        <v>205</v>
      </c>
      <c r="I22" s="110" t="s">
        <v>15</v>
      </c>
      <c r="J22" s="112">
        <f>E5+E7</f>
        <v>30090</v>
      </c>
      <c r="K22" s="113">
        <f t="shared" si="2"/>
        <v>9.1080663444992153E-3</v>
      </c>
      <c r="L22" s="113">
        <v>0.1341</v>
      </c>
    </row>
    <row r="23" spans="1:12" ht="14.25" customHeight="1" x14ac:dyDescent="0.2">
      <c r="A23" s="108">
        <v>46214</v>
      </c>
      <c r="B23" s="120" t="s">
        <v>22</v>
      </c>
      <c r="C23" s="110">
        <v>28</v>
      </c>
      <c r="D23" s="110">
        <v>9200</v>
      </c>
      <c r="E23" s="112">
        <f t="shared" si="0"/>
        <v>257600</v>
      </c>
      <c r="F23" s="110" t="s">
        <v>75</v>
      </c>
      <c r="G23" s="71" t="s">
        <v>206</v>
      </c>
      <c r="I23" s="110" t="s">
        <v>95</v>
      </c>
      <c r="J23" s="112">
        <f>E6</f>
        <v>150000</v>
      </c>
      <c r="K23" s="113">
        <f t="shared" si="2"/>
        <v>4.5404119364402869E-2</v>
      </c>
      <c r="L23" s="113">
        <v>-0.04</v>
      </c>
    </row>
    <row r="24" spans="1:12" ht="14.25" customHeight="1" x14ac:dyDescent="0.2">
      <c r="A24" s="108">
        <v>46214</v>
      </c>
      <c r="B24" s="121" t="s">
        <v>44</v>
      </c>
      <c r="C24" s="110">
        <v>10</v>
      </c>
      <c r="D24" s="110">
        <v>9200</v>
      </c>
      <c r="E24" s="112">
        <f t="shared" si="0"/>
        <v>92000</v>
      </c>
      <c r="F24" s="110" t="s">
        <v>50</v>
      </c>
      <c r="G24" s="71" t="s">
        <v>207</v>
      </c>
      <c r="I24" s="110" t="s">
        <v>106</v>
      </c>
      <c r="J24" s="112">
        <f>E8</f>
        <v>500000</v>
      </c>
      <c r="K24" s="113">
        <f t="shared" si="2"/>
        <v>0.15134706454800956</v>
      </c>
      <c r="L24" s="113">
        <v>-0.04</v>
      </c>
    </row>
    <row r="25" spans="1:12" ht="14.25" customHeight="1" x14ac:dyDescent="0.2">
      <c r="A25" s="108">
        <v>46214</v>
      </c>
      <c r="B25" s="116" t="s">
        <v>45</v>
      </c>
      <c r="C25" s="110">
        <v>20</v>
      </c>
      <c r="D25" s="110">
        <v>13335</v>
      </c>
      <c r="E25" s="112">
        <f t="shared" si="0"/>
        <v>266700</v>
      </c>
      <c r="F25" s="110" t="s">
        <v>50</v>
      </c>
      <c r="G25" s="71" t="s">
        <v>207</v>
      </c>
      <c r="I25" s="110" t="s">
        <v>85</v>
      </c>
      <c r="J25" s="112">
        <f>E9+E10+E11</f>
        <v>298825</v>
      </c>
      <c r="K25" s="113">
        <f t="shared" si="2"/>
        <v>9.0452573127117908E-2</v>
      </c>
      <c r="L25" s="113">
        <v>0.1638</v>
      </c>
    </row>
    <row r="26" spans="1:12" ht="14.25" customHeight="1" x14ac:dyDescent="0.2">
      <c r="A26" s="108">
        <v>46214</v>
      </c>
      <c r="B26" s="111" t="s">
        <v>65</v>
      </c>
      <c r="C26" s="110">
        <v>9</v>
      </c>
      <c r="D26" s="110">
        <v>11910</v>
      </c>
      <c r="E26" s="112">
        <f t="shared" si="0"/>
        <v>107190</v>
      </c>
      <c r="F26" s="110" t="s">
        <v>50</v>
      </c>
      <c r="G26" s="71" t="s">
        <v>207</v>
      </c>
      <c r="I26" s="110" t="s">
        <v>29</v>
      </c>
      <c r="J26" s="112">
        <f>E12+E13+E14+E15+E16+E17+E18+E19+E20</f>
        <v>380190</v>
      </c>
      <c r="K26" s="113">
        <f t="shared" si="2"/>
        <v>0.11508128094101551</v>
      </c>
      <c r="L26" s="113">
        <v>7.22E-2</v>
      </c>
    </row>
    <row r="27" spans="1:12" ht="14.25" customHeight="1" x14ac:dyDescent="0.2">
      <c r="A27" s="108">
        <v>46214</v>
      </c>
      <c r="B27" s="132" t="s">
        <v>113</v>
      </c>
      <c r="C27" s="110">
        <v>10</v>
      </c>
      <c r="D27" s="110">
        <v>14475</v>
      </c>
      <c r="E27" s="112">
        <f t="shared" si="0"/>
        <v>144750</v>
      </c>
      <c r="F27" s="110" t="s">
        <v>50</v>
      </c>
      <c r="G27" s="71" t="s">
        <v>207</v>
      </c>
      <c r="I27" s="110" t="s">
        <v>25</v>
      </c>
      <c r="J27" s="112">
        <f>E21+E22</f>
        <v>660400</v>
      </c>
      <c r="K27" s="113">
        <f t="shared" si="2"/>
        <v>0.19989920285501103</v>
      </c>
      <c r="L27" s="113">
        <v>-2.01E-2</v>
      </c>
    </row>
    <row r="28" spans="1:12" ht="14.25" customHeight="1" x14ac:dyDescent="0.2">
      <c r="A28" s="108">
        <v>46214</v>
      </c>
      <c r="B28" s="117" t="s">
        <v>87</v>
      </c>
      <c r="C28" s="110">
        <v>10</v>
      </c>
      <c r="D28" s="110">
        <v>21400</v>
      </c>
      <c r="E28" s="112">
        <f t="shared" si="0"/>
        <v>214000</v>
      </c>
      <c r="F28" s="110" t="s">
        <v>50</v>
      </c>
      <c r="G28" s="71" t="s">
        <v>207</v>
      </c>
      <c r="I28" s="110" t="s">
        <v>75</v>
      </c>
      <c r="J28" s="112">
        <f>E23</f>
        <v>257600</v>
      </c>
      <c r="K28" s="113">
        <f t="shared" si="2"/>
        <v>7.7974007655134528E-2</v>
      </c>
      <c r="L28" s="113">
        <v>7.8100000000000003E-2</v>
      </c>
    </row>
    <row r="29" spans="1:12" ht="14.25" customHeight="1" x14ac:dyDescent="0.2">
      <c r="A29" s="108">
        <v>46214</v>
      </c>
      <c r="B29" s="120" t="s">
        <v>22</v>
      </c>
      <c r="C29" s="110">
        <v>2</v>
      </c>
      <c r="D29" s="110">
        <v>9200</v>
      </c>
      <c r="E29" s="112">
        <f t="shared" si="0"/>
        <v>18400</v>
      </c>
      <c r="F29" s="110" t="s">
        <v>122</v>
      </c>
      <c r="G29" s="71" t="s">
        <v>208</v>
      </c>
      <c r="I29" s="110" t="s">
        <v>50</v>
      </c>
      <c r="J29" s="112">
        <f>E24+E25+E26+E27+E28</f>
        <v>824640</v>
      </c>
      <c r="K29" s="113">
        <f t="shared" si="2"/>
        <v>0.24961368661774119</v>
      </c>
      <c r="L29" s="113">
        <v>9.9500000000000005E-2</v>
      </c>
    </row>
    <row r="30" spans="1:12" ht="14.25" customHeight="1" x14ac:dyDescent="0.2">
      <c r="A30" s="108">
        <v>46214</v>
      </c>
      <c r="B30" s="119" t="s">
        <v>21</v>
      </c>
      <c r="C30" s="110">
        <v>1</v>
      </c>
      <c r="D30" s="110">
        <v>9000</v>
      </c>
      <c r="E30" s="112">
        <f t="shared" si="0"/>
        <v>9000</v>
      </c>
      <c r="F30" s="110" t="s">
        <v>122</v>
      </c>
      <c r="G30" s="71" t="s">
        <v>208</v>
      </c>
      <c r="I30" s="110" t="s">
        <v>122</v>
      </c>
      <c r="J30" s="112">
        <f>E29+E30+E31+E32+E33+E34+E35+E36+E37+E38</f>
        <v>136420</v>
      </c>
      <c r="K30" s="113">
        <f t="shared" si="2"/>
        <v>4.1293533091278929E-2</v>
      </c>
      <c r="L30" s="113">
        <v>5.7700000000000001E-2</v>
      </c>
    </row>
    <row r="31" spans="1:12" ht="14.25" customHeight="1" x14ac:dyDescent="0.2">
      <c r="A31" s="108">
        <v>46214</v>
      </c>
      <c r="B31" s="121" t="s">
        <v>44</v>
      </c>
      <c r="C31" s="110">
        <v>1</v>
      </c>
      <c r="D31" s="110">
        <v>9200</v>
      </c>
      <c r="E31" s="112">
        <f t="shared" si="0"/>
        <v>9200</v>
      </c>
      <c r="F31" s="110" t="s">
        <v>122</v>
      </c>
      <c r="G31" s="71" t="s">
        <v>208</v>
      </c>
      <c r="I31" s="110" t="s">
        <v>770</v>
      </c>
      <c r="J31" s="112">
        <f>SUM(J21:J30)</f>
        <v>3303665</v>
      </c>
      <c r="K31" s="113">
        <f t="shared" si="2"/>
        <v>1</v>
      </c>
      <c r="L31" s="72"/>
    </row>
    <row r="32" spans="1:12" ht="14.25" customHeight="1" x14ac:dyDescent="0.2">
      <c r="A32" s="108">
        <v>46214</v>
      </c>
      <c r="B32" s="128" t="s">
        <v>37</v>
      </c>
      <c r="C32" s="110">
        <v>1</v>
      </c>
      <c r="D32" s="110">
        <v>9200</v>
      </c>
      <c r="E32" s="112">
        <f t="shared" si="0"/>
        <v>9200</v>
      </c>
      <c r="F32" s="110" t="s">
        <v>122</v>
      </c>
      <c r="G32" s="71" t="s">
        <v>208</v>
      </c>
    </row>
    <row r="33" spans="1:11" ht="25.5" customHeight="1" x14ac:dyDescent="0.2">
      <c r="A33" s="108">
        <v>46214</v>
      </c>
      <c r="B33" s="111" t="s">
        <v>65</v>
      </c>
      <c r="C33" s="110">
        <v>1</v>
      </c>
      <c r="D33" s="110">
        <v>11910</v>
      </c>
      <c r="E33" s="112">
        <f t="shared" si="0"/>
        <v>11910</v>
      </c>
      <c r="F33" s="110" t="s">
        <v>122</v>
      </c>
      <c r="G33" s="71" t="s">
        <v>208</v>
      </c>
      <c r="I33" s="107" t="s">
        <v>759</v>
      </c>
      <c r="J33" s="107" t="s">
        <v>757</v>
      </c>
      <c r="K33" s="107" t="s">
        <v>769</v>
      </c>
    </row>
    <row r="34" spans="1:11" ht="14.25" customHeight="1" x14ac:dyDescent="0.2">
      <c r="A34" s="108">
        <v>46214</v>
      </c>
      <c r="B34" s="116" t="s">
        <v>45</v>
      </c>
      <c r="C34" s="110">
        <v>1</v>
      </c>
      <c r="D34" s="110">
        <v>13950</v>
      </c>
      <c r="E34" s="112">
        <f t="shared" si="0"/>
        <v>13950</v>
      </c>
      <c r="F34" s="110" t="s">
        <v>122</v>
      </c>
      <c r="G34" s="71" t="s">
        <v>208</v>
      </c>
      <c r="I34" s="118" t="s">
        <v>198</v>
      </c>
      <c r="J34" s="112">
        <v>56000</v>
      </c>
      <c r="K34" s="113">
        <v>0.09</v>
      </c>
    </row>
    <row r="35" spans="1:11" ht="14.25" customHeight="1" x14ac:dyDescent="0.2">
      <c r="A35" s="108">
        <v>46214</v>
      </c>
      <c r="B35" s="131" t="s">
        <v>93</v>
      </c>
      <c r="C35" s="110">
        <v>1</v>
      </c>
      <c r="D35" s="110">
        <v>11600</v>
      </c>
      <c r="E35" s="112">
        <f t="shared" si="0"/>
        <v>11600</v>
      </c>
      <c r="F35" s="110" t="s">
        <v>122</v>
      </c>
      <c r="G35" s="71" t="s">
        <v>208</v>
      </c>
      <c r="I35" s="118" t="s">
        <v>199</v>
      </c>
      <c r="J35" s="112">
        <v>16140</v>
      </c>
      <c r="K35" s="113">
        <v>0.08</v>
      </c>
    </row>
    <row r="36" spans="1:11" ht="14.25" customHeight="1" x14ac:dyDescent="0.2">
      <c r="A36" s="108">
        <v>46214</v>
      </c>
      <c r="B36" s="110" t="s">
        <v>43</v>
      </c>
      <c r="C36" s="110">
        <v>1</v>
      </c>
      <c r="D36" s="110">
        <v>18300</v>
      </c>
      <c r="E36" s="112">
        <f t="shared" si="0"/>
        <v>18300</v>
      </c>
      <c r="F36" s="110" t="s">
        <v>122</v>
      </c>
      <c r="G36" s="71" t="s">
        <v>208</v>
      </c>
      <c r="I36" s="118" t="s">
        <v>200</v>
      </c>
      <c r="J36" s="112">
        <v>150000</v>
      </c>
      <c r="K36" s="113">
        <v>-0.04</v>
      </c>
    </row>
    <row r="37" spans="1:11" ht="14.25" customHeight="1" x14ac:dyDescent="0.2">
      <c r="A37" s="108">
        <v>46214</v>
      </c>
      <c r="B37" s="117" t="s">
        <v>87</v>
      </c>
      <c r="C37" s="110">
        <v>1</v>
      </c>
      <c r="D37" s="110">
        <v>21400</v>
      </c>
      <c r="E37" s="112">
        <f t="shared" si="0"/>
        <v>21400</v>
      </c>
      <c r="F37" s="110" t="s">
        <v>122</v>
      </c>
      <c r="G37" s="71" t="s">
        <v>208</v>
      </c>
      <c r="I37" s="118" t="s">
        <v>201</v>
      </c>
      <c r="J37" s="112">
        <v>15950</v>
      </c>
      <c r="K37" s="113">
        <v>0.19</v>
      </c>
    </row>
    <row r="38" spans="1:11" ht="14.25" customHeight="1" x14ac:dyDescent="0.2">
      <c r="A38" s="108">
        <v>46214</v>
      </c>
      <c r="B38" s="110" t="s">
        <v>70</v>
      </c>
      <c r="C38" s="110">
        <v>1</v>
      </c>
      <c r="D38" s="110">
        <v>13460</v>
      </c>
      <c r="E38" s="112">
        <f t="shared" si="0"/>
        <v>13460</v>
      </c>
      <c r="F38" s="110" t="s">
        <v>122</v>
      </c>
      <c r="G38" s="71" t="s">
        <v>208</v>
      </c>
      <c r="I38" s="118" t="s">
        <v>202</v>
      </c>
      <c r="J38" s="112">
        <v>500000</v>
      </c>
      <c r="K38" s="113">
        <v>-0.04</v>
      </c>
    </row>
    <row r="39" spans="1:11" ht="14.25" customHeight="1" x14ac:dyDescent="0.2">
      <c r="A39" s="108">
        <v>46214</v>
      </c>
      <c r="B39" s="128" t="s">
        <v>37</v>
      </c>
      <c r="C39" s="110">
        <v>1</v>
      </c>
      <c r="D39" s="110">
        <v>9500</v>
      </c>
      <c r="E39" s="112">
        <f t="shared" si="0"/>
        <v>9500</v>
      </c>
      <c r="F39" s="110" t="s">
        <v>102</v>
      </c>
      <c r="G39" s="71" t="s">
        <v>209</v>
      </c>
      <c r="I39" s="118" t="s">
        <v>203</v>
      </c>
      <c r="J39" s="112">
        <v>337825</v>
      </c>
      <c r="K39" s="113">
        <v>0.16</v>
      </c>
    </row>
    <row r="40" spans="1:11" ht="14.25" customHeight="1" x14ac:dyDescent="0.2">
      <c r="A40" s="72"/>
      <c r="B40" s="110" t="s">
        <v>768</v>
      </c>
      <c r="C40" s="110">
        <f>SUM(C2:C39)</f>
        <v>410</v>
      </c>
      <c r="D40" s="110">
        <f>SUM(D2:D39)</f>
        <v>461910</v>
      </c>
      <c r="E40" s="112">
        <f>SUM(E2:E39)</f>
        <v>3303665</v>
      </c>
      <c r="F40" s="72"/>
      <c r="G40" s="72"/>
      <c r="I40" s="118" t="s">
        <v>204</v>
      </c>
      <c r="J40" s="112">
        <v>438990</v>
      </c>
      <c r="K40" s="113">
        <v>7.0000000000000007E-2</v>
      </c>
    </row>
    <row r="41" spans="1:11" ht="14.25" customHeight="1" x14ac:dyDescent="0.2">
      <c r="I41" s="118" t="s">
        <v>205</v>
      </c>
      <c r="J41" s="112">
        <v>660400</v>
      </c>
      <c r="K41" s="113">
        <v>-0.02</v>
      </c>
    </row>
    <row r="42" spans="1:11" ht="14.25" customHeight="1" x14ac:dyDescent="0.2">
      <c r="I42" s="118" t="s">
        <v>206</v>
      </c>
      <c r="J42" s="112">
        <v>308000</v>
      </c>
      <c r="K42" s="113">
        <v>0.08</v>
      </c>
    </row>
    <row r="43" spans="1:11" ht="14.25" customHeight="1" x14ac:dyDescent="0.2">
      <c r="I43" s="118" t="s">
        <v>207</v>
      </c>
      <c r="J43" s="112">
        <v>936840</v>
      </c>
      <c r="K43" s="113">
        <v>0.1</v>
      </c>
    </row>
    <row r="44" spans="1:11" ht="14.25" customHeight="1" x14ac:dyDescent="0.2">
      <c r="I44" s="118" t="s">
        <v>208</v>
      </c>
      <c r="J44" s="112">
        <v>136420</v>
      </c>
      <c r="K44" s="113">
        <v>0.06</v>
      </c>
    </row>
    <row r="45" spans="1:11" ht="14.25" customHeight="1" x14ac:dyDescent="0.2">
      <c r="I45" s="118" t="s">
        <v>209</v>
      </c>
      <c r="J45" s="112">
        <v>9500</v>
      </c>
      <c r="K45" s="113">
        <v>0.1</v>
      </c>
    </row>
    <row r="46" spans="1:11" ht="14.25" customHeight="1" x14ac:dyDescent="0.2">
      <c r="I46" s="110" t="s">
        <v>770</v>
      </c>
      <c r="J46" s="112">
        <f>SUM(J34:J45)</f>
        <v>3566065</v>
      </c>
      <c r="K46" s="72"/>
    </row>
  </sheetData>
  <hyperlinks>
    <hyperlink ref="G2" r:id="rId1" xr:uid="{00000000-0004-0000-0E00-000000000000}"/>
    <hyperlink ref="G3" r:id="rId2" xr:uid="{00000000-0004-0000-0E00-000001000000}"/>
    <hyperlink ref="G4" r:id="rId3" xr:uid="{00000000-0004-0000-0E00-000002000000}"/>
    <hyperlink ref="G5" r:id="rId4" xr:uid="{00000000-0004-0000-0E00-000003000000}"/>
    <hyperlink ref="G6" r:id="rId5" xr:uid="{00000000-0004-0000-0E00-000004000000}"/>
    <hyperlink ref="G7" r:id="rId6" xr:uid="{00000000-0004-0000-0E00-000005000000}"/>
    <hyperlink ref="G8" r:id="rId7" xr:uid="{00000000-0004-0000-0E00-000006000000}"/>
    <hyperlink ref="G9" r:id="rId8" xr:uid="{00000000-0004-0000-0E00-000007000000}"/>
    <hyperlink ref="G10" r:id="rId9" xr:uid="{00000000-0004-0000-0E00-000008000000}"/>
    <hyperlink ref="G11" r:id="rId10" xr:uid="{00000000-0004-0000-0E00-000009000000}"/>
    <hyperlink ref="G12" r:id="rId11" xr:uid="{00000000-0004-0000-0E00-00000A000000}"/>
    <hyperlink ref="G13" r:id="rId12" xr:uid="{00000000-0004-0000-0E00-00000B000000}"/>
    <hyperlink ref="G14" r:id="rId13" xr:uid="{00000000-0004-0000-0E00-00000C000000}"/>
    <hyperlink ref="G15" r:id="rId14" xr:uid="{00000000-0004-0000-0E00-00000D000000}"/>
    <hyperlink ref="G16" r:id="rId15" xr:uid="{00000000-0004-0000-0E00-00000E000000}"/>
    <hyperlink ref="G17" r:id="rId16" xr:uid="{00000000-0004-0000-0E00-00000F000000}"/>
    <hyperlink ref="G18" r:id="rId17" xr:uid="{00000000-0004-0000-0E00-000010000000}"/>
    <hyperlink ref="G19" r:id="rId18" xr:uid="{00000000-0004-0000-0E00-000011000000}"/>
    <hyperlink ref="G20" r:id="rId19" xr:uid="{00000000-0004-0000-0E00-000012000000}"/>
    <hyperlink ref="G21" r:id="rId20" xr:uid="{00000000-0004-0000-0E00-000013000000}"/>
    <hyperlink ref="G22" r:id="rId21" xr:uid="{00000000-0004-0000-0E00-000014000000}"/>
    <hyperlink ref="G23" r:id="rId22" xr:uid="{00000000-0004-0000-0E00-000015000000}"/>
    <hyperlink ref="G24" r:id="rId23" xr:uid="{00000000-0004-0000-0E00-000016000000}"/>
    <hyperlink ref="G25" r:id="rId24" xr:uid="{00000000-0004-0000-0E00-000017000000}"/>
    <hyperlink ref="G26" r:id="rId25" xr:uid="{00000000-0004-0000-0E00-000018000000}"/>
    <hyperlink ref="G27" r:id="rId26" xr:uid="{00000000-0004-0000-0E00-000019000000}"/>
    <hyperlink ref="G28" r:id="rId27" xr:uid="{00000000-0004-0000-0E00-00001A000000}"/>
    <hyperlink ref="G29" r:id="rId28" xr:uid="{00000000-0004-0000-0E00-00001B000000}"/>
    <hyperlink ref="G30" r:id="rId29" xr:uid="{00000000-0004-0000-0E00-00001C000000}"/>
    <hyperlink ref="G31" r:id="rId30" xr:uid="{00000000-0004-0000-0E00-00001D000000}"/>
    <hyperlink ref="G32" r:id="rId31" xr:uid="{00000000-0004-0000-0E00-00001E000000}"/>
    <hyperlink ref="G33" r:id="rId32" xr:uid="{00000000-0004-0000-0E00-00001F000000}"/>
    <hyperlink ref="G34" r:id="rId33" xr:uid="{00000000-0004-0000-0E00-000020000000}"/>
    <hyperlink ref="I34" r:id="rId34" xr:uid="{00000000-0004-0000-0E00-000021000000}"/>
    <hyperlink ref="G35" r:id="rId35" xr:uid="{00000000-0004-0000-0E00-000022000000}"/>
    <hyperlink ref="I35" r:id="rId36" xr:uid="{00000000-0004-0000-0E00-000023000000}"/>
    <hyperlink ref="G36" r:id="rId37" xr:uid="{00000000-0004-0000-0E00-000024000000}"/>
    <hyperlink ref="I36" r:id="rId38" xr:uid="{00000000-0004-0000-0E00-000025000000}"/>
    <hyperlink ref="G37" r:id="rId39" xr:uid="{00000000-0004-0000-0E00-000026000000}"/>
    <hyperlink ref="I37" r:id="rId40" xr:uid="{00000000-0004-0000-0E00-000027000000}"/>
    <hyperlink ref="G38" r:id="rId41" xr:uid="{00000000-0004-0000-0E00-000028000000}"/>
    <hyperlink ref="I38" r:id="rId42" xr:uid="{00000000-0004-0000-0E00-000029000000}"/>
    <hyperlink ref="G39" r:id="rId43" xr:uid="{00000000-0004-0000-0E00-00002A000000}"/>
    <hyperlink ref="I39" r:id="rId44" xr:uid="{00000000-0004-0000-0E00-00002B000000}"/>
    <hyperlink ref="I40" r:id="rId45" xr:uid="{00000000-0004-0000-0E00-00002C000000}"/>
    <hyperlink ref="I41" r:id="rId46" xr:uid="{00000000-0004-0000-0E00-00002D000000}"/>
    <hyperlink ref="I42" r:id="rId47" xr:uid="{00000000-0004-0000-0E00-00002E000000}"/>
    <hyperlink ref="I43" r:id="rId48" xr:uid="{00000000-0004-0000-0E00-00002F000000}"/>
    <hyperlink ref="I44" r:id="rId49" xr:uid="{00000000-0004-0000-0E00-000030000000}"/>
    <hyperlink ref="I45" r:id="rId50" xr:uid="{00000000-0004-0000-0E00-000031000000}"/>
  </hyperlinks>
  <pageMargins left="0.75" right="0.75" top="1" bottom="1" header="0.511811023622047" footer="0.511811023622047"/>
  <pageSetup paperSize="9" orientation="portrait" horizontalDpi="300" verticalDpi="300"/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"/>
  <sheetViews>
    <sheetView topLeftCell="A2" zoomScaleNormal="100" workbookViewId="0"/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" ht="18" customHeight="1" x14ac:dyDescent="0.2">
      <c r="A1" s="105" t="s">
        <v>775</v>
      </c>
    </row>
    <row r="2" spans="1:1" ht="14.25" customHeight="1" x14ac:dyDescent="0.2">
      <c r="A2" s="106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7"/>
  <sheetViews>
    <sheetView zoomScale="56" zoomScaleNormal="56" workbookViewId="0">
      <selection activeCell="C29" sqref="C29"/>
    </sheetView>
  </sheetViews>
  <sheetFormatPr defaultColWidth="8.609375" defaultRowHeight="15" x14ac:dyDescent="0.2"/>
  <cols>
    <col min="1" max="1" width="9.55078125" style="38" customWidth="1"/>
    <col min="2" max="2" width="20.3125" style="38" customWidth="1"/>
    <col min="3" max="3" width="11.56640625" style="38" customWidth="1"/>
    <col min="4" max="4" width="14.66015625" style="38" customWidth="1"/>
    <col min="5" max="5" width="12.9140625" style="38" customWidth="1"/>
    <col min="6" max="6" width="15.33203125" style="38" customWidth="1"/>
    <col min="7" max="7" width="12.5078125" style="38" customWidth="1"/>
    <col min="8" max="8" width="2.95703125" style="38" customWidth="1"/>
    <col min="9" max="9" width="20.3125" style="38" customWidth="1"/>
    <col min="10" max="10" width="12.9140625" style="38" customWidth="1"/>
    <col min="11" max="12" width="18.29296875" style="38" customWidth="1"/>
    <col min="13" max="13" width="2.95703125" style="38" customWidth="1"/>
    <col min="14" max="14" width="12.64453125" style="38" customWidth="1"/>
    <col min="15" max="16" width="16.140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46216</v>
      </c>
      <c r="B2" s="120" t="s">
        <v>24</v>
      </c>
      <c r="C2" s="110">
        <v>1240</v>
      </c>
      <c r="D2" s="111">
        <v>4950</v>
      </c>
      <c r="E2" s="112">
        <f t="shared" ref="E2:E21" si="0">C2*D2</f>
        <v>6138000</v>
      </c>
      <c r="F2" s="110" t="s">
        <v>210</v>
      </c>
      <c r="G2" s="71" t="s">
        <v>211</v>
      </c>
      <c r="I2" s="120" t="s">
        <v>24</v>
      </c>
      <c r="J2" s="110">
        <f>C2+C15</f>
        <v>1390</v>
      </c>
      <c r="K2" s="112">
        <f>E2+E15</f>
        <v>6888000</v>
      </c>
      <c r="L2" s="113">
        <f t="shared" ref="L2:L18" si="1">K2/K$18</f>
        <v>0.71994631759164995</v>
      </c>
      <c r="N2" s="125">
        <f>K18</f>
        <v>9567380</v>
      </c>
      <c r="O2" s="124">
        <f>J18</f>
        <v>1675</v>
      </c>
      <c r="P2" s="124">
        <f>COUNT(J2:J17)</f>
        <v>16</v>
      </c>
    </row>
    <row r="3" spans="1:16" ht="14.25" customHeight="1" x14ac:dyDescent="0.2">
      <c r="A3" s="108">
        <v>46216</v>
      </c>
      <c r="B3" s="109" t="s">
        <v>22</v>
      </c>
      <c r="C3" s="110">
        <v>5</v>
      </c>
      <c r="D3" s="111">
        <v>9200</v>
      </c>
      <c r="E3" s="112">
        <f t="shared" si="0"/>
        <v>46000</v>
      </c>
      <c r="F3" s="110" t="s">
        <v>212</v>
      </c>
      <c r="G3" s="71" t="s">
        <v>213</v>
      </c>
      <c r="I3" s="109" t="s">
        <v>22</v>
      </c>
      <c r="J3" s="110">
        <f>C3+C4</f>
        <v>22</v>
      </c>
      <c r="K3" s="112">
        <f>E3+E4</f>
        <v>195600</v>
      </c>
      <c r="L3" s="113">
        <f t="shared" si="1"/>
        <v>2.0444468600599119E-2</v>
      </c>
    </row>
    <row r="4" spans="1:16" ht="14.25" customHeight="1" x14ac:dyDescent="0.2">
      <c r="A4" s="108">
        <v>46216</v>
      </c>
      <c r="B4" s="109" t="s">
        <v>22</v>
      </c>
      <c r="C4" s="110">
        <v>17</v>
      </c>
      <c r="D4" s="111">
        <v>8800</v>
      </c>
      <c r="E4" s="112">
        <f t="shared" si="0"/>
        <v>149600</v>
      </c>
      <c r="F4" s="110" t="s">
        <v>29</v>
      </c>
      <c r="G4" s="71" t="s">
        <v>214</v>
      </c>
      <c r="I4" s="121" t="s">
        <v>45</v>
      </c>
      <c r="J4" s="110">
        <f>C5+C17</f>
        <v>17</v>
      </c>
      <c r="K4" s="112">
        <f>E5+E17</f>
        <v>232845</v>
      </c>
      <c r="L4" s="113">
        <f t="shared" si="1"/>
        <v>2.433738390238498E-2</v>
      </c>
    </row>
    <row r="5" spans="1:16" ht="14.25" customHeight="1" x14ac:dyDescent="0.2">
      <c r="A5" s="108">
        <v>46216</v>
      </c>
      <c r="B5" s="121" t="s">
        <v>45</v>
      </c>
      <c r="C5" s="110">
        <v>7</v>
      </c>
      <c r="D5" s="111">
        <v>13335</v>
      </c>
      <c r="E5" s="112">
        <f t="shared" si="0"/>
        <v>93345</v>
      </c>
      <c r="F5" s="110" t="s">
        <v>29</v>
      </c>
      <c r="G5" s="71" t="s">
        <v>214</v>
      </c>
      <c r="I5" s="110" t="s">
        <v>65</v>
      </c>
      <c r="J5" s="110">
        <f>C6</f>
        <v>3</v>
      </c>
      <c r="K5" s="112">
        <f>E6</f>
        <v>35730</v>
      </c>
      <c r="L5" s="113">
        <f t="shared" si="1"/>
        <v>3.7345647397720172E-3</v>
      </c>
    </row>
    <row r="6" spans="1:16" ht="14.25" customHeight="1" x14ac:dyDescent="0.2">
      <c r="A6" s="108">
        <v>46216</v>
      </c>
      <c r="B6" s="110" t="s">
        <v>65</v>
      </c>
      <c r="C6" s="110">
        <v>3</v>
      </c>
      <c r="D6" s="111">
        <v>11910</v>
      </c>
      <c r="E6" s="112">
        <f t="shared" si="0"/>
        <v>35730</v>
      </c>
      <c r="F6" s="110" t="s">
        <v>29</v>
      </c>
      <c r="G6" s="71" t="s">
        <v>214</v>
      </c>
      <c r="I6" s="110" t="s">
        <v>113</v>
      </c>
      <c r="J6" s="110">
        <f>C7</f>
        <v>2</v>
      </c>
      <c r="K6" s="112">
        <f>E7</f>
        <v>29150</v>
      </c>
      <c r="L6" s="113">
        <f t="shared" si="1"/>
        <v>3.0468111436986927E-3</v>
      </c>
    </row>
    <row r="7" spans="1:16" ht="14.25" customHeight="1" x14ac:dyDescent="0.2">
      <c r="A7" s="108">
        <v>46216</v>
      </c>
      <c r="B7" s="110" t="s">
        <v>113</v>
      </c>
      <c r="C7" s="110">
        <v>2</v>
      </c>
      <c r="D7" s="111">
        <v>14575</v>
      </c>
      <c r="E7" s="112">
        <f t="shared" si="0"/>
        <v>29150</v>
      </c>
      <c r="F7" s="110" t="s">
        <v>29</v>
      </c>
      <c r="G7" s="71" t="s">
        <v>214</v>
      </c>
      <c r="I7" s="110" t="s">
        <v>37</v>
      </c>
      <c r="J7" s="110">
        <f>C8</f>
        <v>3</v>
      </c>
      <c r="K7" s="112">
        <f>E8</f>
        <v>26640</v>
      </c>
      <c r="L7" s="113">
        <f t="shared" si="1"/>
        <v>2.7844613676889598E-3</v>
      </c>
    </row>
    <row r="8" spans="1:16" ht="14.25" customHeight="1" x14ac:dyDescent="0.2">
      <c r="A8" s="108">
        <v>46216</v>
      </c>
      <c r="B8" s="110" t="s">
        <v>37</v>
      </c>
      <c r="C8" s="110">
        <v>3</v>
      </c>
      <c r="D8" s="111">
        <v>8880</v>
      </c>
      <c r="E8" s="112">
        <f t="shared" si="0"/>
        <v>26640</v>
      </c>
      <c r="F8" s="110" t="s">
        <v>29</v>
      </c>
      <c r="G8" s="71" t="s">
        <v>214</v>
      </c>
      <c r="I8" s="110" t="s">
        <v>36</v>
      </c>
      <c r="J8" s="110">
        <f>C9</f>
        <v>2</v>
      </c>
      <c r="K8" s="112">
        <f>E9</f>
        <v>31050</v>
      </c>
      <c r="L8" s="113">
        <f t="shared" si="1"/>
        <v>3.245402607610443E-3</v>
      </c>
    </row>
    <row r="9" spans="1:16" ht="14.25" customHeight="1" x14ac:dyDescent="0.2">
      <c r="A9" s="108">
        <v>46216</v>
      </c>
      <c r="B9" s="110" t="s">
        <v>36</v>
      </c>
      <c r="C9" s="110">
        <v>2</v>
      </c>
      <c r="D9" s="111">
        <v>15525</v>
      </c>
      <c r="E9" s="112">
        <f t="shared" si="0"/>
        <v>31050</v>
      </c>
      <c r="F9" s="110" t="s">
        <v>29</v>
      </c>
      <c r="G9" s="71" t="s">
        <v>214</v>
      </c>
      <c r="I9" s="110" t="s">
        <v>87</v>
      </c>
      <c r="J9" s="110">
        <f>C10</f>
        <v>1</v>
      </c>
      <c r="K9" s="112">
        <f>E10</f>
        <v>21400</v>
      </c>
      <c r="L9" s="113">
        <f t="shared" si="1"/>
        <v>2.2367670145849753E-3</v>
      </c>
    </row>
    <row r="10" spans="1:16" ht="14.25" customHeight="1" x14ac:dyDescent="0.2">
      <c r="A10" s="108">
        <v>46216</v>
      </c>
      <c r="B10" s="110" t="s">
        <v>87</v>
      </c>
      <c r="C10" s="110">
        <v>1</v>
      </c>
      <c r="D10" s="111">
        <v>21400</v>
      </c>
      <c r="E10" s="112">
        <f t="shared" si="0"/>
        <v>21400</v>
      </c>
      <c r="F10" s="110" t="s">
        <v>29</v>
      </c>
      <c r="G10" s="71" t="s">
        <v>214</v>
      </c>
      <c r="I10" s="110" t="s">
        <v>150</v>
      </c>
      <c r="J10" s="110">
        <f>C11+C19</f>
        <v>6</v>
      </c>
      <c r="K10" s="112">
        <f>E11+E19</f>
        <v>61890</v>
      </c>
      <c r="L10" s="113">
        <f t="shared" si="1"/>
        <v>6.4688556323674821E-3</v>
      </c>
    </row>
    <row r="11" spans="1:16" ht="14.25" customHeight="1" x14ac:dyDescent="0.2">
      <c r="A11" s="108">
        <v>46216</v>
      </c>
      <c r="B11" s="115" t="s">
        <v>150</v>
      </c>
      <c r="C11" s="110">
        <v>1</v>
      </c>
      <c r="D11" s="111">
        <v>10315</v>
      </c>
      <c r="E11" s="112">
        <f t="shared" si="0"/>
        <v>10315</v>
      </c>
      <c r="F11" s="110" t="s">
        <v>29</v>
      </c>
      <c r="G11" s="71" t="s">
        <v>214</v>
      </c>
      <c r="I11" s="110" t="s">
        <v>93</v>
      </c>
      <c r="J11" s="110">
        <f>C12</f>
        <v>1</v>
      </c>
      <c r="K11" s="112">
        <f>E12</f>
        <v>11415</v>
      </c>
      <c r="L11" s="113">
        <f t="shared" si="1"/>
        <v>1.1931166108171726E-3</v>
      </c>
    </row>
    <row r="12" spans="1:16" ht="14.25" customHeight="1" x14ac:dyDescent="0.2">
      <c r="A12" s="108">
        <v>46216</v>
      </c>
      <c r="B12" s="110" t="s">
        <v>93</v>
      </c>
      <c r="C12" s="110">
        <v>1</v>
      </c>
      <c r="D12" s="111">
        <v>11415</v>
      </c>
      <c r="E12" s="112">
        <f t="shared" si="0"/>
        <v>11415</v>
      </c>
      <c r="F12" s="110" t="s">
        <v>29</v>
      </c>
      <c r="G12" s="71" t="s">
        <v>214</v>
      </c>
      <c r="I12" s="110" t="s">
        <v>44</v>
      </c>
      <c r="J12" s="110">
        <f>C13</f>
        <v>21</v>
      </c>
      <c r="K12" s="112">
        <f>E13</f>
        <v>193200</v>
      </c>
      <c r="L12" s="113">
        <f t="shared" si="1"/>
        <v>2.0193616225131644E-2</v>
      </c>
    </row>
    <row r="13" spans="1:16" ht="14.25" customHeight="1" x14ac:dyDescent="0.2">
      <c r="A13" s="108">
        <v>46216</v>
      </c>
      <c r="B13" s="110" t="s">
        <v>44</v>
      </c>
      <c r="C13" s="110">
        <v>21</v>
      </c>
      <c r="D13" s="111">
        <v>9200</v>
      </c>
      <c r="E13" s="112">
        <f t="shared" si="0"/>
        <v>193200</v>
      </c>
      <c r="F13" s="110" t="s">
        <v>29</v>
      </c>
      <c r="G13" s="71" t="s">
        <v>214</v>
      </c>
      <c r="I13" s="110" t="s">
        <v>80</v>
      </c>
      <c r="J13" s="110">
        <f>C14</f>
        <v>1</v>
      </c>
      <c r="K13" s="112">
        <f>E14</f>
        <v>9345</v>
      </c>
      <c r="L13" s="113">
        <f t="shared" si="1"/>
        <v>9.7675643697647634E-4</v>
      </c>
    </row>
    <row r="14" spans="1:16" ht="14.25" customHeight="1" x14ac:dyDescent="0.2">
      <c r="A14" s="108">
        <v>46216</v>
      </c>
      <c r="B14" s="110" t="s">
        <v>80</v>
      </c>
      <c r="C14" s="110">
        <v>1</v>
      </c>
      <c r="D14" s="111">
        <v>9345</v>
      </c>
      <c r="E14" s="112">
        <f t="shared" si="0"/>
        <v>9345</v>
      </c>
      <c r="F14" s="110" t="s">
        <v>29</v>
      </c>
      <c r="G14" s="71" t="s">
        <v>215</v>
      </c>
      <c r="I14" s="110" t="s">
        <v>28</v>
      </c>
      <c r="J14" s="110">
        <f>C16</f>
        <v>5</v>
      </c>
      <c r="K14" s="112">
        <f>E16</f>
        <v>65750</v>
      </c>
      <c r="L14" s="113">
        <f t="shared" si="1"/>
        <v>6.8723098695776695E-3</v>
      </c>
    </row>
    <row r="15" spans="1:16" ht="14.25" customHeight="1" x14ac:dyDescent="0.2">
      <c r="A15" s="108">
        <v>46216</v>
      </c>
      <c r="B15" s="120" t="s">
        <v>24</v>
      </c>
      <c r="C15" s="110">
        <v>150</v>
      </c>
      <c r="D15" s="111">
        <v>5000</v>
      </c>
      <c r="E15" s="112">
        <f t="shared" si="0"/>
        <v>750000</v>
      </c>
      <c r="F15" s="110" t="s">
        <v>25</v>
      </c>
      <c r="G15" s="71" t="s">
        <v>216</v>
      </c>
      <c r="I15" s="110" t="s">
        <v>101</v>
      </c>
      <c r="J15" s="110">
        <f>C18</f>
        <v>3</v>
      </c>
      <c r="K15" s="112">
        <f>E18</f>
        <v>43365</v>
      </c>
      <c r="L15" s="113">
        <f t="shared" si="1"/>
        <v>4.5325888592279186E-3</v>
      </c>
    </row>
    <row r="16" spans="1:16" ht="14.25" customHeight="1" x14ac:dyDescent="0.2">
      <c r="A16" s="108">
        <v>46216</v>
      </c>
      <c r="B16" s="110" t="s">
        <v>28</v>
      </c>
      <c r="C16" s="110">
        <v>5</v>
      </c>
      <c r="D16" s="111">
        <v>13150</v>
      </c>
      <c r="E16" s="112">
        <f t="shared" si="0"/>
        <v>65750</v>
      </c>
      <c r="F16" s="110" t="s">
        <v>25</v>
      </c>
      <c r="G16" s="71" t="s">
        <v>216</v>
      </c>
      <c r="I16" s="110" t="s">
        <v>190</v>
      </c>
      <c r="J16" s="110">
        <f>C20</f>
        <v>6</v>
      </c>
      <c r="K16" s="112">
        <f>E20</f>
        <v>234000</v>
      </c>
      <c r="L16" s="113">
        <f t="shared" si="1"/>
        <v>2.4458106608078702E-2</v>
      </c>
    </row>
    <row r="17" spans="1:12" ht="14.25" customHeight="1" x14ac:dyDescent="0.2">
      <c r="A17" s="108">
        <v>46216</v>
      </c>
      <c r="B17" s="121" t="s">
        <v>45</v>
      </c>
      <c r="C17" s="110">
        <v>10</v>
      </c>
      <c r="D17" s="111">
        <v>13950</v>
      </c>
      <c r="E17" s="112">
        <f t="shared" si="0"/>
        <v>139500</v>
      </c>
      <c r="F17" s="110" t="s">
        <v>85</v>
      </c>
      <c r="G17" s="71" t="s">
        <v>217</v>
      </c>
      <c r="I17" s="110" t="s">
        <v>27</v>
      </c>
      <c r="J17" s="110">
        <f>C21</f>
        <v>192</v>
      </c>
      <c r="K17" s="112">
        <f>E21</f>
        <v>1488000</v>
      </c>
      <c r="L17" s="113">
        <f t="shared" si="1"/>
        <v>0.15552847278983378</v>
      </c>
    </row>
    <row r="18" spans="1:12" ht="14.25" customHeight="1" x14ac:dyDescent="0.2">
      <c r="A18" s="108">
        <v>46216</v>
      </c>
      <c r="B18" s="110" t="s">
        <v>101</v>
      </c>
      <c r="C18" s="110">
        <v>3</v>
      </c>
      <c r="D18" s="111">
        <v>14455</v>
      </c>
      <c r="E18" s="112">
        <f t="shared" si="0"/>
        <v>43365</v>
      </c>
      <c r="F18" s="110" t="s">
        <v>85</v>
      </c>
      <c r="G18" s="71" t="s">
        <v>217</v>
      </c>
      <c r="I18" s="110" t="s">
        <v>768</v>
      </c>
      <c r="J18" s="110">
        <f>SUM(J2:J17)</f>
        <v>1675</v>
      </c>
      <c r="K18" s="112">
        <f>SUM(K2:K17)</f>
        <v>9567380</v>
      </c>
      <c r="L18" s="113">
        <f t="shared" si="1"/>
        <v>1</v>
      </c>
    </row>
    <row r="19" spans="1:12" ht="14.25" customHeight="1" x14ac:dyDescent="0.2">
      <c r="A19" s="108">
        <v>46216</v>
      </c>
      <c r="B19" s="115" t="s">
        <v>150</v>
      </c>
      <c r="C19" s="110">
        <v>5</v>
      </c>
      <c r="D19" s="111">
        <v>10315</v>
      </c>
      <c r="E19" s="112">
        <f t="shared" si="0"/>
        <v>51575</v>
      </c>
      <c r="F19" s="110" t="s">
        <v>85</v>
      </c>
      <c r="G19" s="71" t="s">
        <v>217</v>
      </c>
    </row>
    <row r="20" spans="1:12" ht="25.5" customHeight="1" x14ac:dyDescent="0.2">
      <c r="A20" s="108">
        <v>46216</v>
      </c>
      <c r="B20" s="110" t="s">
        <v>190</v>
      </c>
      <c r="C20" s="110">
        <v>6</v>
      </c>
      <c r="D20" s="111">
        <v>39000</v>
      </c>
      <c r="E20" s="112">
        <f t="shared" si="0"/>
        <v>234000</v>
      </c>
      <c r="F20" s="110" t="s">
        <v>85</v>
      </c>
      <c r="G20" s="71" t="s">
        <v>217</v>
      </c>
      <c r="I20" s="107" t="s">
        <v>758</v>
      </c>
      <c r="J20" s="107" t="s">
        <v>757</v>
      </c>
      <c r="K20" s="107" t="s">
        <v>762</v>
      </c>
      <c r="L20" s="107" t="s">
        <v>769</v>
      </c>
    </row>
    <row r="21" spans="1:12" ht="14.25" customHeight="1" x14ac:dyDescent="0.2">
      <c r="A21" s="108">
        <v>46216</v>
      </c>
      <c r="B21" s="110" t="s">
        <v>27</v>
      </c>
      <c r="C21" s="110">
        <v>192</v>
      </c>
      <c r="D21" s="111">
        <v>7750</v>
      </c>
      <c r="E21" s="112">
        <f t="shared" si="0"/>
        <v>1488000</v>
      </c>
      <c r="F21" s="110" t="s">
        <v>127</v>
      </c>
      <c r="G21" s="71" t="s">
        <v>218</v>
      </c>
      <c r="I21" s="110" t="s">
        <v>210</v>
      </c>
      <c r="J21" s="112">
        <f>E2</f>
        <v>6138000</v>
      </c>
      <c r="K21" s="113">
        <f t="shared" ref="K21:K27" si="2">J21/J$27</f>
        <v>0.64155495025806442</v>
      </c>
      <c r="L21" s="113">
        <v>-5.0500000000000003E-2</v>
      </c>
    </row>
    <row r="22" spans="1:12" ht="14.25" customHeight="1" x14ac:dyDescent="0.2">
      <c r="A22" s="72"/>
      <c r="B22" s="110" t="s">
        <v>768</v>
      </c>
      <c r="C22" s="110">
        <f>SUM(C2:C21)</f>
        <v>1675</v>
      </c>
      <c r="D22" s="110">
        <f>SUM(D2:D21)</f>
        <v>252470</v>
      </c>
      <c r="E22" s="112">
        <f>SUM(E2:E21)</f>
        <v>9567380</v>
      </c>
      <c r="F22" s="72"/>
      <c r="G22" s="72"/>
      <c r="I22" s="110" t="s">
        <v>212</v>
      </c>
      <c r="J22" s="112">
        <f>E3</f>
        <v>46000</v>
      </c>
      <c r="K22" s="113">
        <f t="shared" si="2"/>
        <v>4.8080038631265823E-3</v>
      </c>
      <c r="L22" s="113">
        <v>5.8999999999999997E-2</v>
      </c>
    </row>
    <row r="23" spans="1:12" ht="14.25" customHeight="1" x14ac:dyDescent="0.2">
      <c r="I23" s="110" t="s">
        <v>29</v>
      </c>
      <c r="J23" s="112">
        <f>E4+E5+E6+E7+E8+E9+E10+E11+E12+E13+E14</f>
        <v>611190</v>
      </c>
      <c r="K23" s="113">
        <f t="shared" si="2"/>
        <v>6.3882693067485563E-2</v>
      </c>
      <c r="L23" s="113">
        <v>6.5799999999999997E-2</v>
      </c>
    </row>
    <row r="24" spans="1:12" ht="14.25" customHeight="1" x14ac:dyDescent="0.2">
      <c r="I24" s="110" t="s">
        <v>25</v>
      </c>
      <c r="J24" s="112">
        <f>E15+E16</f>
        <v>815750</v>
      </c>
      <c r="K24" s="113">
        <f t="shared" si="2"/>
        <v>8.5263677203163246E-2</v>
      </c>
      <c r="L24" s="113">
        <v>-3.8899999999999997E-2</v>
      </c>
    </row>
    <row r="25" spans="1:12" ht="14.25" customHeight="1" x14ac:dyDescent="0.2">
      <c r="I25" s="110" t="s">
        <v>85</v>
      </c>
      <c r="J25" s="112">
        <f>E17+E18+E19+E20</f>
        <v>468440</v>
      </c>
      <c r="K25" s="113">
        <f t="shared" si="2"/>
        <v>4.8962202818326438E-2</v>
      </c>
      <c r="L25" s="113">
        <v>0.2346</v>
      </c>
    </row>
    <row r="26" spans="1:12" ht="14.25" customHeight="1" x14ac:dyDescent="0.2">
      <c r="I26" s="110" t="s">
        <v>127</v>
      </c>
      <c r="J26" s="112">
        <f>E21</f>
        <v>1488000</v>
      </c>
      <c r="K26" s="113">
        <f t="shared" si="2"/>
        <v>0.15552847278983378</v>
      </c>
      <c r="L26" s="113">
        <v>8.3999999999999995E-3</v>
      </c>
    </row>
    <row r="27" spans="1:12" ht="14.25" customHeight="1" x14ac:dyDescent="0.2">
      <c r="I27" s="110" t="s">
        <v>770</v>
      </c>
      <c r="J27" s="112">
        <f>SUM(J21:J26)</f>
        <v>9567380</v>
      </c>
      <c r="K27" s="113">
        <f t="shared" si="2"/>
        <v>1</v>
      </c>
      <c r="L27" s="72"/>
    </row>
    <row r="29" spans="1:12" ht="25.5" customHeight="1" x14ac:dyDescent="0.2">
      <c r="I29" s="107" t="s">
        <v>759</v>
      </c>
      <c r="J29" s="107" t="s">
        <v>757</v>
      </c>
      <c r="K29" s="107" t="s">
        <v>769</v>
      </c>
    </row>
    <row r="30" spans="1:12" ht="14.25" customHeight="1" x14ac:dyDescent="0.2">
      <c r="I30" s="118" t="s">
        <v>211</v>
      </c>
      <c r="J30" s="112">
        <v>6138000</v>
      </c>
      <c r="K30" s="113">
        <v>-0.05</v>
      </c>
    </row>
    <row r="31" spans="1:12" ht="14.25" customHeight="1" x14ac:dyDescent="0.2">
      <c r="I31" s="118" t="s">
        <v>213</v>
      </c>
      <c r="J31" s="112">
        <v>46000</v>
      </c>
      <c r="K31" s="113">
        <v>0.06</v>
      </c>
    </row>
    <row r="32" spans="1:12" ht="14.25" customHeight="1" x14ac:dyDescent="0.2">
      <c r="I32" s="118" t="s">
        <v>214</v>
      </c>
      <c r="J32" s="112">
        <v>707845</v>
      </c>
      <c r="K32" s="113">
        <v>7.0000000000000007E-2</v>
      </c>
    </row>
    <row r="33" spans="9:11" ht="14.25" customHeight="1" x14ac:dyDescent="0.2">
      <c r="I33" s="118" t="s">
        <v>215</v>
      </c>
      <c r="J33" s="112">
        <v>11145</v>
      </c>
      <c r="K33" s="113">
        <v>0.06</v>
      </c>
    </row>
    <row r="34" spans="9:11" ht="14.25" customHeight="1" x14ac:dyDescent="0.2">
      <c r="I34" s="118" t="s">
        <v>216</v>
      </c>
      <c r="J34" s="112">
        <v>815750</v>
      </c>
      <c r="K34" s="113">
        <v>-0.04</v>
      </c>
    </row>
    <row r="35" spans="9:11" ht="14.25" customHeight="1" x14ac:dyDescent="0.2">
      <c r="I35" s="118" t="s">
        <v>217</v>
      </c>
      <c r="J35" s="112">
        <v>502840</v>
      </c>
      <c r="K35" s="113">
        <v>0.23</v>
      </c>
    </row>
    <row r="36" spans="9:11" ht="14.25" customHeight="1" x14ac:dyDescent="0.2">
      <c r="I36" s="118" t="s">
        <v>218</v>
      </c>
      <c r="J36" s="112">
        <v>1488000</v>
      </c>
      <c r="K36" s="113">
        <v>0.01</v>
      </c>
    </row>
    <row r="37" spans="9:11" ht="14.25" customHeight="1" x14ac:dyDescent="0.2">
      <c r="I37" s="110" t="s">
        <v>770</v>
      </c>
      <c r="J37" s="112">
        <f>SUM(J30:J36)</f>
        <v>9709580</v>
      </c>
      <c r="K37" s="72"/>
    </row>
  </sheetData>
  <hyperlinks>
    <hyperlink ref="G2" r:id="rId1" xr:uid="{00000000-0004-0000-1000-000000000000}"/>
    <hyperlink ref="G3" r:id="rId2" xr:uid="{00000000-0004-0000-1000-000001000000}"/>
    <hyperlink ref="G4" r:id="rId3" xr:uid="{00000000-0004-0000-1000-000002000000}"/>
    <hyperlink ref="G5" r:id="rId4" xr:uid="{00000000-0004-0000-1000-000003000000}"/>
    <hyperlink ref="G6" r:id="rId5" xr:uid="{00000000-0004-0000-1000-000004000000}"/>
    <hyperlink ref="G7" r:id="rId6" xr:uid="{00000000-0004-0000-1000-000005000000}"/>
    <hyperlink ref="G8" r:id="rId7" xr:uid="{00000000-0004-0000-1000-000006000000}"/>
    <hyperlink ref="G9" r:id="rId8" xr:uid="{00000000-0004-0000-1000-000007000000}"/>
    <hyperlink ref="G10" r:id="rId9" xr:uid="{00000000-0004-0000-1000-000008000000}"/>
    <hyperlink ref="G11" r:id="rId10" xr:uid="{00000000-0004-0000-1000-000009000000}"/>
    <hyperlink ref="G12" r:id="rId11" xr:uid="{00000000-0004-0000-1000-00000A000000}"/>
    <hyperlink ref="G13" r:id="rId12" xr:uid="{00000000-0004-0000-1000-00000B000000}"/>
    <hyperlink ref="G14" r:id="rId13" xr:uid="{00000000-0004-0000-1000-00000C000000}"/>
    <hyperlink ref="G15" r:id="rId14" xr:uid="{00000000-0004-0000-1000-00000D000000}"/>
    <hyperlink ref="G16" r:id="rId15" xr:uid="{00000000-0004-0000-1000-00000E000000}"/>
    <hyperlink ref="G17" r:id="rId16" xr:uid="{00000000-0004-0000-1000-00000F000000}"/>
    <hyperlink ref="G18" r:id="rId17" xr:uid="{00000000-0004-0000-1000-000010000000}"/>
    <hyperlink ref="G19" r:id="rId18" xr:uid="{00000000-0004-0000-1000-000011000000}"/>
    <hyperlink ref="G20" r:id="rId19" xr:uid="{00000000-0004-0000-1000-000012000000}"/>
    <hyperlink ref="G21" r:id="rId20" xr:uid="{00000000-0004-0000-1000-000013000000}"/>
    <hyperlink ref="I30" r:id="rId21" xr:uid="{00000000-0004-0000-1000-000014000000}"/>
    <hyperlink ref="I31" r:id="rId22" xr:uid="{00000000-0004-0000-1000-000015000000}"/>
    <hyperlink ref="I32" r:id="rId23" xr:uid="{00000000-0004-0000-1000-000016000000}"/>
    <hyperlink ref="I33" r:id="rId24" xr:uid="{00000000-0004-0000-1000-000017000000}"/>
    <hyperlink ref="I34" r:id="rId25" xr:uid="{00000000-0004-0000-1000-000018000000}"/>
    <hyperlink ref="I35" r:id="rId26" xr:uid="{00000000-0004-0000-1000-000019000000}"/>
    <hyperlink ref="I36" r:id="rId27" xr:uid="{00000000-0004-0000-1000-00001A000000}"/>
  </hyperlinks>
  <pageMargins left="0.75" right="0.75" top="1" bottom="1" header="0.511811023622047" footer="0.511811023622047"/>
  <pageSetup paperSize="9" orientation="portrait" horizontalDpi="300" verticalDpi="300"/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4"/>
  <sheetViews>
    <sheetView topLeftCell="B1" zoomScale="37" zoomScaleNormal="37" workbookViewId="0">
      <selection activeCell="Y38" sqref="Y38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0.89453125" style="38" customWidth="1"/>
    <col min="4" max="4" width="14.66015625" style="38" customWidth="1"/>
    <col min="5" max="5" width="12.5078125" style="38" customWidth="1"/>
    <col min="6" max="6" width="15.6015625" style="38" customWidth="1"/>
    <col min="7" max="7" width="12.77734375" style="38" customWidth="1"/>
    <col min="8" max="8" width="2.95703125" style="38" customWidth="1"/>
    <col min="9" max="9" width="18.9648437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46217</v>
      </c>
      <c r="B2" s="120" t="s">
        <v>22</v>
      </c>
      <c r="C2" s="110">
        <v>1</v>
      </c>
      <c r="D2" s="111">
        <v>9200</v>
      </c>
      <c r="E2" s="112">
        <f t="shared" ref="E2:E46" si="0">C2*D2</f>
        <v>9200</v>
      </c>
      <c r="F2" s="110" t="s">
        <v>219</v>
      </c>
      <c r="G2" s="71" t="s">
        <v>220</v>
      </c>
      <c r="I2" s="120" t="s">
        <v>22</v>
      </c>
      <c r="J2" s="110">
        <f>C2+C9+C13+C24+C32+C37</f>
        <v>189</v>
      </c>
      <c r="K2" s="112">
        <f>E2+E9+E13+E24+E32+E37</f>
        <v>1691400</v>
      </c>
      <c r="L2" s="113">
        <f t="shared" ref="L2:L24" si="1">K2/K$24</f>
        <v>0.1880816043314146</v>
      </c>
      <c r="N2" s="112">
        <f>K24</f>
        <v>8992905</v>
      </c>
      <c r="O2" s="110">
        <f>J24</f>
        <v>1093</v>
      </c>
      <c r="P2" s="110">
        <f>COUNT(J2:J23)</f>
        <v>22</v>
      </c>
    </row>
    <row r="3" spans="1:16" ht="14.25" customHeight="1" x14ac:dyDescent="0.2">
      <c r="A3" s="108">
        <v>46217</v>
      </c>
      <c r="B3" s="109" t="s">
        <v>24</v>
      </c>
      <c r="C3" s="110">
        <v>253</v>
      </c>
      <c r="D3" s="111">
        <v>5000</v>
      </c>
      <c r="E3" s="112">
        <f t="shared" si="0"/>
        <v>1265000</v>
      </c>
      <c r="F3" s="110" t="s">
        <v>50</v>
      </c>
      <c r="G3" s="71" t="s">
        <v>222</v>
      </c>
      <c r="I3" s="109" t="s">
        <v>24</v>
      </c>
      <c r="J3" s="110">
        <f>C3+C14+C16+C17+C22+C23+C44</f>
        <v>518</v>
      </c>
      <c r="K3" s="112">
        <f>E3+E14+E16+E17+E22+E23+E44</f>
        <v>2596000</v>
      </c>
      <c r="L3" s="113">
        <f t="shared" si="1"/>
        <v>0.28867201421565114</v>
      </c>
    </row>
    <row r="4" spans="1:16" ht="14.25" customHeight="1" x14ac:dyDescent="0.2">
      <c r="A4" s="108">
        <v>46217</v>
      </c>
      <c r="B4" s="110" t="s">
        <v>31</v>
      </c>
      <c r="C4" s="110">
        <v>15</v>
      </c>
      <c r="D4" s="111">
        <v>17100</v>
      </c>
      <c r="E4" s="112">
        <f t="shared" si="0"/>
        <v>256500</v>
      </c>
      <c r="F4" s="110" t="s">
        <v>29</v>
      </c>
      <c r="G4" s="71" t="s">
        <v>223</v>
      </c>
      <c r="I4" s="110" t="s">
        <v>31</v>
      </c>
      <c r="J4" s="110">
        <f>C4</f>
        <v>15</v>
      </c>
      <c r="K4" s="112">
        <f>E4</f>
        <v>256500</v>
      </c>
      <c r="L4" s="113">
        <f t="shared" si="1"/>
        <v>2.8522485225853048E-2</v>
      </c>
    </row>
    <row r="5" spans="1:16" ht="14.25" customHeight="1" x14ac:dyDescent="0.2">
      <c r="A5" s="108">
        <v>46217</v>
      </c>
      <c r="B5" s="110" t="s">
        <v>224</v>
      </c>
      <c r="C5" s="110">
        <v>2</v>
      </c>
      <c r="D5" s="111">
        <v>14430</v>
      </c>
      <c r="E5" s="112">
        <f t="shared" si="0"/>
        <v>28860</v>
      </c>
      <c r="F5" s="110" t="s">
        <v>29</v>
      </c>
      <c r="G5" s="71" t="s">
        <v>223</v>
      </c>
      <c r="I5" s="110" t="s">
        <v>224</v>
      </c>
      <c r="J5" s="110">
        <f>C5</f>
        <v>2</v>
      </c>
      <c r="K5" s="112">
        <f>E5</f>
        <v>28860</v>
      </c>
      <c r="L5" s="113">
        <f t="shared" si="1"/>
        <v>3.2091965833065065E-3</v>
      </c>
    </row>
    <row r="6" spans="1:16" ht="14.25" customHeight="1" x14ac:dyDescent="0.2">
      <c r="A6" s="108">
        <v>46217</v>
      </c>
      <c r="B6" s="110" t="s">
        <v>62</v>
      </c>
      <c r="C6" s="110">
        <v>1</v>
      </c>
      <c r="D6" s="111">
        <v>20655</v>
      </c>
      <c r="E6" s="112">
        <f t="shared" si="0"/>
        <v>20655</v>
      </c>
      <c r="F6" s="110" t="s">
        <v>29</v>
      </c>
      <c r="G6" s="71" t="s">
        <v>223</v>
      </c>
      <c r="I6" s="110" t="s">
        <v>62</v>
      </c>
      <c r="J6" s="110">
        <f>C6</f>
        <v>1</v>
      </c>
      <c r="K6" s="112">
        <f>E6</f>
        <v>20655</v>
      </c>
      <c r="L6" s="113">
        <f t="shared" si="1"/>
        <v>2.2968106523976401E-3</v>
      </c>
    </row>
    <row r="7" spans="1:16" ht="14.25" customHeight="1" x14ac:dyDescent="0.2">
      <c r="A7" s="108">
        <v>46217</v>
      </c>
      <c r="B7" s="110" t="s">
        <v>28</v>
      </c>
      <c r="C7" s="110">
        <v>2</v>
      </c>
      <c r="D7" s="111">
        <v>13200</v>
      </c>
      <c r="E7" s="112">
        <f t="shared" si="0"/>
        <v>26400</v>
      </c>
      <c r="F7" s="110" t="s">
        <v>29</v>
      </c>
      <c r="G7" s="71" t="s">
        <v>223</v>
      </c>
      <c r="I7" s="110" t="s">
        <v>28</v>
      </c>
      <c r="J7" s="110">
        <f>C7</f>
        <v>2</v>
      </c>
      <c r="K7" s="112">
        <f>E7</f>
        <v>26400</v>
      </c>
      <c r="L7" s="113">
        <f t="shared" si="1"/>
        <v>2.9356476021930623E-3</v>
      </c>
    </row>
    <row r="8" spans="1:16" ht="14.25" customHeight="1" x14ac:dyDescent="0.2">
      <c r="A8" s="108">
        <v>46217</v>
      </c>
      <c r="B8" s="121" t="s">
        <v>44</v>
      </c>
      <c r="C8" s="110">
        <v>2</v>
      </c>
      <c r="D8" s="111">
        <v>9200</v>
      </c>
      <c r="E8" s="112">
        <f t="shared" si="0"/>
        <v>18400</v>
      </c>
      <c r="F8" s="110" t="s">
        <v>29</v>
      </c>
      <c r="G8" s="71" t="s">
        <v>223</v>
      </c>
      <c r="I8" s="121" t="s">
        <v>44</v>
      </c>
      <c r="J8" s="110">
        <f>C8+C10+C25+C36+C42</f>
        <v>88</v>
      </c>
      <c r="K8" s="112">
        <f>E8+E10+E25+E36+E42</f>
        <v>794900</v>
      </c>
      <c r="L8" s="113">
        <f t="shared" si="1"/>
        <v>8.8391904506941857E-2</v>
      </c>
    </row>
    <row r="9" spans="1:16" ht="14.25" customHeight="1" x14ac:dyDescent="0.2">
      <c r="A9" s="108">
        <v>46217</v>
      </c>
      <c r="B9" s="120" t="s">
        <v>22</v>
      </c>
      <c r="C9" s="110">
        <v>5</v>
      </c>
      <c r="D9" s="111">
        <v>8800</v>
      </c>
      <c r="E9" s="112">
        <f t="shared" si="0"/>
        <v>44000</v>
      </c>
      <c r="F9" s="110" t="s">
        <v>29</v>
      </c>
      <c r="G9" s="71" t="s">
        <v>223</v>
      </c>
      <c r="I9" s="114" t="s">
        <v>45</v>
      </c>
      <c r="J9" s="110">
        <f>C11+C26+C33+C43</f>
        <v>81</v>
      </c>
      <c r="K9" s="112">
        <f>E11+E26+E33+E43</f>
        <v>1079985</v>
      </c>
      <c r="L9" s="113">
        <f t="shared" si="1"/>
        <v>0.12009300665357857</v>
      </c>
    </row>
    <row r="10" spans="1:16" ht="14.25" customHeight="1" x14ac:dyDescent="0.2">
      <c r="A10" s="108">
        <v>46217</v>
      </c>
      <c r="B10" s="121" t="s">
        <v>44</v>
      </c>
      <c r="C10" s="110">
        <v>9</v>
      </c>
      <c r="D10" s="111">
        <v>9200</v>
      </c>
      <c r="E10" s="112">
        <f t="shared" si="0"/>
        <v>82800</v>
      </c>
      <c r="F10" s="110" t="s">
        <v>29</v>
      </c>
      <c r="G10" s="71" t="s">
        <v>225</v>
      </c>
      <c r="I10" s="116" t="s">
        <v>37</v>
      </c>
      <c r="J10" s="110">
        <f>C12+C27+C31+C38</f>
        <v>79</v>
      </c>
      <c r="K10" s="112">
        <f>E12+E27+E31+E38</f>
        <v>703560</v>
      </c>
      <c r="L10" s="113">
        <f t="shared" si="1"/>
        <v>7.8235008598445108E-2</v>
      </c>
    </row>
    <row r="11" spans="1:16" ht="14.25" customHeight="1" x14ac:dyDescent="0.2">
      <c r="A11" s="108">
        <v>46217</v>
      </c>
      <c r="B11" s="114" t="s">
        <v>45</v>
      </c>
      <c r="C11" s="110">
        <v>5</v>
      </c>
      <c r="D11" s="111">
        <v>13335</v>
      </c>
      <c r="E11" s="112">
        <f t="shared" si="0"/>
        <v>66675</v>
      </c>
      <c r="F11" s="110" t="s">
        <v>29</v>
      </c>
      <c r="G11" s="71" t="s">
        <v>225</v>
      </c>
      <c r="I11" s="117" t="s">
        <v>27</v>
      </c>
      <c r="J11" s="110">
        <f>C15+C45</f>
        <v>12</v>
      </c>
      <c r="K11" s="112">
        <f>E15+E45</f>
        <v>96240</v>
      </c>
      <c r="L11" s="113">
        <f t="shared" si="1"/>
        <v>1.0701769895267436E-2</v>
      </c>
    </row>
    <row r="12" spans="1:16" ht="14.25" customHeight="1" x14ac:dyDescent="0.2">
      <c r="A12" s="108">
        <v>46217</v>
      </c>
      <c r="B12" s="116" t="s">
        <v>37</v>
      </c>
      <c r="C12" s="110">
        <v>2</v>
      </c>
      <c r="D12" s="111">
        <v>8880</v>
      </c>
      <c r="E12" s="112">
        <f t="shared" si="0"/>
        <v>17760</v>
      </c>
      <c r="F12" s="110" t="s">
        <v>29</v>
      </c>
      <c r="G12" s="71" t="s">
        <v>225</v>
      </c>
      <c r="I12" s="110" t="s">
        <v>32</v>
      </c>
      <c r="J12" s="110">
        <f>C18</f>
        <v>5</v>
      </c>
      <c r="K12" s="112">
        <f>E18</f>
        <v>80725</v>
      </c>
      <c r="L12" s="113">
        <f t="shared" si="1"/>
        <v>8.9765209351149594E-3</v>
      </c>
    </row>
    <row r="13" spans="1:16" ht="14.25" customHeight="1" x14ac:dyDescent="0.2">
      <c r="A13" s="108">
        <v>46217</v>
      </c>
      <c r="B13" s="120" t="s">
        <v>22</v>
      </c>
      <c r="C13" s="110">
        <v>10</v>
      </c>
      <c r="D13" s="111">
        <v>8800</v>
      </c>
      <c r="E13" s="112">
        <f t="shared" si="0"/>
        <v>88000</v>
      </c>
      <c r="F13" s="110" t="s">
        <v>29</v>
      </c>
      <c r="G13" s="71" t="s">
        <v>225</v>
      </c>
      <c r="I13" s="110" t="s">
        <v>35</v>
      </c>
      <c r="J13" s="110">
        <f>C19</f>
        <v>3</v>
      </c>
      <c r="K13" s="112">
        <f>E19</f>
        <v>63510</v>
      </c>
      <c r="L13" s="113">
        <f t="shared" si="1"/>
        <v>7.0622340611849006E-3</v>
      </c>
    </row>
    <row r="14" spans="1:16" ht="14.25" customHeight="1" x14ac:dyDescent="0.2">
      <c r="A14" s="108">
        <v>46217</v>
      </c>
      <c r="B14" s="109" t="s">
        <v>24</v>
      </c>
      <c r="C14" s="110">
        <v>15</v>
      </c>
      <c r="D14" s="111">
        <v>5000</v>
      </c>
      <c r="E14" s="112">
        <f t="shared" si="0"/>
        <v>75000</v>
      </c>
      <c r="F14" s="110" t="s">
        <v>29</v>
      </c>
      <c r="G14" s="71" t="s">
        <v>225</v>
      </c>
      <c r="I14" s="110" t="s">
        <v>229</v>
      </c>
      <c r="J14" s="110">
        <f>C20</f>
        <v>5</v>
      </c>
      <c r="K14" s="112">
        <f>E20</f>
        <v>77450</v>
      </c>
      <c r="L14" s="113">
        <f t="shared" si="1"/>
        <v>8.6123449541610862E-3</v>
      </c>
    </row>
    <row r="15" spans="1:16" ht="14.25" customHeight="1" x14ac:dyDescent="0.2">
      <c r="A15" s="108">
        <v>46217</v>
      </c>
      <c r="B15" s="117" t="s">
        <v>27</v>
      </c>
      <c r="C15" s="110">
        <v>2</v>
      </c>
      <c r="D15" s="111">
        <v>8020</v>
      </c>
      <c r="E15" s="112">
        <f t="shared" si="0"/>
        <v>16040</v>
      </c>
      <c r="F15" s="110" t="s">
        <v>29</v>
      </c>
      <c r="G15" s="71" t="s">
        <v>225</v>
      </c>
      <c r="I15" s="127" t="s">
        <v>34</v>
      </c>
      <c r="J15" s="110">
        <f>C21+C40</f>
        <v>6</v>
      </c>
      <c r="K15" s="112">
        <f>E21+E40</f>
        <v>136440</v>
      </c>
      <c r="L15" s="113">
        <f t="shared" si="1"/>
        <v>1.5171960562243235E-2</v>
      </c>
    </row>
    <row r="16" spans="1:16" ht="14.25" customHeight="1" x14ac:dyDescent="0.2">
      <c r="A16" s="108">
        <v>46217</v>
      </c>
      <c r="B16" s="109" t="s">
        <v>24</v>
      </c>
      <c r="C16" s="110">
        <v>20</v>
      </c>
      <c r="D16" s="111">
        <v>5000</v>
      </c>
      <c r="E16" s="112">
        <f t="shared" si="0"/>
        <v>100000</v>
      </c>
      <c r="F16" s="110" t="s">
        <v>154</v>
      </c>
      <c r="G16" s="71" t="s">
        <v>226</v>
      </c>
      <c r="I16" s="110" t="s">
        <v>181</v>
      </c>
      <c r="J16" s="110">
        <f>C28</f>
        <v>60</v>
      </c>
      <c r="K16" s="112">
        <f>E28</f>
        <v>1014000</v>
      </c>
      <c r="L16" s="113">
        <f t="shared" si="1"/>
        <v>0.11275555562968807</v>
      </c>
    </row>
    <row r="17" spans="1:12" ht="14.25" customHeight="1" x14ac:dyDescent="0.2">
      <c r="A17" s="108">
        <v>46217</v>
      </c>
      <c r="B17" s="109" t="s">
        <v>24</v>
      </c>
      <c r="C17" s="110">
        <v>20</v>
      </c>
      <c r="D17" s="111">
        <v>5300</v>
      </c>
      <c r="E17" s="112">
        <f t="shared" si="0"/>
        <v>106000</v>
      </c>
      <c r="F17" s="110" t="s">
        <v>104</v>
      </c>
      <c r="G17" s="71" t="s">
        <v>227</v>
      </c>
      <c r="I17" s="110" t="s">
        <v>21</v>
      </c>
      <c r="J17" s="110">
        <f>C29</f>
        <v>3</v>
      </c>
      <c r="K17" s="112">
        <f>E29</f>
        <v>27000</v>
      </c>
      <c r="L17" s="113">
        <f t="shared" si="1"/>
        <v>3.0023668658792683E-3</v>
      </c>
    </row>
    <row r="18" spans="1:12" ht="14.25" customHeight="1" x14ac:dyDescent="0.2">
      <c r="A18" s="108">
        <v>46217</v>
      </c>
      <c r="B18" s="110" t="s">
        <v>32</v>
      </c>
      <c r="C18" s="110">
        <v>5</v>
      </c>
      <c r="D18" s="111">
        <v>16145</v>
      </c>
      <c r="E18" s="112">
        <f t="shared" si="0"/>
        <v>80725</v>
      </c>
      <c r="F18" s="110" t="s">
        <v>25</v>
      </c>
      <c r="G18" s="71" t="s">
        <v>228</v>
      </c>
      <c r="I18" s="110" t="s">
        <v>235</v>
      </c>
      <c r="J18" s="110">
        <f>C30</f>
        <v>8</v>
      </c>
      <c r="K18" s="112">
        <f>E30</f>
        <v>77600</v>
      </c>
      <c r="L18" s="113">
        <f t="shared" si="1"/>
        <v>8.6290247700826373E-3</v>
      </c>
    </row>
    <row r="19" spans="1:12" ht="14.25" customHeight="1" x14ac:dyDescent="0.2">
      <c r="A19" s="108">
        <v>46217</v>
      </c>
      <c r="B19" s="110" t="s">
        <v>35</v>
      </c>
      <c r="C19" s="110">
        <v>3</v>
      </c>
      <c r="D19" s="111">
        <v>21170</v>
      </c>
      <c r="E19" s="112">
        <f t="shared" si="0"/>
        <v>63510</v>
      </c>
      <c r="F19" s="110" t="s">
        <v>25</v>
      </c>
      <c r="G19" s="71" t="s">
        <v>228</v>
      </c>
      <c r="I19" s="110" t="s">
        <v>36</v>
      </c>
      <c r="J19" s="110">
        <f>C34</f>
        <v>3</v>
      </c>
      <c r="K19" s="112">
        <f>E34</f>
        <v>46500</v>
      </c>
      <c r="L19" s="113">
        <f t="shared" si="1"/>
        <v>5.1707429356809614E-3</v>
      </c>
    </row>
    <row r="20" spans="1:12" ht="14.25" customHeight="1" x14ac:dyDescent="0.2">
      <c r="A20" s="108">
        <v>46217</v>
      </c>
      <c r="B20" s="110" t="s">
        <v>229</v>
      </c>
      <c r="C20" s="110">
        <v>5</v>
      </c>
      <c r="D20" s="111">
        <v>15490</v>
      </c>
      <c r="E20" s="112">
        <f t="shared" si="0"/>
        <v>77450</v>
      </c>
      <c r="F20" s="110" t="s">
        <v>25</v>
      </c>
      <c r="G20" s="71" t="s">
        <v>228</v>
      </c>
      <c r="I20" s="110" t="s">
        <v>43</v>
      </c>
      <c r="J20" s="110">
        <f>C35</f>
        <v>1</v>
      </c>
      <c r="K20" s="112">
        <f>E35</f>
        <v>18100</v>
      </c>
      <c r="L20" s="113">
        <f t="shared" si="1"/>
        <v>2.0126977878672132E-3</v>
      </c>
    </row>
    <row r="21" spans="1:12" ht="14.25" customHeight="1" x14ac:dyDescent="0.2">
      <c r="A21" s="108">
        <v>46217</v>
      </c>
      <c r="B21" s="127" t="s">
        <v>34</v>
      </c>
      <c r="C21" s="110">
        <v>5</v>
      </c>
      <c r="D21" s="111">
        <v>22740</v>
      </c>
      <c r="E21" s="112">
        <f t="shared" si="0"/>
        <v>113700</v>
      </c>
      <c r="F21" s="110" t="s">
        <v>25</v>
      </c>
      <c r="G21" s="71" t="s">
        <v>228</v>
      </c>
      <c r="I21" s="110" t="s">
        <v>65</v>
      </c>
      <c r="J21" s="110">
        <f>C39</f>
        <v>5</v>
      </c>
      <c r="K21" s="112">
        <f>E39</f>
        <v>59550</v>
      </c>
      <c r="L21" s="113">
        <f t="shared" si="1"/>
        <v>6.6218869208559414E-3</v>
      </c>
    </row>
    <row r="22" spans="1:12" ht="14.25" customHeight="1" x14ac:dyDescent="0.2">
      <c r="A22" s="108">
        <v>46217</v>
      </c>
      <c r="B22" s="109" t="s">
        <v>24</v>
      </c>
      <c r="C22" s="110">
        <v>100</v>
      </c>
      <c r="D22" s="111">
        <v>5000</v>
      </c>
      <c r="E22" s="112">
        <f t="shared" si="0"/>
        <v>500000</v>
      </c>
      <c r="F22" s="110" t="s">
        <v>25</v>
      </c>
      <c r="G22" s="71" t="s">
        <v>228</v>
      </c>
      <c r="I22" s="110" t="s">
        <v>113</v>
      </c>
      <c r="J22" s="110">
        <f>C41</f>
        <v>2</v>
      </c>
      <c r="K22" s="112">
        <f>E41</f>
        <v>30230</v>
      </c>
      <c r="L22" s="113">
        <f t="shared" si="1"/>
        <v>3.361538902056677E-3</v>
      </c>
    </row>
    <row r="23" spans="1:12" ht="14.25" customHeight="1" x14ac:dyDescent="0.2">
      <c r="A23" s="108">
        <v>46217</v>
      </c>
      <c r="B23" s="109" t="s">
        <v>24</v>
      </c>
      <c r="C23" s="110">
        <v>50</v>
      </c>
      <c r="D23" s="111">
        <v>5000</v>
      </c>
      <c r="E23" s="112">
        <f t="shared" si="0"/>
        <v>250000</v>
      </c>
      <c r="F23" s="110" t="s">
        <v>95</v>
      </c>
      <c r="G23" s="71" t="s">
        <v>230</v>
      </c>
      <c r="I23" s="110" t="s">
        <v>70</v>
      </c>
      <c r="J23" s="110">
        <f>C46</f>
        <v>5</v>
      </c>
      <c r="K23" s="112">
        <f>E46</f>
        <v>67300</v>
      </c>
      <c r="L23" s="113">
        <f t="shared" si="1"/>
        <v>7.4836774101361015E-3</v>
      </c>
    </row>
    <row r="24" spans="1:12" ht="14.25" customHeight="1" x14ac:dyDescent="0.2">
      <c r="A24" s="108">
        <v>46217</v>
      </c>
      <c r="B24" s="120" t="s">
        <v>22</v>
      </c>
      <c r="C24" s="110">
        <v>140</v>
      </c>
      <c r="D24" s="111">
        <v>8990</v>
      </c>
      <c r="E24" s="112">
        <f t="shared" si="0"/>
        <v>1258600</v>
      </c>
      <c r="F24" s="110" t="s">
        <v>231</v>
      </c>
      <c r="G24" s="71" t="s">
        <v>232</v>
      </c>
      <c r="I24" s="110" t="s">
        <v>768</v>
      </c>
      <c r="J24" s="110">
        <f>SUM(J2:J23)</f>
        <v>1093</v>
      </c>
      <c r="K24" s="112">
        <f>SUM(K2:K23)</f>
        <v>8992905</v>
      </c>
      <c r="L24" s="113">
        <f t="shared" si="1"/>
        <v>1</v>
      </c>
    </row>
    <row r="25" spans="1:12" ht="14.25" customHeight="1" x14ac:dyDescent="0.2">
      <c r="A25" s="108">
        <v>46217</v>
      </c>
      <c r="B25" s="121" t="s">
        <v>44</v>
      </c>
      <c r="C25" s="110">
        <v>70</v>
      </c>
      <c r="D25" s="111">
        <v>8990</v>
      </c>
      <c r="E25" s="112">
        <f t="shared" si="0"/>
        <v>629300</v>
      </c>
      <c r="F25" s="110" t="s">
        <v>231</v>
      </c>
      <c r="G25" s="71" t="s">
        <v>232</v>
      </c>
    </row>
    <row r="26" spans="1:12" ht="25.5" customHeight="1" x14ac:dyDescent="0.2">
      <c r="A26" s="108">
        <v>46217</v>
      </c>
      <c r="B26" s="114" t="s">
        <v>45</v>
      </c>
      <c r="C26" s="110">
        <v>70</v>
      </c>
      <c r="D26" s="111">
        <v>13332</v>
      </c>
      <c r="E26" s="112">
        <f t="shared" si="0"/>
        <v>933240</v>
      </c>
      <c r="F26" s="110" t="s">
        <v>231</v>
      </c>
      <c r="G26" s="71" t="s">
        <v>232</v>
      </c>
      <c r="I26" s="107" t="s">
        <v>758</v>
      </c>
      <c r="J26" s="107" t="s">
        <v>757</v>
      </c>
      <c r="K26" s="107" t="s">
        <v>762</v>
      </c>
      <c r="L26" s="107" t="s">
        <v>769</v>
      </c>
    </row>
    <row r="27" spans="1:12" ht="14.25" customHeight="1" x14ac:dyDescent="0.2">
      <c r="A27" s="108">
        <v>46217</v>
      </c>
      <c r="B27" s="116" t="s">
        <v>37</v>
      </c>
      <c r="C27" s="110">
        <v>70</v>
      </c>
      <c r="D27" s="111">
        <v>8900</v>
      </c>
      <c r="E27" s="112">
        <f t="shared" si="0"/>
        <v>623000</v>
      </c>
      <c r="F27" s="110" t="s">
        <v>231</v>
      </c>
      <c r="G27" s="71" t="s">
        <v>232</v>
      </c>
      <c r="I27" s="110" t="s">
        <v>219</v>
      </c>
      <c r="J27" s="112">
        <f>E2</f>
        <v>9200</v>
      </c>
      <c r="K27" s="113">
        <f t="shared" ref="K27:K38" si="2">J27/J$38</f>
        <v>1.023028709855158E-3</v>
      </c>
      <c r="L27" s="113">
        <v>5.8999999999999997E-2</v>
      </c>
    </row>
    <row r="28" spans="1:12" ht="14.25" customHeight="1" x14ac:dyDescent="0.2">
      <c r="A28" s="108">
        <v>46217</v>
      </c>
      <c r="B28" s="110" t="s">
        <v>181</v>
      </c>
      <c r="C28" s="110">
        <v>60</v>
      </c>
      <c r="D28" s="111">
        <v>16900</v>
      </c>
      <c r="E28" s="112">
        <f t="shared" si="0"/>
        <v>1014000</v>
      </c>
      <c r="F28" s="110" t="s">
        <v>231</v>
      </c>
      <c r="G28" s="71" t="s">
        <v>232</v>
      </c>
      <c r="I28" s="110" t="s">
        <v>50</v>
      </c>
      <c r="J28" s="112">
        <f>E3</f>
        <v>1265000</v>
      </c>
      <c r="K28" s="113">
        <f t="shared" si="2"/>
        <v>0.14066644760508423</v>
      </c>
      <c r="L28" s="113">
        <v>-0.04</v>
      </c>
    </row>
    <row r="29" spans="1:12" ht="14.25" customHeight="1" x14ac:dyDescent="0.2">
      <c r="A29" s="108">
        <v>46217</v>
      </c>
      <c r="B29" s="110" t="s">
        <v>21</v>
      </c>
      <c r="C29" s="110">
        <v>3</v>
      </c>
      <c r="D29" s="111">
        <v>9000</v>
      </c>
      <c r="E29" s="112">
        <f t="shared" si="0"/>
        <v>27000</v>
      </c>
      <c r="F29" s="110" t="s">
        <v>15</v>
      </c>
      <c r="G29" s="71" t="s">
        <v>234</v>
      </c>
      <c r="I29" s="110" t="s">
        <v>29</v>
      </c>
      <c r="J29" s="112">
        <f>E4+E5+E6+E7+E8+E9+E10+E11+E12+E13+E14+E15+E37+E38+E39</f>
        <v>1109040</v>
      </c>
      <c r="K29" s="113">
        <f t="shared" si="2"/>
        <v>0.12332388699758309</v>
      </c>
      <c r="L29" s="113">
        <v>3.6999999999999998E-2</v>
      </c>
    </row>
    <row r="30" spans="1:12" ht="14.25" customHeight="1" x14ac:dyDescent="0.2">
      <c r="A30" s="108">
        <v>46217</v>
      </c>
      <c r="B30" s="110" t="s">
        <v>235</v>
      </c>
      <c r="C30" s="110">
        <v>8</v>
      </c>
      <c r="D30" s="111">
        <v>9700</v>
      </c>
      <c r="E30" s="112">
        <f t="shared" si="0"/>
        <v>77600</v>
      </c>
      <c r="F30" s="110" t="s">
        <v>15</v>
      </c>
      <c r="G30" s="71" t="s">
        <v>234</v>
      </c>
      <c r="I30" s="110" t="s">
        <v>154</v>
      </c>
      <c r="J30" s="112">
        <f>E16</f>
        <v>100000</v>
      </c>
      <c r="K30" s="113">
        <f t="shared" si="2"/>
        <v>1.1119877281034326E-2</v>
      </c>
      <c r="L30" s="113">
        <v>-0.04</v>
      </c>
    </row>
    <row r="31" spans="1:12" ht="14.25" customHeight="1" x14ac:dyDescent="0.2">
      <c r="A31" s="108">
        <v>46217</v>
      </c>
      <c r="B31" s="116" t="s">
        <v>37</v>
      </c>
      <c r="C31" s="110">
        <v>2</v>
      </c>
      <c r="D31" s="111">
        <v>9200</v>
      </c>
      <c r="E31" s="112">
        <f t="shared" si="0"/>
        <v>18400</v>
      </c>
      <c r="F31" s="110" t="s">
        <v>15</v>
      </c>
      <c r="G31" s="71" t="s">
        <v>234</v>
      </c>
      <c r="I31" s="110" t="s">
        <v>104</v>
      </c>
      <c r="J31" s="112">
        <f>E17</f>
        <v>106000</v>
      </c>
      <c r="K31" s="113">
        <f t="shared" si="2"/>
        <v>1.1787069917896386E-2</v>
      </c>
      <c r="L31" s="113">
        <v>1.89E-2</v>
      </c>
    </row>
    <row r="32" spans="1:12" ht="14.25" customHeight="1" x14ac:dyDescent="0.2">
      <c r="A32" s="108">
        <v>46217</v>
      </c>
      <c r="B32" s="120" t="s">
        <v>22</v>
      </c>
      <c r="C32" s="110">
        <v>3</v>
      </c>
      <c r="D32" s="111">
        <v>9200</v>
      </c>
      <c r="E32" s="112">
        <f t="shared" si="0"/>
        <v>27600</v>
      </c>
      <c r="F32" s="110" t="s">
        <v>15</v>
      </c>
      <c r="G32" s="71" t="s">
        <v>234</v>
      </c>
      <c r="I32" s="110" t="s">
        <v>25</v>
      </c>
      <c r="J32" s="112">
        <f>E18+E19+E20+E21+E22</f>
        <v>835385</v>
      </c>
      <c r="K32" s="113">
        <f t="shared" si="2"/>
        <v>9.2893786824168614E-2</v>
      </c>
      <c r="L32" s="113">
        <v>0</v>
      </c>
    </row>
    <row r="33" spans="1:12" ht="14.25" customHeight="1" x14ac:dyDescent="0.2">
      <c r="A33" s="108">
        <v>46217</v>
      </c>
      <c r="B33" s="114" t="s">
        <v>45</v>
      </c>
      <c r="C33" s="110">
        <v>4</v>
      </c>
      <c r="D33" s="111">
        <v>13350</v>
      </c>
      <c r="E33" s="112">
        <f t="shared" si="0"/>
        <v>53400</v>
      </c>
      <c r="F33" s="110" t="s">
        <v>15</v>
      </c>
      <c r="G33" s="71" t="s">
        <v>234</v>
      </c>
      <c r="I33" s="110" t="s">
        <v>95</v>
      </c>
      <c r="J33" s="112">
        <f>E23</f>
        <v>250000</v>
      </c>
      <c r="K33" s="113">
        <f t="shared" si="2"/>
        <v>2.7799693202585816E-2</v>
      </c>
      <c r="L33" s="113">
        <v>-0.04</v>
      </c>
    </row>
    <row r="34" spans="1:12" ht="14.25" customHeight="1" x14ac:dyDescent="0.2">
      <c r="A34" s="108">
        <v>46217</v>
      </c>
      <c r="B34" s="110" t="s">
        <v>36</v>
      </c>
      <c r="C34" s="110">
        <v>3</v>
      </c>
      <c r="D34" s="111">
        <v>15500</v>
      </c>
      <c r="E34" s="112">
        <f t="shared" si="0"/>
        <v>46500</v>
      </c>
      <c r="F34" s="110" t="s">
        <v>15</v>
      </c>
      <c r="G34" s="71" t="s">
        <v>234</v>
      </c>
      <c r="I34" s="110" t="s">
        <v>231</v>
      </c>
      <c r="J34" s="112">
        <f>E24+E25+E26+E27+E28</f>
        <v>4458140</v>
      </c>
      <c r="K34" s="113">
        <f t="shared" si="2"/>
        <v>0.49573969701670373</v>
      </c>
      <c r="L34" s="113">
        <v>6.2799999999999995E-2</v>
      </c>
    </row>
    <row r="35" spans="1:12" ht="14.25" customHeight="1" x14ac:dyDescent="0.2">
      <c r="A35" s="108">
        <v>46217</v>
      </c>
      <c r="B35" s="110" t="s">
        <v>43</v>
      </c>
      <c r="C35" s="110">
        <v>1</v>
      </c>
      <c r="D35" s="111">
        <v>18100</v>
      </c>
      <c r="E35" s="112">
        <f t="shared" si="0"/>
        <v>18100</v>
      </c>
      <c r="F35" s="110" t="s">
        <v>15</v>
      </c>
      <c r="G35" s="71" t="s">
        <v>234</v>
      </c>
      <c r="I35" s="110" t="s">
        <v>15</v>
      </c>
      <c r="J35" s="112">
        <f>E29+E30+E31+E32+E33+E34+E35+E36</f>
        <v>314600</v>
      </c>
      <c r="K35" s="113">
        <f t="shared" si="2"/>
        <v>3.4983133926133989E-2</v>
      </c>
      <c r="L35" s="113">
        <v>4.8300000000000003E-2</v>
      </c>
    </row>
    <row r="36" spans="1:12" ht="14.25" customHeight="1" x14ac:dyDescent="0.2">
      <c r="A36" s="108">
        <v>46217</v>
      </c>
      <c r="B36" s="121" t="s">
        <v>44</v>
      </c>
      <c r="C36" s="110">
        <v>5</v>
      </c>
      <c r="D36" s="111">
        <v>9200</v>
      </c>
      <c r="E36" s="112">
        <f t="shared" si="0"/>
        <v>46000</v>
      </c>
      <c r="F36" s="110" t="s">
        <v>15</v>
      </c>
      <c r="G36" s="71" t="s">
        <v>234</v>
      </c>
      <c r="I36" s="110" t="s">
        <v>237</v>
      </c>
      <c r="J36" s="112">
        <f>E40+E41+E42+E43</f>
        <v>98040</v>
      </c>
      <c r="K36" s="113">
        <f t="shared" si="2"/>
        <v>1.0901927686326054E-2</v>
      </c>
      <c r="L36" s="113">
        <v>8.8700000000000001E-2</v>
      </c>
    </row>
    <row r="37" spans="1:12" ht="14.25" customHeight="1" x14ac:dyDescent="0.2">
      <c r="A37" s="108">
        <v>46217</v>
      </c>
      <c r="B37" s="120" t="s">
        <v>22</v>
      </c>
      <c r="C37" s="110">
        <v>30</v>
      </c>
      <c r="D37" s="111">
        <v>8800</v>
      </c>
      <c r="E37" s="112">
        <f t="shared" si="0"/>
        <v>264000</v>
      </c>
      <c r="F37" s="110" t="s">
        <v>29</v>
      </c>
      <c r="G37" s="71" t="s">
        <v>236</v>
      </c>
      <c r="I37" s="110" t="s">
        <v>157</v>
      </c>
      <c r="J37" s="112">
        <f>E44+E45+E46</f>
        <v>447500</v>
      </c>
      <c r="K37" s="113">
        <f t="shared" si="2"/>
        <v>4.9761450832628611E-2</v>
      </c>
      <c r="L37" s="113">
        <v>-1.26E-2</v>
      </c>
    </row>
    <row r="38" spans="1:12" ht="14.25" customHeight="1" x14ac:dyDescent="0.2">
      <c r="A38" s="108">
        <v>46217</v>
      </c>
      <c r="B38" s="116" t="s">
        <v>37</v>
      </c>
      <c r="C38" s="110">
        <v>5</v>
      </c>
      <c r="D38" s="111">
        <v>8880</v>
      </c>
      <c r="E38" s="112">
        <f t="shared" si="0"/>
        <v>44400</v>
      </c>
      <c r="F38" s="110" t="s">
        <v>29</v>
      </c>
      <c r="G38" s="71" t="s">
        <v>236</v>
      </c>
      <c r="I38" s="110" t="s">
        <v>770</v>
      </c>
      <c r="J38" s="112">
        <f>SUM(J27:J37)</f>
        <v>8992905</v>
      </c>
      <c r="K38" s="113">
        <f t="shared" si="2"/>
        <v>1</v>
      </c>
      <c r="L38" s="72"/>
    </row>
    <row r="39" spans="1:12" ht="14.25" customHeight="1" x14ac:dyDescent="0.2">
      <c r="A39" s="108">
        <v>46217</v>
      </c>
      <c r="B39" s="110" t="s">
        <v>65</v>
      </c>
      <c r="C39" s="110">
        <v>5</v>
      </c>
      <c r="D39" s="111">
        <v>11910</v>
      </c>
      <c r="E39" s="112">
        <f t="shared" si="0"/>
        <v>59550</v>
      </c>
      <c r="F39" s="110" t="s">
        <v>29</v>
      </c>
      <c r="G39" s="71" t="s">
        <v>236</v>
      </c>
    </row>
    <row r="40" spans="1:12" ht="25.5" customHeight="1" x14ac:dyDescent="0.2">
      <c r="A40" s="108">
        <v>46217</v>
      </c>
      <c r="B40" s="127" t="s">
        <v>34</v>
      </c>
      <c r="C40" s="110">
        <v>1</v>
      </c>
      <c r="D40" s="111">
        <v>22740</v>
      </c>
      <c r="E40" s="112">
        <f t="shared" si="0"/>
        <v>22740</v>
      </c>
      <c r="F40" s="110" t="s">
        <v>237</v>
      </c>
      <c r="G40" s="71" t="s">
        <v>238</v>
      </c>
      <c r="I40" s="107" t="s">
        <v>759</v>
      </c>
      <c r="J40" s="107" t="s">
        <v>757</v>
      </c>
      <c r="K40" s="107" t="s">
        <v>769</v>
      </c>
    </row>
    <row r="41" spans="1:12" ht="14.25" customHeight="1" x14ac:dyDescent="0.2">
      <c r="A41" s="108">
        <v>46217</v>
      </c>
      <c r="B41" s="110" t="s">
        <v>113</v>
      </c>
      <c r="C41" s="110">
        <v>2</v>
      </c>
      <c r="D41" s="111">
        <v>15115</v>
      </c>
      <c r="E41" s="112">
        <f t="shared" si="0"/>
        <v>30230</v>
      </c>
      <c r="F41" s="110" t="s">
        <v>237</v>
      </c>
      <c r="G41" s="71" t="s">
        <v>238</v>
      </c>
      <c r="I41" s="118" t="s">
        <v>220</v>
      </c>
      <c r="J41" s="112">
        <v>9200</v>
      </c>
      <c r="K41" s="113">
        <v>0.06</v>
      </c>
    </row>
    <row r="42" spans="1:12" ht="14.25" customHeight="1" x14ac:dyDescent="0.2">
      <c r="A42" s="108">
        <v>46217</v>
      </c>
      <c r="B42" s="121" t="s">
        <v>44</v>
      </c>
      <c r="C42" s="110">
        <v>2</v>
      </c>
      <c r="D42" s="111">
        <v>9200</v>
      </c>
      <c r="E42" s="112">
        <f t="shared" si="0"/>
        <v>18400</v>
      </c>
      <c r="F42" s="110" t="s">
        <v>237</v>
      </c>
      <c r="G42" s="71" t="s">
        <v>238</v>
      </c>
      <c r="I42" s="118" t="s">
        <v>222</v>
      </c>
      <c r="J42" s="112">
        <v>1265000</v>
      </c>
      <c r="K42" s="113">
        <v>-0.04</v>
      </c>
    </row>
    <row r="43" spans="1:12" ht="14.25" customHeight="1" x14ac:dyDescent="0.2">
      <c r="A43" s="108">
        <v>46217</v>
      </c>
      <c r="B43" s="114" t="s">
        <v>45</v>
      </c>
      <c r="C43" s="110">
        <v>2</v>
      </c>
      <c r="D43" s="111">
        <v>13335</v>
      </c>
      <c r="E43" s="112">
        <f t="shared" si="0"/>
        <v>26670</v>
      </c>
      <c r="F43" s="110" t="s">
        <v>237</v>
      </c>
      <c r="G43" s="71" t="s">
        <v>238</v>
      </c>
      <c r="I43" s="118" t="s">
        <v>223</v>
      </c>
      <c r="J43" s="112">
        <v>407415</v>
      </c>
      <c r="K43" s="113">
        <v>0.01</v>
      </c>
    </row>
    <row r="44" spans="1:12" ht="14.25" customHeight="1" x14ac:dyDescent="0.2">
      <c r="A44" s="108">
        <v>46217</v>
      </c>
      <c r="B44" s="109" t="s">
        <v>24</v>
      </c>
      <c r="C44" s="110">
        <v>60</v>
      </c>
      <c r="D44" s="111">
        <v>5000</v>
      </c>
      <c r="E44" s="112">
        <f t="shared" si="0"/>
        <v>300000</v>
      </c>
      <c r="F44" s="110" t="s">
        <v>157</v>
      </c>
      <c r="G44" s="71" t="s">
        <v>239</v>
      </c>
      <c r="I44" s="118" t="s">
        <v>225</v>
      </c>
      <c r="J44" s="112">
        <v>394075</v>
      </c>
      <c r="K44" s="113">
        <v>0.05</v>
      </c>
    </row>
    <row r="45" spans="1:12" ht="14.25" customHeight="1" x14ac:dyDescent="0.2">
      <c r="A45" s="108">
        <v>46217</v>
      </c>
      <c r="B45" s="117" t="s">
        <v>27</v>
      </c>
      <c r="C45" s="110">
        <v>10</v>
      </c>
      <c r="D45" s="111">
        <v>8020</v>
      </c>
      <c r="E45" s="112">
        <f t="shared" si="0"/>
        <v>80200</v>
      </c>
      <c r="F45" s="110" t="s">
        <v>157</v>
      </c>
      <c r="G45" s="71" t="s">
        <v>239</v>
      </c>
      <c r="I45" s="118" t="s">
        <v>226</v>
      </c>
      <c r="J45" s="112">
        <v>100000</v>
      </c>
      <c r="K45" s="113">
        <v>-0.04</v>
      </c>
    </row>
    <row r="46" spans="1:12" ht="14.25" customHeight="1" x14ac:dyDescent="0.2">
      <c r="A46" s="108">
        <v>46217</v>
      </c>
      <c r="B46" s="110" t="s">
        <v>70</v>
      </c>
      <c r="C46" s="110">
        <v>5</v>
      </c>
      <c r="D46" s="111">
        <v>13460</v>
      </c>
      <c r="E46" s="112">
        <f t="shared" si="0"/>
        <v>67300</v>
      </c>
      <c r="F46" s="110" t="s">
        <v>157</v>
      </c>
      <c r="G46" s="71" t="s">
        <v>239</v>
      </c>
      <c r="I46" s="118" t="s">
        <v>227</v>
      </c>
      <c r="J46" s="112">
        <v>106000</v>
      </c>
      <c r="K46" s="113">
        <v>0.02</v>
      </c>
    </row>
    <row r="47" spans="1:12" ht="14.25" customHeight="1" x14ac:dyDescent="0.2">
      <c r="A47" s="72"/>
      <c r="B47" s="110" t="s">
        <v>768</v>
      </c>
      <c r="C47" s="110">
        <f>SUM(C2:C46)</f>
        <v>1093</v>
      </c>
      <c r="D47" s="110">
        <f>SUM(D2:D46)</f>
        <v>513487</v>
      </c>
      <c r="E47" s="112">
        <f>SUM(E2:E46)</f>
        <v>8992905</v>
      </c>
      <c r="F47" s="72"/>
      <c r="G47" s="72"/>
      <c r="I47" s="118" t="s">
        <v>228</v>
      </c>
      <c r="J47" s="112">
        <v>835385</v>
      </c>
      <c r="K47" s="113">
        <v>0</v>
      </c>
    </row>
    <row r="48" spans="1:12" ht="14.25" customHeight="1" x14ac:dyDescent="0.2">
      <c r="I48" s="118" t="s">
        <v>230</v>
      </c>
      <c r="J48" s="112">
        <v>250000</v>
      </c>
      <c r="K48" s="113">
        <v>-0.04</v>
      </c>
    </row>
    <row r="49" spans="9:11" ht="14.25" customHeight="1" x14ac:dyDescent="0.2">
      <c r="I49" s="118" t="s">
        <v>232</v>
      </c>
      <c r="J49" s="112">
        <v>4538140</v>
      </c>
      <c r="K49" s="113">
        <v>0.06</v>
      </c>
    </row>
    <row r="50" spans="9:11" ht="14.25" customHeight="1" x14ac:dyDescent="0.2">
      <c r="I50" s="118" t="s">
        <v>234</v>
      </c>
      <c r="J50" s="112">
        <v>314600</v>
      </c>
      <c r="K50" s="113">
        <v>0.05</v>
      </c>
    </row>
    <row r="51" spans="9:11" ht="14.25" customHeight="1" x14ac:dyDescent="0.2">
      <c r="I51" s="118" t="s">
        <v>236</v>
      </c>
      <c r="J51" s="112">
        <v>439950</v>
      </c>
      <c r="K51" s="113">
        <v>0.05</v>
      </c>
    </row>
    <row r="52" spans="9:11" ht="14.25" customHeight="1" x14ac:dyDescent="0.2">
      <c r="I52" s="118" t="s">
        <v>238</v>
      </c>
      <c r="J52" s="112">
        <v>110040</v>
      </c>
      <c r="K52" s="113">
        <v>0.09</v>
      </c>
    </row>
    <row r="53" spans="9:11" ht="14.25" customHeight="1" x14ac:dyDescent="0.2">
      <c r="I53" s="118" t="s">
        <v>239</v>
      </c>
      <c r="J53" s="112">
        <v>447500</v>
      </c>
      <c r="K53" s="113">
        <v>-0.01</v>
      </c>
    </row>
    <row r="54" spans="9:11" ht="14.25" customHeight="1" x14ac:dyDescent="0.2">
      <c r="I54" s="110" t="s">
        <v>770</v>
      </c>
      <c r="J54" s="112">
        <f>SUM(J41:J53)</f>
        <v>9217305</v>
      </c>
      <c r="K54" s="72"/>
    </row>
  </sheetData>
  <hyperlinks>
    <hyperlink ref="G2" r:id="rId1" xr:uid="{00000000-0004-0000-1100-000000000000}"/>
    <hyperlink ref="G3" r:id="rId2" xr:uid="{00000000-0004-0000-1100-000001000000}"/>
    <hyperlink ref="G4" r:id="rId3" xr:uid="{00000000-0004-0000-1100-000002000000}"/>
    <hyperlink ref="G5" r:id="rId4" xr:uid="{00000000-0004-0000-1100-000003000000}"/>
    <hyperlink ref="G6" r:id="rId5" xr:uid="{00000000-0004-0000-1100-000004000000}"/>
    <hyperlink ref="G7" r:id="rId6" xr:uid="{00000000-0004-0000-1100-000005000000}"/>
    <hyperlink ref="G8" r:id="rId7" xr:uid="{00000000-0004-0000-1100-000006000000}"/>
    <hyperlink ref="G9" r:id="rId8" xr:uid="{00000000-0004-0000-1100-000007000000}"/>
    <hyperlink ref="G10" r:id="rId9" xr:uid="{00000000-0004-0000-1100-000008000000}"/>
    <hyperlink ref="G11" r:id="rId10" xr:uid="{00000000-0004-0000-1100-000009000000}"/>
    <hyperlink ref="G12" r:id="rId11" xr:uid="{00000000-0004-0000-1100-00000A000000}"/>
    <hyperlink ref="G13" r:id="rId12" xr:uid="{00000000-0004-0000-1100-00000B000000}"/>
    <hyperlink ref="G14" r:id="rId13" xr:uid="{00000000-0004-0000-1100-00000C000000}"/>
    <hyperlink ref="G15" r:id="rId14" xr:uid="{00000000-0004-0000-1100-00000D000000}"/>
    <hyperlink ref="G16" r:id="rId15" xr:uid="{00000000-0004-0000-1100-00000E000000}"/>
    <hyperlink ref="G17" r:id="rId16" xr:uid="{00000000-0004-0000-1100-00000F000000}"/>
    <hyperlink ref="G18" r:id="rId17" xr:uid="{00000000-0004-0000-1100-000010000000}"/>
    <hyperlink ref="G19" r:id="rId18" xr:uid="{00000000-0004-0000-1100-000011000000}"/>
    <hyperlink ref="G20" r:id="rId19" xr:uid="{00000000-0004-0000-1100-000012000000}"/>
    <hyperlink ref="G21" r:id="rId20" xr:uid="{00000000-0004-0000-1100-000013000000}"/>
    <hyperlink ref="G22" r:id="rId21" xr:uid="{00000000-0004-0000-1100-000014000000}"/>
    <hyperlink ref="G23" r:id="rId22" xr:uid="{00000000-0004-0000-1100-000015000000}"/>
    <hyperlink ref="G24" r:id="rId23" xr:uid="{00000000-0004-0000-1100-000016000000}"/>
    <hyperlink ref="G25" r:id="rId24" xr:uid="{00000000-0004-0000-1100-000017000000}"/>
    <hyperlink ref="G26" r:id="rId25" xr:uid="{00000000-0004-0000-1100-000018000000}"/>
    <hyperlink ref="G27" r:id="rId26" xr:uid="{00000000-0004-0000-1100-000019000000}"/>
    <hyperlink ref="G28" r:id="rId27" xr:uid="{00000000-0004-0000-1100-00001A000000}"/>
    <hyperlink ref="G29" r:id="rId28" xr:uid="{00000000-0004-0000-1100-00001B000000}"/>
    <hyperlink ref="G30" r:id="rId29" xr:uid="{00000000-0004-0000-1100-00001C000000}"/>
    <hyperlink ref="G31" r:id="rId30" xr:uid="{00000000-0004-0000-1100-00001D000000}"/>
    <hyperlink ref="G32" r:id="rId31" xr:uid="{00000000-0004-0000-1100-00001E000000}"/>
    <hyperlink ref="G33" r:id="rId32" xr:uid="{00000000-0004-0000-1100-00001F000000}"/>
    <hyperlink ref="G34" r:id="rId33" xr:uid="{00000000-0004-0000-1100-000020000000}"/>
    <hyperlink ref="G35" r:id="rId34" xr:uid="{00000000-0004-0000-1100-000021000000}"/>
    <hyperlink ref="G36" r:id="rId35" xr:uid="{00000000-0004-0000-1100-000022000000}"/>
    <hyperlink ref="G37" r:id="rId36" xr:uid="{00000000-0004-0000-1100-000023000000}"/>
    <hyperlink ref="G38" r:id="rId37" xr:uid="{00000000-0004-0000-1100-000024000000}"/>
    <hyperlink ref="G39" r:id="rId38" xr:uid="{00000000-0004-0000-1100-000025000000}"/>
    <hyperlink ref="G40" r:id="rId39" xr:uid="{00000000-0004-0000-1100-000026000000}"/>
    <hyperlink ref="G41" r:id="rId40" xr:uid="{00000000-0004-0000-1100-000027000000}"/>
    <hyperlink ref="I41" r:id="rId41" xr:uid="{00000000-0004-0000-1100-000028000000}"/>
    <hyperlink ref="G42" r:id="rId42" xr:uid="{00000000-0004-0000-1100-000029000000}"/>
    <hyperlink ref="I42" r:id="rId43" xr:uid="{00000000-0004-0000-1100-00002A000000}"/>
    <hyperlink ref="G43" r:id="rId44" xr:uid="{00000000-0004-0000-1100-00002B000000}"/>
    <hyperlink ref="I43" r:id="rId45" xr:uid="{00000000-0004-0000-1100-00002C000000}"/>
    <hyperlink ref="G44" r:id="rId46" xr:uid="{00000000-0004-0000-1100-00002D000000}"/>
    <hyperlink ref="I44" r:id="rId47" xr:uid="{00000000-0004-0000-1100-00002E000000}"/>
    <hyperlink ref="G45" r:id="rId48" xr:uid="{00000000-0004-0000-1100-00002F000000}"/>
    <hyperlink ref="I45" r:id="rId49" xr:uid="{00000000-0004-0000-1100-000030000000}"/>
    <hyperlink ref="G46" r:id="rId50" xr:uid="{00000000-0004-0000-1100-000031000000}"/>
    <hyperlink ref="I46" r:id="rId51" xr:uid="{00000000-0004-0000-1100-000032000000}"/>
    <hyperlink ref="I47" r:id="rId52" xr:uid="{00000000-0004-0000-1100-000033000000}"/>
    <hyperlink ref="I48" r:id="rId53" xr:uid="{00000000-0004-0000-1100-000034000000}"/>
    <hyperlink ref="I49" r:id="rId54" xr:uid="{00000000-0004-0000-1100-000035000000}"/>
    <hyperlink ref="I50" r:id="rId55" xr:uid="{00000000-0004-0000-1100-000036000000}"/>
    <hyperlink ref="I51" r:id="rId56" xr:uid="{00000000-0004-0000-1100-000037000000}"/>
    <hyperlink ref="I52" r:id="rId57" xr:uid="{00000000-0004-0000-1100-000038000000}"/>
    <hyperlink ref="I53" r:id="rId58" xr:uid="{00000000-0004-0000-1100-000039000000}"/>
  </hyperlinks>
  <pageMargins left="0.75" right="0.75" top="1" bottom="1" header="0.511811023622047" footer="0.511811023622047"/>
  <pageSetup paperSize="9" orientation="portrait" horizontalDpi="300" verticalDpi="300"/>
  <drawing r:id="rId5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3"/>
  <sheetViews>
    <sheetView topLeftCell="A11" zoomScale="76" zoomScaleNormal="76" workbookViewId="0">
      <selection activeCell="O37" sqref="O37"/>
    </sheetView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46218</v>
      </c>
      <c r="B2" s="110" t="s">
        <v>87</v>
      </c>
      <c r="C2" s="110">
        <v>5</v>
      </c>
      <c r="D2" s="111">
        <v>21485</v>
      </c>
      <c r="E2" s="112">
        <f t="shared" ref="E2:E32" si="0">C2*D2</f>
        <v>107425</v>
      </c>
      <c r="F2" s="110" t="s">
        <v>75</v>
      </c>
      <c r="G2" s="71" t="s">
        <v>240</v>
      </c>
      <c r="I2" s="110" t="s">
        <v>87</v>
      </c>
      <c r="J2" s="110">
        <f>C2</f>
        <v>5</v>
      </c>
      <c r="K2" s="112">
        <f>E2</f>
        <v>107425</v>
      </c>
      <c r="L2" s="113">
        <f t="shared" ref="L2:L27" si="1">K2/K$27</f>
        <v>2.3910239503032043E-2</v>
      </c>
      <c r="N2" s="112">
        <f>K27</f>
        <v>4492845</v>
      </c>
      <c r="O2" s="110">
        <f>J27</f>
        <v>364</v>
      </c>
      <c r="P2" s="110">
        <f>COUNT(J2:J26)</f>
        <v>25</v>
      </c>
    </row>
    <row r="3" spans="1:16" ht="14.25" customHeight="1" x14ac:dyDescent="0.2">
      <c r="A3" s="108">
        <v>46218</v>
      </c>
      <c r="B3" s="110" t="s">
        <v>77</v>
      </c>
      <c r="C3" s="110">
        <v>20</v>
      </c>
      <c r="D3" s="111">
        <v>17840</v>
      </c>
      <c r="E3" s="112">
        <f t="shared" si="0"/>
        <v>356800</v>
      </c>
      <c r="F3" s="110" t="s">
        <v>75</v>
      </c>
      <c r="G3" s="71" t="s">
        <v>240</v>
      </c>
      <c r="I3" s="110" t="s">
        <v>77</v>
      </c>
      <c r="J3" s="110">
        <f>C3</f>
        <v>20</v>
      </c>
      <c r="K3" s="112">
        <f>E3</f>
        <v>356800</v>
      </c>
      <c r="L3" s="113">
        <f t="shared" si="1"/>
        <v>7.9415158991685664E-2</v>
      </c>
    </row>
    <row r="4" spans="1:16" ht="14.25" customHeight="1" x14ac:dyDescent="0.2">
      <c r="A4" s="108">
        <v>46218</v>
      </c>
      <c r="B4" s="119" t="s">
        <v>45</v>
      </c>
      <c r="C4" s="110">
        <v>15</v>
      </c>
      <c r="D4" s="111">
        <v>13332</v>
      </c>
      <c r="E4" s="112">
        <f t="shared" si="0"/>
        <v>199980</v>
      </c>
      <c r="F4" s="110" t="s">
        <v>75</v>
      </c>
      <c r="G4" s="71" t="s">
        <v>240</v>
      </c>
      <c r="I4" s="119" t="s">
        <v>45</v>
      </c>
      <c r="J4" s="110">
        <f>C4+C26+C29</f>
        <v>18</v>
      </c>
      <c r="K4" s="112">
        <f>E4+E26+E29</f>
        <v>240000</v>
      </c>
      <c r="L4" s="113">
        <f t="shared" si="1"/>
        <v>5.3418268380057622E-2</v>
      </c>
    </row>
    <row r="5" spans="1:16" ht="14.25" customHeight="1" x14ac:dyDescent="0.2">
      <c r="A5" s="108">
        <v>46218</v>
      </c>
      <c r="B5" s="110" t="s">
        <v>93</v>
      </c>
      <c r="C5" s="110">
        <v>5</v>
      </c>
      <c r="D5" s="111">
        <v>11600</v>
      </c>
      <c r="E5" s="112">
        <f t="shared" si="0"/>
        <v>58000</v>
      </c>
      <c r="F5" s="110" t="s">
        <v>75</v>
      </c>
      <c r="G5" s="71" t="s">
        <v>240</v>
      </c>
      <c r="I5" s="110" t="s">
        <v>93</v>
      </c>
      <c r="J5" s="110">
        <f>C5</f>
        <v>5</v>
      </c>
      <c r="K5" s="112">
        <f>E5</f>
        <v>58000</v>
      </c>
      <c r="L5" s="113">
        <f t="shared" si="1"/>
        <v>1.2909414858513926E-2</v>
      </c>
    </row>
    <row r="6" spans="1:16" ht="14.25" customHeight="1" x14ac:dyDescent="0.2">
      <c r="A6" s="108">
        <v>46218</v>
      </c>
      <c r="B6" s="120" t="s">
        <v>24</v>
      </c>
      <c r="C6" s="110">
        <v>30</v>
      </c>
      <c r="D6" s="111">
        <v>6195</v>
      </c>
      <c r="E6" s="112">
        <f t="shared" si="0"/>
        <v>185850</v>
      </c>
      <c r="F6" s="110" t="s">
        <v>75</v>
      </c>
      <c r="G6" s="71" t="s">
        <v>240</v>
      </c>
      <c r="I6" s="120" t="s">
        <v>24</v>
      </c>
      <c r="J6" s="110">
        <f>C6+C27</f>
        <v>100</v>
      </c>
      <c r="K6" s="112">
        <f>E6+E27</f>
        <v>535850</v>
      </c>
      <c r="L6" s="113">
        <f t="shared" si="1"/>
        <v>0.11926741296439115</v>
      </c>
    </row>
    <row r="7" spans="1:16" ht="14.25" customHeight="1" x14ac:dyDescent="0.2">
      <c r="A7" s="108">
        <v>46218</v>
      </c>
      <c r="B7" s="110" t="s">
        <v>27</v>
      </c>
      <c r="C7" s="110">
        <v>20</v>
      </c>
      <c r="D7" s="111">
        <v>8020</v>
      </c>
      <c r="E7" s="112">
        <f t="shared" si="0"/>
        <v>160400</v>
      </c>
      <c r="F7" s="110" t="s">
        <v>75</v>
      </c>
      <c r="G7" s="71" t="s">
        <v>240</v>
      </c>
      <c r="I7" s="110" t="s">
        <v>27</v>
      </c>
      <c r="J7" s="110">
        <f t="shared" ref="J7:J14" si="2">C7</f>
        <v>20</v>
      </c>
      <c r="K7" s="112">
        <f t="shared" ref="K7:K14" si="3">E7</f>
        <v>160400</v>
      </c>
      <c r="L7" s="113">
        <f t="shared" si="1"/>
        <v>3.5701209367338511E-2</v>
      </c>
    </row>
    <row r="8" spans="1:16" ht="14.25" customHeight="1" x14ac:dyDescent="0.2">
      <c r="A8" s="108">
        <v>46218</v>
      </c>
      <c r="B8" s="110" t="s">
        <v>71</v>
      </c>
      <c r="C8" s="110">
        <v>10</v>
      </c>
      <c r="D8" s="111">
        <v>15945</v>
      </c>
      <c r="E8" s="112">
        <f t="shared" si="0"/>
        <v>159450</v>
      </c>
      <c r="F8" s="110" t="s">
        <v>75</v>
      </c>
      <c r="G8" s="71" t="s">
        <v>240</v>
      </c>
      <c r="I8" s="110" t="s">
        <v>71</v>
      </c>
      <c r="J8" s="110">
        <f t="shared" si="2"/>
        <v>10</v>
      </c>
      <c r="K8" s="112">
        <f t="shared" si="3"/>
        <v>159450</v>
      </c>
      <c r="L8" s="113">
        <f t="shared" si="1"/>
        <v>3.5489762055000783E-2</v>
      </c>
    </row>
    <row r="9" spans="1:16" ht="14.25" customHeight="1" x14ac:dyDescent="0.2">
      <c r="A9" s="108">
        <v>46218</v>
      </c>
      <c r="B9" s="110" t="s">
        <v>35</v>
      </c>
      <c r="C9" s="110">
        <v>10</v>
      </c>
      <c r="D9" s="111">
        <v>21170</v>
      </c>
      <c r="E9" s="112">
        <f t="shared" si="0"/>
        <v>211700</v>
      </c>
      <c r="F9" s="110" t="s">
        <v>75</v>
      </c>
      <c r="G9" s="71" t="s">
        <v>240</v>
      </c>
      <c r="I9" s="110" t="s">
        <v>35</v>
      </c>
      <c r="J9" s="110">
        <f t="shared" si="2"/>
        <v>10</v>
      </c>
      <c r="K9" s="112">
        <f t="shared" si="3"/>
        <v>211700</v>
      </c>
      <c r="L9" s="113">
        <f t="shared" si="1"/>
        <v>4.7119364233575829E-2</v>
      </c>
    </row>
    <row r="10" spans="1:16" ht="14.25" customHeight="1" x14ac:dyDescent="0.2">
      <c r="A10" s="108">
        <v>46218</v>
      </c>
      <c r="B10" s="110" t="s">
        <v>32</v>
      </c>
      <c r="C10" s="110">
        <v>10</v>
      </c>
      <c r="D10" s="111">
        <v>16145</v>
      </c>
      <c r="E10" s="112">
        <f t="shared" si="0"/>
        <v>161450</v>
      </c>
      <c r="F10" s="110" t="s">
        <v>75</v>
      </c>
      <c r="G10" s="71" t="s">
        <v>240</v>
      </c>
      <c r="I10" s="110" t="s">
        <v>32</v>
      </c>
      <c r="J10" s="110">
        <f t="shared" si="2"/>
        <v>10</v>
      </c>
      <c r="K10" s="112">
        <f t="shared" si="3"/>
        <v>161450</v>
      </c>
      <c r="L10" s="113">
        <f t="shared" si="1"/>
        <v>3.5934914291501266E-2</v>
      </c>
    </row>
    <row r="11" spans="1:16" ht="14.25" customHeight="1" x14ac:dyDescent="0.2">
      <c r="A11" s="108">
        <v>46218</v>
      </c>
      <c r="B11" s="110" t="s">
        <v>141</v>
      </c>
      <c r="C11" s="110">
        <v>10</v>
      </c>
      <c r="D11" s="111">
        <v>14145</v>
      </c>
      <c r="E11" s="112">
        <f t="shared" si="0"/>
        <v>141450</v>
      </c>
      <c r="F11" s="110" t="s">
        <v>75</v>
      </c>
      <c r="G11" s="71" t="s">
        <v>240</v>
      </c>
      <c r="I11" s="110" t="s">
        <v>141</v>
      </c>
      <c r="J11" s="110">
        <f t="shared" si="2"/>
        <v>10</v>
      </c>
      <c r="K11" s="112">
        <f t="shared" si="3"/>
        <v>141450</v>
      </c>
      <c r="L11" s="113">
        <f t="shared" si="1"/>
        <v>3.1483391926496462E-2</v>
      </c>
    </row>
    <row r="12" spans="1:16" ht="14.25" customHeight="1" x14ac:dyDescent="0.2">
      <c r="A12" s="108">
        <v>46218</v>
      </c>
      <c r="B12" s="110" t="s">
        <v>34</v>
      </c>
      <c r="C12" s="110">
        <v>5</v>
      </c>
      <c r="D12" s="111">
        <v>22740</v>
      </c>
      <c r="E12" s="112">
        <f t="shared" si="0"/>
        <v>113700</v>
      </c>
      <c r="F12" s="110" t="s">
        <v>75</v>
      </c>
      <c r="G12" s="71" t="s">
        <v>240</v>
      </c>
      <c r="I12" s="110" t="s">
        <v>34</v>
      </c>
      <c r="J12" s="110">
        <f t="shared" si="2"/>
        <v>5</v>
      </c>
      <c r="K12" s="112">
        <f t="shared" si="3"/>
        <v>113700</v>
      </c>
      <c r="L12" s="113">
        <f t="shared" si="1"/>
        <v>2.5306904645052301E-2</v>
      </c>
    </row>
    <row r="13" spans="1:16" ht="14.25" customHeight="1" x14ac:dyDescent="0.2">
      <c r="A13" s="108">
        <v>46218</v>
      </c>
      <c r="B13" s="110" t="s">
        <v>70</v>
      </c>
      <c r="C13" s="110">
        <v>50</v>
      </c>
      <c r="D13" s="111">
        <v>13460</v>
      </c>
      <c r="E13" s="112">
        <f t="shared" si="0"/>
        <v>673000</v>
      </c>
      <c r="F13" s="110" t="s">
        <v>75</v>
      </c>
      <c r="G13" s="71" t="s">
        <v>240</v>
      </c>
      <c r="I13" s="110" t="s">
        <v>70</v>
      </c>
      <c r="J13" s="110">
        <f t="shared" si="2"/>
        <v>50</v>
      </c>
      <c r="K13" s="112">
        <f t="shared" si="3"/>
        <v>673000</v>
      </c>
      <c r="L13" s="113">
        <f t="shared" si="1"/>
        <v>0.14979372758241158</v>
      </c>
    </row>
    <row r="14" spans="1:16" ht="14.25" customHeight="1" x14ac:dyDescent="0.2">
      <c r="A14" s="108">
        <v>46218</v>
      </c>
      <c r="B14" s="110" t="s">
        <v>224</v>
      </c>
      <c r="C14" s="110">
        <v>11</v>
      </c>
      <c r="D14" s="111">
        <v>14430</v>
      </c>
      <c r="E14" s="112">
        <f t="shared" si="0"/>
        <v>158730</v>
      </c>
      <c r="F14" s="110" t="s">
        <v>75</v>
      </c>
      <c r="G14" s="71" t="s">
        <v>240</v>
      </c>
      <c r="I14" s="110" t="s">
        <v>224</v>
      </c>
      <c r="J14" s="110">
        <f t="shared" si="2"/>
        <v>11</v>
      </c>
      <c r="K14" s="112">
        <f t="shared" si="3"/>
        <v>158730</v>
      </c>
      <c r="L14" s="113">
        <f t="shared" si="1"/>
        <v>3.5329507249860614E-2</v>
      </c>
    </row>
    <row r="15" spans="1:16" ht="14.25" customHeight="1" x14ac:dyDescent="0.2">
      <c r="A15" s="108">
        <v>46218</v>
      </c>
      <c r="B15" s="121" t="s">
        <v>28</v>
      </c>
      <c r="C15" s="110">
        <v>31</v>
      </c>
      <c r="D15" s="111">
        <v>14400</v>
      </c>
      <c r="E15" s="112">
        <f t="shared" si="0"/>
        <v>446400</v>
      </c>
      <c r="F15" s="110" t="s">
        <v>75</v>
      </c>
      <c r="G15" s="71" t="s">
        <v>240</v>
      </c>
      <c r="I15" s="121" t="s">
        <v>28</v>
      </c>
      <c r="J15" s="110">
        <f>C15+C28</f>
        <v>51</v>
      </c>
      <c r="K15" s="112">
        <f>E15+E28</f>
        <v>709400</v>
      </c>
      <c r="L15" s="113">
        <f t="shared" si="1"/>
        <v>0.15789549828672034</v>
      </c>
    </row>
    <row r="16" spans="1:16" ht="14.25" customHeight="1" x14ac:dyDescent="0.2">
      <c r="A16" s="108">
        <v>46218</v>
      </c>
      <c r="B16" s="110" t="s">
        <v>178</v>
      </c>
      <c r="C16" s="110">
        <v>10</v>
      </c>
      <c r="D16" s="111">
        <v>23770</v>
      </c>
      <c r="E16" s="112">
        <f t="shared" si="0"/>
        <v>237700</v>
      </c>
      <c r="F16" s="110" t="s">
        <v>75</v>
      </c>
      <c r="G16" s="71" t="s">
        <v>240</v>
      </c>
      <c r="I16" s="110" t="s">
        <v>178</v>
      </c>
      <c r="J16" s="110">
        <f t="shared" ref="J16:J22" si="4">C16</f>
        <v>10</v>
      </c>
      <c r="K16" s="112">
        <f t="shared" ref="K16:K22" si="5">E16</f>
        <v>237700</v>
      </c>
      <c r="L16" s="113">
        <f t="shared" si="1"/>
        <v>5.2906343308082075E-2</v>
      </c>
    </row>
    <row r="17" spans="1:12" ht="14.25" customHeight="1" x14ac:dyDescent="0.2">
      <c r="A17" s="108">
        <v>46218</v>
      </c>
      <c r="B17" s="110" t="s">
        <v>31</v>
      </c>
      <c r="C17" s="110">
        <v>10</v>
      </c>
      <c r="D17" s="111">
        <v>17845</v>
      </c>
      <c r="E17" s="112">
        <f t="shared" si="0"/>
        <v>178450</v>
      </c>
      <c r="F17" s="110" t="s">
        <v>75</v>
      </c>
      <c r="G17" s="71" t="s">
        <v>240</v>
      </c>
      <c r="I17" s="110" t="s">
        <v>31</v>
      </c>
      <c r="J17" s="110">
        <f t="shared" si="4"/>
        <v>10</v>
      </c>
      <c r="K17" s="112">
        <f t="shared" si="5"/>
        <v>178450</v>
      </c>
      <c r="L17" s="113">
        <f t="shared" si="1"/>
        <v>3.9718708301755348E-2</v>
      </c>
    </row>
    <row r="18" spans="1:12" ht="14.25" customHeight="1" x14ac:dyDescent="0.2">
      <c r="A18" s="108">
        <v>46218</v>
      </c>
      <c r="B18" s="110" t="s">
        <v>190</v>
      </c>
      <c r="C18" s="110">
        <v>2</v>
      </c>
      <c r="D18" s="111">
        <v>28445</v>
      </c>
      <c r="E18" s="112">
        <f t="shared" si="0"/>
        <v>56890</v>
      </c>
      <c r="F18" s="110" t="s">
        <v>75</v>
      </c>
      <c r="G18" s="71" t="s">
        <v>240</v>
      </c>
      <c r="I18" s="110" t="s">
        <v>190</v>
      </c>
      <c r="J18" s="110">
        <f t="shared" si="4"/>
        <v>2</v>
      </c>
      <c r="K18" s="112">
        <f t="shared" si="5"/>
        <v>56890</v>
      </c>
      <c r="L18" s="113">
        <f t="shared" si="1"/>
        <v>1.266235536725616E-2</v>
      </c>
    </row>
    <row r="19" spans="1:12" ht="14.25" customHeight="1" x14ac:dyDescent="0.2">
      <c r="A19" s="108">
        <v>46218</v>
      </c>
      <c r="B19" s="110" t="s">
        <v>56</v>
      </c>
      <c r="C19" s="110">
        <v>2</v>
      </c>
      <c r="D19" s="111">
        <v>24185</v>
      </c>
      <c r="E19" s="112">
        <f t="shared" si="0"/>
        <v>48370</v>
      </c>
      <c r="F19" s="110" t="s">
        <v>75</v>
      </c>
      <c r="G19" s="71" t="s">
        <v>240</v>
      </c>
      <c r="I19" s="110" t="s">
        <v>56</v>
      </c>
      <c r="J19" s="110">
        <f t="shared" si="4"/>
        <v>2</v>
      </c>
      <c r="K19" s="112">
        <f t="shared" si="5"/>
        <v>48370</v>
      </c>
      <c r="L19" s="113">
        <f t="shared" si="1"/>
        <v>1.0766006839764114E-2</v>
      </c>
    </row>
    <row r="20" spans="1:12" ht="14.25" customHeight="1" x14ac:dyDescent="0.2">
      <c r="A20" s="108">
        <v>46218</v>
      </c>
      <c r="B20" s="110" t="s">
        <v>113</v>
      </c>
      <c r="C20" s="110">
        <v>5</v>
      </c>
      <c r="D20" s="111">
        <v>15115</v>
      </c>
      <c r="E20" s="112">
        <f t="shared" si="0"/>
        <v>75575</v>
      </c>
      <c r="F20" s="110" t="s">
        <v>75</v>
      </c>
      <c r="G20" s="71" t="s">
        <v>240</v>
      </c>
      <c r="I20" s="110" t="s">
        <v>113</v>
      </c>
      <c r="J20" s="110">
        <f t="shared" si="4"/>
        <v>5</v>
      </c>
      <c r="K20" s="112">
        <f t="shared" si="5"/>
        <v>75575</v>
      </c>
      <c r="L20" s="113">
        <f t="shared" si="1"/>
        <v>1.6821190136761897E-2</v>
      </c>
    </row>
    <row r="21" spans="1:12" ht="14.25" customHeight="1" x14ac:dyDescent="0.2">
      <c r="A21" s="108">
        <v>46218</v>
      </c>
      <c r="B21" s="110" t="s">
        <v>62</v>
      </c>
      <c r="C21" s="110">
        <v>1</v>
      </c>
      <c r="D21" s="111">
        <v>20655</v>
      </c>
      <c r="E21" s="112">
        <f t="shared" si="0"/>
        <v>20655</v>
      </c>
      <c r="F21" s="110" t="s">
        <v>104</v>
      </c>
      <c r="G21" s="71" t="s">
        <v>242</v>
      </c>
      <c r="I21" s="110" t="s">
        <v>62</v>
      </c>
      <c r="J21" s="110">
        <f t="shared" si="4"/>
        <v>1</v>
      </c>
      <c r="K21" s="112">
        <f t="shared" si="5"/>
        <v>20655</v>
      </c>
      <c r="L21" s="113">
        <f t="shared" si="1"/>
        <v>4.5973097224587091E-3</v>
      </c>
    </row>
    <row r="22" spans="1:12" ht="14.25" customHeight="1" x14ac:dyDescent="0.2">
      <c r="A22" s="108">
        <v>46218</v>
      </c>
      <c r="B22" s="110" t="s">
        <v>69</v>
      </c>
      <c r="C22" s="110">
        <v>1</v>
      </c>
      <c r="D22" s="111">
        <v>14450</v>
      </c>
      <c r="E22" s="112">
        <f t="shared" si="0"/>
        <v>14450</v>
      </c>
      <c r="F22" s="110" t="s">
        <v>95</v>
      </c>
      <c r="G22" s="71" t="s">
        <v>243</v>
      </c>
      <c r="I22" s="110" t="s">
        <v>69</v>
      </c>
      <c r="J22" s="110">
        <f t="shared" si="4"/>
        <v>1</v>
      </c>
      <c r="K22" s="112">
        <f t="shared" si="5"/>
        <v>14450</v>
      </c>
      <c r="L22" s="113">
        <f t="shared" si="1"/>
        <v>3.2162249087159694E-3</v>
      </c>
    </row>
    <row r="23" spans="1:12" ht="14.25" customHeight="1" x14ac:dyDescent="0.2">
      <c r="A23" s="108">
        <v>46218</v>
      </c>
      <c r="B23" s="114" t="s">
        <v>22</v>
      </c>
      <c r="C23" s="110">
        <v>2</v>
      </c>
      <c r="D23" s="111">
        <v>9200</v>
      </c>
      <c r="E23" s="112">
        <f t="shared" si="0"/>
        <v>18400</v>
      </c>
      <c r="F23" s="110" t="s">
        <v>95</v>
      </c>
      <c r="G23" s="71" t="s">
        <v>243</v>
      </c>
      <c r="I23" s="114" t="s">
        <v>22</v>
      </c>
      <c r="J23" s="110">
        <f>C23+C30</f>
        <v>3</v>
      </c>
      <c r="K23" s="112">
        <f>E23+E30</f>
        <v>27600</v>
      </c>
      <c r="L23" s="113">
        <f t="shared" si="1"/>
        <v>6.1431008637066265E-3</v>
      </c>
    </row>
    <row r="24" spans="1:12" ht="14.25" customHeight="1" x14ac:dyDescent="0.2">
      <c r="A24" s="108">
        <v>46218</v>
      </c>
      <c r="B24" s="116" t="s">
        <v>44</v>
      </c>
      <c r="C24" s="110">
        <v>2</v>
      </c>
      <c r="D24" s="111">
        <v>9200</v>
      </c>
      <c r="E24" s="112">
        <f t="shared" si="0"/>
        <v>18400</v>
      </c>
      <c r="F24" s="110" t="s">
        <v>95</v>
      </c>
      <c r="G24" s="71" t="s">
        <v>243</v>
      </c>
      <c r="I24" s="110" t="s">
        <v>44</v>
      </c>
      <c r="J24" s="110">
        <f>C24+C31</f>
        <v>3</v>
      </c>
      <c r="K24" s="112">
        <f>E24+E31</f>
        <v>27600</v>
      </c>
      <c r="L24" s="113">
        <f t="shared" si="1"/>
        <v>6.1431008637066265E-3</v>
      </c>
    </row>
    <row r="25" spans="1:12" ht="14.25" customHeight="1" x14ac:dyDescent="0.2">
      <c r="A25" s="108">
        <v>46218</v>
      </c>
      <c r="B25" s="110" t="s">
        <v>37</v>
      </c>
      <c r="C25" s="110">
        <v>1</v>
      </c>
      <c r="D25" s="111">
        <v>9200</v>
      </c>
      <c r="E25" s="112">
        <f t="shared" si="0"/>
        <v>9200</v>
      </c>
      <c r="F25" s="110" t="s">
        <v>95</v>
      </c>
      <c r="G25" s="71" t="s">
        <v>243</v>
      </c>
      <c r="I25" s="110" t="s">
        <v>37</v>
      </c>
      <c r="J25" s="110">
        <f>C25</f>
        <v>1</v>
      </c>
      <c r="K25" s="112">
        <f>E25</f>
        <v>9200</v>
      </c>
      <c r="L25" s="113">
        <f t="shared" si="1"/>
        <v>2.047700287902209E-3</v>
      </c>
    </row>
    <row r="26" spans="1:12" ht="14.25" customHeight="1" x14ac:dyDescent="0.2">
      <c r="A26" s="108">
        <v>46218</v>
      </c>
      <c r="B26" s="119" t="s">
        <v>45</v>
      </c>
      <c r="C26" s="110">
        <v>2</v>
      </c>
      <c r="D26" s="111">
        <v>13335</v>
      </c>
      <c r="E26" s="112">
        <f t="shared" si="0"/>
        <v>26670</v>
      </c>
      <c r="F26" s="110" t="s">
        <v>95</v>
      </c>
      <c r="G26" s="71" t="s">
        <v>243</v>
      </c>
      <c r="I26" s="110" t="s">
        <v>21</v>
      </c>
      <c r="J26" s="110">
        <f>C32</f>
        <v>1</v>
      </c>
      <c r="K26" s="112">
        <f>E32</f>
        <v>9000</v>
      </c>
      <c r="L26" s="113">
        <f t="shared" si="1"/>
        <v>2.0031850642521611E-3</v>
      </c>
    </row>
    <row r="27" spans="1:12" ht="14.25" customHeight="1" x14ac:dyDescent="0.2">
      <c r="A27" s="108">
        <v>46218</v>
      </c>
      <c r="B27" s="120" t="s">
        <v>24</v>
      </c>
      <c r="C27" s="110">
        <v>70</v>
      </c>
      <c r="D27" s="111">
        <v>5000</v>
      </c>
      <c r="E27" s="112">
        <f t="shared" si="0"/>
        <v>350000</v>
      </c>
      <c r="F27" s="110" t="s">
        <v>25</v>
      </c>
      <c r="G27" s="71" t="s">
        <v>244</v>
      </c>
      <c r="I27" s="110" t="s">
        <v>768</v>
      </c>
      <c r="J27" s="110">
        <f>SUM(J2:J26)</f>
        <v>364</v>
      </c>
      <c r="K27" s="112">
        <f>SUM(K2:K26)</f>
        <v>4492845</v>
      </c>
      <c r="L27" s="113">
        <f t="shared" si="1"/>
        <v>1</v>
      </c>
    </row>
    <row r="28" spans="1:12" ht="14.25" customHeight="1" x14ac:dyDescent="0.2">
      <c r="A28" s="108">
        <v>46218</v>
      </c>
      <c r="B28" s="121" t="s">
        <v>28</v>
      </c>
      <c r="C28" s="110">
        <v>20</v>
      </c>
      <c r="D28" s="111">
        <v>13150</v>
      </c>
      <c r="E28" s="112">
        <f t="shared" si="0"/>
        <v>263000</v>
      </c>
      <c r="F28" s="110" t="s">
        <v>25</v>
      </c>
      <c r="G28" s="71" t="s">
        <v>244</v>
      </c>
    </row>
    <row r="29" spans="1:12" ht="25.5" customHeight="1" x14ac:dyDescent="0.2">
      <c r="A29" s="108">
        <v>46218</v>
      </c>
      <c r="B29" s="119" t="s">
        <v>45</v>
      </c>
      <c r="C29" s="110">
        <v>1</v>
      </c>
      <c r="D29" s="111">
        <v>13350</v>
      </c>
      <c r="E29" s="112">
        <f t="shared" si="0"/>
        <v>13350</v>
      </c>
      <c r="F29" s="110" t="s">
        <v>15</v>
      </c>
      <c r="G29" s="71" t="s">
        <v>245</v>
      </c>
      <c r="I29" s="107" t="s">
        <v>758</v>
      </c>
      <c r="J29" s="107" t="s">
        <v>757</v>
      </c>
      <c r="K29" s="107" t="s">
        <v>762</v>
      </c>
      <c r="L29" s="107" t="s">
        <v>769</v>
      </c>
    </row>
    <row r="30" spans="1:12" ht="14.25" customHeight="1" x14ac:dyDescent="0.2">
      <c r="A30" s="108">
        <v>46218</v>
      </c>
      <c r="B30" s="114" t="s">
        <v>22</v>
      </c>
      <c r="C30" s="110">
        <v>1</v>
      </c>
      <c r="D30" s="111">
        <v>9200</v>
      </c>
      <c r="E30" s="112">
        <f t="shared" si="0"/>
        <v>9200</v>
      </c>
      <c r="F30" s="110" t="s">
        <v>15</v>
      </c>
      <c r="G30" s="71" t="s">
        <v>245</v>
      </c>
      <c r="I30" s="110" t="s">
        <v>75</v>
      </c>
      <c r="J30" s="112">
        <f>E2+E3+E4+E5+E6+E7+E8+E9+E10+E11+E12+E13+E14+E15+E16+E17+E18+E19+E20</f>
        <v>3731320</v>
      </c>
      <c r="K30" s="113">
        <f t="shared" ref="K30:K35" si="6">J30/J$35</f>
        <v>0.8305027215494859</v>
      </c>
      <c r="L30" s="113">
        <v>7.1300000000000002E-2</v>
      </c>
    </row>
    <row r="31" spans="1:12" ht="14.25" customHeight="1" x14ac:dyDescent="0.2">
      <c r="A31" s="108">
        <v>46218</v>
      </c>
      <c r="B31" s="116" t="s">
        <v>44</v>
      </c>
      <c r="C31" s="110">
        <v>1</v>
      </c>
      <c r="D31" s="111">
        <v>9200</v>
      </c>
      <c r="E31" s="112">
        <f t="shared" si="0"/>
        <v>9200</v>
      </c>
      <c r="F31" s="110" t="s">
        <v>15</v>
      </c>
      <c r="G31" s="71" t="s">
        <v>245</v>
      </c>
      <c r="I31" s="110" t="s">
        <v>104</v>
      </c>
      <c r="J31" s="112">
        <f>E21</f>
        <v>20655</v>
      </c>
      <c r="K31" s="113">
        <f t="shared" si="6"/>
        <v>4.5973097224587091E-3</v>
      </c>
      <c r="L31" s="113">
        <v>6.54E-2</v>
      </c>
    </row>
    <row r="32" spans="1:12" ht="14.25" customHeight="1" x14ac:dyDescent="0.2">
      <c r="A32" s="108">
        <v>46218</v>
      </c>
      <c r="B32" s="110" t="s">
        <v>21</v>
      </c>
      <c r="C32" s="110">
        <v>1</v>
      </c>
      <c r="D32" s="111">
        <v>9000</v>
      </c>
      <c r="E32" s="112">
        <f t="shared" si="0"/>
        <v>9000</v>
      </c>
      <c r="F32" s="110" t="s">
        <v>15</v>
      </c>
      <c r="G32" s="71" t="s">
        <v>245</v>
      </c>
      <c r="I32" s="110" t="s">
        <v>95</v>
      </c>
      <c r="J32" s="112">
        <f>E22+E23+E24+E25+E26</f>
        <v>87120</v>
      </c>
      <c r="K32" s="113">
        <f t="shared" si="6"/>
        <v>1.9390831421960918E-2</v>
      </c>
      <c r="L32" s="113">
        <v>4.6199999999999998E-2</v>
      </c>
    </row>
    <row r="33" spans="1:12" ht="14.25" customHeight="1" x14ac:dyDescent="0.2">
      <c r="A33" s="72"/>
      <c r="B33" s="110" t="s">
        <v>768</v>
      </c>
      <c r="C33" s="110">
        <f>SUM(C2:C32)</f>
        <v>364</v>
      </c>
      <c r="D33" s="110">
        <f>SUM(D2:D32)</f>
        <v>455207</v>
      </c>
      <c r="E33" s="112">
        <f>SUM(E2:E32)</f>
        <v>4492845</v>
      </c>
      <c r="F33" s="72"/>
      <c r="G33" s="72"/>
      <c r="I33" s="110" t="s">
        <v>25</v>
      </c>
      <c r="J33" s="112">
        <f>E27+E28</f>
        <v>613000</v>
      </c>
      <c r="K33" s="113">
        <f t="shared" si="6"/>
        <v>0.13643916048739718</v>
      </c>
      <c r="L33" s="113">
        <v>-3.4299999999999997E-2</v>
      </c>
    </row>
    <row r="34" spans="1:12" ht="14.25" customHeight="1" x14ac:dyDescent="0.2">
      <c r="I34" s="110" t="s">
        <v>15</v>
      </c>
      <c r="J34" s="112">
        <f>E29+E30+E31+E32</f>
        <v>40750</v>
      </c>
      <c r="K34" s="113">
        <f t="shared" si="6"/>
        <v>9.069976818697284E-3</v>
      </c>
      <c r="L34" s="113">
        <v>5.4800000000000001E-2</v>
      </c>
    </row>
    <row r="35" spans="1:12" ht="14.25" customHeight="1" x14ac:dyDescent="0.2">
      <c r="I35" s="110" t="s">
        <v>770</v>
      </c>
      <c r="J35" s="112">
        <f>SUM(J30:J34)</f>
        <v>4492845</v>
      </c>
      <c r="K35" s="113">
        <f t="shared" si="6"/>
        <v>1</v>
      </c>
      <c r="L35" s="72"/>
    </row>
    <row r="37" spans="1:12" ht="25.5" customHeight="1" x14ac:dyDescent="0.2">
      <c r="I37" s="107" t="s">
        <v>759</v>
      </c>
      <c r="J37" s="107" t="s">
        <v>757</v>
      </c>
      <c r="K37" s="107" t="s">
        <v>769</v>
      </c>
    </row>
    <row r="38" spans="1:12" ht="14.25" customHeight="1" x14ac:dyDescent="0.2">
      <c r="I38" s="118" t="s">
        <v>240</v>
      </c>
      <c r="J38" s="112">
        <v>3865320</v>
      </c>
      <c r="K38" s="113">
        <v>7.0000000000000007E-2</v>
      </c>
    </row>
    <row r="39" spans="1:12" ht="14.25" customHeight="1" x14ac:dyDescent="0.2">
      <c r="I39" s="118" t="s">
        <v>242</v>
      </c>
      <c r="J39" s="112">
        <v>20655</v>
      </c>
      <c r="K39" s="113">
        <v>7.0000000000000007E-2</v>
      </c>
    </row>
    <row r="40" spans="1:12" ht="14.25" customHeight="1" x14ac:dyDescent="0.2">
      <c r="I40" s="118" t="s">
        <v>243</v>
      </c>
      <c r="J40" s="112">
        <v>87120</v>
      </c>
      <c r="K40" s="113">
        <v>0.05</v>
      </c>
    </row>
    <row r="41" spans="1:12" ht="14.25" customHeight="1" x14ac:dyDescent="0.2">
      <c r="I41" s="118" t="s">
        <v>244</v>
      </c>
      <c r="J41" s="112">
        <v>613000</v>
      </c>
      <c r="K41" s="113">
        <v>-0.03</v>
      </c>
    </row>
    <row r="42" spans="1:12" ht="14.25" customHeight="1" x14ac:dyDescent="0.2">
      <c r="I42" s="118" t="s">
        <v>245</v>
      </c>
      <c r="J42" s="112">
        <v>40750</v>
      </c>
      <c r="K42" s="113">
        <v>0.05</v>
      </c>
    </row>
    <row r="43" spans="1:12" ht="14.25" customHeight="1" x14ac:dyDescent="0.2">
      <c r="I43" s="110" t="s">
        <v>770</v>
      </c>
      <c r="J43" s="112">
        <f>SUM(J38:J42)</f>
        <v>4626845</v>
      </c>
      <c r="K43" s="72"/>
    </row>
  </sheetData>
  <hyperlinks>
    <hyperlink ref="G2" r:id="rId1" xr:uid="{00000000-0004-0000-1200-000000000000}"/>
    <hyperlink ref="G3" r:id="rId2" xr:uid="{00000000-0004-0000-1200-000001000000}"/>
    <hyperlink ref="G4" r:id="rId3" xr:uid="{00000000-0004-0000-1200-000002000000}"/>
    <hyperlink ref="G5" r:id="rId4" xr:uid="{00000000-0004-0000-1200-000003000000}"/>
    <hyperlink ref="G6" r:id="rId5" xr:uid="{00000000-0004-0000-1200-000004000000}"/>
    <hyperlink ref="G7" r:id="rId6" xr:uid="{00000000-0004-0000-1200-000005000000}"/>
    <hyperlink ref="G8" r:id="rId7" xr:uid="{00000000-0004-0000-1200-000006000000}"/>
    <hyperlink ref="G9" r:id="rId8" xr:uid="{00000000-0004-0000-1200-000007000000}"/>
    <hyperlink ref="G10" r:id="rId9" xr:uid="{00000000-0004-0000-1200-000008000000}"/>
    <hyperlink ref="G11" r:id="rId10" xr:uid="{00000000-0004-0000-1200-000009000000}"/>
    <hyperlink ref="G12" r:id="rId11" xr:uid="{00000000-0004-0000-1200-00000A000000}"/>
    <hyperlink ref="G13" r:id="rId12" xr:uid="{00000000-0004-0000-1200-00000B000000}"/>
    <hyperlink ref="G14" r:id="rId13" xr:uid="{00000000-0004-0000-1200-00000C000000}"/>
    <hyperlink ref="G15" r:id="rId14" xr:uid="{00000000-0004-0000-1200-00000D000000}"/>
    <hyperlink ref="G16" r:id="rId15" xr:uid="{00000000-0004-0000-1200-00000E000000}"/>
    <hyperlink ref="G17" r:id="rId16" xr:uid="{00000000-0004-0000-1200-00000F000000}"/>
    <hyperlink ref="G18" r:id="rId17" xr:uid="{00000000-0004-0000-1200-000010000000}"/>
    <hyperlink ref="G19" r:id="rId18" xr:uid="{00000000-0004-0000-1200-000011000000}"/>
    <hyperlink ref="G20" r:id="rId19" xr:uid="{00000000-0004-0000-1200-000012000000}"/>
    <hyperlink ref="G21" r:id="rId20" xr:uid="{00000000-0004-0000-1200-000013000000}"/>
    <hyperlink ref="G22" r:id="rId21" xr:uid="{00000000-0004-0000-1200-000014000000}"/>
    <hyperlink ref="G23" r:id="rId22" xr:uid="{00000000-0004-0000-1200-000015000000}"/>
    <hyperlink ref="G24" r:id="rId23" xr:uid="{00000000-0004-0000-1200-000016000000}"/>
    <hyperlink ref="G25" r:id="rId24" xr:uid="{00000000-0004-0000-1200-000017000000}"/>
    <hyperlink ref="G26" r:id="rId25" xr:uid="{00000000-0004-0000-1200-000018000000}"/>
    <hyperlink ref="G27" r:id="rId26" xr:uid="{00000000-0004-0000-1200-000019000000}"/>
    <hyperlink ref="G28" r:id="rId27" xr:uid="{00000000-0004-0000-1200-00001A000000}"/>
    <hyperlink ref="G29" r:id="rId28" xr:uid="{00000000-0004-0000-1200-00001B000000}"/>
    <hyperlink ref="G30" r:id="rId29" xr:uid="{00000000-0004-0000-1200-00001C000000}"/>
    <hyperlink ref="G31" r:id="rId30" xr:uid="{00000000-0004-0000-1200-00001D000000}"/>
    <hyperlink ref="G32" r:id="rId31" xr:uid="{00000000-0004-0000-1200-00001E000000}"/>
    <hyperlink ref="I38" r:id="rId32" xr:uid="{00000000-0004-0000-1200-00001F000000}"/>
    <hyperlink ref="I39" r:id="rId33" xr:uid="{00000000-0004-0000-1200-000020000000}"/>
    <hyperlink ref="I40" r:id="rId34" xr:uid="{00000000-0004-0000-1200-000021000000}"/>
    <hyperlink ref="I41" r:id="rId35" xr:uid="{00000000-0004-0000-1200-000022000000}"/>
    <hyperlink ref="I42" r:id="rId36" xr:uid="{00000000-0004-0000-1200-000023000000}"/>
  </hyperlinks>
  <pageMargins left="0.75" right="0.75" top="1" bottom="1" header="0.511811023622047" footer="0.511811023622047"/>
  <pageSetup paperSize="9" orientation="portrait" horizontalDpi="300" verticalDpi="300"/>
  <drawing r:id="rId3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zoomScale="76" zoomScaleNormal="76" workbookViewId="0">
      <selection activeCell="O13" sqref="O13"/>
    </sheetView>
  </sheetViews>
  <sheetFormatPr defaultColWidth="8.609375" defaultRowHeight="15" x14ac:dyDescent="0.2"/>
  <cols>
    <col min="1" max="1" width="10.22265625" style="38" customWidth="1"/>
    <col min="2" max="2" width="18.5625" style="38" customWidth="1"/>
    <col min="3" max="3" width="10.89453125" style="38" customWidth="1"/>
    <col min="4" max="4" width="14.796875" style="38" customWidth="1"/>
    <col min="5" max="5" width="12.5078125" style="38" customWidth="1"/>
    <col min="6" max="6" width="16.0078125" style="38" customWidth="1"/>
    <col min="7" max="7" width="12.23828125" style="38" customWidth="1"/>
    <col min="8" max="8" width="2.95703125" style="38" customWidth="1"/>
    <col min="9" max="9" width="18.56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46219</v>
      </c>
      <c r="B2" s="110" t="s">
        <v>34</v>
      </c>
      <c r="C2" s="110">
        <v>5</v>
      </c>
      <c r="D2" s="111">
        <v>22740</v>
      </c>
      <c r="E2" s="112">
        <f t="shared" ref="E2:E21" si="0">C2*D2</f>
        <v>113700</v>
      </c>
      <c r="F2" s="110" t="s">
        <v>253</v>
      </c>
      <c r="G2" s="71" t="s">
        <v>254</v>
      </c>
      <c r="I2" s="110" t="s">
        <v>34</v>
      </c>
      <c r="J2" s="110">
        <f>C2</f>
        <v>5</v>
      </c>
      <c r="K2" s="112">
        <f>E2</f>
        <v>113700</v>
      </c>
      <c r="L2" s="113">
        <f t="shared" ref="L2:L15" si="1">K2/K$15</f>
        <v>4.3037859689764028E-2</v>
      </c>
      <c r="N2" s="112">
        <f>K15</f>
        <v>2641860</v>
      </c>
      <c r="O2" s="110">
        <f>J15</f>
        <v>267</v>
      </c>
      <c r="P2" s="110">
        <f>COUNT(J2:J14)</f>
        <v>13</v>
      </c>
    </row>
    <row r="3" spans="1:16" ht="15" customHeight="1" x14ac:dyDescent="0.2">
      <c r="A3" s="108">
        <v>46219</v>
      </c>
      <c r="B3" s="110" t="s">
        <v>61</v>
      </c>
      <c r="C3" s="110">
        <v>5</v>
      </c>
      <c r="D3" s="111">
        <v>12885</v>
      </c>
      <c r="E3" s="112">
        <f t="shared" si="0"/>
        <v>64425</v>
      </c>
      <c r="F3" s="110" t="s">
        <v>253</v>
      </c>
      <c r="G3" s="71" t="s">
        <v>254</v>
      </c>
      <c r="I3" s="110" t="s">
        <v>61</v>
      </c>
      <c r="J3" s="110">
        <f>C3</f>
        <v>5</v>
      </c>
      <c r="K3" s="112">
        <f>E3</f>
        <v>64425</v>
      </c>
      <c r="L3" s="113">
        <f t="shared" si="1"/>
        <v>2.4386227884899275E-2</v>
      </c>
    </row>
    <row r="4" spans="1:16" ht="15" customHeight="1" x14ac:dyDescent="0.2">
      <c r="A4" s="108">
        <v>46219</v>
      </c>
      <c r="B4" s="120" t="s">
        <v>24</v>
      </c>
      <c r="C4" s="110">
        <v>1</v>
      </c>
      <c r="D4" s="111">
        <v>5300</v>
      </c>
      <c r="E4" s="112">
        <f t="shared" si="0"/>
        <v>5300</v>
      </c>
      <c r="F4" s="110" t="s">
        <v>15</v>
      </c>
      <c r="G4" s="71" t="s">
        <v>256</v>
      </c>
      <c r="I4" s="120" t="s">
        <v>24</v>
      </c>
      <c r="J4" s="110">
        <f>C4+C5+C10+C12</f>
        <v>104</v>
      </c>
      <c r="K4" s="112">
        <f>E4+E5+E10+E12</f>
        <v>521200</v>
      </c>
      <c r="L4" s="113">
        <f t="shared" si="1"/>
        <v>0.19728524600092359</v>
      </c>
    </row>
    <row r="5" spans="1:16" ht="15" customHeight="1" x14ac:dyDescent="0.2">
      <c r="A5" s="108">
        <v>46219</v>
      </c>
      <c r="B5" s="120" t="s">
        <v>24</v>
      </c>
      <c r="C5" s="110">
        <v>100</v>
      </c>
      <c r="D5" s="111">
        <v>5000</v>
      </c>
      <c r="E5" s="112">
        <f t="shared" si="0"/>
        <v>500000</v>
      </c>
      <c r="F5" s="110" t="s">
        <v>50</v>
      </c>
      <c r="G5" s="71" t="s">
        <v>258</v>
      </c>
      <c r="I5" s="110" t="s">
        <v>32</v>
      </c>
      <c r="J5" s="110">
        <f>C6</f>
        <v>30</v>
      </c>
      <c r="K5" s="112">
        <f>E6</f>
        <v>469650</v>
      </c>
      <c r="L5" s="113">
        <f t="shared" si="1"/>
        <v>0.17777247848107017</v>
      </c>
    </row>
    <row r="6" spans="1:16" ht="15" customHeight="1" x14ac:dyDescent="0.2">
      <c r="A6" s="108">
        <v>46219</v>
      </c>
      <c r="B6" s="110" t="s">
        <v>32</v>
      </c>
      <c r="C6" s="110">
        <v>30</v>
      </c>
      <c r="D6" s="111">
        <v>15655</v>
      </c>
      <c r="E6" s="112">
        <f t="shared" si="0"/>
        <v>469650</v>
      </c>
      <c r="F6" s="110" t="s">
        <v>50</v>
      </c>
      <c r="G6" s="71" t="s">
        <v>258</v>
      </c>
      <c r="I6" s="110" t="s">
        <v>31</v>
      </c>
      <c r="J6" s="110">
        <f>C7</f>
        <v>15</v>
      </c>
      <c r="K6" s="112">
        <f>E7</f>
        <v>258000</v>
      </c>
      <c r="L6" s="113">
        <f t="shared" si="1"/>
        <v>9.765846789761759E-2</v>
      </c>
    </row>
    <row r="7" spans="1:16" ht="15" customHeight="1" x14ac:dyDescent="0.2">
      <c r="A7" s="108">
        <v>46219</v>
      </c>
      <c r="B7" s="110" t="s">
        <v>31</v>
      </c>
      <c r="C7" s="110">
        <v>15</v>
      </c>
      <c r="D7" s="111">
        <v>17200</v>
      </c>
      <c r="E7" s="112">
        <f t="shared" si="0"/>
        <v>258000</v>
      </c>
      <c r="F7" s="110" t="s">
        <v>50</v>
      </c>
      <c r="G7" s="71" t="s">
        <v>258</v>
      </c>
      <c r="I7" s="110" t="s">
        <v>33</v>
      </c>
      <c r="J7" s="110">
        <f>C8</f>
        <v>25</v>
      </c>
      <c r="K7" s="112">
        <f>E8</f>
        <v>391375</v>
      </c>
      <c r="L7" s="113">
        <f t="shared" si="1"/>
        <v>0.14814373206755846</v>
      </c>
    </row>
    <row r="8" spans="1:16" ht="15" customHeight="1" x14ac:dyDescent="0.2">
      <c r="A8" s="108">
        <v>46219</v>
      </c>
      <c r="B8" s="110" t="s">
        <v>33</v>
      </c>
      <c r="C8" s="110">
        <v>25</v>
      </c>
      <c r="D8" s="111">
        <v>15655</v>
      </c>
      <c r="E8" s="112">
        <f t="shared" si="0"/>
        <v>391375</v>
      </c>
      <c r="F8" s="110" t="s">
        <v>50</v>
      </c>
      <c r="G8" s="71" t="s">
        <v>258</v>
      </c>
      <c r="I8" s="110" t="s">
        <v>28</v>
      </c>
      <c r="J8" s="110">
        <f>C9</f>
        <v>20</v>
      </c>
      <c r="K8" s="112">
        <f>E9</f>
        <v>258000</v>
      </c>
      <c r="L8" s="113">
        <f t="shared" si="1"/>
        <v>9.765846789761759E-2</v>
      </c>
    </row>
    <row r="9" spans="1:16" ht="15" customHeight="1" x14ac:dyDescent="0.2">
      <c r="A9" s="108">
        <v>46219</v>
      </c>
      <c r="B9" s="110" t="s">
        <v>28</v>
      </c>
      <c r="C9" s="110">
        <v>20</v>
      </c>
      <c r="D9" s="111">
        <v>12900</v>
      </c>
      <c r="E9" s="112">
        <f t="shared" si="0"/>
        <v>258000</v>
      </c>
      <c r="F9" s="110" t="s">
        <v>50</v>
      </c>
      <c r="G9" s="71" t="s">
        <v>258</v>
      </c>
      <c r="I9" s="110" t="s">
        <v>70</v>
      </c>
      <c r="J9" s="110">
        <f>C11</f>
        <v>1</v>
      </c>
      <c r="K9" s="112">
        <f>E11</f>
        <v>13460</v>
      </c>
      <c r="L9" s="113">
        <f t="shared" si="1"/>
        <v>5.094895263185786E-3</v>
      </c>
    </row>
    <row r="10" spans="1:16" ht="15" customHeight="1" x14ac:dyDescent="0.2">
      <c r="A10" s="108">
        <v>46219</v>
      </c>
      <c r="B10" s="120" t="s">
        <v>24</v>
      </c>
      <c r="C10" s="110">
        <v>2</v>
      </c>
      <c r="D10" s="111">
        <v>5300</v>
      </c>
      <c r="E10" s="112">
        <f t="shared" si="0"/>
        <v>10600</v>
      </c>
      <c r="F10" s="110" t="s">
        <v>15</v>
      </c>
      <c r="G10" s="71" t="s">
        <v>264</v>
      </c>
      <c r="I10" s="119" t="s">
        <v>22</v>
      </c>
      <c r="J10" s="110">
        <f>C13+C16+C20</f>
        <v>28</v>
      </c>
      <c r="K10" s="112">
        <f>E13+E16+E20</f>
        <v>257600</v>
      </c>
      <c r="L10" s="113">
        <f t="shared" si="1"/>
        <v>9.7507059420256934E-2</v>
      </c>
    </row>
    <row r="11" spans="1:16" ht="15" customHeight="1" x14ac:dyDescent="0.2">
      <c r="A11" s="108">
        <v>46219</v>
      </c>
      <c r="B11" s="110" t="s">
        <v>70</v>
      </c>
      <c r="C11" s="110">
        <v>1</v>
      </c>
      <c r="D11" s="111">
        <v>13460</v>
      </c>
      <c r="E11" s="112">
        <f t="shared" si="0"/>
        <v>13460</v>
      </c>
      <c r="F11" s="110" t="s">
        <v>15</v>
      </c>
      <c r="G11" s="71" t="s">
        <v>264</v>
      </c>
      <c r="I11" s="109" t="s">
        <v>21</v>
      </c>
      <c r="J11" s="110">
        <f>C14+C17</f>
        <v>26</v>
      </c>
      <c r="K11" s="112">
        <f>E14+E17</f>
        <v>214000</v>
      </c>
      <c r="L11" s="113">
        <f t="shared" si="1"/>
        <v>8.1003535387946371E-2</v>
      </c>
    </row>
    <row r="12" spans="1:16" ht="15" customHeight="1" x14ac:dyDescent="0.2">
      <c r="A12" s="108">
        <v>46219</v>
      </c>
      <c r="B12" s="120" t="s">
        <v>24</v>
      </c>
      <c r="C12" s="110">
        <v>1</v>
      </c>
      <c r="D12" s="111">
        <v>5300</v>
      </c>
      <c r="E12" s="112">
        <f t="shared" si="0"/>
        <v>5300</v>
      </c>
      <c r="F12" s="110" t="s">
        <v>15</v>
      </c>
      <c r="G12" s="71" t="s">
        <v>267</v>
      </c>
      <c r="I12" s="110" t="s">
        <v>44</v>
      </c>
      <c r="J12" s="110">
        <f>C15+C21</f>
        <v>6</v>
      </c>
      <c r="K12" s="112">
        <f>E15+E21</f>
        <v>55500</v>
      </c>
      <c r="L12" s="113">
        <f t="shared" si="1"/>
        <v>2.1007926233789831E-2</v>
      </c>
    </row>
    <row r="13" spans="1:16" ht="15" customHeight="1" x14ac:dyDescent="0.2">
      <c r="A13" s="108">
        <v>46219</v>
      </c>
      <c r="B13" s="119" t="s">
        <v>22</v>
      </c>
      <c r="C13" s="110">
        <v>25</v>
      </c>
      <c r="D13" s="111">
        <v>9200</v>
      </c>
      <c r="E13" s="112">
        <f t="shared" si="0"/>
        <v>230000</v>
      </c>
      <c r="F13" s="110" t="s">
        <v>25</v>
      </c>
      <c r="G13" s="71" t="s">
        <v>268</v>
      </c>
      <c r="I13" s="110" t="s">
        <v>45</v>
      </c>
      <c r="J13" s="110">
        <f>C18</f>
        <v>1</v>
      </c>
      <c r="K13" s="112">
        <f>E18</f>
        <v>13350</v>
      </c>
      <c r="L13" s="113">
        <f t="shared" si="1"/>
        <v>5.053257931911608E-3</v>
      </c>
    </row>
    <row r="14" spans="1:16" ht="15" customHeight="1" x14ac:dyDescent="0.2">
      <c r="A14" s="108">
        <v>46219</v>
      </c>
      <c r="B14" s="109" t="s">
        <v>21</v>
      </c>
      <c r="C14" s="110">
        <v>25</v>
      </c>
      <c r="D14" s="111">
        <v>8200</v>
      </c>
      <c r="E14" s="112">
        <f t="shared" si="0"/>
        <v>205000</v>
      </c>
      <c r="F14" s="110" t="s">
        <v>25</v>
      </c>
      <c r="G14" s="71" t="s">
        <v>268</v>
      </c>
      <c r="I14" s="110" t="s">
        <v>93</v>
      </c>
      <c r="J14" s="110">
        <f>C19</f>
        <v>1</v>
      </c>
      <c r="K14" s="112">
        <f>E19</f>
        <v>11600</v>
      </c>
      <c r="L14" s="113">
        <f t="shared" si="1"/>
        <v>4.390845843458775E-3</v>
      </c>
    </row>
    <row r="15" spans="1:16" ht="15" customHeight="1" x14ac:dyDescent="0.2">
      <c r="A15" s="108">
        <v>46219</v>
      </c>
      <c r="B15" s="114" t="s">
        <v>44</v>
      </c>
      <c r="C15" s="110">
        <v>5</v>
      </c>
      <c r="D15" s="111">
        <v>9200</v>
      </c>
      <c r="E15" s="112">
        <f t="shared" si="0"/>
        <v>46000</v>
      </c>
      <c r="F15" s="110" t="s">
        <v>25</v>
      </c>
      <c r="G15" s="71" t="s">
        <v>268</v>
      </c>
      <c r="I15" s="110" t="s">
        <v>768</v>
      </c>
      <c r="J15" s="110">
        <f>SUM(J2:J14)</f>
        <v>267</v>
      </c>
      <c r="K15" s="112">
        <f>SUM(K2:K14)</f>
        <v>2641860</v>
      </c>
      <c r="L15" s="113">
        <f t="shared" si="1"/>
        <v>1</v>
      </c>
    </row>
    <row r="16" spans="1:16" ht="15" customHeight="1" x14ac:dyDescent="0.2">
      <c r="A16" s="108">
        <v>46219</v>
      </c>
      <c r="B16" s="119" t="s">
        <v>22</v>
      </c>
      <c r="C16" s="110">
        <v>2</v>
      </c>
      <c r="D16" s="111">
        <v>9200</v>
      </c>
      <c r="E16" s="112">
        <f t="shared" si="0"/>
        <v>18400</v>
      </c>
      <c r="F16" s="110" t="s">
        <v>122</v>
      </c>
      <c r="G16" s="71" t="s">
        <v>273</v>
      </c>
    </row>
    <row r="17" spans="1:12" ht="25.5" customHeight="1" x14ac:dyDescent="0.2">
      <c r="A17" s="108">
        <v>46219</v>
      </c>
      <c r="B17" s="109" t="s">
        <v>21</v>
      </c>
      <c r="C17" s="110">
        <v>1</v>
      </c>
      <c r="D17" s="111">
        <v>9000</v>
      </c>
      <c r="E17" s="112">
        <f t="shared" si="0"/>
        <v>9000</v>
      </c>
      <c r="F17" s="110" t="s">
        <v>122</v>
      </c>
      <c r="G17" s="71" t="s">
        <v>273</v>
      </c>
      <c r="I17" s="107" t="s">
        <v>758</v>
      </c>
      <c r="J17" s="107" t="s">
        <v>757</v>
      </c>
      <c r="K17" s="107" t="s">
        <v>762</v>
      </c>
      <c r="L17" s="107" t="s">
        <v>769</v>
      </c>
    </row>
    <row r="18" spans="1:12" ht="15" customHeight="1" x14ac:dyDescent="0.2">
      <c r="A18" s="108">
        <v>46219</v>
      </c>
      <c r="B18" s="110" t="s">
        <v>45</v>
      </c>
      <c r="C18" s="110">
        <v>1</v>
      </c>
      <c r="D18" s="111">
        <v>13350</v>
      </c>
      <c r="E18" s="112">
        <f t="shared" si="0"/>
        <v>13350</v>
      </c>
      <c r="F18" s="110" t="s">
        <v>15</v>
      </c>
      <c r="G18" s="71" t="s">
        <v>276</v>
      </c>
      <c r="I18" s="110" t="s">
        <v>253</v>
      </c>
      <c r="J18" s="112">
        <f>E2+E3</f>
        <v>178125</v>
      </c>
      <c r="K18" s="113">
        <f t="shared" ref="K18:K24" si="2">J18/J$24</f>
        <v>6.7424087574663311E-2</v>
      </c>
      <c r="L18" s="113">
        <v>5.3600000000000002E-2</v>
      </c>
    </row>
    <row r="19" spans="1:12" ht="15" customHeight="1" x14ac:dyDescent="0.2">
      <c r="A19" s="108">
        <v>46219</v>
      </c>
      <c r="B19" s="110" t="s">
        <v>93</v>
      </c>
      <c r="C19" s="110">
        <v>1</v>
      </c>
      <c r="D19" s="111">
        <v>11600</v>
      </c>
      <c r="E19" s="112">
        <f t="shared" si="0"/>
        <v>11600</v>
      </c>
      <c r="F19" s="110" t="s">
        <v>15</v>
      </c>
      <c r="G19" s="71" t="s">
        <v>276</v>
      </c>
      <c r="I19" s="110" t="s">
        <v>15</v>
      </c>
      <c r="J19" s="112">
        <f>E4+E10+E11+E12+E18+E19+E20</f>
        <v>68810</v>
      </c>
      <c r="K19" s="113">
        <f t="shared" si="2"/>
        <v>2.6046043317965374E-2</v>
      </c>
      <c r="L19" s="113">
        <v>3.8100000000000002E-2</v>
      </c>
    </row>
    <row r="20" spans="1:12" ht="15" customHeight="1" x14ac:dyDescent="0.2">
      <c r="A20" s="108">
        <v>46219</v>
      </c>
      <c r="B20" s="119" t="s">
        <v>22</v>
      </c>
      <c r="C20" s="110">
        <v>1</v>
      </c>
      <c r="D20" s="111">
        <v>9200</v>
      </c>
      <c r="E20" s="112">
        <f t="shared" si="0"/>
        <v>9200</v>
      </c>
      <c r="F20" s="110" t="s">
        <v>15</v>
      </c>
      <c r="G20" s="71" t="s">
        <v>277</v>
      </c>
      <c r="I20" s="110" t="s">
        <v>50</v>
      </c>
      <c r="J20" s="112">
        <f>E5+E6+E7+E8+E9</f>
        <v>1877025</v>
      </c>
      <c r="K20" s="113">
        <f t="shared" si="2"/>
        <v>0.71049374304467305</v>
      </c>
      <c r="L20" s="113">
        <v>-8.3999999999999995E-3</v>
      </c>
    </row>
    <row r="21" spans="1:12" ht="15" customHeight="1" x14ac:dyDescent="0.2">
      <c r="A21" s="108">
        <v>46219</v>
      </c>
      <c r="B21" s="114" t="s">
        <v>44</v>
      </c>
      <c r="C21" s="110">
        <v>1</v>
      </c>
      <c r="D21" s="111">
        <v>9500</v>
      </c>
      <c r="E21" s="112">
        <f t="shared" si="0"/>
        <v>9500</v>
      </c>
      <c r="F21" s="110" t="s">
        <v>102</v>
      </c>
      <c r="G21" s="71" t="s">
        <v>278</v>
      </c>
      <c r="I21" s="110" t="s">
        <v>25</v>
      </c>
      <c r="J21" s="112">
        <f>E13+E14+E15</f>
        <v>481000</v>
      </c>
      <c r="K21" s="113">
        <f t="shared" si="2"/>
        <v>0.18206869402617853</v>
      </c>
      <c r="L21" s="113">
        <v>4.3799999999999999E-2</v>
      </c>
    </row>
    <row r="22" spans="1:12" ht="15" customHeight="1" x14ac:dyDescent="0.2">
      <c r="A22" s="72"/>
      <c r="B22" s="110" t="s">
        <v>768</v>
      </c>
      <c r="C22" s="110">
        <f>SUM(C2:C21)</f>
        <v>267</v>
      </c>
      <c r="D22" s="110">
        <f>SUM(D2:D21)</f>
        <v>219845</v>
      </c>
      <c r="E22" s="112">
        <f>SUM(E2:E21)</f>
        <v>2641860</v>
      </c>
      <c r="F22" s="72"/>
      <c r="G22" s="72"/>
      <c r="I22" s="110" t="s">
        <v>122</v>
      </c>
      <c r="J22" s="112">
        <f>E16+E17</f>
        <v>27400</v>
      </c>
      <c r="K22" s="113">
        <f t="shared" si="2"/>
        <v>1.0371480699204348E-2</v>
      </c>
      <c r="L22" s="113">
        <v>7.17E-2</v>
      </c>
    </row>
    <row r="23" spans="1:12" ht="15" customHeight="1" x14ac:dyDescent="0.2">
      <c r="I23" s="110" t="s">
        <v>102</v>
      </c>
      <c r="J23" s="112">
        <f>E21</f>
        <v>9500</v>
      </c>
      <c r="K23" s="113">
        <f t="shared" si="2"/>
        <v>3.5959513373153762E-3</v>
      </c>
      <c r="L23" s="113">
        <v>5.3699999999999998E-2</v>
      </c>
    </row>
    <row r="24" spans="1:12" ht="15" customHeight="1" x14ac:dyDescent="0.2">
      <c r="I24" s="110" t="s">
        <v>770</v>
      </c>
      <c r="J24" s="112">
        <f>SUM(J18:J23)</f>
        <v>2641860</v>
      </c>
      <c r="K24" s="113">
        <f t="shared" si="2"/>
        <v>1</v>
      </c>
      <c r="L24" s="72"/>
    </row>
    <row r="26" spans="1:12" ht="25.5" customHeight="1" x14ac:dyDescent="0.2">
      <c r="I26" s="107" t="s">
        <v>759</v>
      </c>
      <c r="J26" s="107" t="s">
        <v>757</v>
      </c>
      <c r="K26" s="107" t="s">
        <v>769</v>
      </c>
    </row>
    <row r="27" spans="1:12" ht="15" customHeight="1" x14ac:dyDescent="0.2">
      <c r="I27" s="71" t="s">
        <v>254</v>
      </c>
      <c r="J27" s="112">
        <v>178125</v>
      </c>
      <c r="K27" s="113">
        <v>0.05</v>
      </c>
    </row>
    <row r="28" spans="1:12" ht="15" customHeight="1" x14ac:dyDescent="0.2">
      <c r="I28" s="71" t="s">
        <v>256</v>
      </c>
      <c r="J28" s="112">
        <v>5300</v>
      </c>
      <c r="K28" s="113">
        <v>0.02</v>
      </c>
    </row>
    <row r="29" spans="1:12" ht="15" customHeight="1" x14ac:dyDescent="0.2">
      <c r="I29" s="71" t="s">
        <v>258</v>
      </c>
      <c r="J29" s="112">
        <v>1877025</v>
      </c>
      <c r="K29" s="113">
        <v>-0.01</v>
      </c>
    </row>
    <row r="30" spans="1:12" ht="15" customHeight="1" x14ac:dyDescent="0.2">
      <c r="I30" s="71" t="s">
        <v>264</v>
      </c>
      <c r="J30" s="112">
        <v>24060</v>
      </c>
      <c r="K30" s="113">
        <v>0.03</v>
      </c>
    </row>
    <row r="31" spans="1:12" ht="15" customHeight="1" x14ac:dyDescent="0.2">
      <c r="I31" s="71" t="s">
        <v>267</v>
      </c>
      <c r="J31" s="112">
        <v>5300</v>
      </c>
      <c r="K31" s="113">
        <v>0.02</v>
      </c>
    </row>
    <row r="32" spans="1:12" ht="15" customHeight="1" x14ac:dyDescent="0.2">
      <c r="I32" s="71" t="s">
        <v>268</v>
      </c>
      <c r="J32" s="112">
        <v>575000</v>
      </c>
      <c r="K32" s="113">
        <v>0.04</v>
      </c>
    </row>
    <row r="33" spans="9:11" ht="15" customHeight="1" x14ac:dyDescent="0.2">
      <c r="I33" s="71" t="s">
        <v>273</v>
      </c>
      <c r="J33" s="112">
        <v>27400</v>
      </c>
      <c r="K33" s="113">
        <v>7.0000000000000007E-2</v>
      </c>
    </row>
    <row r="34" spans="9:11" ht="15" customHeight="1" x14ac:dyDescent="0.2">
      <c r="I34" s="71" t="s">
        <v>276</v>
      </c>
      <c r="J34" s="112">
        <v>24950</v>
      </c>
      <c r="K34" s="113">
        <v>0.04</v>
      </c>
    </row>
    <row r="35" spans="9:11" ht="15" customHeight="1" x14ac:dyDescent="0.2">
      <c r="I35" s="71" t="s">
        <v>277</v>
      </c>
      <c r="J35" s="112">
        <v>9200</v>
      </c>
      <c r="K35" s="113">
        <v>0.06</v>
      </c>
    </row>
    <row r="36" spans="9:11" ht="15" customHeight="1" x14ac:dyDescent="0.2">
      <c r="I36" s="71" t="s">
        <v>278</v>
      </c>
      <c r="J36" s="112">
        <v>9500</v>
      </c>
      <c r="K36" s="113">
        <v>0.05</v>
      </c>
    </row>
    <row r="37" spans="9:11" ht="15" customHeight="1" x14ac:dyDescent="0.2">
      <c r="I37" s="110" t="s">
        <v>770</v>
      </c>
      <c r="J37" s="112">
        <f>SUM(J27:J36)</f>
        <v>2735860</v>
      </c>
      <c r="K37" s="72"/>
    </row>
  </sheetData>
  <hyperlinks>
    <hyperlink ref="G2" r:id="rId1" xr:uid="{00000000-0004-0000-1300-000000000000}"/>
    <hyperlink ref="G3" r:id="rId2" xr:uid="{00000000-0004-0000-1300-000001000000}"/>
    <hyperlink ref="G4" r:id="rId3" xr:uid="{00000000-0004-0000-1300-000002000000}"/>
    <hyperlink ref="I27" r:id="rId4" xr:uid="{00000000-0004-0000-1300-000003000000}"/>
    <hyperlink ref="I28" r:id="rId5" xr:uid="{00000000-0004-0000-1300-000004000000}"/>
    <hyperlink ref="I29" r:id="rId6" xr:uid="{00000000-0004-0000-1300-000005000000}"/>
    <hyperlink ref="I30" r:id="rId7" xr:uid="{00000000-0004-0000-1300-000006000000}"/>
    <hyperlink ref="I31" r:id="rId8" xr:uid="{00000000-0004-0000-1300-000007000000}"/>
    <hyperlink ref="I32" r:id="rId9" xr:uid="{00000000-0004-0000-1300-000008000000}"/>
    <hyperlink ref="I33" r:id="rId10" xr:uid="{00000000-0004-0000-1300-000009000000}"/>
    <hyperlink ref="I34" r:id="rId11" xr:uid="{00000000-0004-0000-1300-00000A000000}"/>
    <hyperlink ref="I35" r:id="rId12" xr:uid="{00000000-0004-0000-1300-00000B000000}"/>
    <hyperlink ref="I36" r:id="rId13" xr:uid="{00000000-0004-0000-1300-00000C000000}"/>
  </hyperlinks>
  <pageMargins left="0.75" right="0.75" top="1" bottom="1" header="0.511811023622047" footer="0.511811023622047"/>
  <pageSetup paperSize="9" orientation="portrait" horizontalDpi="300" verticalDpi="300"/>
  <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44"/>
  <sheetViews>
    <sheetView topLeftCell="A18" zoomScale="64" zoomScaleNormal="64" workbookViewId="0">
      <selection activeCell="O31" sqref="O31"/>
    </sheetView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46220</v>
      </c>
      <c r="B2" s="119" t="s">
        <v>28</v>
      </c>
      <c r="C2" s="110">
        <v>30</v>
      </c>
      <c r="D2" s="111">
        <v>12900</v>
      </c>
      <c r="E2" s="112">
        <f t="shared" ref="E2:E32" si="0">C2*D2</f>
        <v>387000</v>
      </c>
      <c r="F2" s="110" t="s">
        <v>50</v>
      </c>
      <c r="G2" s="71" t="s">
        <v>279</v>
      </c>
      <c r="I2" s="119" t="s">
        <v>28</v>
      </c>
      <c r="J2" s="110">
        <f>C2+C4+C27</f>
        <v>56</v>
      </c>
      <c r="K2" s="112">
        <f>E2+E4+E27</f>
        <v>722700</v>
      </c>
      <c r="L2" s="113">
        <f t="shared" ref="L2:L19" si="1">K2/K$19</f>
        <v>0.11725185786680144</v>
      </c>
      <c r="N2" s="112">
        <f>K19</f>
        <v>6163655</v>
      </c>
      <c r="O2" s="110">
        <f>J19</f>
        <v>798</v>
      </c>
      <c r="P2" s="110">
        <f>COUNT(J2:J18)</f>
        <v>17</v>
      </c>
    </row>
    <row r="3" spans="1:16" ht="15" customHeight="1" x14ac:dyDescent="0.2">
      <c r="A3" s="108">
        <v>46220</v>
      </c>
      <c r="B3" s="120" t="s">
        <v>70</v>
      </c>
      <c r="C3" s="110">
        <v>30</v>
      </c>
      <c r="D3" s="111">
        <v>13100</v>
      </c>
      <c r="E3" s="112">
        <f t="shared" si="0"/>
        <v>393000</v>
      </c>
      <c r="F3" s="110" t="s">
        <v>50</v>
      </c>
      <c r="G3" s="71" t="s">
        <v>279</v>
      </c>
      <c r="I3" s="120" t="s">
        <v>70</v>
      </c>
      <c r="J3" s="110">
        <f>C3+C5+C11</f>
        <v>32</v>
      </c>
      <c r="K3" s="112">
        <f>E3+E5+E11</f>
        <v>419920</v>
      </c>
      <c r="L3" s="113">
        <f t="shared" si="1"/>
        <v>6.8128407576348776E-2</v>
      </c>
    </row>
    <row r="4" spans="1:16" ht="15" customHeight="1" x14ac:dyDescent="0.2">
      <c r="A4" s="108">
        <v>46220</v>
      </c>
      <c r="B4" s="119" t="s">
        <v>28</v>
      </c>
      <c r="C4" s="110">
        <v>25</v>
      </c>
      <c r="D4" s="111">
        <v>12900</v>
      </c>
      <c r="E4" s="112">
        <f t="shared" si="0"/>
        <v>322500</v>
      </c>
      <c r="F4" s="110" t="s">
        <v>50</v>
      </c>
      <c r="G4" s="71" t="s">
        <v>280</v>
      </c>
      <c r="I4" s="121" t="s">
        <v>22</v>
      </c>
      <c r="J4" s="110">
        <f>C6+C16</f>
        <v>23</v>
      </c>
      <c r="K4" s="112">
        <f>E6+E16</f>
        <v>202800</v>
      </c>
      <c r="L4" s="113">
        <f t="shared" si="1"/>
        <v>3.2902555383129001E-2</v>
      </c>
    </row>
    <row r="5" spans="1:16" ht="15" customHeight="1" x14ac:dyDescent="0.2">
      <c r="A5" s="108">
        <v>46220</v>
      </c>
      <c r="B5" s="120" t="s">
        <v>70</v>
      </c>
      <c r="C5" s="110">
        <v>1</v>
      </c>
      <c r="D5" s="111">
        <v>13460</v>
      </c>
      <c r="E5" s="112">
        <f t="shared" si="0"/>
        <v>13460</v>
      </c>
      <c r="F5" s="110" t="s">
        <v>104</v>
      </c>
      <c r="G5" s="71" t="s">
        <v>281</v>
      </c>
      <c r="I5" s="115" t="s">
        <v>45</v>
      </c>
      <c r="J5" s="110">
        <f>C7+C14+C21</f>
        <v>9</v>
      </c>
      <c r="K5" s="112">
        <f>E7+E14+E21</f>
        <v>121860</v>
      </c>
      <c r="L5" s="113">
        <f t="shared" si="1"/>
        <v>1.9770736681400891E-2</v>
      </c>
    </row>
    <row r="6" spans="1:16" ht="15" customHeight="1" x14ac:dyDescent="0.2">
      <c r="A6" s="108">
        <v>46220</v>
      </c>
      <c r="B6" s="121" t="s">
        <v>22</v>
      </c>
      <c r="C6" s="110">
        <v>22</v>
      </c>
      <c r="D6" s="111">
        <v>8800</v>
      </c>
      <c r="E6" s="112">
        <f t="shared" si="0"/>
        <v>193600</v>
      </c>
      <c r="F6" s="110" t="s">
        <v>29</v>
      </c>
      <c r="G6" s="71" t="s">
        <v>282</v>
      </c>
      <c r="I6" s="114" t="s">
        <v>37</v>
      </c>
      <c r="J6" s="110">
        <f>C8+C18</f>
        <v>10</v>
      </c>
      <c r="K6" s="112">
        <f>E8+E18</f>
        <v>89120</v>
      </c>
      <c r="L6" s="113">
        <f t="shared" si="1"/>
        <v>1.4458953332073258E-2</v>
      </c>
    </row>
    <row r="7" spans="1:16" ht="15" customHeight="1" x14ac:dyDescent="0.2">
      <c r="A7" s="108">
        <v>46220</v>
      </c>
      <c r="B7" s="115" t="s">
        <v>45</v>
      </c>
      <c r="C7" s="110">
        <v>6</v>
      </c>
      <c r="D7" s="111">
        <v>13335</v>
      </c>
      <c r="E7" s="112">
        <f t="shared" si="0"/>
        <v>80010</v>
      </c>
      <c r="F7" s="110" t="s">
        <v>29</v>
      </c>
      <c r="G7" s="71" t="s">
        <v>282</v>
      </c>
      <c r="I7" s="116" t="s">
        <v>44</v>
      </c>
      <c r="J7" s="110">
        <f>C9+C15+C17</f>
        <v>16</v>
      </c>
      <c r="K7" s="112">
        <f>E9+E15+E17</f>
        <v>147500</v>
      </c>
      <c r="L7" s="113">
        <f t="shared" si="1"/>
        <v>2.3930606109524299E-2</v>
      </c>
    </row>
    <row r="8" spans="1:16" ht="15" customHeight="1" x14ac:dyDescent="0.2">
      <c r="A8" s="108">
        <v>46220</v>
      </c>
      <c r="B8" s="114" t="s">
        <v>37</v>
      </c>
      <c r="C8" s="110">
        <v>9</v>
      </c>
      <c r="D8" s="111">
        <v>8880</v>
      </c>
      <c r="E8" s="112">
        <f t="shared" si="0"/>
        <v>79920</v>
      </c>
      <c r="F8" s="110" t="s">
        <v>29</v>
      </c>
      <c r="G8" s="71" t="s">
        <v>282</v>
      </c>
      <c r="I8" s="117" t="s">
        <v>24</v>
      </c>
      <c r="J8" s="110">
        <f>C10+C25+C28</f>
        <v>251</v>
      </c>
      <c r="K8" s="112">
        <f>E10+E25+E28</f>
        <v>1255300</v>
      </c>
      <c r="L8" s="113">
        <f t="shared" si="1"/>
        <v>0.20366162609685326</v>
      </c>
    </row>
    <row r="9" spans="1:16" ht="15" customHeight="1" x14ac:dyDescent="0.2">
      <c r="A9" s="108">
        <v>46220</v>
      </c>
      <c r="B9" s="116" t="s">
        <v>44</v>
      </c>
      <c r="C9" s="110">
        <v>14</v>
      </c>
      <c r="D9" s="111">
        <v>9200</v>
      </c>
      <c r="E9" s="112">
        <f t="shared" si="0"/>
        <v>128800</v>
      </c>
      <c r="F9" s="110" t="s">
        <v>29</v>
      </c>
      <c r="G9" s="71" t="s">
        <v>282</v>
      </c>
      <c r="I9" s="127" t="s">
        <v>65</v>
      </c>
      <c r="J9" s="110">
        <f>C12+C22</f>
        <v>3</v>
      </c>
      <c r="K9" s="112">
        <f>E12+E22</f>
        <v>35730</v>
      </c>
      <c r="L9" s="113">
        <f t="shared" si="1"/>
        <v>5.7968851274122256E-3</v>
      </c>
    </row>
    <row r="10" spans="1:16" ht="15" customHeight="1" x14ac:dyDescent="0.2">
      <c r="A10" s="108">
        <v>46220</v>
      </c>
      <c r="B10" s="117" t="s">
        <v>24</v>
      </c>
      <c r="C10" s="110">
        <v>50</v>
      </c>
      <c r="D10" s="111">
        <v>5000</v>
      </c>
      <c r="E10" s="112">
        <f t="shared" si="0"/>
        <v>250000</v>
      </c>
      <c r="F10" s="110" t="s">
        <v>29</v>
      </c>
      <c r="G10" s="71" t="s">
        <v>282</v>
      </c>
      <c r="I10" s="110" t="s">
        <v>291</v>
      </c>
      <c r="J10" s="110">
        <f>C13</f>
        <v>1</v>
      </c>
      <c r="K10" s="112">
        <f>E13</f>
        <v>11320</v>
      </c>
      <c r="L10" s="113">
        <f t="shared" si="1"/>
        <v>1.8365726180326447E-3</v>
      </c>
    </row>
    <row r="11" spans="1:16" ht="15" customHeight="1" x14ac:dyDescent="0.2">
      <c r="A11" s="108">
        <v>46220</v>
      </c>
      <c r="B11" s="120" t="s">
        <v>70</v>
      </c>
      <c r="C11" s="110">
        <v>1</v>
      </c>
      <c r="D11" s="111">
        <v>13460</v>
      </c>
      <c r="E11" s="112">
        <f t="shared" si="0"/>
        <v>13460</v>
      </c>
      <c r="F11" s="110" t="s">
        <v>29</v>
      </c>
      <c r="G11" s="71" t="s">
        <v>282</v>
      </c>
      <c r="I11" s="110" t="s">
        <v>21</v>
      </c>
      <c r="J11" s="110">
        <f>C19</f>
        <v>1</v>
      </c>
      <c r="K11" s="112">
        <f>E19</f>
        <v>9000</v>
      </c>
      <c r="L11" s="113">
        <f t="shared" si="1"/>
        <v>1.4601725761743641E-3</v>
      </c>
    </row>
    <row r="12" spans="1:16" ht="15" customHeight="1" x14ac:dyDescent="0.2">
      <c r="A12" s="108">
        <v>46220</v>
      </c>
      <c r="B12" s="127" t="s">
        <v>65</v>
      </c>
      <c r="C12" s="110">
        <v>2</v>
      </c>
      <c r="D12" s="111">
        <v>11910</v>
      </c>
      <c r="E12" s="112">
        <f t="shared" si="0"/>
        <v>23820</v>
      </c>
      <c r="F12" s="110" t="s">
        <v>29</v>
      </c>
      <c r="G12" s="71" t="s">
        <v>282</v>
      </c>
      <c r="I12" s="110" t="s">
        <v>43</v>
      </c>
      <c r="J12" s="110">
        <f>C20</f>
        <v>1</v>
      </c>
      <c r="K12" s="112">
        <f>E20</f>
        <v>18300</v>
      </c>
      <c r="L12" s="113">
        <f t="shared" si="1"/>
        <v>2.9690175715545403E-3</v>
      </c>
    </row>
    <row r="13" spans="1:16" ht="15" customHeight="1" x14ac:dyDescent="0.2">
      <c r="A13" s="108">
        <v>46220</v>
      </c>
      <c r="B13" s="110" t="s">
        <v>291</v>
      </c>
      <c r="C13" s="110">
        <v>1</v>
      </c>
      <c r="D13" s="111">
        <v>11320</v>
      </c>
      <c r="E13" s="112">
        <f t="shared" si="0"/>
        <v>11320</v>
      </c>
      <c r="F13" s="110" t="s">
        <v>15</v>
      </c>
      <c r="G13" s="71" t="s">
        <v>290</v>
      </c>
      <c r="I13" s="110" t="s">
        <v>87</v>
      </c>
      <c r="J13" s="110">
        <f>C23</f>
        <v>1</v>
      </c>
      <c r="K13" s="112">
        <f>E23</f>
        <v>21400</v>
      </c>
      <c r="L13" s="113">
        <f t="shared" si="1"/>
        <v>3.4719659033479325E-3</v>
      </c>
    </row>
    <row r="14" spans="1:16" ht="15" customHeight="1" x14ac:dyDescent="0.2">
      <c r="A14" s="108">
        <v>46220</v>
      </c>
      <c r="B14" s="115" t="s">
        <v>45</v>
      </c>
      <c r="C14" s="110">
        <v>2</v>
      </c>
      <c r="D14" s="111">
        <v>13950</v>
      </c>
      <c r="E14" s="112">
        <f t="shared" si="0"/>
        <v>27900</v>
      </c>
      <c r="F14" s="110" t="s">
        <v>15</v>
      </c>
      <c r="G14" s="71" t="s">
        <v>290</v>
      </c>
      <c r="I14" s="110" t="s">
        <v>93</v>
      </c>
      <c r="J14" s="110">
        <f>C24+C29</f>
        <v>6</v>
      </c>
      <c r="K14" s="112">
        <f>E24+E29</f>
        <v>69600</v>
      </c>
      <c r="L14" s="113">
        <f t="shared" si="1"/>
        <v>1.1292001255748415E-2</v>
      </c>
    </row>
    <row r="15" spans="1:16" ht="15" customHeight="1" x14ac:dyDescent="0.2">
      <c r="A15" s="108">
        <v>46220</v>
      </c>
      <c r="B15" s="116" t="s">
        <v>44</v>
      </c>
      <c r="C15" s="110">
        <v>1</v>
      </c>
      <c r="D15" s="111">
        <v>9500</v>
      </c>
      <c r="E15" s="112">
        <f t="shared" si="0"/>
        <v>9500</v>
      </c>
      <c r="F15" s="110" t="s">
        <v>15</v>
      </c>
      <c r="G15" s="71" t="s">
        <v>290</v>
      </c>
      <c r="I15" s="110" t="s">
        <v>27</v>
      </c>
      <c r="J15" s="110">
        <f>C26</f>
        <v>384</v>
      </c>
      <c r="K15" s="112">
        <f>E26</f>
        <v>2976000</v>
      </c>
      <c r="L15" s="113">
        <f t="shared" si="1"/>
        <v>0.48283039852165638</v>
      </c>
    </row>
    <row r="16" spans="1:16" ht="15" customHeight="1" x14ac:dyDescent="0.2">
      <c r="A16" s="108">
        <v>46220</v>
      </c>
      <c r="B16" s="121" t="s">
        <v>22</v>
      </c>
      <c r="C16" s="110">
        <v>1</v>
      </c>
      <c r="D16" s="111">
        <v>9200</v>
      </c>
      <c r="E16" s="112">
        <f t="shared" si="0"/>
        <v>9200</v>
      </c>
      <c r="F16" s="110" t="s">
        <v>122</v>
      </c>
      <c r="G16" s="71" t="s">
        <v>292</v>
      </c>
      <c r="I16" s="110" t="s">
        <v>100</v>
      </c>
      <c r="J16" s="110">
        <f>C30</f>
        <v>1</v>
      </c>
      <c r="K16" s="112">
        <f>E30</f>
        <v>11480</v>
      </c>
      <c r="L16" s="113">
        <f t="shared" si="1"/>
        <v>1.8625312416090777E-3</v>
      </c>
    </row>
    <row r="17" spans="1:12" ht="15" customHeight="1" x14ac:dyDescent="0.2">
      <c r="A17" s="108">
        <v>46220</v>
      </c>
      <c r="B17" s="116" t="s">
        <v>44</v>
      </c>
      <c r="C17" s="110">
        <v>1</v>
      </c>
      <c r="D17" s="111">
        <v>9200</v>
      </c>
      <c r="E17" s="112">
        <f t="shared" si="0"/>
        <v>9200</v>
      </c>
      <c r="F17" s="110" t="s">
        <v>122</v>
      </c>
      <c r="G17" s="71" t="s">
        <v>292</v>
      </c>
      <c r="I17" s="110" t="s">
        <v>71</v>
      </c>
      <c r="J17" s="110">
        <f>C31</f>
        <v>1</v>
      </c>
      <c r="K17" s="112">
        <f>E31</f>
        <v>15945</v>
      </c>
      <c r="L17" s="113">
        <f t="shared" si="1"/>
        <v>2.586939080788915E-3</v>
      </c>
    </row>
    <row r="18" spans="1:12" ht="15" customHeight="1" x14ac:dyDescent="0.2">
      <c r="A18" s="108">
        <v>46220</v>
      </c>
      <c r="B18" s="114" t="s">
        <v>37</v>
      </c>
      <c r="C18" s="110">
        <v>1</v>
      </c>
      <c r="D18" s="111">
        <v>9200</v>
      </c>
      <c r="E18" s="112">
        <f t="shared" si="0"/>
        <v>9200</v>
      </c>
      <c r="F18" s="110" t="s">
        <v>122</v>
      </c>
      <c r="G18" s="71" t="s">
        <v>292</v>
      </c>
      <c r="I18" s="110" t="s">
        <v>77</v>
      </c>
      <c r="J18" s="110">
        <f>C32</f>
        <v>2</v>
      </c>
      <c r="K18" s="112">
        <f>E32</f>
        <v>35680</v>
      </c>
      <c r="L18" s="113">
        <f t="shared" si="1"/>
        <v>5.7887730575445903E-3</v>
      </c>
    </row>
    <row r="19" spans="1:12" ht="15" customHeight="1" x14ac:dyDescent="0.2">
      <c r="A19" s="108">
        <v>46220</v>
      </c>
      <c r="B19" s="110" t="s">
        <v>21</v>
      </c>
      <c r="C19" s="110">
        <v>1</v>
      </c>
      <c r="D19" s="111">
        <v>9000</v>
      </c>
      <c r="E19" s="112">
        <f t="shared" si="0"/>
        <v>9000</v>
      </c>
      <c r="F19" s="110" t="s">
        <v>122</v>
      </c>
      <c r="G19" s="71" t="s">
        <v>292</v>
      </c>
      <c r="I19" s="110" t="s">
        <v>768</v>
      </c>
      <c r="J19" s="110">
        <f>SUM(J2:J18)</f>
        <v>798</v>
      </c>
      <c r="K19" s="112">
        <f>SUM(K2:K18)</f>
        <v>6163655</v>
      </c>
      <c r="L19" s="113">
        <f t="shared" si="1"/>
        <v>1</v>
      </c>
    </row>
    <row r="20" spans="1:12" ht="15" customHeight="1" x14ac:dyDescent="0.2">
      <c r="A20" s="108">
        <v>46220</v>
      </c>
      <c r="B20" s="110" t="s">
        <v>43</v>
      </c>
      <c r="C20" s="110">
        <v>1</v>
      </c>
      <c r="D20" s="111">
        <v>18300</v>
      </c>
      <c r="E20" s="112">
        <f t="shared" si="0"/>
        <v>18300</v>
      </c>
      <c r="F20" s="110" t="s">
        <v>122</v>
      </c>
      <c r="G20" s="71" t="s">
        <v>292</v>
      </c>
    </row>
    <row r="21" spans="1:12" ht="25.5" customHeight="1" x14ac:dyDescent="0.2">
      <c r="A21" s="108">
        <v>46220</v>
      </c>
      <c r="B21" s="115" t="s">
        <v>45</v>
      </c>
      <c r="C21" s="110">
        <v>1</v>
      </c>
      <c r="D21" s="111">
        <v>13950</v>
      </c>
      <c r="E21" s="112">
        <f t="shared" si="0"/>
        <v>13950</v>
      </c>
      <c r="F21" s="110" t="s">
        <v>122</v>
      </c>
      <c r="G21" s="71" t="s">
        <v>292</v>
      </c>
      <c r="I21" s="107" t="s">
        <v>758</v>
      </c>
      <c r="J21" s="107" t="s">
        <v>757</v>
      </c>
      <c r="K21" s="107" t="s">
        <v>762</v>
      </c>
      <c r="L21" s="107" t="s">
        <v>769</v>
      </c>
    </row>
    <row r="22" spans="1:12" ht="15" customHeight="1" x14ac:dyDescent="0.2">
      <c r="A22" s="108">
        <v>46220</v>
      </c>
      <c r="B22" s="127" t="s">
        <v>65</v>
      </c>
      <c r="C22" s="110">
        <v>1</v>
      </c>
      <c r="D22" s="111">
        <v>11910</v>
      </c>
      <c r="E22" s="112">
        <f t="shared" si="0"/>
        <v>11910</v>
      </c>
      <c r="F22" s="110" t="s">
        <v>122</v>
      </c>
      <c r="G22" s="71" t="s">
        <v>292</v>
      </c>
      <c r="I22" s="110" t="s">
        <v>50</v>
      </c>
      <c r="J22" s="112">
        <f>E2+E3+E4</f>
        <v>1102500</v>
      </c>
      <c r="K22" s="113">
        <f t="shared" ref="K22:K30" si="2">J22/J$30</f>
        <v>0.17887114058135961</v>
      </c>
      <c r="L22" s="113">
        <v>-2.3300000000000001E-2</v>
      </c>
    </row>
    <row r="23" spans="1:12" ht="15" customHeight="1" x14ac:dyDescent="0.2">
      <c r="A23" s="108">
        <v>46220</v>
      </c>
      <c r="B23" s="110" t="s">
        <v>87</v>
      </c>
      <c r="C23" s="110">
        <v>1</v>
      </c>
      <c r="D23" s="111">
        <v>21400</v>
      </c>
      <c r="E23" s="112">
        <f t="shared" si="0"/>
        <v>21400</v>
      </c>
      <c r="F23" s="110" t="s">
        <v>122</v>
      </c>
      <c r="G23" s="71" t="s">
        <v>292</v>
      </c>
      <c r="I23" s="110" t="s">
        <v>104</v>
      </c>
      <c r="J23" s="112">
        <f>E5</f>
        <v>13460</v>
      </c>
      <c r="K23" s="113">
        <f t="shared" si="2"/>
        <v>2.1837692083674378E-3</v>
      </c>
      <c r="L23" s="113">
        <v>4.4900000000000002E-2</v>
      </c>
    </row>
    <row r="24" spans="1:12" ht="15" customHeight="1" x14ac:dyDescent="0.2">
      <c r="A24" s="108">
        <v>46220</v>
      </c>
      <c r="B24" s="110" t="s">
        <v>93</v>
      </c>
      <c r="C24" s="110">
        <v>2</v>
      </c>
      <c r="D24" s="111">
        <v>11600</v>
      </c>
      <c r="E24" s="112">
        <f t="shared" si="0"/>
        <v>23200</v>
      </c>
      <c r="F24" s="110" t="s">
        <v>122</v>
      </c>
      <c r="G24" s="71" t="s">
        <v>292</v>
      </c>
      <c r="I24" s="110" t="s">
        <v>29</v>
      </c>
      <c r="J24" s="112">
        <f>E6+E7+E8+E9+E10+E11+E12+E32</f>
        <v>805290</v>
      </c>
      <c r="K24" s="113">
        <f t="shared" si="2"/>
        <v>0.13065137487416151</v>
      </c>
      <c r="L24" s="113">
        <v>3.78E-2</v>
      </c>
    </row>
    <row r="25" spans="1:12" ht="15" customHeight="1" x14ac:dyDescent="0.2">
      <c r="A25" s="108">
        <v>46220</v>
      </c>
      <c r="B25" s="117" t="s">
        <v>24</v>
      </c>
      <c r="C25" s="110">
        <v>1</v>
      </c>
      <c r="D25" s="111">
        <v>5300</v>
      </c>
      <c r="E25" s="112">
        <f t="shared" si="0"/>
        <v>5300</v>
      </c>
      <c r="F25" s="110" t="s">
        <v>122</v>
      </c>
      <c r="G25" s="71" t="s">
        <v>292</v>
      </c>
      <c r="I25" s="110" t="s">
        <v>15</v>
      </c>
      <c r="J25" s="112">
        <f>E13+E14+E15</f>
        <v>48720</v>
      </c>
      <c r="K25" s="113">
        <f t="shared" si="2"/>
        <v>7.9044008790238908E-3</v>
      </c>
      <c r="L25" s="113">
        <v>7.85E-2</v>
      </c>
    </row>
    <row r="26" spans="1:12" ht="15" customHeight="1" x14ac:dyDescent="0.2">
      <c r="A26" s="108">
        <v>46220</v>
      </c>
      <c r="B26" s="110" t="s">
        <v>27</v>
      </c>
      <c r="C26" s="110">
        <v>384</v>
      </c>
      <c r="D26" s="111">
        <v>7750</v>
      </c>
      <c r="E26" s="112">
        <f t="shared" si="0"/>
        <v>2976000</v>
      </c>
      <c r="F26" s="110" t="s">
        <v>294</v>
      </c>
      <c r="G26" s="71" t="s">
        <v>295</v>
      </c>
      <c r="I26" s="110" t="s">
        <v>122</v>
      </c>
      <c r="J26" s="112">
        <f>E16+E17+E18+E19+E20+E21+E22+E23+E24+E25</f>
        <v>130660</v>
      </c>
      <c r="K26" s="113">
        <f t="shared" si="2"/>
        <v>2.1198460978104711E-2</v>
      </c>
      <c r="L26" s="113">
        <v>7.0099999999999996E-2</v>
      </c>
    </row>
    <row r="27" spans="1:12" ht="15" customHeight="1" x14ac:dyDescent="0.2">
      <c r="A27" s="108">
        <v>46220</v>
      </c>
      <c r="B27" s="119" t="s">
        <v>28</v>
      </c>
      <c r="C27" s="110">
        <v>1</v>
      </c>
      <c r="D27" s="111">
        <v>13200</v>
      </c>
      <c r="E27" s="112">
        <f t="shared" si="0"/>
        <v>13200</v>
      </c>
      <c r="F27" s="110" t="s">
        <v>163</v>
      </c>
      <c r="G27" s="71" t="s">
        <v>297</v>
      </c>
      <c r="I27" s="110" t="s">
        <v>294</v>
      </c>
      <c r="J27" s="112">
        <f>E26</f>
        <v>2976000</v>
      </c>
      <c r="K27" s="113">
        <f t="shared" si="2"/>
        <v>0.48283039852165638</v>
      </c>
      <c r="L27" s="113">
        <v>8.3999999999999995E-3</v>
      </c>
    </row>
    <row r="28" spans="1:12" ht="15" customHeight="1" x14ac:dyDescent="0.2">
      <c r="A28" s="108">
        <v>46220</v>
      </c>
      <c r="B28" s="117" t="s">
        <v>24</v>
      </c>
      <c r="C28" s="110">
        <v>200</v>
      </c>
      <c r="D28" s="111">
        <v>5000</v>
      </c>
      <c r="E28" s="112">
        <f t="shared" si="0"/>
        <v>1000000</v>
      </c>
      <c r="F28" s="110" t="s">
        <v>25</v>
      </c>
      <c r="G28" s="71" t="s">
        <v>298</v>
      </c>
      <c r="I28" s="110" t="s">
        <v>163</v>
      </c>
      <c r="J28" s="112">
        <f>E27+E29+E30+E31</f>
        <v>87025</v>
      </c>
      <c r="K28" s="113">
        <f t="shared" si="2"/>
        <v>1.4119057604619336E-2</v>
      </c>
      <c r="L28" s="113">
        <v>4.53E-2</v>
      </c>
    </row>
    <row r="29" spans="1:12" ht="15" customHeight="1" x14ac:dyDescent="0.2">
      <c r="A29" s="108">
        <v>46220</v>
      </c>
      <c r="B29" s="110" t="s">
        <v>93</v>
      </c>
      <c r="C29" s="110">
        <v>4</v>
      </c>
      <c r="D29" s="111">
        <v>11600</v>
      </c>
      <c r="E29" s="112">
        <f t="shared" si="0"/>
        <v>46400</v>
      </c>
      <c r="F29" s="110" t="s">
        <v>163</v>
      </c>
      <c r="G29" s="71" t="s">
        <v>300</v>
      </c>
      <c r="I29" s="110" t="s">
        <v>25</v>
      </c>
      <c r="J29" s="112">
        <f>E28</f>
        <v>1000000</v>
      </c>
      <c r="K29" s="113">
        <f t="shared" si="2"/>
        <v>0.16224139735270712</v>
      </c>
      <c r="L29" s="113">
        <v>-0.04</v>
      </c>
    </row>
    <row r="30" spans="1:12" ht="15" customHeight="1" x14ac:dyDescent="0.2">
      <c r="A30" s="108">
        <v>46220</v>
      </c>
      <c r="B30" s="110" t="s">
        <v>100</v>
      </c>
      <c r="C30" s="110">
        <v>1</v>
      </c>
      <c r="D30" s="111">
        <v>11480</v>
      </c>
      <c r="E30" s="112">
        <f t="shared" si="0"/>
        <v>11480</v>
      </c>
      <c r="F30" s="110" t="s">
        <v>163</v>
      </c>
      <c r="G30" s="71" t="s">
        <v>300</v>
      </c>
      <c r="I30" s="110" t="s">
        <v>770</v>
      </c>
      <c r="J30" s="112">
        <f>SUM(J22:J29)</f>
        <v>6163655</v>
      </c>
      <c r="K30" s="113">
        <f t="shared" si="2"/>
        <v>1</v>
      </c>
      <c r="L30" s="72"/>
    </row>
    <row r="31" spans="1:12" ht="15" customHeight="1" x14ac:dyDescent="0.2">
      <c r="A31" s="108">
        <v>46220</v>
      </c>
      <c r="B31" s="110" t="s">
        <v>71</v>
      </c>
      <c r="C31" s="110">
        <v>1</v>
      </c>
      <c r="D31" s="111">
        <v>15945</v>
      </c>
      <c r="E31" s="112">
        <f t="shared" si="0"/>
        <v>15945</v>
      </c>
      <c r="F31" s="110" t="s">
        <v>163</v>
      </c>
      <c r="G31" s="71" t="s">
        <v>300</v>
      </c>
    </row>
    <row r="32" spans="1:12" ht="25.5" customHeight="1" x14ac:dyDescent="0.2">
      <c r="A32" s="108">
        <v>46220</v>
      </c>
      <c r="B32" s="110" t="s">
        <v>77</v>
      </c>
      <c r="C32" s="110">
        <v>2</v>
      </c>
      <c r="D32" s="111">
        <v>17840</v>
      </c>
      <c r="E32" s="112">
        <f t="shared" si="0"/>
        <v>35680</v>
      </c>
      <c r="F32" s="110" t="s">
        <v>29</v>
      </c>
      <c r="G32" s="71" t="s">
        <v>302</v>
      </c>
      <c r="I32" s="107" t="s">
        <v>759</v>
      </c>
      <c r="J32" s="107" t="s">
        <v>757</v>
      </c>
      <c r="K32" s="107" t="s">
        <v>769</v>
      </c>
    </row>
    <row r="33" spans="1:11" ht="15" customHeight="1" x14ac:dyDescent="0.2">
      <c r="A33" s="72"/>
      <c r="B33" s="110" t="s">
        <v>768</v>
      </c>
      <c r="C33" s="110">
        <f>SUM(C2:C32)</f>
        <v>798</v>
      </c>
      <c r="D33" s="110">
        <f>SUM(D2:D32)</f>
        <v>359590</v>
      </c>
      <c r="E33" s="112">
        <f>SUM(E2:E32)</f>
        <v>6163655</v>
      </c>
      <c r="F33" s="72"/>
      <c r="G33" s="72"/>
      <c r="I33" s="71" t="s">
        <v>279</v>
      </c>
      <c r="J33" s="112">
        <v>780000</v>
      </c>
      <c r="K33" s="113">
        <v>-0.01</v>
      </c>
    </row>
    <row r="34" spans="1:11" ht="15" customHeight="1" x14ac:dyDescent="0.2">
      <c r="I34" s="71" t="s">
        <v>280</v>
      </c>
      <c r="J34" s="112">
        <v>322500</v>
      </c>
      <c r="K34" s="113">
        <v>-0.05</v>
      </c>
    </row>
    <row r="35" spans="1:11" ht="15" customHeight="1" x14ac:dyDescent="0.2">
      <c r="I35" s="71" t="s">
        <v>281</v>
      </c>
      <c r="J35" s="112">
        <v>13460</v>
      </c>
      <c r="K35" s="113">
        <v>0.04</v>
      </c>
    </row>
    <row r="36" spans="1:11" ht="15" customHeight="1" x14ac:dyDescent="0.2">
      <c r="I36" s="71" t="s">
        <v>282</v>
      </c>
      <c r="J36" s="112">
        <v>866210</v>
      </c>
      <c r="K36" s="113">
        <v>0.03</v>
      </c>
    </row>
    <row r="37" spans="1:11" ht="15" customHeight="1" x14ac:dyDescent="0.2">
      <c r="I37" s="71" t="s">
        <v>290</v>
      </c>
      <c r="J37" s="112">
        <v>48720</v>
      </c>
      <c r="K37" s="113">
        <v>0.08</v>
      </c>
    </row>
    <row r="38" spans="1:11" ht="15" customHeight="1" x14ac:dyDescent="0.2">
      <c r="I38" s="71" t="s">
        <v>292</v>
      </c>
      <c r="J38" s="112">
        <v>134460</v>
      </c>
      <c r="K38" s="113">
        <v>7.0000000000000007E-2</v>
      </c>
    </row>
    <row r="39" spans="1:11" ht="15" customHeight="1" x14ac:dyDescent="0.2">
      <c r="I39" s="71" t="s">
        <v>295</v>
      </c>
      <c r="J39" s="112">
        <v>2976000</v>
      </c>
      <c r="K39" s="113">
        <v>0.01</v>
      </c>
    </row>
    <row r="40" spans="1:11" ht="15" customHeight="1" x14ac:dyDescent="0.2">
      <c r="I40" s="71" t="s">
        <v>297</v>
      </c>
      <c r="J40" s="112">
        <v>13200</v>
      </c>
      <c r="K40" s="113">
        <v>-0.02</v>
      </c>
    </row>
    <row r="41" spans="1:11" ht="15" customHeight="1" x14ac:dyDescent="0.2">
      <c r="I41" s="71" t="s">
        <v>298</v>
      </c>
      <c r="J41" s="112">
        <v>1000000</v>
      </c>
      <c r="K41" s="113">
        <v>-0.04</v>
      </c>
    </row>
    <row r="42" spans="1:11" ht="15" customHeight="1" x14ac:dyDescent="0.2">
      <c r="I42" s="71" t="s">
        <v>300</v>
      </c>
      <c r="J42" s="112">
        <v>84625</v>
      </c>
      <c r="K42" s="113">
        <v>0.06</v>
      </c>
    </row>
    <row r="43" spans="1:11" ht="15" customHeight="1" x14ac:dyDescent="0.2">
      <c r="I43" s="71" t="s">
        <v>302</v>
      </c>
      <c r="J43" s="112">
        <v>39680</v>
      </c>
      <c r="K43" s="113">
        <v>0.12</v>
      </c>
    </row>
    <row r="44" spans="1:11" ht="15" customHeight="1" x14ac:dyDescent="0.2">
      <c r="I44" s="110" t="s">
        <v>770</v>
      </c>
      <c r="J44" s="112">
        <f>SUM(J33:J43)</f>
        <v>6278855</v>
      </c>
      <c r="K44" s="72"/>
    </row>
  </sheetData>
  <hyperlinks>
    <hyperlink ref="G2" r:id="rId1" xr:uid="{00000000-0004-0000-1400-000000000000}"/>
    <hyperlink ref="G3" r:id="rId2" xr:uid="{00000000-0004-0000-1400-000001000000}"/>
    <hyperlink ref="G4" r:id="rId3" xr:uid="{00000000-0004-0000-1400-000002000000}"/>
    <hyperlink ref="G5" r:id="rId4" xr:uid="{00000000-0004-0000-1400-000003000000}"/>
    <hyperlink ref="G6" r:id="rId5" xr:uid="{00000000-0004-0000-1400-000004000000}"/>
    <hyperlink ref="G7" r:id="rId6" xr:uid="{00000000-0004-0000-1400-000005000000}"/>
    <hyperlink ref="G8" r:id="rId7" xr:uid="{00000000-0004-0000-1400-000006000000}"/>
    <hyperlink ref="G9" r:id="rId8" xr:uid="{00000000-0004-0000-1400-000007000000}"/>
    <hyperlink ref="G10" r:id="rId9" xr:uid="{00000000-0004-0000-1400-000008000000}"/>
    <hyperlink ref="G11" r:id="rId10" xr:uid="{00000000-0004-0000-1400-000009000000}"/>
    <hyperlink ref="G12" r:id="rId11" xr:uid="{00000000-0004-0000-1400-00000A000000}"/>
    <hyperlink ref="G13" r:id="rId12" xr:uid="{00000000-0004-0000-1400-00000B000000}"/>
    <hyperlink ref="G14" r:id="rId13" xr:uid="{00000000-0004-0000-1400-00000C000000}"/>
    <hyperlink ref="G15" r:id="rId14" xr:uid="{00000000-0004-0000-1400-00000D000000}"/>
    <hyperlink ref="G16" r:id="rId15" xr:uid="{00000000-0004-0000-1400-00000E000000}"/>
    <hyperlink ref="G17" r:id="rId16" xr:uid="{00000000-0004-0000-1400-00000F000000}"/>
    <hyperlink ref="G18" r:id="rId17" xr:uid="{00000000-0004-0000-1400-000010000000}"/>
    <hyperlink ref="G19" r:id="rId18" xr:uid="{00000000-0004-0000-1400-000011000000}"/>
    <hyperlink ref="G20" r:id="rId19" xr:uid="{00000000-0004-0000-1400-000012000000}"/>
    <hyperlink ref="G21" r:id="rId20" xr:uid="{00000000-0004-0000-1400-000013000000}"/>
    <hyperlink ref="G22" r:id="rId21" xr:uid="{00000000-0004-0000-1400-000014000000}"/>
    <hyperlink ref="G23" r:id="rId22" xr:uid="{00000000-0004-0000-1400-000015000000}"/>
    <hyperlink ref="G24" r:id="rId23" xr:uid="{00000000-0004-0000-1400-000016000000}"/>
    <hyperlink ref="G25" r:id="rId24" xr:uid="{00000000-0004-0000-1400-000017000000}"/>
    <hyperlink ref="G26" r:id="rId25" xr:uid="{00000000-0004-0000-1400-000018000000}"/>
    <hyperlink ref="G27" r:id="rId26" xr:uid="{00000000-0004-0000-1400-000019000000}"/>
    <hyperlink ref="G28" r:id="rId27" xr:uid="{00000000-0004-0000-1400-00001A000000}"/>
    <hyperlink ref="G29" r:id="rId28" xr:uid="{00000000-0004-0000-1400-00001B000000}"/>
    <hyperlink ref="G30" r:id="rId29" xr:uid="{00000000-0004-0000-1400-00001C000000}"/>
    <hyperlink ref="G31" r:id="rId30" xr:uid="{00000000-0004-0000-1400-00001D000000}"/>
    <hyperlink ref="G32" r:id="rId31" xr:uid="{00000000-0004-0000-1400-00001E000000}"/>
    <hyperlink ref="I33" r:id="rId32" xr:uid="{00000000-0004-0000-1400-00001F000000}"/>
    <hyperlink ref="I34" r:id="rId33" xr:uid="{00000000-0004-0000-1400-000020000000}"/>
    <hyperlink ref="I35" r:id="rId34" xr:uid="{00000000-0004-0000-1400-000021000000}"/>
    <hyperlink ref="I36" r:id="rId35" xr:uid="{00000000-0004-0000-1400-000022000000}"/>
    <hyperlink ref="I37" r:id="rId36" xr:uid="{00000000-0004-0000-1400-000023000000}"/>
    <hyperlink ref="I38" r:id="rId37" xr:uid="{00000000-0004-0000-1400-000024000000}"/>
    <hyperlink ref="I39" r:id="rId38" xr:uid="{00000000-0004-0000-1400-000025000000}"/>
    <hyperlink ref="I40" r:id="rId39" xr:uid="{00000000-0004-0000-1400-000026000000}"/>
    <hyperlink ref="I41" r:id="rId40" xr:uid="{00000000-0004-0000-1400-000027000000}"/>
    <hyperlink ref="I42" r:id="rId41" xr:uid="{00000000-0004-0000-1400-000028000000}"/>
    <hyperlink ref="I43" r:id="rId42" xr:uid="{00000000-0004-0000-1400-000029000000}"/>
  </hyperlinks>
  <pageMargins left="0.75" right="0.75" top="1" bottom="1" header="0.511811023622047" footer="0.511811023622047"/>
  <pageSetup paperSize="9" orientation="portrait" horizontalDpi="300" verticalDpi="300"/>
  <drawing r:id="rId4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0"/>
  <sheetViews>
    <sheetView zoomScale="71" zoomScaleNormal="71" workbookViewId="0">
      <selection activeCell="P39" sqref="P39"/>
    </sheetView>
  </sheetViews>
  <sheetFormatPr defaultColWidth="8.609375" defaultRowHeight="15" x14ac:dyDescent="0.2"/>
  <cols>
    <col min="1" max="1" width="9.953125" style="38" customWidth="1"/>
    <col min="2" max="2" width="19.37109375" style="38" customWidth="1"/>
    <col min="3" max="3" width="11.43359375" style="38" customWidth="1"/>
    <col min="4" max="4" width="15.06640625" style="38" customWidth="1"/>
    <col min="5" max="5" width="12.5078125" style="38" customWidth="1"/>
    <col min="6" max="6" width="37.6640625" style="38" customWidth="1"/>
    <col min="7" max="7" width="12.23828125" style="38" customWidth="1"/>
    <col min="8" max="8" width="2.95703125" style="38" customWidth="1"/>
    <col min="9" max="9" width="37.66406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375" style="38" customWidth="1"/>
    <col min="15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46221</v>
      </c>
      <c r="B2" s="110" t="s">
        <v>45</v>
      </c>
      <c r="C2" s="110">
        <v>140</v>
      </c>
      <c r="D2" s="111">
        <v>12730</v>
      </c>
      <c r="E2" s="112">
        <f t="shared" ref="E2:E39" si="0">C2*D2</f>
        <v>1782200</v>
      </c>
      <c r="F2" s="110" t="s">
        <v>66</v>
      </c>
      <c r="G2" s="71" t="s">
        <v>304</v>
      </c>
      <c r="I2" s="110" t="s">
        <v>45</v>
      </c>
      <c r="J2" s="110">
        <f>C2+C13+C17+C27+C35</f>
        <v>304</v>
      </c>
      <c r="K2" s="112">
        <f>E2+E13+E17+E27+E35</f>
        <v>3898440</v>
      </c>
      <c r="L2" s="113">
        <f t="shared" ref="L2:L21" si="1">K2/K$21</f>
        <v>0.30804375181492594</v>
      </c>
      <c r="N2" s="112">
        <f>K21</f>
        <v>12655475</v>
      </c>
      <c r="O2" s="110">
        <f>J21</f>
        <v>1117</v>
      </c>
      <c r="P2" s="110">
        <f>COUNT(J2:J20)</f>
        <v>19</v>
      </c>
    </row>
    <row r="3" spans="1:16" ht="15" customHeight="1" x14ac:dyDescent="0.2">
      <c r="A3" s="108">
        <v>46221</v>
      </c>
      <c r="B3" s="110" t="s">
        <v>44</v>
      </c>
      <c r="C3" s="110">
        <v>140</v>
      </c>
      <c r="D3" s="111">
        <v>8990</v>
      </c>
      <c r="E3" s="112">
        <f t="shared" si="0"/>
        <v>1258600</v>
      </c>
      <c r="F3" s="110" t="s">
        <v>66</v>
      </c>
      <c r="G3" s="71" t="s">
        <v>304</v>
      </c>
      <c r="I3" s="110" t="s">
        <v>44</v>
      </c>
      <c r="J3" s="110">
        <f>C3+C15+C33</f>
        <v>155</v>
      </c>
      <c r="K3" s="112">
        <f>E3+E15+E33</f>
        <v>1395500</v>
      </c>
      <c r="L3" s="113">
        <f t="shared" si="1"/>
        <v>0.11026848063782671</v>
      </c>
    </row>
    <row r="4" spans="1:16" ht="15" customHeight="1" x14ac:dyDescent="0.2">
      <c r="A4" s="108">
        <v>46221</v>
      </c>
      <c r="B4" s="110" t="s">
        <v>36</v>
      </c>
      <c r="C4" s="110">
        <v>60</v>
      </c>
      <c r="D4" s="111">
        <v>14900</v>
      </c>
      <c r="E4" s="112">
        <f t="shared" si="0"/>
        <v>894000</v>
      </c>
      <c r="F4" s="110" t="s">
        <v>66</v>
      </c>
      <c r="G4" s="71" t="s">
        <v>304</v>
      </c>
      <c r="I4" s="110" t="s">
        <v>36</v>
      </c>
      <c r="J4" s="110">
        <f>C4+C22</f>
        <v>62</v>
      </c>
      <c r="K4" s="112">
        <f>E4+E22</f>
        <v>925050</v>
      </c>
      <c r="L4" s="113">
        <f t="shared" si="1"/>
        <v>7.3094846301699462E-2</v>
      </c>
    </row>
    <row r="5" spans="1:16" ht="15" customHeight="1" x14ac:dyDescent="0.2">
      <c r="A5" s="108">
        <v>46221</v>
      </c>
      <c r="B5" s="110" t="s">
        <v>113</v>
      </c>
      <c r="C5" s="110">
        <v>60</v>
      </c>
      <c r="D5" s="111">
        <v>14475</v>
      </c>
      <c r="E5" s="112">
        <f t="shared" si="0"/>
        <v>868500</v>
      </c>
      <c r="F5" s="110" t="s">
        <v>66</v>
      </c>
      <c r="G5" s="71" t="s">
        <v>304</v>
      </c>
      <c r="I5" s="110" t="s">
        <v>113</v>
      </c>
      <c r="J5" s="110">
        <f>C5+C18+C29</f>
        <v>91</v>
      </c>
      <c r="K5" s="112">
        <f>E5+E18+E29</f>
        <v>1320325</v>
      </c>
      <c r="L5" s="113">
        <f t="shared" si="1"/>
        <v>0.10432836381091978</v>
      </c>
    </row>
    <row r="6" spans="1:16" ht="15" customHeight="1" x14ac:dyDescent="0.2">
      <c r="A6" s="108">
        <v>46221</v>
      </c>
      <c r="B6" s="110" t="s">
        <v>28</v>
      </c>
      <c r="C6" s="110">
        <v>45</v>
      </c>
      <c r="D6" s="111">
        <v>13150</v>
      </c>
      <c r="E6" s="112">
        <f t="shared" si="0"/>
        <v>591750</v>
      </c>
      <c r="F6" s="110" t="s">
        <v>25</v>
      </c>
      <c r="G6" s="71" t="s">
        <v>310</v>
      </c>
      <c r="I6" s="110" t="s">
        <v>28</v>
      </c>
      <c r="J6" s="110">
        <f>C6</f>
        <v>45</v>
      </c>
      <c r="K6" s="112">
        <f>E6</f>
        <v>591750</v>
      </c>
      <c r="L6" s="113">
        <f t="shared" si="1"/>
        <v>4.6758418787125729E-2</v>
      </c>
    </row>
    <row r="7" spans="1:16" ht="15" customHeight="1" x14ac:dyDescent="0.2">
      <c r="A7" s="108">
        <v>46221</v>
      </c>
      <c r="B7" s="110" t="s">
        <v>31</v>
      </c>
      <c r="C7" s="110">
        <v>10</v>
      </c>
      <c r="D7" s="111">
        <v>17845</v>
      </c>
      <c r="E7" s="112">
        <f t="shared" si="0"/>
        <v>178450</v>
      </c>
      <c r="F7" s="110" t="s">
        <v>25</v>
      </c>
      <c r="G7" s="71" t="s">
        <v>310</v>
      </c>
      <c r="I7" s="110" t="s">
        <v>31</v>
      </c>
      <c r="J7" s="110">
        <f>C7</f>
        <v>10</v>
      </c>
      <c r="K7" s="112">
        <f>E7</f>
        <v>178450</v>
      </c>
      <c r="L7" s="113">
        <f t="shared" si="1"/>
        <v>1.4100616531580205E-2</v>
      </c>
    </row>
    <row r="8" spans="1:16" ht="15" customHeight="1" x14ac:dyDescent="0.2">
      <c r="A8" s="108">
        <v>46221</v>
      </c>
      <c r="B8" s="110" t="s">
        <v>32</v>
      </c>
      <c r="C8" s="110">
        <v>10</v>
      </c>
      <c r="D8" s="111">
        <v>16145</v>
      </c>
      <c r="E8" s="112">
        <f t="shared" si="0"/>
        <v>161450</v>
      </c>
      <c r="F8" s="110" t="s">
        <v>25</v>
      </c>
      <c r="G8" s="71" t="s">
        <v>310</v>
      </c>
      <c r="I8" s="110" t="s">
        <v>32</v>
      </c>
      <c r="J8" s="110">
        <f>C8</f>
        <v>10</v>
      </c>
      <c r="K8" s="112">
        <f>E8</f>
        <v>161450</v>
      </c>
      <c r="L8" s="113">
        <f t="shared" si="1"/>
        <v>1.27573243991237E-2</v>
      </c>
    </row>
    <row r="9" spans="1:16" ht="15" customHeight="1" x14ac:dyDescent="0.2">
      <c r="A9" s="108">
        <v>46221</v>
      </c>
      <c r="B9" s="110" t="s">
        <v>70</v>
      </c>
      <c r="C9" s="110">
        <v>10</v>
      </c>
      <c r="D9" s="111">
        <v>13460</v>
      </c>
      <c r="E9" s="112">
        <f t="shared" si="0"/>
        <v>134600</v>
      </c>
      <c r="F9" s="110" t="s">
        <v>25</v>
      </c>
      <c r="G9" s="71" t="s">
        <v>313</v>
      </c>
      <c r="I9" s="110" t="s">
        <v>70</v>
      </c>
      <c r="J9" s="110">
        <f>C9</f>
        <v>10</v>
      </c>
      <c r="K9" s="112">
        <f>E9</f>
        <v>134600</v>
      </c>
      <c r="L9" s="113">
        <f t="shared" si="1"/>
        <v>1.0635713001685041E-2</v>
      </c>
    </row>
    <row r="10" spans="1:16" ht="15" customHeight="1" x14ac:dyDescent="0.2">
      <c r="A10" s="108">
        <v>46221</v>
      </c>
      <c r="B10" s="110" t="s">
        <v>43</v>
      </c>
      <c r="C10" s="110">
        <v>10</v>
      </c>
      <c r="D10" s="111">
        <v>17700</v>
      </c>
      <c r="E10" s="112">
        <f t="shared" si="0"/>
        <v>177000</v>
      </c>
      <c r="F10" s="110" t="s">
        <v>25</v>
      </c>
      <c r="G10" s="71" t="s">
        <v>313</v>
      </c>
      <c r="I10" s="110" t="s">
        <v>43</v>
      </c>
      <c r="J10" s="110">
        <f>C10+C32+C34</f>
        <v>31</v>
      </c>
      <c r="K10" s="112">
        <f>E10+E32+E34</f>
        <v>551300</v>
      </c>
      <c r="L10" s="113">
        <f t="shared" si="1"/>
        <v>4.3562173683721866E-2</v>
      </c>
    </row>
    <row r="11" spans="1:16" ht="15" customHeight="1" x14ac:dyDescent="0.2">
      <c r="A11" s="108">
        <v>46221</v>
      </c>
      <c r="B11" s="110" t="s">
        <v>22</v>
      </c>
      <c r="C11" s="110">
        <v>20</v>
      </c>
      <c r="D11" s="111">
        <v>8800</v>
      </c>
      <c r="E11" s="112">
        <f t="shared" si="0"/>
        <v>176000</v>
      </c>
      <c r="F11" s="110" t="s">
        <v>50</v>
      </c>
      <c r="G11" s="71" t="s">
        <v>317</v>
      </c>
      <c r="I11" s="110" t="s">
        <v>22</v>
      </c>
      <c r="J11" s="110">
        <f>C11+C16+C26+C36+C39</f>
        <v>179</v>
      </c>
      <c r="K11" s="112">
        <f>E11+E16+E26+E36+E39</f>
        <v>1537880</v>
      </c>
      <c r="L11" s="113">
        <f t="shared" si="1"/>
        <v>0.12151894733307125</v>
      </c>
    </row>
    <row r="12" spans="1:16" ht="15" customHeight="1" x14ac:dyDescent="0.2">
      <c r="A12" s="108">
        <v>46221</v>
      </c>
      <c r="B12" s="110" t="s">
        <v>93</v>
      </c>
      <c r="C12" s="110">
        <v>10</v>
      </c>
      <c r="D12" s="111">
        <v>11600</v>
      </c>
      <c r="E12" s="112">
        <f t="shared" si="0"/>
        <v>116000</v>
      </c>
      <c r="F12" s="110" t="s">
        <v>50</v>
      </c>
      <c r="G12" s="71" t="s">
        <v>320</v>
      </c>
      <c r="I12" s="110" t="s">
        <v>93</v>
      </c>
      <c r="J12" s="110">
        <f>C12</f>
        <v>10</v>
      </c>
      <c r="K12" s="112">
        <f>E12</f>
        <v>116000</v>
      </c>
      <c r="L12" s="113">
        <f t="shared" si="1"/>
        <v>9.1659933744091E-3</v>
      </c>
    </row>
    <row r="13" spans="1:16" ht="15" customHeight="1" x14ac:dyDescent="0.2">
      <c r="A13" s="108">
        <v>46221</v>
      </c>
      <c r="B13" s="110" t="s">
        <v>45</v>
      </c>
      <c r="C13" s="110">
        <v>20</v>
      </c>
      <c r="D13" s="111">
        <v>13335</v>
      </c>
      <c r="E13" s="112">
        <f t="shared" si="0"/>
        <v>266700</v>
      </c>
      <c r="F13" s="110" t="s">
        <v>50</v>
      </c>
      <c r="G13" s="71" t="s">
        <v>320</v>
      </c>
      <c r="I13" s="110" t="s">
        <v>37</v>
      </c>
      <c r="J13" s="110">
        <f>C14+C19+C28+C37</f>
        <v>75</v>
      </c>
      <c r="K13" s="112">
        <f>E14+E19+E28+E37</f>
        <v>666620</v>
      </c>
      <c r="L13" s="113">
        <f t="shared" si="1"/>
        <v>5.2674435372832708E-2</v>
      </c>
    </row>
    <row r="14" spans="1:16" ht="15" customHeight="1" x14ac:dyDescent="0.2">
      <c r="A14" s="108">
        <v>46221</v>
      </c>
      <c r="B14" s="110" t="s">
        <v>37</v>
      </c>
      <c r="C14" s="110">
        <v>2</v>
      </c>
      <c r="D14" s="111">
        <v>8880</v>
      </c>
      <c r="E14" s="112">
        <f t="shared" si="0"/>
        <v>17760</v>
      </c>
      <c r="F14" s="110" t="s">
        <v>29</v>
      </c>
      <c r="G14" s="71" t="s">
        <v>321</v>
      </c>
      <c r="I14" s="110" t="s">
        <v>80</v>
      </c>
      <c r="J14" s="110">
        <f>C20</f>
        <v>1</v>
      </c>
      <c r="K14" s="112">
        <f>E20</f>
        <v>9345</v>
      </c>
      <c r="L14" s="113">
        <f t="shared" si="1"/>
        <v>7.3841558692976756E-4</v>
      </c>
    </row>
    <row r="15" spans="1:16" ht="15" customHeight="1" x14ac:dyDescent="0.2">
      <c r="A15" s="108">
        <v>46221</v>
      </c>
      <c r="B15" s="110" t="s">
        <v>44</v>
      </c>
      <c r="C15" s="110">
        <v>5</v>
      </c>
      <c r="D15" s="111">
        <v>9200</v>
      </c>
      <c r="E15" s="112">
        <f t="shared" si="0"/>
        <v>46000</v>
      </c>
      <c r="F15" s="110" t="s">
        <v>29</v>
      </c>
      <c r="G15" s="71" t="s">
        <v>322</v>
      </c>
      <c r="I15" s="110" t="s">
        <v>87</v>
      </c>
      <c r="J15" s="110">
        <f>C21</f>
        <v>1</v>
      </c>
      <c r="K15" s="112">
        <f>E21</f>
        <v>21400</v>
      </c>
      <c r="L15" s="113">
        <f t="shared" si="1"/>
        <v>1.6909677432099546E-3</v>
      </c>
    </row>
    <row r="16" spans="1:16" ht="15" customHeight="1" x14ac:dyDescent="0.2">
      <c r="A16" s="108">
        <v>46221</v>
      </c>
      <c r="B16" s="110" t="s">
        <v>22</v>
      </c>
      <c r="C16" s="110">
        <v>10</v>
      </c>
      <c r="D16" s="111">
        <v>8800</v>
      </c>
      <c r="E16" s="112">
        <f t="shared" si="0"/>
        <v>88000</v>
      </c>
      <c r="F16" s="110" t="s">
        <v>29</v>
      </c>
      <c r="G16" s="71" t="s">
        <v>322</v>
      </c>
      <c r="I16" s="110" t="s">
        <v>65</v>
      </c>
      <c r="J16" s="110">
        <f>C23</f>
        <v>2</v>
      </c>
      <c r="K16" s="112">
        <f>E23</f>
        <v>23820</v>
      </c>
      <c r="L16" s="113">
        <f t="shared" si="1"/>
        <v>1.8821893291243513E-3</v>
      </c>
    </row>
    <row r="17" spans="1:12" ht="15" customHeight="1" x14ac:dyDescent="0.2">
      <c r="A17" s="108">
        <v>46221</v>
      </c>
      <c r="B17" s="110" t="s">
        <v>45</v>
      </c>
      <c r="C17" s="110">
        <v>3</v>
      </c>
      <c r="D17" s="111">
        <v>13335</v>
      </c>
      <c r="E17" s="112">
        <f t="shared" si="0"/>
        <v>40005</v>
      </c>
      <c r="F17" s="110" t="s">
        <v>29</v>
      </c>
      <c r="G17" s="71" t="s">
        <v>322</v>
      </c>
      <c r="I17" s="110" t="s">
        <v>71</v>
      </c>
      <c r="J17" s="110">
        <f>C24</f>
        <v>1</v>
      </c>
      <c r="K17" s="112">
        <f>E24</f>
        <v>15945</v>
      </c>
      <c r="L17" s="113">
        <f t="shared" si="1"/>
        <v>1.2599290030599404E-3</v>
      </c>
    </row>
    <row r="18" spans="1:12" ht="15" customHeight="1" x14ac:dyDescent="0.2">
      <c r="A18" s="108">
        <v>46221</v>
      </c>
      <c r="B18" s="110" t="s">
        <v>113</v>
      </c>
      <c r="C18" s="110">
        <v>1</v>
      </c>
      <c r="D18" s="111">
        <v>14575</v>
      </c>
      <c r="E18" s="112">
        <f t="shared" si="0"/>
        <v>14575</v>
      </c>
      <c r="F18" s="110" t="s">
        <v>29</v>
      </c>
      <c r="G18" s="71" t="s">
        <v>322</v>
      </c>
      <c r="I18" s="110" t="s">
        <v>24</v>
      </c>
      <c r="J18" s="110">
        <f>C25+C31</f>
        <v>30</v>
      </c>
      <c r="K18" s="112">
        <f>E25+E31</f>
        <v>150000</v>
      </c>
      <c r="L18" s="113">
        <f t="shared" si="1"/>
        <v>1.1852577639322112E-2</v>
      </c>
    </row>
    <row r="19" spans="1:12" ht="15" customHeight="1" x14ac:dyDescent="0.2">
      <c r="A19" s="108">
        <v>46221</v>
      </c>
      <c r="B19" s="110" t="s">
        <v>37</v>
      </c>
      <c r="C19" s="110">
        <v>2</v>
      </c>
      <c r="D19" s="111">
        <v>8880</v>
      </c>
      <c r="E19" s="112">
        <f t="shared" si="0"/>
        <v>17760</v>
      </c>
      <c r="F19" s="110" t="s">
        <v>29</v>
      </c>
      <c r="G19" s="71" t="s">
        <v>322</v>
      </c>
      <c r="I19" s="110" t="s">
        <v>101</v>
      </c>
      <c r="J19" s="110">
        <f>C30</f>
        <v>30</v>
      </c>
      <c r="K19" s="112">
        <f>E30</f>
        <v>390600</v>
      </c>
      <c r="L19" s="113">
        <f t="shared" si="1"/>
        <v>3.0864112172794778E-2</v>
      </c>
    </row>
    <row r="20" spans="1:12" ht="15" customHeight="1" x14ac:dyDescent="0.2">
      <c r="A20" s="108">
        <v>46221</v>
      </c>
      <c r="B20" s="110" t="s">
        <v>80</v>
      </c>
      <c r="C20" s="110">
        <v>1</v>
      </c>
      <c r="D20" s="111">
        <v>9345</v>
      </c>
      <c r="E20" s="112">
        <f t="shared" si="0"/>
        <v>9345</v>
      </c>
      <c r="F20" s="110" t="s">
        <v>29</v>
      </c>
      <c r="G20" s="71" t="s">
        <v>322</v>
      </c>
      <c r="I20" s="110" t="s">
        <v>21</v>
      </c>
      <c r="J20" s="110">
        <f>C38</f>
        <v>70</v>
      </c>
      <c r="K20" s="112">
        <f>E38</f>
        <v>567000</v>
      </c>
      <c r="L20" s="113">
        <f t="shared" si="1"/>
        <v>4.4802743476637583E-2</v>
      </c>
    </row>
    <row r="21" spans="1:12" ht="15" customHeight="1" x14ac:dyDescent="0.2">
      <c r="A21" s="108">
        <v>46221</v>
      </c>
      <c r="B21" s="110" t="s">
        <v>87</v>
      </c>
      <c r="C21" s="110">
        <v>1</v>
      </c>
      <c r="D21" s="111">
        <v>21400</v>
      </c>
      <c r="E21" s="112">
        <f t="shared" si="0"/>
        <v>21400</v>
      </c>
      <c r="F21" s="110" t="s">
        <v>29</v>
      </c>
      <c r="G21" s="71" t="s">
        <v>322</v>
      </c>
      <c r="I21" s="110" t="s">
        <v>768</v>
      </c>
      <c r="J21" s="110">
        <f>SUM(J2:J20)</f>
        <v>1117</v>
      </c>
      <c r="K21" s="112">
        <f>SUM(K2:K20)</f>
        <v>12655475</v>
      </c>
      <c r="L21" s="113">
        <f t="shared" si="1"/>
        <v>1</v>
      </c>
    </row>
    <row r="22" spans="1:12" ht="15" customHeight="1" x14ac:dyDescent="0.2">
      <c r="A22" s="108">
        <v>46221</v>
      </c>
      <c r="B22" s="110" t="s">
        <v>36</v>
      </c>
      <c r="C22" s="110">
        <v>2</v>
      </c>
      <c r="D22" s="111">
        <v>15525</v>
      </c>
      <c r="E22" s="112">
        <f t="shared" si="0"/>
        <v>31050</v>
      </c>
      <c r="F22" s="110" t="s">
        <v>29</v>
      </c>
      <c r="G22" s="71" t="s">
        <v>322</v>
      </c>
    </row>
    <row r="23" spans="1:12" ht="25.5" customHeight="1" x14ac:dyDescent="0.2">
      <c r="A23" s="108">
        <v>46221</v>
      </c>
      <c r="B23" s="110" t="s">
        <v>65</v>
      </c>
      <c r="C23" s="110">
        <v>2</v>
      </c>
      <c r="D23" s="111">
        <v>11910</v>
      </c>
      <c r="E23" s="112">
        <f t="shared" si="0"/>
        <v>23820</v>
      </c>
      <c r="F23" s="110" t="s">
        <v>29</v>
      </c>
      <c r="G23" s="71" t="s">
        <v>322</v>
      </c>
      <c r="I23" s="107" t="s">
        <v>758</v>
      </c>
      <c r="J23" s="107" t="s">
        <v>757</v>
      </c>
      <c r="K23" s="107" t="s">
        <v>762</v>
      </c>
      <c r="L23" s="107" t="s">
        <v>769</v>
      </c>
    </row>
    <row r="24" spans="1:12" ht="15" customHeight="1" x14ac:dyDescent="0.2">
      <c r="A24" s="108">
        <v>46221</v>
      </c>
      <c r="B24" s="110" t="s">
        <v>71</v>
      </c>
      <c r="C24" s="110">
        <v>1</v>
      </c>
      <c r="D24" s="111">
        <v>15945</v>
      </c>
      <c r="E24" s="112">
        <f t="shared" si="0"/>
        <v>15945</v>
      </c>
      <c r="F24" s="110" t="s">
        <v>29</v>
      </c>
      <c r="G24" s="71" t="s">
        <v>322</v>
      </c>
      <c r="I24" s="110" t="s">
        <v>66</v>
      </c>
      <c r="J24" s="112">
        <f>E2+E3+E4+E5</f>
        <v>4803300</v>
      </c>
      <c r="K24" s="113">
        <f t="shared" ref="K24:K33" si="2">J24/J$33</f>
        <v>0.37954324116637267</v>
      </c>
      <c r="L24" s="113">
        <v>6.0299999999999999E-2</v>
      </c>
    </row>
    <row r="25" spans="1:12" ht="15" customHeight="1" x14ac:dyDescent="0.2">
      <c r="A25" s="108">
        <v>46221</v>
      </c>
      <c r="B25" s="110" t="s">
        <v>24</v>
      </c>
      <c r="C25" s="110">
        <v>20</v>
      </c>
      <c r="D25" s="111">
        <v>5000</v>
      </c>
      <c r="E25" s="112">
        <f t="shared" si="0"/>
        <v>100000</v>
      </c>
      <c r="F25" s="110" t="s">
        <v>29</v>
      </c>
      <c r="G25" s="71" t="s">
        <v>322</v>
      </c>
      <c r="I25" s="110" t="s">
        <v>25</v>
      </c>
      <c r="J25" s="112">
        <f>E6+E7+E8+E9+E10</f>
        <v>1243250</v>
      </c>
      <c r="K25" s="113">
        <f t="shared" si="2"/>
        <v>9.8238114333914772E-2</v>
      </c>
      <c r="L25" s="113">
        <v>7.6100000000000001E-2</v>
      </c>
    </row>
    <row r="26" spans="1:12" ht="15" customHeight="1" x14ac:dyDescent="0.2">
      <c r="A26" s="108">
        <v>46221</v>
      </c>
      <c r="B26" s="110" t="s">
        <v>22</v>
      </c>
      <c r="C26" s="110">
        <v>140</v>
      </c>
      <c r="D26" s="111">
        <v>8500</v>
      </c>
      <c r="E26" s="112">
        <f t="shared" si="0"/>
        <v>1190000</v>
      </c>
      <c r="F26" s="110" t="s">
        <v>326</v>
      </c>
      <c r="G26" s="71" t="s">
        <v>327</v>
      </c>
      <c r="I26" s="110" t="s">
        <v>50</v>
      </c>
      <c r="J26" s="112">
        <f>E11+E12+E13+E31</f>
        <v>608700</v>
      </c>
      <c r="K26" s="113">
        <f t="shared" si="2"/>
        <v>4.809776006036913E-2</v>
      </c>
      <c r="L26" s="113">
        <v>9.0300000000000005E-2</v>
      </c>
    </row>
    <row r="27" spans="1:12" ht="15" customHeight="1" x14ac:dyDescent="0.2">
      <c r="A27" s="108">
        <v>46221</v>
      </c>
      <c r="B27" s="110" t="s">
        <v>45</v>
      </c>
      <c r="C27" s="110">
        <v>140</v>
      </c>
      <c r="D27" s="111">
        <v>12830</v>
      </c>
      <c r="E27" s="112">
        <f t="shared" si="0"/>
        <v>1796200</v>
      </c>
      <c r="F27" s="110" t="s">
        <v>326</v>
      </c>
      <c r="G27" s="71" t="s">
        <v>327</v>
      </c>
      <c r="I27" s="110" t="s">
        <v>29</v>
      </c>
      <c r="J27" s="112">
        <f>E14+E15+E16+E17+E18+E19+E20+E21+E22+E23+E24+E25</f>
        <v>425660</v>
      </c>
      <c r="K27" s="113">
        <f t="shared" si="2"/>
        <v>3.3634454653025669E-2</v>
      </c>
      <c r="L27" s="113">
        <v>3.9600000000000003E-2</v>
      </c>
    </row>
    <row r="28" spans="1:12" ht="15" customHeight="1" x14ac:dyDescent="0.2">
      <c r="A28" s="108">
        <v>46221</v>
      </c>
      <c r="B28" s="110" t="s">
        <v>37</v>
      </c>
      <c r="C28" s="110">
        <v>70</v>
      </c>
      <c r="D28" s="111">
        <v>8880</v>
      </c>
      <c r="E28" s="112">
        <f t="shared" si="0"/>
        <v>621600</v>
      </c>
      <c r="F28" s="110" t="s">
        <v>326</v>
      </c>
      <c r="G28" s="71" t="s">
        <v>327</v>
      </c>
      <c r="I28" s="110" t="s">
        <v>326</v>
      </c>
      <c r="J28" s="112">
        <f>E26+E27+E28+E29+E30</f>
        <v>4435650</v>
      </c>
      <c r="K28" s="113">
        <f t="shared" si="2"/>
        <v>0.35049257337239415</v>
      </c>
      <c r="L28" s="113">
        <v>6.9400000000000003E-2</v>
      </c>
    </row>
    <row r="29" spans="1:12" ht="15" customHeight="1" x14ac:dyDescent="0.2">
      <c r="A29" s="108">
        <v>46221</v>
      </c>
      <c r="B29" s="110" t="s">
        <v>113</v>
      </c>
      <c r="C29" s="110">
        <v>30</v>
      </c>
      <c r="D29" s="111">
        <v>14575</v>
      </c>
      <c r="E29" s="112">
        <f t="shared" si="0"/>
        <v>437250</v>
      </c>
      <c r="F29" s="110" t="s">
        <v>326</v>
      </c>
      <c r="G29" s="71" t="s">
        <v>327</v>
      </c>
      <c r="I29" s="110" t="s">
        <v>334</v>
      </c>
      <c r="J29" s="112">
        <f>E32+E33+E38</f>
        <v>1013900</v>
      </c>
      <c r="K29" s="113">
        <f t="shared" si="2"/>
        <v>8.0115523123391263E-2</v>
      </c>
      <c r="L29" s="113">
        <v>0.15090000000000001</v>
      </c>
    </row>
    <row r="30" spans="1:12" ht="15" customHeight="1" x14ac:dyDescent="0.2">
      <c r="A30" s="108">
        <v>46221</v>
      </c>
      <c r="B30" s="110" t="s">
        <v>101</v>
      </c>
      <c r="C30" s="110">
        <v>30</v>
      </c>
      <c r="D30" s="111">
        <v>13020</v>
      </c>
      <c r="E30" s="112">
        <f t="shared" si="0"/>
        <v>390600</v>
      </c>
      <c r="F30" s="110" t="s">
        <v>326</v>
      </c>
      <c r="G30" s="71" t="s">
        <v>327</v>
      </c>
      <c r="I30" s="110" t="s">
        <v>336</v>
      </c>
      <c r="J30" s="112">
        <f>E34+E35+E36</f>
        <v>40835</v>
      </c>
      <c r="K30" s="113">
        <f t="shared" si="2"/>
        <v>3.2266667193447895E-3</v>
      </c>
      <c r="L30" s="113">
        <v>5.5899999999999998E-2</v>
      </c>
    </row>
    <row r="31" spans="1:12" ht="15" customHeight="1" x14ac:dyDescent="0.2">
      <c r="A31" s="108">
        <v>46221</v>
      </c>
      <c r="B31" s="110" t="s">
        <v>24</v>
      </c>
      <c r="C31" s="110">
        <v>10</v>
      </c>
      <c r="D31" s="111">
        <v>5000</v>
      </c>
      <c r="E31" s="112">
        <f t="shared" si="0"/>
        <v>50000</v>
      </c>
      <c r="F31" s="110" t="s">
        <v>50</v>
      </c>
      <c r="G31" s="71" t="s">
        <v>332</v>
      </c>
      <c r="I31" s="110" t="s">
        <v>102</v>
      </c>
      <c r="J31" s="112">
        <f>E37</f>
        <v>9500</v>
      </c>
      <c r="K31" s="113">
        <f t="shared" si="2"/>
        <v>7.5066325049040039E-4</v>
      </c>
      <c r="L31" s="113">
        <v>0.1026</v>
      </c>
    </row>
    <row r="32" spans="1:12" ht="15" customHeight="1" x14ac:dyDescent="0.2">
      <c r="A32" s="108">
        <v>46221</v>
      </c>
      <c r="B32" s="110" t="s">
        <v>43</v>
      </c>
      <c r="C32" s="110">
        <v>20</v>
      </c>
      <c r="D32" s="111">
        <v>17800</v>
      </c>
      <c r="E32" s="112">
        <f t="shared" si="0"/>
        <v>356000</v>
      </c>
      <c r="F32" s="110" t="s">
        <v>334</v>
      </c>
      <c r="G32" s="71" t="s">
        <v>335</v>
      </c>
      <c r="I32" s="110" t="s">
        <v>341</v>
      </c>
      <c r="J32" s="112">
        <f>E39</f>
        <v>74680</v>
      </c>
      <c r="K32" s="113">
        <f t="shared" si="2"/>
        <v>5.9010033206971686E-3</v>
      </c>
      <c r="L32" s="113">
        <v>7.2700000000000001E-2</v>
      </c>
    </row>
    <row r="33" spans="1:12" ht="15" customHeight="1" x14ac:dyDescent="0.2">
      <c r="A33" s="108">
        <v>46221</v>
      </c>
      <c r="B33" s="110" t="s">
        <v>44</v>
      </c>
      <c r="C33" s="110">
        <v>10</v>
      </c>
      <c r="D33" s="111">
        <v>9090</v>
      </c>
      <c r="E33" s="112">
        <f t="shared" si="0"/>
        <v>90900</v>
      </c>
      <c r="F33" s="110" t="s">
        <v>334</v>
      </c>
      <c r="G33" s="71" t="s">
        <v>335</v>
      </c>
      <c r="I33" s="110" t="s">
        <v>770</v>
      </c>
      <c r="J33" s="112">
        <f>SUM(J24:J32)</f>
        <v>12655475</v>
      </c>
      <c r="K33" s="113">
        <f t="shared" si="2"/>
        <v>1</v>
      </c>
      <c r="L33" s="72"/>
    </row>
    <row r="34" spans="1:12" ht="15" customHeight="1" x14ac:dyDescent="0.2">
      <c r="A34" s="108">
        <v>46221</v>
      </c>
      <c r="B34" s="110" t="s">
        <v>43</v>
      </c>
      <c r="C34" s="110">
        <v>1</v>
      </c>
      <c r="D34" s="111">
        <v>18300</v>
      </c>
      <c r="E34" s="112">
        <f t="shared" si="0"/>
        <v>18300</v>
      </c>
      <c r="F34" s="110" t="s">
        <v>336</v>
      </c>
      <c r="G34" s="71" t="s">
        <v>337</v>
      </c>
    </row>
    <row r="35" spans="1:12" ht="25.5" customHeight="1" x14ac:dyDescent="0.2">
      <c r="A35" s="108">
        <v>46221</v>
      </c>
      <c r="B35" s="110" t="s">
        <v>45</v>
      </c>
      <c r="C35" s="110">
        <v>1</v>
      </c>
      <c r="D35" s="111">
        <v>13335</v>
      </c>
      <c r="E35" s="112">
        <f t="shared" si="0"/>
        <v>13335</v>
      </c>
      <c r="F35" s="110" t="s">
        <v>336</v>
      </c>
      <c r="G35" s="71" t="s">
        <v>337</v>
      </c>
      <c r="I35" s="107" t="s">
        <v>759</v>
      </c>
      <c r="J35" s="107" t="s">
        <v>757</v>
      </c>
      <c r="K35" s="107" t="s">
        <v>769</v>
      </c>
    </row>
    <row r="36" spans="1:12" ht="15" customHeight="1" x14ac:dyDescent="0.2">
      <c r="A36" s="108">
        <v>46221</v>
      </c>
      <c r="B36" s="110" t="s">
        <v>22</v>
      </c>
      <c r="C36" s="110">
        <v>1</v>
      </c>
      <c r="D36" s="111">
        <v>9200</v>
      </c>
      <c r="E36" s="112">
        <f t="shared" si="0"/>
        <v>9200</v>
      </c>
      <c r="F36" s="110" t="s">
        <v>336</v>
      </c>
      <c r="G36" s="71" t="s">
        <v>337</v>
      </c>
      <c r="I36" s="71" t="s">
        <v>304</v>
      </c>
      <c r="J36" s="112">
        <v>5551300</v>
      </c>
      <c r="K36" s="113">
        <v>0.06</v>
      </c>
    </row>
    <row r="37" spans="1:12" ht="15" customHeight="1" x14ac:dyDescent="0.2">
      <c r="A37" s="108">
        <v>46221</v>
      </c>
      <c r="B37" s="110" t="s">
        <v>37</v>
      </c>
      <c r="C37" s="110">
        <v>1</v>
      </c>
      <c r="D37" s="111">
        <v>9500</v>
      </c>
      <c r="E37" s="112">
        <f t="shared" si="0"/>
        <v>9500</v>
      </c>
      <c r="F37" s="110" t="s">
        <v>102</v>
      </c>
      <c r="G37" s="71" t="s">
        <v>338</v>
      </c>
      <c r="I37" s="71" t="s">
        <v>310</v>
      </c>
      <c r="J37" s="112">
        <v>931650</v>
      </c>
      <c r="K37" s="113">
        <v>0</v>
      </c>
    </row>
    <row r="38" spans="1:12" ht="15" customHeight="1" x14ac:dyDescent="0.2">
      <c r="A38" s="108">
        <v>46221</v>
      </c>
      <c r="B38" s="110" t="s">
        <v>21</v>
      </c>
      <c r="C38" s="110">
        <v>70</v>
      </c>
      <c r="D38" s="111">
        <v>8100</v>
      </c>
      <c r="E38" s="112">
        <f t="shared" si="0"/>
        <v>567000</v>
      </c>
      <c r="F38" s="110" t="s">
        <v>334</v>
      </c>
      <c r="G38" s="71" t="s">
        <v>339</v>
      </c>
      <c r="I38" s="71" t="s">
        <v>313</v>
      </c>
      <c r="J38" s="112">
        <v>361600</v>
      </c>
      <c r="K38" s="113">
        <v>0.27</v>
      </c>
    </row>
    <row r="39" spans="1:12" ht="15" customHeight="1" x14ac:dyDescent="0.2">
      <c r="A39" s="108">
        <v>46221</v>
      </c>
      <c r="B39" s="110" t="s">
        <v>22</v>
      </c>
      <c r="C39" s="110">
        <v>8</v>
      </c>
      <c r="D39" s="111">
        <v>9335</v>
      </c>
      <c r="E39" s="112">
        <f t="shared" si="0"/>
        <v>74680</v>
      </c>
      <c r="F39" s="110" t="s">
        <v>341</v>
      </c>
      <c r="G39" s="71" t="s">
        <v>342</v>
      </c>
      <c r="I39" s="71" t="s">
        <v>317</v>
      </c>
      <c r="J39" s="112">
        <v>212000</v>
      </c>
      <c r="K39" s="113">
        <v>0.04</v>
      </c>
    </row>
    <row r="40" spans="1:12" ht="15" customHeight="1" x14ac:dyDescent="0.2">
      <c r="A40" s="72"/>
      <c r="B40" s="110" t="s">
        <v>768</v>
      </c>
      <c r="C40" s="110">
        <f>SUM(C2:C39)</f>
        <v>1117</v>
      </c>
      <c r="D40" s="110">
        <f>SUM(D2:D39)</f>
        <v>463390</v>
      </c>
      <c r="E40" s="112">
        <f>SUM(E2:E39)</f>
        <v>12655475</v>
      </c>
      <c r="F40" s="72"/>
      <c r="G40" s="72"/>
      <c r="I40" s="71" t="s">
        <v>320</v>
      </c>
      <c r="J40" s="112">
        <v>440700</v>
      </c>
      <c r="K40" s="113">
        <v>0.13</v>
      </c>
    </row>
    <row r="41" spans="1:12" ht="15" customHeight="1" x14ac:dyDescent="0.2">
      <c r="I41" s="71" t="s">
        <v>321</v>
      </c>
      <c r="J41" s="112">
        <v>17760</v>
      </c>
      <c r="K41" s="113">
        <v>0.04</v>
      </c>
    </row>
    <row r="42" spans="1:12" ht="15" customHeight="1" x14ac:dyDescent="0.2">
      <c r="I42" s="71" t="s">
        <v>322</v>
      </c>
      <c r="J42" s="112">
        <v>458900</v>
      </c>
      <c r="K42" s="113">
        <v>0.04</v>
      </c>
    </row>
    <row r="43" spans="1:12" ht="15" customHeight="1" x14ac:dyDescent="0.2">
      <c r="I43" s="71" t="s">
        <v>327</v>
      </c>
      <c r="J43" s="112">
        <v>5201650</v>
      </c>
      <c r="K43" s="113">
        <v>7.0000000000000007E-2</v>
      </c>
    </row>
    <row r="44" spans="1:12" ht="15" customHeight="1" x14ac:dyDescent="0.2">
      <c r="I44" s="71" t="s">
        <v>332</v>
      </c>
      <c r="J44" s="112">
        <v>50000</v>
      </c>
      <c r="K44" s="113">
        <v>-0.04</v>
      </c>
    </row>
    <row r="45" spans="1:12" ht="15" customHeight="1" x14ac:dyDescent="0.2">
      <c r="I45" s="71" t="s">
        <v>335</v>
      </c>
      <c r="J45" s="112">
        <v>564900</v>
      </c>
      <c r="K45" s="113">
        <v>0.34</v>
      </c>
    </row>
    <row r="46" spans="1:12" ht="15" customHeight="1" x14ac:dyDescent="0.2">
      <c r="I46" s="71" t="s">
        <v>337</v>
      </c>
      <c r="J46" s="112">
        <v>40835</v>
      </c>
      <c r="K46" s="113">
        <v>0.06</v>
      </c>
    </row>
    <row r="47" spans="1:12" ht="15" customHeight="1" x14ac:dyDescent="0.2">
      <c r="I47" s="71" t="s">
        <v>338</v>
      </c>
      <c r="J47" s="112">
        <v>9500</v>
      </c>
      <c r="K47" s="113">
        <v>0.1</v>
      </c>
    </row>
    <row r="48" spans="1:12" ht="15" customHeight="1" x14ac:dyDescent="0.2">
      <c r="I48" s="71" t="s">
        <v>339</v>
      </c>
      <c r="J48" s="112">
        <v>679000</v>
      </c>
      <c r="K48" s="113">
        <v>0</v>
      </c>
    </row>
    <row r="49" spans="9:11" ht="15" customHeight="1" x14ac:dyDescent="0.2">
      <c r="I49" s="71" t="s">
        <v>342</v>
      </c>
      <c r="J49" s="112">
        <v>74680</v>
      </c>
      <c r="K49" s="113">
        <v>7.0000000000000007E-2</v>
      </c>
    </row>
    <row r="50" spans="9:11" ht="15" customHeight="1" x14ac:dyDescent="0.2">
      <c r="I50" s="110" t="s">
        <v>770</v>
      </c>
      <c r="J50" s="112">
        <f>SUM(J36:J49)</f>
        <v>14594475</v>
      </c>
      <c r="K50" s="72"/>
    </row>
  </sheetData>
  <hyperlinks>
    <hyperlink ref="G2" r:id="rId1" xr:uid="{00000000-0004-0000-1500-000000000000}"/>
    <hyperlink ref="G3" r:id="rId2" xr:uid="{00000000-0004-0000-1500-000001000000}"/>
    <hyperlink ref="G4" r:id="rId3" xr:uid="{00000000-0004-0000-1500-000002000000}"/>
    <hyperlink ref="G5" r:id="rId4" xr:uid="{00000000-0004-0000-1500-000003000000}"/>
    <hyperlink ref="G6" r:id="rId5" xr:uid="{00000000-0004-0000-1500-000004000000}"/>
    <hyperlink ref="G7" r:id="rId6" xr:uid="{00000000-0004-0000-1500-000005000000}"/>
    <hyperlink ref="G8" r:id="rId7" xr:uid="{00000000-0004-0000-1500-000006000000}"/>
    <hyperlink ref="G9" r:id="rId8" xr:uid="{00000000-0004-0000-1500-000007000000}"/>
    <hyperlink ref="G10" r:id="rId9" xr:uid="{00000000-0004-0000-1500-000008000000}"/>
    <hyperlink ref="G11" r:id="rId10" xr:uid="{00000000-0004-0000-1500-000009000000}"/>
    <hyperlink ref="G12" r:id="rId11" xr:uid="{00000000-0004-0000-1500-00000A000000}"/>
    <hyperlink ref="G13" r:id="rId12" xr:uid="{00000000-0004-0000-1500-00000B000000}"/>
    <hyperlink ref="G14" r:id="rId13" xr:uid="{00000000-0004-0000-1500-00000C000000}"/>
    <hyperlink ref="G15" r:id="rId14" xr:uid="{00000000-0004-0000-1500-00000D000000}"/>
    <hyperlink ref="G16" r:id="rId15" xr:uid="{00000000-0004-0000-1500-00000E000000}"/>
    <hyperlink ref="G17" r:id="rId16" xr:uid="{00000000-0004-0000-1500-00000F000000}"/>
    <hyperlink ref="G18" r:id="rId17" xr:uid="{00000000-0004-0000-1500-000010000000}"/>
    <hyperlink ref="G19" r:id="rId18" xr:uid="{00000000-0004-0000-1500-000011000000}"/>
    <hyperlink ref="G20" r:id="rId19" xr:uid="{00000000-0004-0000-1500-000012000000}"/>
    <hyperlink ref="G21" r:id="rId20" xr:uid="{00000000-0004-0000-1500-000013000000}"/>
    <hyperlink ref="G22" r:id="rId21" xr:uid="{00000000-0004-0000-1500-000014000000}"/>
    <hyperlink ref="G23" r:id="rId22" xr:uid="{00000000-0004-0000-1500-000015000000}"/>
    <hyperlink ref="G24" r:id="rId23" xr:uid="{00000000-0004-0000-1500-000016000000}"/>
    <hyperlink ref="G25" r:id="rId24" xr:uid="{00000000-0004-0000-1500-000017000000}"/>
    <hyperlink ref="G26" r:id="rId25" xr:uid="{00000000-0004-0000-1500-000018000000}"/>
    <hyperlink ref="G27" r:id="rId26" xr:uid="{00000000-0004-0000-1500-000019000000}"/>
    <hyperlink ref="G28" r:id="rId27" xr:uid="{00000000-0004-0000-1500-00001A000000}"/>
    <hyperlink ref="G29" r:id="rId28" xr:uid="{00000000-0004-0000-1500-00001B000000}"/>
    <hyperlink ref="G30" r:id="rId29" xr:uid="{00000000-0004-0000-1500-00001C000000}"/>
    <hyperlink ref="G31" r:id="rId30" xr:uid="{00000000-0004-0000-1500-00001D000000}"/>
    <hyperlink ref="G32" r:id="rId31" xr:uid="{00000000-0004-0000-1500-00001E000000}"/>
    <hyperlink ref="G33" r:id="rId32" xr:uid="{00000000-0004-0000-1500-00001F000000}"/>
    <hyperlink ref="G34" r:id="rId33" xr:uid="{00000000-0004-0000-1500-000020000000}"/>
    <hyperlink ref="G35" r:id="rId34" xr:uid="{00000000-0004-0000-1500-000021000000}"/>
    <hyperlink ref="G36" r:id="rId35" xr:uid="{00000000-0004-0000-1500-000022000000}"/>
    <hyperlink ref="I36" r:id="rId36" xr:uid="{00000000-0004-0000-1500-000023000000}"/>
    <hyperlink ref="G37" r:id="rId37" xr:uid="{00000000-0004-0000-1500-000024000000}"/>
    <hyperlink ref="I37" r:id="rId38" xr:uid="{00000000-0004-0000-1500-000025000000}"/>
    <hyperlink ref="G38" r:id="rId39" xr:uid="{00000000-0004-0000-1500-000026000000}"/>
    <hyperlink ref="I38" r:id="rId40" xr:uid="{00000000-0004-0000-1500-000027000000}"/>
    <hyperlink ref="G39" r:id="rId41" xr:uid="{00000000-0004-0000-1500-000028000000}"/>
    <hyperlink ref="I39" r:id="rId42" xr:uid="{00000000-0004-0000-1500-000029000000}"/>
    <hyperlink ref="I40" r:id="rId43" xr:uid="{00000000-0004-0000-1500-00002A000000}"/>
    <hyperlink ref="I41" r:id="rId44" xr:uid="{00000000-0004-0000-1500-00002B000000}"/>
    <hyperlink ref="I42" r:id="rId45" xr:uid="{00000000-0004-0000-1500-00002C000000}"/>
    <hyperlink ref="I43" r:id="rId46" xr:uid="{00000000-0004-0000-1500-00002D000000}"/>
    <hyperlink ref="I44" r:id="rId47" xr:uid="{00000000-0004-0000-1500-00002E000000}"/>
    <hyperlink ref="I45" r:id="rId48" xr:uid="{00000000-0004-0000-1500-00002F000000}"/>
    <hyperlink ref="I46" r:id="rId49" xr:uid="{00000000-0004-0000-1500-000030000000}"/>
    <hyperlink ref="I47" r:id="rId50" xr:uid="{00000000-0004-0000-1500-000031000000}"/>
    <hyperlink ref="I48" r:id="rId51" xr:uid="{00000000-0004-0000-1500-000032000000}"/>
    <hyperlink ref="I49" r:id="rId52" xr:uid="{00000000-0004-0000-1500-000033000000}"/>
  </hyperlinks>
  <pageMargins left="0.75" right="0.75" top="1" bottom="1" header="0.511811023622047" footer="0.511811023622047"/>
  <pageSetup paperSize="9" orientation="portrait" horizontalDpi="300" verticalDpi="300"/>
  <drawing r:id="rId5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"/>
  <sheetViews>
    <sheetView zoomScaleNormal="100" workbookViewId="0"/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" ht="17.25" customHeight="1" x14ac:dyDescent="0.2">
      <c r="A1" s="105" t="s">
        <v>776</v>
      </c>
    </row>
    <row r="2" spans="1:1" ht="15" customHeight="1" x14ac:dyDescent="0.2">
      <c r="A2" s="106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6"/>
  <sheetViews>
    <sheetView zoomScale="48" zoomScaleNormal="48" workbookViewId="0">
      <selection activeCell="N27" sqref="N27"/>
    </sheetView>
  </sheetViews>
  <sheetFormatPr defaultColWidth="8.609375" defaultRowHeight="15" x14ac:dyDescent="0.2"/>
  <cols>
    <col min="1" max="1" width="10.76171875" style="38" customWidth="1"/>
    <col min="2" max="2" width="20.84765625" style="38" customWidth="1"/>
    <col min="3" max="3" width="12.375" style="38" customWidth="1"/>
    <col min="4" max="4" width="16.41015625" style="38" customWidth="1"/>
    <col min="5" max="5" width="13.5859375" style="38" customWidth="1"/>
    <col min="6" max="6" width="17.21875" style="38" customWidth="1"/>
    <col min="7" max="7" width="13.046875" style="38" customWidth="1"/>
    <col min="8" max="8" width="2.95703125" style="38" customWidth="1"/>
    <col min="9" max="9" width="20.84765625" style="38" customWidth="1"/>
    <col min="10" max="10" width="13.5859375" style="38" customWidth="1"/>
    <col min="11" max="12" width="19.234375" style="38" customWidth="1"/>
    <col min="13" max="13" width="2.95703125" style="38" customWidth="1"/>
    <col min="14" max="14" width="13.31640625" style="38" customWidth="1"/>
    <col min="15" max="15" width="16.94921875" style="38" customWidth="1"/>
    <col min="16" max="16" width="16.67968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46223</v>
      </c>
      <c r="B2" s="110" t="s">
        <v>22</v>
      </c>
      <c r="C2" s="110">
        <v>3</v>
      </c>
      <c r="D2" s="110">
        <v>9200</v>
      </c>
      <c r="E2" s="112">
        <f t="shared" ref="E2:E38" si="0">C2*D2</f>
        <v>27600</v>
      </c>
      <c r="F2" s="110" t="s">
        <v>212</v>
      </c>
      <c r="G2" s="71" t="s">
        <v>344</v>
      </c>
      <c r="I2" s="110" t="s">
        <v>22</v>
      </c>
      <c r="J2" s="110">
        <f>C2+C5+C8+C12+C18+C27</f>
        <v>536</v>
      </c>
      <c r="K2" s="112">
        <f>E2+E5+E8+E12+E18+E27</f>
        <v>4586400</v>
      </c>
      <c r="L2" s="113">
        <f t="shared" ref="L2:L21" si="1">K2/K$21</f>
        <v>0.4623317187744137</v>
      </c>
      <c r="N2" s="112">
        <f>K21</f>
        <v>9920150</v>
      </c>
      <c r="O2" s="110">
        <f>J21</f>
        <v>1200</v>
      </c>
      <c r="P2" s="110">
        <f>COUNT(J2:J20)</f>
        <v>19</v>
      </c>
    </row>
    <row r="3" spans="1:16" ht="15" customHeight="1" x14ac:dyDescent="0.2">
      <c r="A3" s="108">
        <v>46223</v>
      </c>
      <c r="B3" s="110" t="s">
        <v>21</v>
      </c>
      <c r="C3" s="110">
        <v>3</v>
      </c>
      <c r="D3" s="110">
        <v>9000</v>
      </c>
      <c r="E3" s="112">
        <f t="shared" si="0"/>
        <v>27000</v>
      </c>
      <c r="F3" s="110" t="s">
        <v>212</v>
      </c>
      <c r="G3" s="71" t="s">
        <v>344</v>
      </c>
      <c r="I3" s="110" t="s">
        <v>21</v>
      </c>
      <c r="J3" s="110">
        <f>C3+C7+C34</f>
        <v>41</v>
      </c>
      <c r="K3" s="112">
        <f>E3+E7+E34</f>
        <v>339400</v>
      </c>
      <c r="L3" s="113">
        <f t="shared" si="1"/>
        <v>3.4213192340841622E-2</v>
      </c>
    </row>
    <row r="4" spans="1:16" ht="15" customHeight="1" x14ac:dyDescent="0.2">
      <c r="A4" s="108">
        <v>46223</v>
      </c>
      <c r="B4" s="110" t="s">
        <v>24</v>
      </c>
      <c r="C4" s="110">
        <v>248</v>
      </c>
      <c r="D4" s="110">
        <v>5000</v>
      </c>
      <c r="E4" s="112">
        <f t="shared" si="0"/>
        <v>1240000</v>
      </c>
      <c r="F4" s="110" t="s">
        <v>50</v>
      </c>
      <c r="G4" s="71" t="s">
        <v>345</v>
      </c>
      <c r="I4" s="110" t="s">
        <v>24</v>
      </c>
      <c r="J4" s="110">
        <f>C4+C21+C25+C35</f>
        <v>335</v>
      </c>
      <c r="K4" s="112">
        <f>E4+E21+E25+E35</f>
        <v>1675600</v>
      </c>
      <c r="L4" s="113">
        <f t="shared" si="1"/>
        <v>0.16890873625902833</v>
      </c>
    </row>
    <row r="5" spans="1:16" ht="15" customHeight="1" x14ac:dyDescent="0.2">
      <c r="A5" s="108">
        <v>46223</v>
      </c>
      <c r="B5" s="110" t="s">
        <v>22</v>
      </c>
      <c r="C5" s="110">
        <v>350</v>
      </c>
      <c r="D5" s="110">
        <v>8500</v>
      </c>
      <c r="E5" s="112">
        <f t="shared" si="0"/>
        <v>2975000</v>
      </c>
      <c r="F5" s="110" t="s">
        <v>152</v>
      </c>
      <c r="G5" s="71" t="s">
        <v>347</v>
      </c>
      <c r="I5" s="110" t="s">
        <v>44</v>
      </c>
      <c r="J5" s="110">
        <f>C6+C13+C17</f>
        <v>82</v>
      </c>
      <c r="K5" s="112">
        <f>E6+E13+E17</f>
        <v>746700</v>
      </c>
      <c r="L5" s="113">
        <f t="shared" si="1"/>
        <v>7.5271039248398466E-2</v>
      </c>
    </row>
    <row r="6" spans="1:16" ht="15" customHeight="1" x14ac:dyDescent="0.2">
      <c r="A6" s="108">
        <v>46223</v>
      </c>
      <c r="B6" s="110" t="s">
        <v>44</v>
      </c>
      <c r="C6" s="110">
        <v>70</v>
      </c>
      <c r="D6" s="110">
        <v>9090</v>
      </c>
      <c r="E6" s="112">
        <f t="shared" si="0"/>
        <v>636300</v>
      </c>
      <c r="F6" s="110" t="s">
        <v>152</v>
      </c>
      <c r="G6" s="71" t="s">
        <v>347</v>
      </c>
      <c r="I6" s="110" t="s">
        <v>45</v>
      </c>
      <c r="J6" s="110">
        <f>C9+C26</f>
        <v>55</v>
      </c>
      <c r="K6" s="112">
        <f>E9+E26</f>
        <v>712770</v>
      </c>
      <c r="L6" s="113">
        <f t="shared" si="1"/>
        <v>7.1850728063587749E-2</v>
      </c>
    </row>
    <row r="7" spans="1:16" ht="15" customHeight="1" x14ac:dyDescent="0.2">
      <c r="A7" s="108">
        <v>46223</v>
      </c>
      <c r="B7" s="110" t="s">
        <v>21</v>
      </c>
      <c r="C7" s="110">
        <v>30</v>
      </c>
      <c r="D7" s="110">
        <v>8200</v>
      </c>
      <c r="E7" s="112">
        <f t="shared" si="0"/>
        <v>246000</v>
      </c>
      <c r="F7" s="110" t="s">
        <v>25</v>
      </c>
      <c r="G7" s="71" t="s">
        <v>349</v>
      </c>
      <c r="I7" s="110" t="s">
        <v>150</v>
      </c>
      <c r="J7" s="110">
        <f>C10+C33</f>
        <v>12</v>
      </c>
      <c r="K7" s="112">
        <f>E10+E33</f>
        <v>121880</v>
      </c>
      <c r="L7" s="113">
        <f t="shared" si="1"/>
        <v>1.228610454479015E-2</v>
      </c>
    </row>
    <row r="8" spans="1:16" ht="15" customHeight="1" x14ac:dyDescent="0.2">
      <c r="A8" s="108">
        <v>46223</v>
      </c>
      <c r="B8" s="110" t="s">
        <v>22</v>
      </c>
      <c r="C8" s="110">
        <v>15</v>
      </c>
      <c r="D8" s="110">
        <v>9200</v>
      </c>
      <c r="E8" s="112">
        <f t="shared" si="0"/>
        <v>138000</v>
      </c>
      <c r="F8" s="110" t="s">
        <v>25</v>
      </c>
      <c r="G8" s="71" t="s">
        <v>349</v>
      </c>
      <c r="I8" s="110" t="s">
        <v>87</v>
      </c>
      <c r="J8" s="110">
        <f>C11+C32</f>
        <v>13</v>
      </c>
      <c r="K8" s="112">
        <f>E11+E32</f>
        <v>268910</v>
      </c>
      <c r="L8" s="113">
        <f t="shared" si="1"/>
        <v>2.7107453012303242E-2</v>
      </c>
    </row>
    <row r="9" spans="1:16" ht="15" customHeight="1" x14ac:dyDescent="0.2">
      <c r="A9" s="108">
        <v>46223</v>
      </c>
      <c r="B9" s="110" t="s">
        <v>45</v>
      </c>
      <c r="C9" s="110">
        <v>4</v>
      </c>
      <c r="D9" s="110">
        <v>13335</v>
      </c>
      <c r="E9" s="112">
        <f t="shared" si="0"/>
        <v>53340</v>
      </c>
      <c r="F9" s="110" t="s">
        <v>154</v>
      </c>
      <c r="G9" s="71" t="s">
        <v>352</v>
      </c>
      <c r="I9" s="110" t="s">
        <v>31</v>
      </c>
      <c r="J9" s="110">
        <f>C14+C23</f>
        <v>13</v>
      </c>
      <c r="K9" s="112">
        <f>E14+E23</f>
        <v>222300</v>
      </c>
      <c r="L9" s="113">
        <f t="shared" si="1"/>
        <v>2.2408935348759849E-2</v>
      </c>
    </row>
    <row r="10" spans="1:16" ht="15" customHeight="1" x14ac:dyDescent="0.2">
      <c r="A10" s="108">
        <v>46223</v>
      </c>
      <c r="B10" s="110" t="s">
        <v>150</v>
      </c>
      <c r="C10" s="110">
        <v>2</v>
      </c>
      <c r="D10" s="110">
        <v>10315</v>
      </c>
      <c r="E10" s="112">
        <f t="shared" si="0"/>
        <v>20630</v>
      </c>
      <c r="F10" s="110" t="s">
        <v>154</v>
      </c>
      <c r="G10" s="71" t="s">
        <v>352</v>
      </c>
      <c r="I10" s="110" t="s">
        <v>34</v>
      </c>
      <c r="J10" s="110">
        <f>C15</f>
        <v>1</v>
      </c>
      <c r="K10" s="112">
        <f>E15</f>
        <v>21695</v>
      </c>
      <c r="L10" s="113">
        <f t="shared" si="1"/>
        <v>2.1869628987464906E-3</v>
      </c>
    </row>
    <row r="11" spans="1:16" ht="15" customHeight="1" x14ac:dyDescent="0.2">
      <c r="A11" s="108">
        <v>46223</v>
      </c>
      <c r="B11" s="110" t="s">
        <v>87</v>
      </c>
      <c r="C11" s="110">
        <v>2</v>
      </c>
      <c r="D11" s="110">
        <v>21485</v>
      </c>
      <c r="E11" s="112">
        <f t="shared" si="0"/>
        <v>42970</v>
      </c>
      <c r="F11" s="110" t="s">
        <v>154</v>
      </c>
      <c r="G11" s="71" t="s">
        <v>352</v>
      </c>
      <c r="I11" s="110" t="s">
        <v>32</v>
      </c>
      <c r="J11" s="110">
        <f>C16</f>
        <v>1</v>
      </c>
      <c r="K11" s="112">
        <f>E16</f>
        <v>16145</v>
      </c>
      <c r="L11" s="113">
        <f t="shared" si="1"/>
        <v>1.6274955519825808E-3</v>
      </c>
    </row>
    <row r="12" spans="1:16" ht="15" customHeight="1" x14ac:dyDescent="0.2">
      <c r="A12" s="108">
        <v>46223</v>
      </c>
      <c r="B12" s="110" t="s">
        <v>22</v>
      </c>
      <c r="C12" s="110">
        <v>1</v>
      </c>
      <c r="D12" s="110">
        <v>9200</v>
      </c>
      <c r="E12" s="112">
        <f t="shared" si="0"/>
        <v>9200</v>
      </c>
      <c r="F12" s="110" t="s">
        <v>154</v>
      </c>
      <c r="G12" s="71" t="s">
        <v>352</v>
      </c>
      <c r="I12" s="110" t="s">
        <v>65</v>
      </c>
      <c r="J12" s="110">
        <f>C19+C30</f>
        <v>13</v>
      </c>
      <c r="K12" s="112">
        <f>E19+E30</f>
        <v>149385</v>
      </c>
      <c r="L12" s="113">
        <f t="shared" si="1"/>
        <v>1.505874407141021E-2</v>
      </c>
    </row>
    <row r="13" spans="1:16" ht="15" customHeight="1" x14ac:dyDescent="0.2">
      <c r="A13" s="108">
        <v>46223</v>
      </c>
      <c r="B13" s="110" t="s">
        <v>44</v>
      </c>
      <c r="C13" s="110">
        <v>1</v>
      </c>
      <c r="D13" s="110">
        <v>9200</v>
      </c>
      <c r="E13" s="112">
        <f t="shared" si="0"/>
        <v>9200</v>
      </c>
      <c r="F13" s="110" t="s">
        <v>154</v>
      </c>
      <c r="G13" s="71" t="s">
        <v>352</v>
      </c>
      <c r="I13" s="110" t="s">
        <v>113</v>
      </c>
      <c r="J13" s="110">
        <f>C20+C31</f>
        <v>6</v>
      </c>
      <c r="K13" s="112">
        <f>E20+E31</f>
        <v>87950</v>
      </c>
      <c r="L13" s="113">
        <f t="shared" si="1"/>
        <v>8.8657933599794354E-3</v>
      </c>
    </row>
    <row r="14" spans="1:16" ht="15" customHeight="1" x14ac:dyDescent="0.2">
      <c r="A14" s="108">
        <v>46223</v>
      </c>
      <c r="B14" s="110" t="s">
        <v>31</v>
      </c>
      <c r="C14" s="110">
        <v>3</v>
      </c>
      <c r="D14" s="110">
        <v>17100</v>
      </c>
      <c r="E14" s="112">
        <f t="shared" si="0"/>
        <v>51300</v>
      </c>
      <c r="F14" s="110" t="s">
        <v>29</v>
      </c>
      <c r="G14" s="71" t="s">
        <v>355</v>
      </c>
      <c r="I14" s="110" t="s">
        <v>28</v>
      </c>
      <c r="J14" s="110">
        <f>C22</f>
        <v>10</v>
      </c>
      <c r="K14" s="112">
        <f>E22</f>
        <v>132000</v>
      </c>
      <c r="L14" s="113">
        <f t="shared" si="1"/>
        <v>1.3306250409520017E-2</v>
      </c>
    </row>
    <row r="15" spans="1:16" ht="15" customHeight="1" x14ac:dyDescent="0.2">
      <c r="A15" s="108">
        <v>46223</v>
      </c>
      <c r="B15" s="110" t="s">
        <v>34</v>
      </c>
      <c r="C15" s="110">
        <v>1</v>
      </c>
      <c r="D15" s="110">
        <v>21695</v>
      </c>
      <c r="E15" s="112">
        <f t="shared" si="0"/>
        <v>21695</v>
      </c>
      <c r="F15" s="110" t="s">
        <v>29</v>
      </c>
      <c r="G15" s="71" t="s">
        <v>355</v>
      </c>
      <c r="I15" s="110" t="s">
        <v>61</v>
      </c>
      <c r="J15" s="110">
        <f>C24</f>
        <v>1</v>
      </c>
      <c r="K15" s="112">
        <f>E24</f>
        <v>12885</v>
      </c>
      <c r="L15" s="113">
        <f t="shared" si="1"/>
        <v>1.2988714888383743E-3</v>
      </c>
    </row>
    <row r="16" spans="1:16" ht="15" customHeight="1" x14ac:dyDescent="0.2">
      <c r="A16" s="108">
        <v>46223</v>
      </c>
      <c r="B16" s="110" t="s">
        <v>32</v>
      </c>
      <c r="C16" s="110">
        <v>1</v>
      </c>
      <c r="D16" s="110">
        <v>16145</v>
      </c>
      <c r="E16" s="112">
        <f t="shared" si="0"/>
        <v>16145</v>
      </c>
      <c r="F16" s="110" t="s">
        <v>29</v>
      </c>
      <c r="G16" s="71" t="s">
        <v>355</v>
      </c>
      <c r="I16" s="110" t="s">
        <v>101</v>
      </c>
      <c r="J16" s="110">
        <f>C28</f>
        <v>20</v>
      </c>
      <c r="K16" s="112">
        <f>E28</f>
        <v>260400</v>
      </c>
      <c r="L16" s="113">
        <f t="shared" si="1"/>
        <v>2.624960308059858E-2</v>
      </c>
    </row>
    <row r="17" spans="1:12" ht="15" customHeight="1" x14ac:dyDescent="0.2">
      <c r="A17" s="108">
        <v>46223</v>
      </c>
      <c r="B17" s="110" t="s">
        <v>44</v>
      </c>
      <c r="C17" s="110">
        <v>11</v>
      </c>
      <c r="D17" s="110">
        <v>9200</v>
      </c>
      <c r="E17" s="112">
        <f t="shared" si="0"/>
        <v>101200</v>
      </c>
      <c r="F17" s="110" t="s">
        <v>29</v>
      </c>
      <c r="G17" s="71" t="s">
        <v>357</v>
      </c>
      <c r="I17" s="110" t="s">
        <v>93</v>
      </c>
      <c r="J17" s="110">
        <f>C29</f>
        <v>15</v>
      </c>
      <c r="K17" s="112">
        <f>E29</f>
        <v>169950</v>
      </c>
      <c r="L17" s="113">
        <f t="shared" si="1"/>
        <v>1.7131797402257024E-2</v>
      </c>
    </row>
    <row r="18" spans="1:12" ht="15" customHeight="1" x14ac:dyDescent="0.2">
      <c r="A18" s="108">
        <v>46223</v>
      </c>
      <c r="B18" s="110" t="s">
        <v>22</v>
      </c>
      <c r="C18" s="110">
        <v>2</v>
      </c>
      <c r="D18" s="110">
        <v>8800</v>
      </c>
      <c r="E18" s="112">
        <f t="shared" si="0"/>
        <v>17600</v>
      </c>
      <c r="F18" s="110" t="s">
        <v>29</v>
      </c>
      <c r="G18" s="71" t="s">
        <v>357</v>
      </c>
      <c r="I18" s="110" t="s">
        <v>27</v>
      </c>
      <c r="J18" s="110">
        <f>C36</f>
        <v>15</v>
      </c>
      <c r="K18" s="112">
        <f>E36</f>
        <v>120300</v>
      </c>
      <c r="L18" s="113">
        <f t="shared" si="1"/>
        <v>1.2126832759585289E-2</v>
      </c>
    </row>
    <row r="19" spans="1:12" ht="15" customHeight="1" x14ac:dyDescent="0.2">
      <c r="A19" s="108">
        <v>46223</v>
      </c>
      <c r="B19" s="110" t="s">
        <v>65</v>
      </c>
      <c r="C19" s="110">
        <v>2</v>
      </c>
      <c r="D19" s="110">
        <v>11910</v>
      </c>
      <c r="E19" s="112">
        <f t="shared" si="0"/>
        <v>23820</v>
      </c>
      <c r="F19" s="110" t="s">
        <v>29</v>
      </c>
      <c r="G19" s="71" t="s">
        <v>357</v>
      </c>
      <c r="I19" s="110" t="s">
        <v>37</v>
      </c>
      <c r="J19" s="110">
        <f>C37</f>
        <v>30</v>
      </c>
      <c r="K19" s="112">
        <f>E37</f>
        <v>264000</v>
      </c>
      <c r="L19" s="113">
        <f t="shared" si="1"/>
        <v>2.6612500819040034E-2</v>
      </c>
    </row>
    <row r="20" spans="1:12" ht="15" customHeight="1" x14ac:dyDescent="0.2">
      <c r="A20" s="108">
        <v>46223</v>
      </c>
      <c r="B20" s="110" t="s">
        <v>113</v>
      </c>
      <c r="C20" s="110">
        <v>1</v>
      </c>
      <c r="D20" s="110">
        <v>14575</v>
      </c>
      <c r="E20" s="112">
        <f t="shared" si="0"/>
        <v>14575</v>
      </c>
      <c r="F20" s="110" t="s">
        <v>29</v>
      </c>
      <c r="G20" s="71" t="s">
        <v>357</v>
      </c>
      <c r="I20" s="110" t="s">
        <v>100</v>
      </c>
      <c r="J20" s="110">
        <f>C38</f>
        <v>1</v>
      </c>
      <c r="K20" s="112">
        <f>E38</f>
        <v>11480</v>
      </c>
      <c r="L20" s="113">
        <f t="shared" si="1"/>
        <v>1.157240565918862E-3</v>
      </c>
    </row>
    <row r="21" spans="1:12" ht="15" customHeight="1" x14ac:dyDescent="0.2">
      <c r="A21" s="108">
        <v>46223</v>
      </c>
      <c r="B21" s="110" t="s">
        <v>24</v>
      </c>
      <c r="C21" s="110">
        <v>80</v>
      </c>
      <c r="D21" s="110">
        <v>5000</v>
      </c>
      <c r="E21" s="112">
        <f t="shared" si="0"/>
        <v>400000</v>
      </c>
      <c r="F21" s="110" t="s">
        <v>29</v>
      </c>
      <c r="G21" s="71" t="s">
        <v>357</v>
      </c>
      <c r="I21" s="110" t="s">
        <v>768</v>
      </c>
      <c r="J21" s="110">
        <f>SUM(J2:J20)</f>
        <v>1200</v>
      </c>
      <c r="K21" s="112">
        <f>SUM(K2:K20)</f>
        <v>9920150</v>
      </c>
      <c r="L21" s="113">
        <f t="shared" si="1"/>
        <v>1</v>
      </c>
    </row>
    <row r="22" spans="1:12" ht="15" customHeight="1" x14ac:dyDescent="0.2">
      <c r="A22" s="108">
        <v>46223</v>
      </c>
      <c r="B22" s="110" t="s">
        <v>28</v>
      </c>
      <c r="C22" s="110">
        <v>10</v>
      </c>
      <c r="D22" s="110">
        <v>13200</v>
      </c>
      <c r="E22" s="112">
        <f t="shared" si="0"/>
        <v>132000</v>
      </c>
      <c r="F22" s="110" t="s">
        <v>29</v>
      </c>
      <c r="G22" s="71" t="s">
        <v>357</v>
      </c>
    </row>
    <row r="23" spans="1:12" ht="25.5" customHeight="1" x14ac:dyDescent="0.2">
      <c r="A23" s="108">
        <v>46223</v>
      </c>
      <c r="B23" s="110" t="s">
        <v>31</v>
      </c>
      <c r="C23" s="110">
        <v>10</v>
      </c>
      <c r="D23" s="110">
        <v>17100</v>
      </c>
      <c r="E23" s="112">
        <f t="shared" si="0"/>
        <v>171000</v>
      </c>
      <c r="F23" s="110" t="s">
        <v>29</v>
      </c>
      <c r="G23" s="71" t="s">
        <v>357</v>
      </c>
      <c r="I23" s="107" t="s">
        <v>758</v>
      </c>
      <c r="J23" s="107" t="s">
        <v>757</v>
      </c>
      <c r="K23" s="107" t="s">
        <v>762</v>
      </c>
      <c r="L23" s="107" t="s">
        <v>769</v>
      </c>
    </row>
    <row r="24" spans="1:12" ht="15" customHeight="1" x14ac:dyDescent="0.2">
      <c r="A24" s="108">
        <v>46223</v>
      </c>
      <c r="B24" s="110" t="s">
        <v>61</v>
      </c>
      <c r="C24" s="110">
        <v>1</v>
      </c>
      <c r="D24" s="110">
        <v>12885</v>
      </c>
      <c r="E24" s="112">
        <f t="shared" si="0"/>
        <v>12885</v>
      </c>
      <c r="F24" s="110" t="s">
        <v>78</v>
      </c>
      <c r="G24" s="71" t="s">
        <v>363</v>
      </c>
      <c r="I24" s="110" t="s">
        <v>212</v>
      </c>
      <c r="J24" s="112">
        <f>E2+E3</f>
        <v>54600</v>
      </c>
      <c r="K24" s="113">
        <f t="shared" ref="K24:K33" si="2">J24/J$33</f>
        <v>5.5039490330287344E-3</v>
      </c>
      <c r="L24" s="113">
        <v>7.8100000000000003E-2</v>
      </c>
    </row>
    <row r="25" spans="1:12" ht="15" customHeight="1" x14ac:dyDescent="0.2">
      <c r="A25" s="108">
        <v>46223</v>
      </c>
      <c r="B25" s="110" t="s">
        <v>24</v>
      </c>
      <c r="C25" s="110">
        <v>2</v>
      </c>
      <c r="D25" s="110">
        <v>5300</v>
      </c>
      <c r="E25" s="112">
        <f t="shared" si="0"/>
        <v>10600</v>
      </c>
      <c r="F25" s="110" t="s">
        <v>15</v>
      </c>
      <c r="G25" s="71" t="s">
        <v>364</v>
      </c>
      <c r="I25" s="110" t="s">
        <v>50</v>
      </c>
      <c r="J25" s="112">
        <f>E4</f>
        <v>1240000</v>
      </c>
      <c r="K25" s="113">
        <f t="shared" si="2"/>
        <v>0.12499810990761229</v>
      </c>
      <c r="L25" s="113">
        <v>-0.04</v>
      </c>
    </row>
    <row r="26" spans="1:12" ht="15" customHeight="1" x14ac:dyDescent="0.2">
      <c r="A26" s="108">
        <v>46223</v>
      </c>
      <c r="B26" s="110" t="s">
        <v>45</v>
      </c>
      <c r="C26" s="110">
        <v>51</v>
      </c>
      <c r="D26" s="110">
        <v>12930</v>
      </c>
      <c r="E26" s="112">
        <f t="shared" si="0"/>
        <v>659430</v>
      </c>
      <c r="F26" s="110" t="s">
        <v>139</v>
      </c>
      <c r="G26" s="71" t="s">
        <v>365</v>
      </c>
      <c r="I26" s="110" t="s">
        <v>152</v>
      </c>
      <c r="J26" s="112">
        <f>E5+E6</f>
        <v>3611300</v>
      </c>
      <c r="K26" s="113">
        <f t="shared" si="2"/>
        <v>0.36403683412045179</v>
      </c>
      <c r="L26" s="113">
        <v>-1.3299999999999999E-2</v>
      </c>
    </row>
    <row r="27" spans="1:12" ht="15" customHeight="1" x14ac:dyDescent="0.2">
      <c r="A27" s="108">
        <v>46223</v>
      </c>
      <c r="B27" s="110" t="s">
        <v>22</v>
      </c>
      <c r="C27" s="110">
        <v>165</v>
      </c>
      <c r="D27" s="110">
        <v>8600</v>
      </c>
      <c r="E27" s="112">
        <f t="shared" si="0"/>
        <v>1419000</v>
      </c>
      <c r="F27" s="110" t="s">
        <v>139</v>
      </c>
      <c r="G27" s="71" t="s">
        <v>365</v>
      </c>
      <c r="I27" s="110" t="s">
        <v>25</v>
      </c>
      <c r="J27" s="112">
        <f>E7+E8</f>
        <v>384000</v>
      </c>
      <c r="K27" s="113">
        <f t="shared" si="2"/>
        <v>3.8709092100421866E-2</v>
      </c>
      <c r="L27" s="113">
        <v>3.2199999999999999E-2</v>
      </c>
    </row>
    <row r="28" spans="1:12" ht="15" customHeight="1" x14ac:dyDescent="0.2">
      <c r="A28" s="108">
        <v>46223</v>
      </c>
      <c r="B28" s="110" t="s">
        <v>101</v>
      </c>
      <c r="C28" s="110">
        <v>20</v>
      </c>
      <c r="D28" s="110">
        <v>13020</v>
      </c>
      <c r="E28" s="112">
        <f t="shared" si="0"/>
        <v>260400</v>
      </c>
      <c r="F28" s="110" t="s">
        <v>139</v>
      </c>
      <c r="G28" s="71" t="s">
        <v>365</v>
      </c>
      <c r="I28" s="110" t="s">
        <v>154</v>
      </c>
      <c r="J28" s="112">
        <f>E9+E10+E11+E12+E13</f>
        <v>135340</v>
      </c>
      <c r="K28" s="113">
        <f t="shared" si="2"/>
        <v>1.3642938866851811E-2</v>
      </c>
      <c r="L28" s="113">
        <v>0.11899999999999999</v>
      </c>
    </row>
    <row r="29" spans="1:12" ht="15" customHeight="1" x14ac:dyDescent="0.2">
      <c r="A29" s="108">
        <v>46223</v>
      </c>
      <c r="B29" s="110" t="s">
        <v>93</v>
      </c>
      <c r="C29" s="110">
        <v>15</v>
      </c>
      <c r="D29" s="110">
        <v>11330</v>
      </c>
      <c r="E29" s="112">
        <f t="shared" si="0"/>
        <v>169950</v>
      </c>
      <c r="F29" s="110" t="s">
        <v>139</v>
      </c>
      <c r="G29" s="71" t="s">
        <v>365</v>
      </c>
      <c r="I29" s="110" t="s">
        <v>29</v>
      </c>
      <c r="J29" s="112">
        <f>E14+E15+E16+E17+E18+E19+E20+E21+E22+E23</f>
        <v>949335</v>
      </c>
      <c r="K29" s="113">
        <f t="shared" si="2"/>
        <v>9.569764570092186E-2</v>
      </c>
      <c r="L29" s="113">
        <v>-9.7999999999999997E-3</v>
      </c>
    </row>
    <row r="30" spans="1:12" ht="15" customHeight="1" x14ac:dyDescent="0.2">
      <c r="A30" s="108">
        <v>46223</v>
      </c>
      <c r="B30" s="110" t="s">
        <v>65</v>
      </c>
      <c r="C30" s="110">
        <v>11</v>
      </c>
      <c r="D30" s="110">
        <v>11415</v>
      </c>
      <c r="E30" s="112">
        <f t="shared" si="0"/>
        <v>125565</v>
      </c>
      <c r="F30" s="110" t="s">
        <v>139</v>
      </c>
      <c r="G30" s="71" t="s">
        <v>365</v>
      </c>
      <c r="I30" s="110" t="s">
        <v>78</v>
      </c>
      <c r="J30" s="112">
        <f>E24</f>
        <v>12885</v>
      </c>
      <c r="K30" s="113">
        <f t="shared" si="2"/>
        <v>1.2988714888383743E-3</v>
      </c>
      <c r="L30" s="113">
        <v>5.9400000000000001E-2</v>
      </c>
    </row>
    <row r="31" spans="1:12" ht="15" customHeight="1" x14ac:dyDescent="0.2">
      <c r="A31" s="108">
        <v>46223</v>
      </c>
      <c r="B31" s="110" t="s">
        <v>113</v>
      </c>
      <c r="C31" s="110">
        <v>5</v>
      </c>
      <c r="D31" s="110">
        <v>14675</v>
      </c>
      <c r="E31" s="112">
        <f t="shared" si="0"/>
        <v>73375</v>
      </c>
      <c r="F31" s="110" t="s">
        <v>139</v>
      </c>
      <c r="G31" s="71" t="s">
        <v>365</v>
      </c>
      <c r="I31" s="110" t="s">
        <v>15</v>
      </c>
      <c r="J31" s="112">
        <f>E25</f>
        <v>10600</v>
      </c>
      <c r="K31" s="113">
        <f t="shared" si="2"/>
        <v>1.0685322298553954E-3</v>
      </c>
      <c r="L31" s="113">
        <v>1.89E-2</v>
      </c>
    </row>
    <row r="32" spans="1:12" ht="15" customHeight="1" x14ac:dyDescent="0.2">
      <c r="A32" s="108">
        <v>46223</v>
      </c>
      <c r="B32" s="110" t="s">
        <v>87</v>
      </c>
      <c r="C32" s="110">
        <v>11</v>
      </c>
      <c r="D32" s="110">
        <v>20540</v>
      </c>
      <c r="E32" s="112">
        <f t="shared" si="0"/>
        <v>225940</v>
      </c>
      <c r="F32" s="110" t="s">
        <v>139</v>
      </c>
      <c r="G32" s="71" t="s">
        <v>365</v>
      </c>
      <c r="I32" s="110" t="s">
        <v>139</v>
      </c>
      <c r="J32" s="112">
        <f>E26+E27+E28+E29+E30+E31+E32+E33+E34+E35+E36+E37+E38</f>
        <v>3522090</v>
      </c>
      <c r="K32" s="113">
        <f t="shared" si="2"/>
        <v>0.35504402655201789</v>
      </c>
      <c r="L32" s="113">
        <v>5.1999999999999998E-2</v>
      </c>
    </row>
    <row r="33" spans="1:12" ht="15" customHeight="1" x14ac:dyDescent="0.2">
      <c r="A33" s="108">
        <v>46223</v>
      </c>
      <c r="B33" s="110" t="s">
        <v>150</v>
      </c>
      <c r="C33" s="110">
        <v>10</v>
      </c>
      <c r="D33" s="110">
        <v>10125</v>
      </c>
      <c r="E33" s="112">
        <f t="shared" si="0"/>
        <v>101250</v>
      </c>
      <c r="F33" s="110" t="s">
        <v>139</v>
      </c>
      <c r="G33" s="71" t="s">
        <v>365</v>
      </c>
      <c r="I33" s="110" t="s">
        <v>770</v>
      </c>
      <c r="J33" s="112">
        <f>SUM(J24:J32)</f>
        <v>9920150</v>
      </c>
      <c r="K33" s="113">
        <f t="shared" si="2"/>
        <v>1</v>
      </c>
      <c r="L33" s="72"/>
    </row>
    <row r="34" spans="1:12" ht="15" customHeight="1" x14ac:dyDescent="0.2">
      <c r="A34" s="108">
        <v>46223</v>
      </c>
      <c r="B34" s="110" t="s">
        <v>21</v>
      </c>
      <c r="C34" s="110">
        <v>8</v>
      </c>
      <c r="D34" s="110">
        <v>8300</v>
      </c>
      <c r="E34" s="112">
        <f t="shared" si="0"/>
        <v>66400</v>
      </c>
      <c r="F34" s="110" t="s">
        <v>139</v>
      </c>
      <c r="G34" s="71" t="s">
        <v>365</v>
      </c>
    </row>
    <row r="35" spans="1:12" ht="25.5" customHeight="1" x14ac:dyDescent="0.2">
      <c r="A35" s="108">
        <v>46223</v>
      </c>
      <c r="B35" s="110" t="s">
        <v>24</v>
      </c>
      <c r="C35" s="110">
        <v>5</v>
      </c>
      <c r="D35" s="110">
        <v>5000</v>
      </c>
      <c r="E35" s="112">
        <f t="shared" si="0"/>
        <v>25000</v>
      </c>
      <c r="F35" s="110" t="s">
        <v>139</v>
      </c>
      <c r="G35" s="71" t="s">
        <v>365</v>
      </c>
      <c r="I35" s="107" t="s">
        <v>759</v>
      </c>
      <c r="J35" s="107" t="s">
        <v>757</v>
      </c>
      <c r="K35" s="107" t="s">
        <v>769</v>
      </c>
    </row>
    <row r="36" spans="1:12" ht="15" customHeight="1" x14ac:dyDescent="0.2">
      <c r="A36" s="108">
        <v>46223</v>
      </c>
      <c r="B36" s="110" t="s">
        <v>27</v>
      </c>
      <c r="C36" s="110">
        <v>15</v>
      </c>
      <c r="D36" s="110">
        <v>8020</v>
      </c>
      <c r="E36" s="112">
        <f t="shared" si="0"/>
        <v>120300</v>
      </c>
      <c r="F36" s="110" t="s">
        <v>139</v>
      </c>
      <c r="G36" s="71" t="s">
        <v>365</v>
      </c>
      <c r="I36" s="71" t="s">
        <v>344</v>
      </c>
      <c r="J36" s="112">
        <v>54600</v>
      </c>
      <c r="K36" s="113">
        <v>0.08</v>
      </c>
    </row>
    <row r="37" spans="1:12" ht="15" customHeight="1" x14ac:dyDescent="0.2">
      <c r="A37" s="108">
        <v>46223</v>
      </c>
      <c r="B37" s="110" t="s">
        <v>37</v>
      </c>
      <c r="C37" s="110">
        <v>30</v>
      </c>
      <c r="D37" s="110">
        <v>8800</v>
      </c>
      <c r="E37" s="112">
        <f t="shared" si="0"/>
        <v>264000</v>
      </c>
      <c r="F37" s="110" t="s">
        <v>139</v>
      </c>
      <c r="G37" s="71" t="s">
        <v>365</v>
      </c>
      <c r="I37" s="71" t="s">
        <v>345</v>
      </c>
      <c r="J37" s="112">
        <v>1240000</v>
      </c>
      <c r="K37" s="113">
        <v>-0.04</v>
      </c>
    </row>
    <row r="38" spans="1:12" ht="15" customHeight="1" x14ac:dyDescent="0.2">
      <c r="A38" s="108">
        <v>46223</v>
      </c>
      <c r="B38" s="110" t="s">
        <v>100</v>
      </c>
      <c r="C38" s="110">
        <v>1</v>
      </c>
      <c r="D38" s="110">
        <v>11480</v>
      </c>
      <c r="E38" s="112">
        <f t="shared" si="0"/>
        <v>11480</v>
      </c>
      <c r="F38" s="110" t="s">
        <v>139</v>
      </c>
      <c r="G38" s="71" t="s">
        <v>365</v>
      </c>
      <c r="I38" s="71" t="s">
        <v>347</v>
      </c>
      <c r="J38" s="112">
        <v>3611300</v>
      </c>
      <c r="K38" s="113">
        <v>-0.01</v>
      </c>
    </row>
    <row r="39" spans="1:12" ht="15" customHeight="1" x14ac:dyDescent="0.2">
      <c r="A39" s="72"/>
      <c r="B39" s="110" t="s">
        <v>768</v>
      </c>
      <c r="C39" s="110">
        <f>SUM(C2:C38)</f>
        <v>1200</v>
      </c>
      <c r="D39" s="110">
        <f>SUM(D2:D38)</f>
        <v>418870</v>
      </c>
      <c r="E39" s="112">
        <f>SUM(E2:E38)</f>
        <v>9920150</v>
      </c>
      <c r="F39" s="72"/>
      <c r="G39" s="72"/>
      <c r="I39" s="71" t="s">
        <v>349</v>
      </c>
      <c r="J39" s="112">
        <v>459000</v>
      </c>
      <c r="K39" s="113">
        <v>0.03</v>
      </c>
    </row>
    <row r="40" spans="1:12" ht="15" customHeight="1" x14ac:dyDescent="0.2">
      <c r="I40" s="71" t="s">
        <v>352</v>
      </c>
      <c r="J40" s="112">
        <v>154540</v>
      </c>
      <c r="K40" s="113">
        <v>0.12</v>
      </c>
    </row>
    <row r="41" spans="1:12" ht="15" customHeight="1" x14ac:dyDescent="0.2">
      <c r="I41" s="71" t="s">
        <v>355</v>
      </c>
      <c r="J41" s="112">
        <v>89140</v>
      </c>
      <c r="K41" s="113">
        <v>0.01</v>
      </c>
    </row>
    <row r="42" spans="1:12" ht="15" customHeight="1" x14ac:dyDescent="0.2">
      <c r="I42" s="71" t="s">
        <v>357</v>
      </c>
      <c r="J42" s="112">
        <v>888995</v>
      </c>
      <c r="K42" s="113">
        <v>-0.01</v>
      </c>
    </row>
    <row r="43" spans="1:12" ht="15" customHeight="1" x14ac:dyDescent="0.2">
      <c r="I43" s="71" t="s">
        <v>363</v>
      </c>
      <c r="J43" s="112">
        <v>12885</v>
      </c>
      <c r="K43" s="113">
        <v>0.06</v>
      </c>
    </row>
    <row r="44" spans="1:12" ht="15" customHeight="1" x14ac:dyDescent="0.2">
      <c r="I44" s="71" t="s">
        <v>364</v>
      </c>
      <c r="J44" s="112">
        <v>10600</v>
      </c>
      <c r="K44" s="113">
        <v>0.02</v>
      </c>
    </row>
    <row r="45" spans="1:12" ht="15" customHeight="1" x14ac:dyDescent="0.2">
      <c r="I45" s="71" t="s">
        <v>365</v>
      </c>
      <c r="J45" s="112">
        <v>4121490</v>
      </c>
      <c r="K45" s="113">
        <v>0.05</v>
      </c>
    </row>
    <row r="46" spans="1:12" ht="15" customHeight="1" x14ac:dyDescent="0.2">
      <c r="I46" s="110" t="s">
        <v>770</v>
      </c>
      <c r="J46" s="112">
        <f>SUM(J36:J45)</f>
        <v>10642550</v>
      </c>
      <c r="K46" s="72"/>
    </row>
  </sheetData>
  <hyperlinks>
    <hyperlink ref="G2" r:id="rId1" xr:uid="{00000000-0004-0000-1700-000000000000}"/>
    <hyperlink ref="G3" r:id="rId2" xr:uid="{00000000-0004-0000-1700-000001000000}"/>
    <hyperlink ref="G4" r:id="rId3" xr:uid="{00000000-0004-0000-1700-000002000000}"/>
    <hyperlink ref="G5" r:id="rId4" xr:uid="{00000000-0004-0000-1700-000003000000}"/>
    <hyperlink ref="G6" r:id="rId5" xr:uid="{00000000-0004-0000-1700-000004000000}"/>
    <hyperlink ref="G7" r:id="rId6" xr:uid="{00000000-0004-0000-1700-000005000000}"/>
    <hyperlink ref="G8" r:id="rId7" xr:uid="{00000000-0004-0000-1700-000006000000}"/>
    <hyperlink ref="G9" r:id="rId8" xr:uid="{00000000-0004-0000-1700-000007000000}"/>
    <hyperlink ref="G10" r:id="rId9" xr:uid="{00000000-0004-0000-1700-000008000000}"/>
    <hyperlink ref="G11" r:id="rId10" xr:uid="{00000000-0004-0000-1700-000009000000}"/>
    <hyperlink ref="G12" r:id="rId11" xr:uid="{00000000-0004-0000-1700-00000A000000}"/>
    <hyperlink ref="G13" r:id="rId12" xr:uid="{00000000-0004-0000-1700-00000B000000}"/>
    <hyperlink ref="G14" r:id="rId13" xr:uid="{00000000-0004-0000-1700-00000C000000}"/>
    <hyperlink ref="G15" r:id="rId14" xr:uid="{00000000-0004-0000-1700-00000D000000}"/>
    <hyperlink ref="G16" r:id="rId15" xr:uid="{00000000-0004-0000-1700-00000E000000}"/>
    <hyperlink ref="G17" r:id="rId16" xr:uid="{00000000-0004-0000-1700-00000F000000}"/>
    <hyperlink ref="G18" r:id="rId17" xr:uid="{00000000-0004-0000-1700-000010000000}"/>
    <hyperlink ref="G19" r:id="rId18" xr:uid="{00000000-0004-0000-1700-000011000000}"/>
    <hyperlink ref="G20" r:id="rId19" xr:uid="{00000000-0004-0000-1700-000012000000}"/>
    <hyperlink ref="G21" r:id="rId20" xr:uid="{00000000-0004-0000-1700-000013000000}"/>
    <hyperlink ref="G22" r:id="rId21" xr:uid="{00000000-0004-0000-1700-000014000000}"/>
    <hyperlink ref="G23" r:id="rId22" xr:uid="{00000000-0004-0000-1700-000015000000}"/>
    <hyperlink ref="G24" r:id="rId23" xr:uid="{00000000-0004-0000-1700-000016000000}"/>
    <hyperlink ref="G25" r:id="rId24" xr:uid="{00000000-0004-0000-1700-000017000000}"/>
    <hyperlink ref="G26" r:id="rId25" xr:uid="{00000000-0004-0000-1700-000018000000}"/>
    <hyperlink ref="G27" r:id="rId26" xr:uid="{00000000-0004-0000-1700-000019000000}"/>
    <hyperlink ref="G28" r:id="rId27" xr:uid="{00000000-0004-0000-1700-00001A000000}"/>
    <hyperlink ref="G29" r:id="rId28" xr:uid="{00000000-0004-0000-1700-00001B000000}"/>
    <hyperlink ref="G30" r:id="rId29" xr:uid="{00000000-0004-0000-1700-00001C000000}"/>
    <hyperlink ref="G31" r:id="rId30" xr:uid="{00000000-0004-0000-1700-00001D000000}"/>
    <hyperlink ref="G32" r:id="rId31" xr:uid="{00000000-0004-0000-1700-00001E000000}"/>
    <hyperlink ref="G33" r:id="rId32" xr:uid="{00000000-0004-0000-1700-00001F000000}"/>
    <hyperlink ref="G34" r:id="rId33" xr:uid="{00000000-0004-0000-1700-000020000000}"/>
    <hyperlink ref="G35" r:id="rId34" xr:uid="{00000000-0004-0000-1700-000021000000}"/>
    <hyperlink ref="G36" r:id="rId35" xr:uid="{00000000-0004-0000-1700-000022000000}"/>
    <hyperlink ref="I36" r:id="rId36" xr:uid="{00000000-0004-0000-1700-000023000000}"/>
    <hyperlink ref="G37" r:id="rId37" xr:uid="{00000000-0004-0000-1700-000024000000}"/>
    <hyperlink ref="I37" r:id="rId38" xr:uid="{00000000-0004-0000-1700-000025000000}"/>
    <hyperlink ref="G38" r:id="rId39" xr:uid="{00000000-0004-0000-1700-000026000000}"/>
    <hyperlink ref="I38" r:id="rId40" xr:uid="{00000000-0004-0000-1700-000027000000}"/>
    <hyperlink ref="I39" r:id="rId41" xr:uid="{00000000-0004-0000-1700-000028000000}"/>
    <hyperlink ref="I40" r:id="rId42" xr:uid="{00000000-0004-0000-1700-000029000000}"/>
    <hyperlink ref="I41" r:id="rId43" xr:uid="{00000000-0004-0000-1700-00002A000000}"/>
    <hyperlink ref="I42" r:id="rId44" xr:uid="{00000000-0004-0000-1700-00002B000000}"/>
    <hyperlink ref="I43" r:id="rId45" xr:uid="{00000000-0004-0000-1700-00002C000000}"/>
    <hyperlink ref="I44" r:id="rId46" xr:uid="{00000000-0004-0000-1700-00002D000000}"/>
    <hyperlink ref="I45" r:id="rId47" xr:uid="{00000000-0004-0000-1700-00002E000000}"/>
  </hyperlinks>
  <pageMargins left="0.75" right="0.75" top="1" bottom="1" header="0.511811023622047" footer="0.511811023622047"/>
  <pageSetup paperSize="9" orientation="portrait" horizontalDpi="300" verticalDpi="300"/>
  <drawing r:id="rId48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3"/>
  <sheetViews>
    <sheetView zoomScale="74" zoomScaleNormal="74" workbookViewId="0">
      <selection activeCell="Z35" sqref="Z35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1.1640625" style="38" customWidth="1"/>
    <col min="4" max="4" width="15.19921875" style="38" customWidth="1"/>
    <col min="5" max="5" width="12.5078125" style="38" customWidth="1"/>
    <col min="6" max="6" width="14.125" style="38" customWidth="1"/>
    <col min="7" max="7" width="11.8359375" style="38" customWidth="1"/>
    <col min="8" max="8" width="2.95703125" style="38" customWidth="1"/>
    <col min="9" max="9" width="18.96484375" style="38" customWidth="1"/>
    <col min="10" max="10" width="12.5078125" style="38" customWidth="1"/>
    <col min="11" max="12" width="18.29296875" style="38" customWidth="1"/>
    <col min="13" max="13" width="2.95703125" style="38" customWidth="1"/>
    <col min="14" max="14" width="12.77734375" style="38" customWidth="1"/>
    <col min="15" max="15" width="15.7382812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46224</v>
      </c>
      <c r="B2" s="110" t="s">
        <v>24</v>
      </c>
      <c r="C2" s="110">
        <v>120</v>
      </c>
      <c r="D2" s="110">
        <v>5000</v>
      </c>
      <c r="E2" s="112">
        <f t="shared" ref="E2:E32" si="0">C2*D2</f>
        <v>600000</v>
      </c>
      <c r="F2" s="110" t="s">
        <v>50</v>
      </c>
      <c r="G2" s="71" t="s">
        <v>373</v>
      </c>
      <c r="I2" s="110" t="s">
        <v>24</v>
      </c>
      <c r="J2" s="110">
        <f>C2+C15+C16+C25+C29+C30</f>
        <v>380</v>
      </c>
      <c r="K2" s="112">
        <f>E2+E15+E16+E25+E29+E30</f>
        <v>1900300</v>
      </c>
      <c r="L2" s="113">
        <f t="shared" ref="L2:L19" si="1">K2/K$19</f>
        <v>0.66006589196427179</v>
      </c>
      <c r="N2" s="112">
        <f>K19</f>
        <v>2878955</v>
      </c>
      <c r="O2" s="110">
        <f>J19</f>
        <v>461</v>
      </c>
      <c r="P2" s="110">
        <f>COUNT(J2:J18)</f>
        <v>17</v>
      </c>
    </row>
    <row r="3" spans="1:16" ht="15" customHeight="1" x14ac:dyDescent="0.2">
      <c r="A3" s="108">
        <v>46224</v>
      </c>
      <c r="B3" s="110" t="s">
        <v>44</v>
      </c>
      <c r="C3" s="110">
        <v>10</v>
      </c>
      <c r="D3" s="110">
        <v>9200</v>
      </c>
      <c r="E3" s="112">
        <f t="shared" si="0"/>
        <v>92000</v>
      </c>
      <c r="F3" s="110" t="s">
        <v>50</v>
      </c>
      <c r="G3" s="71" t="s">
        <v>375</v>
      </c>
      <c r="I3" s="110" t="s">
        <v>44</v>
      </c>
      <c r="J3" s="110">
        <f>C3+C23</f>
        <v>11</v>
      </c>
      <c r="K3" s="112">
        <f>E3+E23</f>
        <v>101200</v>
      </c>
      <c r="L3" s="113">
        <f t="shared" si="1"/>
        <v>3.5151643565113036E-2</v>
      </c>
    </row>
    <row r="4" spans="1:16" ht="15" customHeight="1" x14ac:dyDescent="0.2">
      <c r="A4" s="108">
        <v>46224</v>
      </c>
      <c r="B4" s="110" t="s">
        <v>87</v>
      </c>
      <c r="C4" s="110">
        <v>5</v>
      </c>
      <c r="D4" s="110">
        <v>21400</v>
      </c>
      <c r="E4" s="112">
        <f t="shared" si="0"/>
        <v>107000</v>
      </c>
      <c r="F4" s="110" t="s">
        <v>50</v>
      </c>
      <c r="G4" s="71" t="s">
        <v>375</v>
      </c>
      <c r="I4" s="110" t="s">
        <v>87</v>
      </c>
      <c r="J4" s="110">
        <f>C4+C18</f>
        <v>8</v>
      </c>
      <c r="K4" s="112">
        <f>E4+E18</f>
        <v>174695</v>
      </c>
      <c r="L4" s="113">
        <f t="shared" si="1"/>
        <v>6.0680003681891519E-2</v>
      </c>
    </row>
    <row r="5" spans="1:16" ht="15" customHeight="1" x14ac:dyDescent="0.2">
      <c r="A5" s="108">
        <v>46224</v>
      </c>
      <c r="B5" s="110" t="s">
        <v>37</v>
      </c>
      <c r="C5" s="110">
        <v>5</v>
      </c>
      <c r="D5" s="110">
        <v>9200</v>
      </c>
      <c r="E5" s="112">
        <f t="shared" si="0"/>
        <v>46000</v>
      </c>
      <c r="F5" s="110" t="s">
        <v>50</v>
      </c>
      <c r="G5" s="71" t="s">
        <v>375</v>
      </c>
      <c r="I5" s="110" t="s">
        <v>37</v>
      </c>
      <c r="J5" s="110">
        <f>C5</f>
        <v>5</v>
      </c>
      <c r="K5" s="112">
        <f>E5</f>
        <v>46000</v>
      </c>
      <c r="L5" s="113">
        <f t="shared" si="1"/>
        <v>1.5978019802324106E-2</v>
      </c>
    </row>
    <row r="6" spans="1:16" ht="15" customHeight="1" x14ac:dyDescent="0.2">
      <c r="A6" s="108">
        <v>46224</v>
      </c>
      <c r="B6" s="110" t="s">
        <v>69</v>
      </c>
      <c r="C6" s="110">
        <v>2</v>
      </c>
      <c r="D6" s="110">
        <v>14450</v>
      </c>
      <c r="E6" s="112">
        <f t="shared" si="0"/>
        <v>28900</v>
      </c>
      <c r="F6" s="110" t="s">
        <v>50</v>
      </c>
      <c r="G6" s="71" t="s">
        <v>375</v>
      </c>
      <c r="I6" s="110" t="s">
        <v>69</v>
      </c>
      <c r="J6" s="110">
        <f>C6</f>
        <v>2</v>
      </c>
      <c r="K6" s="112">
        <f>E6</f>
        <v>28900</v>
      </c>
      <c r="L6" s="113">
        <f t="shared" si="1"/>
        <v>1.0038364614938407E-2</v>
      </c>
    </row>
    <row r="7" spans="1:16" ht="15" customHeight="1" x14ac:dyDescent="0.2">
      <c r="A7" s="108">
        <v>46224</v>
      </c>
      <c r="B7" s="110" t="s">
        <v>150</v>
      </c>
      <c r="C7" s="110">
        <v>1</v>
      </c>
      <c r="D7" s="110">
        <v>10315</v>
      </c>
      <c r="E7" s="112">
        <f t="shared" si="0"/>
        <v>10315</v>
      </c>
      <c r="F7" s="110" t="s">
        <v>50</v>
      </c>
      <c r="G7" s="71" t="s">
        <v>375</v>
      </c>
      <c r="I7" s="110" t="s">
        <v>150</v>
      </c>
      <c r="J7" s="110">
        <f>C7</f>
        <v>1</v>
      </c>
      <c r="K7" s="112">
        <f>E7</f>
        <v>10315</v>
      </c>
      <c r="L7" s="113">
        <f t="shared" si="1"/>
        <v>3.5828972665428948E-3</v>
      </c>
    </row>
    <row r="8" spans="1:16" ht="15" customHeight="1" x14ac:dyDescent="0.2">
      <c r="A8" s="108">
        <v>46224</v>
      </c>
      <c r="B8" s="110" t="s">
        <v>22</v>
      </c>
      <c r="C8" s="110">
        <v>18</v>
      </c>
      <c r="D8" s="110">
        <v>8800</v>
      </c>
      <c r="E8" s="112">
        <f t="shared" si="0"/>
        <v>158400</v>
      </c>
      <c r="F8" s="110" t="s">
        <v>29</v>
      </c>
      <c r="G8" s="71" t="s">
        <v>378</v>
      </c>
      <c r="I8" s="110" t="s">
        <v>22</v>
      </c>
      <c r="J8" s="110">
        <f>C8+C24+C28</f>
        <v>21</v>
      </c>
      <c r="K8" s="112">
        <f>E8+E24+E28</f>
        <v>186000</v>
      </c>
      <c r="L8" s="113">
        <f t="shared" si="1"/>
        <v>6.4606775722440959E-2</v>
      </c>
    </row>
    <row r="9" spans="1:16" ht="15" customHeight="1" x14ac:dyDescent="0.2">
      <c r="A9" s="108">
        <v>46224</v>
      </c>
      <c r="B9" s="110" t="s">
        <v>45</v>
      </c>
      <c r="C9" s="110">
        <v>4</v>
      </c>
      <c r="D9" s="110">
        <v>13335</v>
      </c>
      <c r="E9" s="112">
        <f t="shared" si="0"/>
        <v>53340</v>
      </c>
      <c r="F9" s="110" t="s">
        <v>29</v>
      </c>
      <c r="G9" s="71" t="s">
        <v>378</v>
      </c>
      <c r="I9" s="110" t="s">
        <v>45</v>
      </c>
      <c r="J9" s="110">
        <f>C9+C20+C22+C27</f>
        <v>9</v>
      </c>
      <c r="K9" s="112">
        <f>E9+E20+E22+E27</f>
        <v>122475</v>
      </c>
      <c r="L9" s="113">
        <f t="shared" si="1"/>
        <v>4.2541477723687937E-2</v>
      </c>
    </row>
    <row r="10" spans="1:16" ht="15" customHeight="1" x14ac:dyDescent="0.2">
      <c r="A10" s="108">
        <v>46224</v>
      </c>
      <c r="B10" s="110" t="s">
        <v>28</v>
      </c>
      <c r="C10" s="110">
        <v>3</v>
      </c>
      <c r="D10" s="110">
        <v>13200</v>
      </c>
      <c r="E10" s="112">
        <f t="shared" si="0"/>
        <v>39600</v>
      </c>
      <c r="F10" s="110" t="s">
        <v>29</v>
      </c>
      <c r="G10" s="71" t="s">
        <v>378</v>
      </c>
      <c r="I10" s="110" t="s">
        <v>28</v>
      </c>
      <c r="J10" s="110">
        <f>C10</f>
        <v>3</v>
      </c>
      <c r="K10" s="112">
        <f>E10</f>
        <v>39600</v>
      </c>
      <c r="L10" s="113">
        <f t="shared" si="1"/>
        <v>1.3754990960261622E-2</v>
      </c>
    </row>
    <row r="11" spans="1:16" ht="15" customHeight="1" x14ac:dyDescent="0.2">
      <c r="A11" s="108">
        <v>46224</v>
      </c>
      <c r="B11" s="110" t="s">
        <v>70</v>
      </c>
      <c r="C11" s="110">
        <v>2</v>
      </c>
      <c r="D11" s="110">
        <v>13460</v>
      </c>
      <c r="E11" s="112">
        <f t="shared" si="0"/>
        <v>26920</v>
      </c>
      <c r="F11" s="110" t="s">
        <v>29</v>
      </c>
      <c r="G11" s="71" t="s">
        <v>378</v>
      </c>
      <c r="I11" s="110" t="s">
        <v>70</v>
      </c>
      <c r="J11" s="110">
        <f>C11</f>
        <v>2</v>
      </c>
      <c r="K11" s="112">
        <f>E11</f>
        <v>26920</v>
      </c>
      <c r="L11" s="113">
        <f t="shared" si="1"/>
        <v>9.350615066925326E-3</v>
      </c>
    </row>
    <row r="12" spans="1:16" ht="15" customHeight="1" x14ac:dyDescent="0.2">
      <c r="A12" s="108">
        <v>46224</v>
      </c>
      <c r="B12" s="110" t="s">
        <v>61</v>
      </c>
      <c r="C12" s="110">
        <v>1</v>
      </c>
      <c r="D12" s="110">
        <v>12885</v>
      </c>
      <c r="E12" s="112">
        <f t="shared" si="0"/>
        <v>12885</v>
      </c>
      <c r="F12" s="110" t="s">
        <v>29</v>
      </c>
      <c r="G12" s="71" t="s">
        <v>378</v>
      </c>
      <c r="I12" s="110" t="s">
        <v>61</v>
      </c>
      <c r="J12" s="110">
        <f>C12</f>
        <v>1</v>
      </c>
      <c r="K12" s="112">
        <f>E12</f>
        <v>12885</v>
      </c>
      <c r="L12" s="113">
        <f t="shared" si="1"/>
        <v>4.4755822859336115E-3</v>
      </c>
    </row>
    <row r="13" spans="1:16" ht="15" customHeight="1" x14ac:dyDescent="0.2">
      <c r="A13" s="108">
        <v>46224</v>
      </c>
      <c r="B13" s="110" t="s">
        <v>32</v>
      </c>
      <c r="C13" s="110">
        <v>2</v>
      </c>
      <c r="D13" s="110">
        <v>16145</v>
      </c>
      <c r="E13" s="112">
        <f t="shared" si="0"/>
        <v>32290</v>
      </c>
      <c r="F13" s="110" t="s">
        <v>29</v>
      </c>
      <c r="G13" s="71" t="s">
        <v>378</v>
      </c>
      <c r="I13" s="110" t="s">
        <v>32</v>
      </c>
      <c r="J13" s="110">
        <f>C13</f>
        <v>2</v>
      </c>
      <c r="K13" s="112">
        <f>E13</f>
        <v>32290</v>
      </c>
      <c r="L13" s="113">
        <f t="shared" si="1"/>
        <v>1.121587520471838E-2</v>
      </c>
    </row>
    <row r="14" spans="1:16" ht="15" customHeight="1" x14ac:dyDescent="0.2">
      <c r="A14" s="108">
        <v>46224</v>
      </c>
      <c r="B14" s="110" t="s">
        <v>33</v>
      </c>
      <c r="C14" s="110">
        <v>2</v>
      </c>
      <c r="D14" s="110">
        <v>16145</v>
      </c>
      <c r="E14" s="112">
        <f t="shared" si="0"/>
        <v>32290</v>
      </c>
      <c r="F14" s="110" t="s">
        <v>29</v>
      </c>
      <c r="G14" s="71" t="s">
        <v>378</v>
      </c>
      <c r="I14" s="110" t="s">
        <v>33</v>
      </c>
      <c r="J14" s="110">
        <f>C14</f>
        <v>2</v>
      </c>
      <c r="K14" s="112">
        <f>E14</f>
        <v>32290</v>
      </c>
      <c r="L14" s="113">
        <f t="shared" si="1"/>
        <v>1.121587520471838E-2</v>
      </c>
    </row>
    <row r="15" spans="1:16" ht="15" customHeight="1" x14ac:dyDescent="0.2">
      <c r="A15" s="108">
        <v>46224</v>
      </c>
      <c r="B15" s="110" t="s">
        <v>24</v>
      </c>
      <c r="C15" s="110">
        <v>3</v>
      </c>
      <c r="D15" s="110">
        <v>5000</v>
      </c>
      <c r="E15" s="112">
        <f t="shared" si="0"/>
        <v>15000</v>
      </c>
      <c r="F15" s="110" t="s">
        <v>29</v>
      </c>
      <c r="G15" s="71" t="s">
        <v>378</v>
      </c>
      <c r="I15" s="110" t="s">
        <v>34</v>
      </c>
      <c r="J15" s="110">
        <f>C17</f>
        <v>1</v>
      </c>
      <c r="K15" s="112">
        <f>E17</f>
        <v>22740</v>
      </c>
      <c r="L15" s="113">
        <f t="shared" si="1"/>
        <v>7.8986993544532657E-3</v>
      </c>
    </row>
    <row r="16" spans="1:16" ht="15" customHeight="1" x14ac:dyDescent="0.2">
      <c r="A16" s="108">
        <v>46224</v>
      </c>
      <c r="B16" s="110" t="s">
        <v>24</v>
      </c>
      <c r="C16" s="110">
        <v>240</v>
      </c>
      <c r="D16" s="110">
        <v>5000</v>
      </c>
      <c r="E16" s="112">
        <f t="shared" si="0"/>
        <v>1200000</v>
      </c>
      <c r="F16" s="110" t="s">
        <v>25</v>
      </c>
      <c r="G16" s="71" t="s">
        <v>382</v>
      </c>
      <c r="I16" s="110" t="s">
        <v>113</v>
      </c>
      <c r="J16" s="110">
        <f>C19+C32</f>
        <v>5</v>
      </c>
      <c r="K16" s="112">
        <f>E19+E32</f>
        <v>76245</v>
      </c>
      <c r="L16" s="113">
        <f t="shared" si="1"/>
        <v>2.6483567822352207E-2</v>
      </c>
    </row>
    <row r="17" spans="1:12" ht="15" customHeight="1" x14ac:dyDescent="0.2">
      <c r="A17" s="108">
        <v>46224</v>
      </c>
      <c r="B17" s="110" t="s">
        <v>34</v>
      </c>
      <c r="C17" s="110">
        <v>1</v>
      </c>
      <c r="D17" s="110">
        <v>22740</v>
      </c>
      <c r="E17" s="112">
        <f t="shared" si="0"/>
        <v>22740</v>
      </c>
      <c r="F17" s="110" t="s">
        <v>85</v>
      </c>
      <c r="G17" s="71" t="s">
        <v>384</v>
      </c>
      <c r="I17" s="110" t="s">
        <v>21</v>
      </c>
      <c r="J17" s="110">
        <f>C21+C26</f>
        <v>3</v>
      </c>
      <c r="K17" s="112">
        <f>E21+E26</f>
        <v>26000</v>
      </c>
      <c r="L17" s="113">
        <f t="shared" si="1"/>
        <v>9.031054670878844E-3</v>
      </c>
    </row>
    <row r="18" spans="1:12" ht="15" customHeight="1" x14ac:dyDescent="0.2">
      <c r="A18" s="108">
        <v>46224</v>
      </c>
      <c r="B18" s="110" t="s">
        <v>87</v>
      </c>
      <c r="C18" s="110">
        <v>3</v>
      </c>
      <c r="D18" s="110">
        <v>22565</v>
      </c>
      <c r="E18" s="112">
        <f t="shared" si="0"/>
        <v>67695</v>
      </c>
      <c r="F18" s="110" t="s">
        <v>85</v>
      </c>
      <c r="G18" s="71" t="s">
        <v>384</v>
      </c>
      <c r="I18" s="110" t="s">
        <v>27</v>
      </c>
      <c r="J18" s="110">
        <f>C31</f>
        <v>5</v>
      </c>
      <c r="K18" s="112">
        <f>E31</f>
        <v>40100</v>
      </c>
      <c r="L18" s="113">
        <f t="shared" si="1"/>
        <v>1.3928665088547754E-2</v>
      </c>
    </row>
    <row r="19" spans="1:12" ht="15" customHeight="1" x14ac:dyDescent="0.2">
      <c r="A19" s="108">
        <v>46224</v>
      </c>
      <c r="B19" s="110" t="s">
        <v>113</v>
      </c>
      <c r="C19" s="110">
        <v>3</v>
      </c>
      <c r="D19" s="110">
        <v>15765</v>
      </c>
      <c r="E19" s="112">
        <f t="shared" si="0"/>
        <v>47295</v>
      </c>
      <c r="F19" s="110" t="s">
        <v>85</v>
      </c>
      <c r="G19" s="71" t="s">
        <v>384</v>
      </c>
      <c r="I19" s="110" t="s">
        <v>768</v>
      </c>
      <c r="J19" s="110">
        <f>SUM(J2:J18)</f>
        <v>461</v>
      </c>
      <c r="K19" s="112">
        <f>SUM(K2:K18)</f>
        <v>2878955</v>
      </c>
      <c r="L19" s="113">
        <f t="shared" si="1"/>
        <v>1</v>
      </c>
    </row>
    <row r="20" spans="1:12" ht="15" customHeight="1" x14ac:dyDescent="0.2">
      <c r="A20" s="108">
        <v>46224</v>
      </c>
      <c r="B20" s="110" t="s">
        <v>45</v>
      </c>
      <c r="C20" s="110">
        <v>3</v>
      </c>
      <c r="D20" s="110">
        <v>13950</v>
      </c>
      <c r="E20" s="112">
        <f t="shared" si="0"/>
        <v>41850</v>
      </c>
      <c r="F20" s="110" t="s">
        <v>85</v>
      </c>
      <c r="G20" s="71" t="s">
        <v>384</v>
      </c>
    </row>
    <row r="21" spans="1:12" ht="25.5" customHeight="1" x14ac:dyDescent="0.2">
      <c r="A21" s="108">
        <v>46224</v>
      </c>
      <c r="B21" s="110" t="s">
        <v>21</v>
      </c>
      <c r="C21" s="110">
        <v>1</v>
      </c>
      <c r="D21" s="110">
        <v>9000</v>
      </c>
      <c r="E21" s="112">
        <f t="shared" si="0"/>
        <v>9000</v>
      </c>
      <c r="F21" s="110" t="s">
        <v>122</v>
      </c>
      <c r="G21" s="71" t="s">
        <v>385</v>
      </c>
      <c r="I21" s="107" t="s">
        <v>758</v>
      </c>
      <c r="J21" s="107" t="s">
        <v>757</v>
      </c>
      <c r="K21" s="107" t="s">
        <v>762</v>
      </c>
      <c r="L21" s="107" t="s">
        <v>769</v>
      </c>
    </row>
    <row r="22" spans="1:12" ht="15" customHeight="1" x14ac:dyDescent="0.2">
      <c r="A22" s="108">
        <v>46224</v>
      </c>
      <c r="B22" s="110" t="s">
        <v>45</v>
      </c>
      <c r="C22" s="110">
        <v>1</v>
      </c>
      <c r="D22" s="110">
        <v>13950</v>
      </c>
      <c r="E22" s="112">
        <f t="shared" si="0"/>
        <v>13950</v>
      </c>
      <c r="F22" s="110" t="s">
        <v>122</v>
      </c>
      <c r="G22" s="71" t="s">
        <v>385</v>
      </c>
      <c r="I22" s="110" t="s">
        <v>50</v>
      </c>
      <c r="J22" s="112">
        <f>E2+E3+E4+E5+E6+E7</f>
        <v>884215</v>
      </c>
      <c r="K22" s="113">
        <f t="shared" ref="K22:K30" si="2">J22/J$30</f>
        <v>0.3071305386850437</v>
      </c>
      <c r="L22" s="113">
        <v>2.7000000000000001E-3</v>
      </c>
    </row>
    <row r="23" spans="1:12" ht="15" customHeight="1" x14ac:dyDescent="0.2">
      <c r="A23" s="108">
        <v>46224</v>
      </c>
      <c r="B23" s="110" t="s">
        <v>44</v>
      </c>
      <c r="C23" s="110">
        <v>1</v>
      </c>
      <c r="D23" s="110">
        <v>9200</v>
      </c>
      <c r="E23" s="112">
        <f t="shared" si="0"/>
        <v>9200</v>
      </c>
      <c r="F23" s="110" t="s">
        <v>122</v>
      </c>
      <c r="G23" s="71" t="s">
        <v>385</v>
      </c>
      <c r="I23" s="110" t="s">
        <v>29</v>
      </c>
      <c r="J23" s="112">
        <f>E8+E9+E10+E11+E12+E13+E14+E15</f>
        <v>370725</v>
      </c>
      <c r="K23" s="113">
        <f t="shared" si="2"/>
        <v>0.12877068241775227</v>
      </c>
      <c r="L23" s="113">
        <v>5.11E-2</v>
      </c>
    </row>
    <row r="24" spans="1:12" ht="15" customHeight="1" x14ac:dyDescent="0.2">
      <c r="A24" s="108">
        <v>46224</v>
      </c>
      <c r="B24" s="110" t="s">
        <v>22</v>
      </c>
      <c r="C24" s="110">
        <v>1</v>
      </c>
      <c r="D24" s="110">
        <v>9200</v>
      </c>
      <c r="E24" s="112">
        <f t="shared" si="0"/>
        <v>9200</v>
      </c>
      <c r="F24" s="110" t="s">
        <v>122</v>
      </c>
      <c r="G24" s="71" t="s">
        <v>385</v>
      </c>
      <c r="I24" s="110" t="s">
        <v>25</v>
      </c>
      <c r="J24" s="112">
        <f>E16</f>
        <v>1200000</v>
      </c>
      <c r="K24" s="113">
        <f t="shared" si="2"/>
        <v>0.41681790788671585</v>
      </c>
      <c r="L24" s="113">
        <v>-0.04</v>
      </c>
    </row>
    <row r="25" spans="1:12" ht="15" customHeight="1" x14ac:dyDescent="0.2">
      <c r="A25" s="108">
        <v>46224</v>
      </c>
      <c r="B25" s="110" t="s">
        <v>24</v>
      </c>
      <c r="C25" s="110">
        <v>1</v>
      </c>
      <c r="D25" s="110">
        <v>5300</v>
      </c>
      <c r="E25" s="112">
        <f t="shared" si="0"/>
        <v>5300</v>
      </c>
      <c r="F25" s="110" t="s">
        <v>122</v>
      </c>
      <c r="G25" s="71" t="s">
        <v>385</v>
      </c>
      <c r="I25" s="110" t="s">
        <v>85</v>
      </c>
      <c r="J25" s="112">
        <f>E17+E18+E19+E20</f>
        <v>179580</v>
      </c>
      <c r="K25" s="113">
        <f t="shared" si="2"/>
        <v>6.2376799915247028E-2</v>
      </c>
      <c r="L25" s="113">
        <v>0.13769999999999999</v>
      </c>
    </row>
    <row r="26" spans="1:12" ht="15" customHeight="1" x14ac:dyDescent="0.2">
      <c r="A26" s="108">
        <v>46224</v>
      </c>
      <c r="B26" s="110" t="s">
        <v>21</v>
      </c>
      <c r="C26" s="110">
        <v>2</v>
      </c>
      <c r="D26" s="110">
        <v>8500</v>
      </c>
      <c r="E26" s="112">
        <f t="shared" si="0"/>
        <v>17000</v>
      </c>
      <c r="F26" s="110" t="s">
        <v>336</v>
      </c>
      <c r="G26" s="71" t="s">
        <v>386</v>
      </c>
      <c r="I26" s="110" t="s">
        <v>122</v>
      </c>
      <c r="J26" s="112">
        <f>E21+E22+E23+E24+E25</f>
        <v>46650</v>
      </c>
      <c r="K26" s="113">
        <f t="shared" si="2"/>
        <v>1.6203796169096077E-2</v>
      </c>
      <c r="L26" s="113">
        <v>6.2899999999999998E-2</v>
      </c>
    </row>
    <row r="27" spans="1:12" ht="15" customHeight="1" x14ac:dyDescent="0.2">
      <c r="A27" s="108">
        <v>46224</v>
      </c>
      <c r="B27" s="110" t="s">
        <v>45</v>
      </c>
      <c r="C27" s="110">
        <v>1</v>
      </c>
      <c r="D27" s="110">
        <v>13335</v>
      </c>
      <c r="E27" s="112">
        <f t="shared" si="0"/>
        <v>13335</v>
      </c>
      <c r="F27" s="110" t="s">
        <v>336</v>
      </c>
      <c r="G27" s="71" t="s">
        <v>386</v>
      </c>
      <c r="I27" s="110" t="s">
        <v>336</v>
      </c>
      <c r="J27" s="112">
        <f>E26+E27+E28</f>
        <v>48735</v>
      </c>
      <c r="K27" s="113">
        <f t="shared" si="2"/>
        <v>1.6928017284049246E-2</v>
      </c>
      <c r="L27" s="113">
        <v>4.99E-2</v>
      </c>
    </row>
    <row r="28" spans="1:12" ht="15" customHeight="1" x14ac:dyDescent="0.2">
      <c r="A28" s="108">
        <v>46224</v>
      </c>
      <c r="B28" s="110" t="s">
        <v>22</v>
      </c>
      <c r="C28" s="110">
        <v>2</v>
      </c>
      <c r="D28" s="110">
        <v>9200</v>
      </c>
      <c r="E28" s="112">
        <f t="shared" si="0"/>
        <v>18400</v>
      </c>
      <c r="F28" s="110" t="s">
        <v>336</v>
      </c>
      <c r="G28" s="71" t="s">
        <v>386</v>
      </c>
      <c r="I28" s="110" t="s">
        <v>154</v>
      </c>
      <c r="J28" s="112">
        <f>E29+E32</f>
        <v>33950</v>
      </c>
      <c r="K28" s="113">
        <f t="shared" si="2"/>
        <v>1.1792473310628335E-2</v>
      </c>
      <c r="L28" s="113">
        <v>9.9000000000000008E-3</v>
      </c>
    </row>
    <row r="29" spans="1:12" ht="15" customHeight="1" x14ac:dyDescent="0.2">
      <c r="A29" s="108">
        <v>46224</v>
      </c>
      <c r="B29" s="110" t="s">
        <v>24</v>
      </c>
      <c r="C29" s="110">
        <v>1</v>
      </c>
      <c r="D29" s="110">
        <v>5000</v>
      </c>
      <c r="E29" s="112">
        <f t="shared" si="0"/>
        <v>5000</v>
      </c>
      <c r="F29" s="110" t="s">
        <v>154</v>
      </c>
      <c r="G29" s="71" t="s">
        <v>387</v>
      </c>
      <c r="I29" s="110" t="s">
        <v>95</v>
      </c>
      <c r="J29" s="112">
        <f>E30+E31</f>
        <v>115100</v>
      </c>
      <c r="K29" s="113">
        <f t="shared" si="2"/>
        <v>3.9979784331467497E-2</v>
      </c>
      <c r="L29" s="113">
        <v>-1.15E-2</v>
      </c>
    </row>
    <row r="30" spans="1:12" ht="15" customHeight="1" x14ac:dyDescent="0.2">
      <c r="A30" s="108">
        <v>46224</v>
      </c>
      <c r="B30" s="110" t="s">
        <v>24</v>
      </c>
      <c r="C30" s="110">
        <v>15</v>
      </c>
      <c r="D30" s="110">
        <v>5000</v>
      </c>
      <c r="E30" s="112">
        <f t="shared" si="0"/>
        <v>75000</v>
      </c>
      <c r="F30" s="110" t="s">
        <v>95</v>
      </c>
      <c r="G30" s="71" t="s">
        <v>388</v>
      </c>
      <c r="I30" s="110" t="s">
        <v>770</v>
      </c>
      <c r="J30" s="112">
        <f>SUM(J22:J29)</f>
        <v>2878955</v>
      </c>
      <c r="K30" s="113">
        <f t="shared" si="2"/>
        <v>1</v>
      </c>
      <c r="L30" s="72"/>
    </row>
    <row r="31" spans="1:12" ht="15" customHeight="1" x14ac:dyDescent="0.2">
      <c r="A31" s="108">
        <v>46224</v>
      </c>
      <c r="B31" s="110" t="s">
        <v>27</v>
      </c>
      <c r="C31" s="110">
        <v>5</v>
      </c>
      <c r="D31" s="110">
        <v>8020</v>
      </c>
      <c r="E31" s="112">
        <f t="shared" si="0"/>
        <v>40100</v>
      </c>
      <c r="F31" s="110" t="s">
        <v>95</v>
      </c>
      <c r="G31" s="71" t="s">
        <v>388</v>
      </c>
    </row>
    <row r="32" spans="1:12" ht="25.5" customHeight="1" x14ac:dyDescent="0.2">
      <c r="A32" s="108">
        <v>46224</v>
      </c>
      <c r="B32" s="110" t="s">
        <v>113</v>
      </c>
      <c r="C32" s="110">
        <v>2</v>
      </c>
      <c r="D32" s="110">
        <v>14475</v>
      </c>
      <c r="E32" s="112">
        <f t="shared" si="0"/>
        <v>28950</v>
      </c>
      <c r="F32" s="110" t="s">
        <v>154</v>
      </c>
      <c r="G32" s="71" t="s">
        <v>389</v>
      </c>
      <c r="I32" s="107" t="s">
        <v>759</v>
      </c>
      <c r="J32" s="107" t="s">
        <v>757</v>
      </c>
      <c r="K32" s="107" t="s">
        <v>769</v>
      </c>
    </row>
    <row r="33" spans="1:11" ht="15" customHeight="1" x14ac:dyDescent="0.2">
      <c r="A33" s="72"/>
      <c r="B33" s="110" t="s">
        <v>768</v>
      </c>
      <c r="C33" s="110">
        <f>SUM(C2:C32)</f>
        <v>461</v>
      </c>
      <c r="D33" s="110">
        <f>SUM(D2:D32)</f>
        <v>358735</v>
      </c>
      <c r="E33" s="112">
        <f>SUM(E2:E32)</f>
        <v>2878955</v>
      </c>
      <c r="F33" s="72"/>
      <c r="G33" s="72"/>
      <c r="I33" s="133" t="s">
        <v>373</v>
      </c>
      <c r="J33" s="112">
        <v>600000</v>
      </c>
      <c r="K33" s="113">
        <v>-0.04</v>
      </c>
    </row>
    <row r="34" spans="1:11" ht="15" customHeight="1" x14ac:dyDescent="0.2">
      <c r="I34" s="133" t="s">
        <v>375</v>
      </c>
      <c r="J34" s="112">
        <v>326615</v>
      </c>
      <c r="K34" s="113">
        <v>0.08</v>
      </c>
    </row>
    <row r="35" spans="1:11" ht="15" customHeight="1" x14ac:dyDescent="0.2">
      <c r="I35" s="133" t="s">
        <v>378</v>
      </c>
      <c r="J35" s="112">
        <v>411125</v>
      </c>
      <c r="K35" s="113">
        <v>0.05</v>
      </c>
    </row>
    <row r="36" spans="1:11" ht="15" customHeight="1" x14ac:dyDescent="0.2">
      <c r="I36" s="133" t="s">
        <v>382</v>
      </c>
      <c r="J36" s="112">
        <v>1200000</v>
      </c>
      <c r="K36" s="113">
        <v>-0.04</v>
      </c>
    </row>
    <row r="37" spans="1:11" ht="15" customHeight="1" x14ac:dyDescent="0.2">
      <c r="I37" s="133" t="s">
        <v>384</v>
      </c>
      <c r="J37" s="112">
        <v>196980</v>
      </c>
      <c r="K37" s="113">
        <v>0.14000000000000001</v>
      </c>
    </row>
    <row r="38" spans="1:11" ht="15" customHeight="1" x14ac:dyDescent="0.2">
      <c r="I38" s="133" t="s">
        <v>385</v>
      </c>
      <c r="J38" s="112">
        <v>46650</v>
      </c>
      <c r="K38" s="113">
        <v>0.06</v>
      </c>
    </row>
    <row r="39" spans="1:11" ht="15" customHeight="1" x14ac:dyDescent="0.2">
      <c r="I39" s="133" t="s">
        <v>386</v>
      </c>
      <c r="J39" s="112">
        <v>48735</v>
      </c>
      <c r="K39" s="113">
        <v>0.05</v>
      </c>
    </row>
    <row r="40" spans="1:11" ht="15" customHeight="1" x14ac:dyDescent="0.2">
      <c r="I40" s="71" t="s">
        <v>387</v>
      </c>
      <c r="J40" s="112">
        <v>5000</v>
      </c>
      <c r="K40" s="113">
        <v>-0.04</v>
      </c>
    </row>
    <row r="41" spans="1:11" ht="15" customHeight="1" x14ac:dyDescent="0.2">
      <c r="I41" s="71" t="s">
        <v>388</v>
      </c>
      <c r="J41" s="112">
        <v>115100</v>
      </c>
      <c r="K41" s="113">
        <v>-0.01</v>
      </c>
    </row>
    <row r="42" spans="1:11" ht="15" customHeight="1" x14ac:dyDescent="0.2">
      <c r="I42" s="71" t="s">
        <v>389</v>
      </c>
      <c r="J42" s="112">
        <v>32550</v>
      </c>
      <c r="K42" s="113">
        <v>0.02</v>
      </c>
    </row>
    <row r="43" spans="1:11" ht="15" customHeight="1" x14ac:dyDescent="0.2">
      <c r="I43" s="110" t="s">
        <v>770</v>
      </c>
      <c r="J43" s="112">
        <f>SUM(J33:J42)</f>
        <v>2982755</v>
      </c>
      <c r="K43" s="72"/>
    </row>
  </sheetData>
  <hyperlinks>
    <hyperlink ref="G2" r:id="rId1" xr:uid="{00000000-0004-0000-1800-000000000000}"/>
    <hyperlink ref="G3" r:id="rId2" xr:uid="{00000000-0004-0000-1800-000001000000}"/>
    <hyperlink ref="G4" r:id="rId3" xr:uid="{00000000-0004-0000-1800-000002000000}"/>
    <hyperlink ref="G5" r:id="rId4" xr:uid="{00000000-0004-0000-1800-000003000000}"/>
    <hyperlink ref="G6" r:id="rId5" xr:uid="{00000000-0004-0000-1800-000004000000}"/>
    <hyperlink ref="G7" r:id="rId6" xr:uid="{00000000-0004-0000-1800-000005000000}"/>
    <hyperlink ref="G8" r:id="rId7" xr:uid="{00000000-0004-0000-1800-000006000000}"/>
    <hyperlink ref="G9" r:id="rId8" xr:uid="{00000000-0004-0000-1800-000007000000}"/>
    <hyperlink ref="G10" r:id="rId9" xr:uid="{00000000-0004-0000-1800-000008000000}"/>
    <hyperlink ref="G11" r:id="rId10" xr:uid="{00000000-0004-0000-1800-000009000000}"/>
    <hyperlink ref="G12" r:id="rId11" xr:uid="{00000000-0004-0000-1800-00000A000000}"/>
    <hyperlink ref="G13" r:id="rId12" xr:uid="{00000000-0004-0000-1800-00000B000000}"/>
    <hyperlink ref="G14" r:id="rId13" xr:uid="{00000000-0004-0000-1800-00000C000000}"/>
    <hyperlink ref="G15" r:id="rId14" xr:uid="{00000000-0004-0000-1800-00000D000000}"/>
    <hyperlink ref="G16" r:id="rId15" xr:uid="{00000000-0004-0000-1800-00000E000000}"/>
    <hyperlink ref="G17" r:id="rId16" xr:uid="{00000000-0004-0000-1800-00000F000000}"/>
    <hyperlink ref="G18" r:id="rId17" xr:uid="{00000000-0004-0000-1800-000010000000}"/>
    <hyperlink ref="G19" r:id="rId18" xr:uid="{00000000-0004-0000-1800-000011000000}"/>
    <hyperlink ref="G20" r:id="rId19" xr:uid="{00000000-0004-0000-1800-000012000000}"/>
    <hyperlink ref="G21" r:id="rId20" xr:uid="{00000000-0004-0000-1800-000013000000}"/>
    <hyperlink ref="G22" r:id="rId21" xr:uid="{00000000-0004-0000-1800-000014000000}"/>
    <hyperlink ref="G23" r:id="rId22" xr:uid="{00000000-0004-0000-1800-000015000000}"/>
    <hyperlink ref="G24" r:id="rId23" xr:uid="{00000000-0004-0000-1800-000016000000}"/>
    <hyperlink ref="G25" r:id="rId24" xr:uid="{00000000-0004-0000-1800-000017000000}"/>
    <hyperlink ref="G26" r:id="rId25" xr:uid="{00000000-0004-0000-1800-000018000000}"/>
    <hyperlink ref="G27" r:id="rId26" xr:uid="{00000000-0004-0000-1800-000019000000}"/>
    <hyperlink ref="G28" r:id="rId27" xr:uid="{00000000-0004-0000-1800-00001A000000}"/>
    <hyperlink ref="G29" r:id="rId28" xr:uid="{00000000-0004-0000-1800-00001B000000}"/>
    <hyperlink ref="G30" r:id="rId29" xr:uid="{00000000-0004-0000-1800-00001C000000}"/>
    <hyperlink ref="G31" r:id="rId30" xr:uid="{00000000-0004-0000-1800-00001D000000}"/>
    <hyperlink ref="G32" r:id="rId31" xr:uid="{00000000-0004-0000-1800-00001E000000}"/>
    <hyperlink ref="I33" r:id="rId32" xr:uid="{00000000-0004-0000-1800-00001F000000}"/>
    <hyperlink ref="I34" r:id="rId33" xr:uid="{00000000-0004-0000-1800-000020000000}"/>
    <hyperlink ref="I35" r:id="rId34" xr:uid="{00000000-0004-0000-1800-000021000000}"/>
    <hyperlink ref="I36" r:id="rId35" xr:uid="{00000000-0004-0000-1800-000022000000}"/>
    <hyperlink ref="I37" r:id="rId36" xr:uid="{00000000-0004-0000-1800-000023000000}"/>
    <hyperlink ref="I38" r:id="rId37" xr:uid="{00000000-0004-0000-1800-000024000000}"/>
    <hyperlink ref="I39" r:id="rId38" xr:uid="{00000000-0004-0000-1800-000025000000}"/>
    <hyperlink ref="I40" r:id="rId39" xr:uid="{00000000-0004-0000-1800-000026000000}"/>
    <hyperlink ref="I41" r:id="rId40" xr:uid="{00000000-0004-0000-1800-000027000000}"/>
    <hyperlink ref="I42" r:id="rId41" xr:uid="{00000000-0004-0000-1800-000028000000}"/>
  </hyperlinks>
  <pageMargins left="0.75" right="0.75" top="1" bottom="1" header="0.511811023622047" footer="0.511811023622047"/>
  <pageSetup paperSize="9" orientation="portrait" horizontalDpi="300" verticalDpi="300"/>
  <drawing r:id="rId4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8"/>
  <sheetViews>
    <sheetView zoomScale="51" zoomScaleNormal="51" workbookViewId="0">
      <selection activeCell="N13" sqref="N13"/>
    </sheetView>
  </sheetViews>
  <sheetFormatPr defaultColWidth="8.609375" defaultRowHeight="15" x14ac:dyDescent="0.2"/>
  <cols>
    <col min="1" max="1" width="10.0859375" style="38" customWidth="1"/>
    <col min="2" max="2" width="19.7734375" style="38" customWidth="1"/>
    <col min="3" max="3" width="11.56640625" style="38" customWidth="1"/>
    <col min="4" max="4" width="15.46875" style="38" customWidth="1"/>
    <col min="5" max="5" width="12.77734375" style="38" customWidth="1"/>
    <col min="6" max="6" width="16.140625" style="38" customWidth="1"/>
    <col min="7" max="7" width="12.375" style="38" customWidth="1"/>
    <col min="8" max="8" width="2.95703125" style="38" customWidth="1"/>
    <col min="9" max="9" width="19.7734375" style="38" customWidth="1"/>
    <col min="10" max="10" width="12.77734375" style="38" customWidth="1"/>
    <col min="11" max="12" width="18.0234375" style="38" customWidth="1"/>
    <col min="13" max="13" width="2.95703125" style="38" customWidth="1"/>
    <col min="14" max="14" width="12.5078125" style="38" customWidth="1"/>
    <col min="15" max="15" width="16.0078125" style="38" customWidth="1"/>
    <col min="16" max="16" width="15.871093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777</v>
      </c>
      <c r="O1" s="107" t="s">
        <v>764</v>
      </c>
      <c r="P1" s="107" t="s">
        <v>765</v>
      </c>
    </row>
    <row r="2" spans="1:16" ht="15" customHeight="1" x14ac:dyDescent="0.2">
      <c r="A2" s="108">
        <v>46225</v>
      </c>
      <c r="B2" s="110" t="s">
        <v>33</v>
      </c>
      <c r="C2" s="110">
        <v>30</v>
      </c>
      <c r="D2" s="110">
        <v>15655</v>
      </c>
      <c r="E2" s="112">
        <f t="shared" ref="E2:E24" si="0">C2*D2</f>
        <v>469650</v>
      </c>
      <c r="F2" s="110" t="s">
        <v>50</v>
      </c>
      <c r="G2" s="71" t="s">
        <v>390</v>
      </c>
      <c r="I2" s="110" t="s">
        <v>33</v>
      </c>
      <c r="J2" s="110">
        <f>C2</f>
        <v>30</v>
      </c>
      <c r="K2" s="112">
        <f>E2</f>
        <v>469650</v>
      </c>
      <c r="L2" s="113">
        <f t="shared" ref="L2:L15" si="1">K2/K$15</f>
        <v>8.7165681610017795E-2</v>
      </c>
      <c r="N2" s="112">
        <f>K15</f>
        <v>5388015</v>
      </c>
      <c r="O2" s="110">
        <f>J15</f>
        <v>778</v>
      </c>
      <c r="P2" s="110">
        <f>COUNT(J2:J14)</f>
        <v>13</v>
      </c>
    </row>
    <row r="3" spans="1:16" ht="15" customHeight="1" x14ac:dyDescent="0.2">
      <c r="A3" s="108">
        <v>46225</v>
      </c>
      <c r="B3" s="110" t="s">
        <v>32</v>
      </c>
      <c r="C3" s="110">
        <v>15</v>
      </c>
      <c r="D3" s="110">
        <v>15655</v>
      </c>
      <c r="E3" s="112">
        <f t="shared" si="0"/>
        <v>234825</v>
      </c>
      <c r="F3" s="110" t="s">
        <v>50</v>
      </c>
      <c r="G3" s="71" t="s">
        <v>390</v>
      </c>
      <c r="I3" s="110" t="s">
        <v>32</v>
      </c>
      <c r="J3" s="110">
        <f>C3</f>
        <v>15</v>
      </c>
      <c r="K3" s="112">
        <f>E3</f>
        <v>234825</v>
      </c>
      <c r="L3" s="113">
        <f t="shared" si="1"/>
        <v>4.3582840805008898E-2</v>
      </c>
    </row>
    <row r="4" spans="1:16" ht="15" customHeight="1" x14ac:dyDescent="0.2">
      <c r="A4" s="108">
        <v>46225</v>
      </c>
      <c r="B4" s="110" t="s">
        <v>70</v>
      </c>
      <c r="C4" s="110">
        <v>20</v>
      </c>
      <c r="D4" s="110">
        <v>13100</v>
      </c>
      <c r="E4" s="112">
        <f t="shared" si="0"/>
        <v>262000</v>
      </c>
      <c r="F4" s="110" t="s">
        <v>50</v>
      </c>
      <c r="G4" s="71" t="s">
        <v>390</v>
      </c>
      <c r="I4" s="110" t="s">
        <v>70</v>
      </c>
      <c r="J4" s="110">
        <f>C4+C18</f>
        <v>21</v>
      </c>
      <c r="K4" s="112">
        <f>E4+E18</f>
        <v>275460</v>
      </c>
      <c r="L4" s="113">
        <f t="shared" si="1"/>
        <v>5.1124579274556582E-2</v>
      </c>
    </row>
    <row r="5" spans="1:16" ht="15" customHeight="1" x14ac:dyDescent="0.2">
      <c r="A5" s="108">
        <v>46225</v>
      </c>
      <c r="B5" s="110" t="s">
        <v>31</v>
      </c>
      <c r="C5" s="110">
        <v>40</v>
      </c>
      <c r="D5" s="110">
        <v>17200</v>
      </c>
      <c r="E5" s="112">
        <f t="shared" si="0"/>
        <v>688000</v>
      </c>
      <c r="F5" s="110" t="s">
        <v>50</v>
      </c>
      <c r="G5" s="71" t="s">
        <v>390</v>
      </c>
      <c r="I5" s="110" t="s">
        <v>31</v>
      </c>
      <c r="J5" s="110">
        <f>C5</f>
        <v>40</v>
      </c>
      <c r="K5" s="112">
        <f>E5</f>
        <v>688000</v>
      </c>
      <c r="L5" s="113">
        <f t="shared" si="1"/>
        <v>0.12769081006641592</v>
      </c>
    </row>
    <row r="6" spans="1:16" ht="15" customHeight="1" x14ac:dyDescent="0.2">
      <c r="A6" s="108">
        <v>46225</v>
      </c>
      <c r="B6" s="110" t="s">
        <v>24</v>
      </c>
      <c r="C6" s="110">
        <v>40</v>
      </c>
      <c r="D6" s="110">
        <v>5000</v>
      </c>
      <c r="E6" s="112">
        <f t="shared" si="0"/>
        <v>200000</v>
      </c>
      <c r="F6" s="110" t="s">
        <v>75</v>
      </c>
      <c r="G6" s="71" t="s">
        <v>392</v>
      </c>
      <c r="I6" s="110" t="s">
        <v>24</v>
      </c>
      <c r="J6" s="110">
        <f>C6+C7+C9+C12</f>
        <v>598</v>
      </c>
      <c r="K6" s="112">
        <f>E6+E7+E9+E12</f>
        <v>2990000</v>
      </c>
      <c r="L6" s="113">
        <f t="shared" si="1"/>
        <v>0.55493535188747622</v>
      </c>
    </row>
    <row r="7" spans="1:16" ht="15" customHeight="1" x14ac:dyDescent="0.2">
      <c r="A7" s="108">
        <v>46225</v>
      </c>
      <c r="B7" s="110" t="s">
        <v>24</v>
      </c>
      <c r="C7" s="110">
        <v>100</v>
      </c>
      <c r="D7" s="110">
        <v>5000</v>
      </c>
      <c r="E7" s="112">
        <f t="shared" si="0"/>
        <v>500000</v>
      </c>
      <c r="F7" s="110" t="s">
        <v>394</v>
      </c>
      <c r="G7" s="71" t="s">
        <v>395</v>
      </c>
      <c r="I7" s="110" t="s">
        <v>22</v>
      </c>
      <c r="J7" s="110">
        <f>C8+C14+C17+C21</f>
        <v>64</v>
      </c>
      <c r="K7" s="112">
        <f>E8+E14+E17+E21</f>
        <v>589700</v>
      </c>
      <c r="L7" s="113">
        <f t="shared" si="1"/>
        <v>0.10944661438396144</v>
      </c>
    </row>
    <row r="8" spans="1:16" ht="15" customHeight="1" x14ac:dyDescent="0.2">
      <c r="A8" s="108">
        <v>46225</v>
      </c>
      <c r="B8" s="110" t="s">
        <v>22</v>
      </c>
      <c r="C8" s="110">
        <v>2</v>
      </c>
      <c r="D8" s="110">
        <v>9500</v>
      </c>
      <c r="E8" s="112">
        <f t="shared" si="0"/>
        <v>19000</v>
      </c>
      <c r="F8" s="110" t="s">
        <v>15</v>
      </c>
      <c r="G8" s="71" t="s">
        <v>396</v>
      </c>
      <c r="I8" s="110" t="s">
        <v>190</v>
      </c>
      <c r="J8" s="110">
        <f>C10</f>
        <v>1</v>
      </c>
      <c r="K8" s="112">
        <f>E10</f>
        <v>28445</v>
      </c>
      <c r="L8" s="113">
        <f t="shared" si="1"/>
        <v>5.2793097272372108E-3</v>
      </c>
    </row>
    <row r="9" spans="1:16" ht="15" customHeight="1" x14ac:dyDescent="0.2">
      <c r="A9" s="108">
        <v>46225</v>
      </c>
      <c r="B9" s="110" t="s">
        <v>24</v>
      </c>
      <c r="C9" s="110">
        <v>248</v>
      </c>
      <c r="D9" s="110">
        <v>5000</v>
      </c>
      <c r="E9" s="112">
        <f t="shared" si="0"/>
        <v>1240000</v>
      </c>
      <c r="F9" s="110" t="s">
        <v>50</v>
      </c>
      <c r="G9" s="71" t="s">
        <v>397</v>
      </c>
      <c r="I9" s="110" t="s">
        <v>56</v>
      </c>
      <c r="J9" s="110">
        <f>C11</f>
        <v>1</v>
      </c>
      <c r="K9" s="112">
        <f>E11</f>
        <v>24235</v>
      </c>
      <c r="L9" s="113">
        <f t="shared" si="1"/>
        <v>4.4979459040110316E-3</v>
      </c>
    </row>
    <row r="10" spans="1:16" ht="15" customHeight="1" x14ac:dyDescent="0.2">
      <c r="A10" s="108">
        <v>46225</v>
      </c>
      <c r="B10" s="110" t="s">
        <v>190</v>
      </c>
      <c r="C10" s="110">
        <v>1</v>
      </c>
      <c r="D10" s="110">
        <v>28445</v>
      </c>
      <c r="E10" s="112">
        <f t="shared" si="0"/>
        <v>28445</v>
      </c>
      <c r="F10" s="110" t="s">
        <v>25</v>
      </c>
      <c r="G10" s="71" t="s">
        <v>398</v>
      </c>
      <c r="I10" s="110" t="s">
        <v>21</v>
      </c>
      <c r="J10" s="110">
        <f>C13+C22</f>
        <v>2</v>
      </c>
      <c r="K10" s="112">
        <f>E13+E22</f>
        <v>18000</v>
      </c>
      <c r="L10" s="113">
        <f t="shared" si="1"/>
        <v>3.3407479377841375E-3</v>
      </c>
    </row>
    <row r="11" spans="1:16" ht="15" customHeight="1" x14ac:dyDescent="0.2">
      <c r="A11" s="108">
        <v>46225</v>
      </c>
      <c r="B11" s="110" t="s">
        <v>56</v>
      </c>
      <c r="C11" s="110">
        <v>1</v>
      </c>
      <c r="D11" s="110">
        <v>24235</v>
      </c>
      <c r="E11" s="112">
        <f t="shared" si="0"/>
        <v>24235</v>
      </c>
      <c r="F11" s="110" t="s">
        <v>25</v>
      </c>
      <c r="G11" s="71" t="s">
        <v>398</v>
      </c>
      <c r="I11" s="110" t="s">
        <v>44</v>
      </c>
      <c r="J11" s="110">
        <f>C15+C20</f>
        <v>2</v>
      </c>
      <c r="K11" s="112">
        <f>E15+E20</f>
        <v>18700</v>
      </c>
      <c r="L11" s="113">
        <f t="shared" si="1"/>
        <v>3.4706659131424097E-3</v>
      </c>
    </row>
    <row r="12" spans="1:16" ht="15" customHeight="1" x14ac:dyDescent="0.2">
      <c r="A12" s="108">
        <v>46225</v>
      </c>
      <c r="B12" s="110" t="s">
        <v>24</v>
      </c>
      <c r="C12" s="110">
        <v>210</v>
      </c>
      <c r="D12" s="110">
        <v>5000</v>
      </c>
      <c r="E12" s="112">
        <f t="shared" si="0"/>
        <v>1050000</v>
      </c>
      <c r="F12" s="110" t="s">
        <v>25</v>
      </c>
      <c r="G12" s="71" t="s">
        <v>400</v>
      </c>
      <c r="I12" s="110" t="s">
        <v>45</v>
      </c>
      <c r="J12" s="110">
        <f>C16+C19</f>
        <v>2</v>
      </c>
      <c r="K12" s="112">
        <f>E16+E19</f>
        <v>27900</v>
      </c>
      <c r="L12" s="113">
        <f t="shared" si="1"/>
        <v>5.1781593035654131E-3</v>
      </c>
    </row>
    <row r="13" spans="1:16" ht="15" customHeight="1" x14ac:dyDescent="0.2">
      <c r="A13" s="108">
        <v>46225</v>
      </c>
      <c r="B13" s="110" t="s">
        <v>21</v>
      </c>
      <c r="C13" s="110">
        <v>1</v>
      </c>
      <c r="D13" s="110">
        <v>9000</v>
      </c>
      <c r="E13" s="112">
        <f t="shared" si="0"/>
        <v>9000</v>
      </c>
      <c r="F13" s="110" t="s">
        <v>15</v>
      </c>
      <c r="G13" s="71" t="s">
        <v>402</v>
      </c>
      <c r="I13" s="110" t="s">
        <v>119</v>
      </c>
      <c r="J13" s="110">
        <f>C23</f>
        <v>1</v>
      </c>
      <c r="K13" s="112">
        <f>E23</f>
        <v>13900</v>
      </c>
      <c r="L13" s="113">
        <f t="shared" si="1"/>
        <v>2.5797997963999727E-3</v>
      </c>
    </row>
    <row r="14" spans="1:16" ht="15" customHeight="1" x14ac:dyDescent="0.2">
      <c r="A14" s="108">
        <v>46225</v>
      </c>
      <c r="B14" s="110" t="s">
        <v>22</v>
      </c>
      <c r="C14" s="110">
        <v>1</v>
      </c>
      <c r="D14" s="110">
        <v>9500</v>
      </c>
      <c r="E14" s="112">
        <f t="shared" si="0"/>
        <v>9500</v>
      </c>
      <c r="F14" s="110" t="s">
        <v>15</v>
      </c>
      <c r="G14" s="71" t="s">
        <v>402</v>
      </c>
      <c r="I14" s="110" t="s">
        <v>37</v>
      </c>
      <c r="J14" s="110">
        <f>C24</f>
        <v>1</v>
      </c>
      <c r="K14" s="112">
        <f>E24</f>
        <v>9200</v>
      </c>
      <c r="L14" s="113">
        <f t="shared" si="1"/>
        <v>1.7074933904230036E-3</v>
      </c>
    </row>
    <row r="15" spans="1:16" ht="15" customHeight="1" x14ac:dyDescent="0.2">
      <c r="A15" s="108">
        <v>46225</v>
      </c>
      <c r="B15" s="110" t="s">
        <v>44</v>
      </c>
      <c r="C15" s="110">
        <v>1</v>
      </c>
      <c r="D15" s="110">
        <v>9500</v>
      </c>
      <c r="E15" s="112">
        <f t="shared" si="0"/>
        <v>9500</v>
      </c>
      <c r="F15" s="110" t="s">
        <v>15</v>
      </c>
      <c r="G15" s="71" t="s">
        <v>402</v>
      </c>
      <c r="I15" s="110" t="s">
        <v>768</v>
      </c>
      <c r="J15" s="110">
        <f>SUM(J2:J14)</f>
        <v>778</v>
      </c>
      <c r="K15" s="112">
        <f>SUM(K2:K14)</f>
        <v>5388015</v>
      </c>
      <c r="L15" s="113">
        <f t="shared" si="1"/>
        <v>1</v>
      </c>
    </row>
    <row r="16" spans="1:16" ht="15" customHeight="1" x14ac:dyDescent="0.2">
      <c r="A16" s="108">
        <v>46225</v>
      </c>
      <c r="B16" s="110" t="s">
        <v>45</v>
      </c>
      <c r="C16" s="110">
        <v>1</v>
      </c>
      <c r="D16" s="110">
        <v>13950</v>
      </c>
      <c r="E16" s="112">
        <f t="shared" si="0"/>
        <v>13950</v>
      </c>
      <c r="F16" s="110" t="s">
        <v>15</v>
      </c>
      <c r="G16" s="71" t="s">
        <v>402</v>
      </c>
    </row>
    <row r="17" spans="1:12" ht="25.5" customHeight="1" x14ac:dyDescent="0.2">
      <c r="A17" s="108">
        <v>46225</v>
      </c>
      <c r="B17" s="110" t="s">
        <v>22</v>
      </c>
      <c r="C17" s="110">
        <v>60</v>
      </c>
      <c r="D17" s="110">
        <v>9200</v>
      </c>
      <c r="E17" s="112">
        <f t="shared" si="0"/>
        <v>552000</v>
      </c>
      <c r="F17" s="110" t="s">
        <v>75</v>
      </c>
      <c r="G17" s="71" t="s">
        <v>403</v>
      </c>
      <c r="I17" s="107" t="s">
        <v>758</v>
      </c>
      <c r="J17" s="107" t="s">
        <v>757</v>
      </c>
      <c r="K17" s="107" t="s">
        <v>762</v>
      </c>
      <c r="L17" s="107" t="s">
        <v>769</v>
      </c>
    </row>
    <row r="18" spans="1:12" ht="15" customHeight="1" x14ac:dyDescent="0.2">
      <c r="A18" s="108">
        <v>46225</v>
      </c>
      <c r="B18" s="110" t="s">
        <v>70</v>
      </c>
      <c r="C18" s="110">
        <v>1</v>
      </c>
      <c r="D18" s="110">
        <v>13460</v>
      </c>
      <c r="E18" s="112">
        <f t="shared" si="0"/>
        <v>13460</v>
      </c>
      <c r="F18" s="110" t="s">
        <v>122</v>
      </c>
      <c r="G18" s="71" t="s">
        <v>405</v>
      </c>
      <c r="I18" s="110" t="s">
        <v>50</v>
      </c>
      <c r="J18" s="112">
        <f>E2+E3+E4+E5+E9</f>
        <v>2894475</v>
      </c>
      <c r="K18" s="113">
        <f t="shared" ref="K18:K24" si="2">J18/J$24</f>
        <v>0.53720618817876342</v>
      </c>
      <c r="L18" s="113">
        <v>-1.09E-2</v>
      </c>
    </row>
    <row r="19" spans="1:12" ht="15" customHeight="1" x14ac:dyDescent="0.2">
      <c r="A19" s="108">
        <v>46225</v>
      </c>
      <c r="B19" s="110" t="s">
        <v>45</v>
      </c>
      <c r="C19" s="110">
        <v>1</v>
      </c>
      <c r="D19" s="110">
        <v>13950</v>
      </c>
      <c r="E19" s="112">
        <f t="shared" si="0"/>
        <v>13950</v>
      </c>
      <c r="F19" s="110" t="s">
        <v>122</v>
      </c>
      <c r="G19" s="71" t="s">
        <v>405</v>
      </c>
      <c r="I19" s="110" t="s">
        <v>75</v>
      </c>
      <c r="J19" s="112">
        <f>E6+E17</f>
        <v>752000</v>
      </c>
      <c r="K19" s="113">
        <f t="shared" si="2"/>
        <v>0.13956902495631507</v>
      </c>
      <c r="L19" s="113">
        <v>3.27E-2</v>
      </c>
    </row>
    <row r="20" spans="1:12" ht="15" customHeight="1" x14ac:dyDescent="0.2">
      <c r="A20" s="108">
        <v>46225</v>
      </c>
      <c r="B20" s="110" t="s">
        <v>44</v>
      </c>
      <c r="C20" s="110">
        <v>1</v>
      </c>
      <c r="D20" s="110">
        <v>9200</v>
      </c>
      <c r="E20" s="112">
        <f t="shared" si="0"/>
        <v>9200</v>
      </c>
      <c r="F20" s="110" t="s">
        <v>122</v>
      </c>
      <c r="G20" s="71" t="s">
        <v>405</v>
      </c>
      <c r="I20" s="110" t="s">
        <v>394</v>
      </c>
      <c r="J20" s="112">
        <f>E7</f>
        <v>500000</v>
      </c>
      <c r="K20" s="113">
        <f t="shared" si="2"/>
        <v>9.2798553827337149E-2</v>
      </c>
      <c r="L20" s="113">
        <v>-0.04</v>
      </c>
    </row>
    <row r="21" spans="1:12" ht="15" customHeight="1" x14ac:dyDescent="0.2">
      <c r="A21" s="108">
        <v>46225</v>
      </c>
      <c r="B21" s="110" t="s">
        <v>22</v>
      </c>
      <c r="C21" s="110">
        <v>1</v>
      </c>
      <c r="D21" s="110">
        <v>9200</v>
      </c>
      <c r="E21" s="112">
        <f t="shared" si="0"/>
        <v>9200</v>
      </c>
      <c r="F21" s="110" t="s">
        <v>122</v>
      </c>
      <c r="G21" s="71" t="s">
        <v>405</v>
      </c>
      <c r="I21" s="110" t="s">
        <v>15</v>
      </c>
      <c r="J21" s="112">
        <f>E8+E13+E14+E15+E16+E23+E24</f>
        <v>84050</v>
      </c>
      <c r="K21" s="113">
        <f t="shared" si="2"/>
        <v>1.5599436898375375E-2</v>
      </c>
      <c r="L21" s="113">
        <v>8.6900000000000005E-2</v>
      </c>
    </row>
    <row r="22" spans="1:12" ht="15" customHeight="1" x14ac:dyDescent="0.2">
      <c r="A22" s="108">
        <v>46225</v>
      </c>
      <c r="B22" s="110" t="s">
        <v>21</v>
      </c>
      <c r="C22" s="110">
        <v>1</v>
      </c>
      <c r="D22" s="110">
        <v>9000</v>
      </c>
      <c r="E22" s="112">
        <f t="shared" si="0"/>
        <v>9000</v>
      </c>
      <c r="F22" s="110" t="s">
        <v>122</v>
      </c>
      <c r="G22" s="71" t="s">
        <v>405</v>
      </c>
      <c r="I22" s="110" t="s">
        <v>25</v>
      </c>
      <c r="J22" s="112">
        <f>E10+E11+E12</f>
        <v>1102680</v>
      </c>
      <c r="K22" s="113">
        <f t="shared" si="2"/>
        <v>0.20465421866865627</v>
      </c>
      <c r="L22" s="113">
        <v>-3.4000000000000002E-2</v>
      </c>
    </row>
    <row r="23" spans="1:12" ht="15" customHeight="1" x14ac:dyDescent="0.2">
      <c r="A23" s="108">
        <v>46225</v>
      </c>
      <c r="B23" s="110" t="s">
        <v>119</v>
      </c>
      <c r="C23" s="110">
        <v>1</v>
      </c>
      <c r="D23" s="110">
        <v>13900</v>
      </c>
      <c r="E23" s="112">
        <f t="shared" si="0"/>
        <v>13900</v>
      </c>
      <c r="F23" s="110" t="s">
        <v>15</v>
      </c>
      <c r="G23" s="71" t="s">
        <v>406</v>
      </c>
      <c r="I23" s="110" t="s">
        <v>122</v>
      </c>
      <c r="J23" s="112">
        <f>E18+E19+E20+E21+E22</f>
        <v>54810</v>
      </c>
      <c r="K23" s="113">
        <f t="shared" si="2"/>
        <v>1.01725774705527E-2</v>
      </c>
      <c r="L23" s="113">
        <v>6.2700000000000006E-2</v>
      </c>
    </row>
    <row r="24" spans="1:12" ht="15" customHeight="1" x14ac:dyDescent="0.2">
      <c r="A24" s="108">
        <v>46225</v>
      </c>
      <c r="B24" s="110" t="s">
        <v>37</v>
      </c>
      <c r="C24" s="110">
        <v>1</v>
      </c>
      <c r="D24" s="110">
        <v>9200</v>
      </c>
      <c r="E24" s="112">
        <f t="shared" si="0"/>
        <v>9200</v>
      </c>
      <c r="F24" s="110" t="s">
        <v>15</v>
      </c>
      <c r="G24" s="71" t="s">
        <v>406</v>
      </c>
      <c r="I24" s="110" t="s">
        <v>770</v>
      </c>
      <c r="J24" s="112">
        <f>SUM(J18:J23)</f>
        <v>5388015</v>
      </c>
      <c r="K24" s="113">
        <f t="shared" si="2"/>
        <v>1</v>
      </c>
      <c r="L24" s="72"/>
    </row>
    <row r="25" spans="1:12" ht="15" customHeight="1" x14ac:dyDescent="0.2">
      <c r="A25" s="72"/>
      <c r="B25" s="110" t="s">
        <v>768</v>
      </c>
      <c r="C25" s="110">
        <f>SUM(C2:C24)</f>
        <v>778</v>
      </c>
      <c r="D25" s="110">
        <f>SUM(D2:D24)</f>
        <v>272850</v>
      </c>
      <c r="E25" s="112">
        <f>SUM(E2:E24)</f>
        <v>5388015</v>
      </c>
      <c r="F25" s="72"/>
      <c r="G25" s="72"/>
    </row>
    <row r="26" spans="1:12" ht="25.5" customHeight="1" x14ac:dyDescent="0.2">
      <c r="I26" s="107" t="s">
        <v>759</v>
      </c>
      <c r="J26" s="107" t="s">
        <v>757</v>
      </c>
      <c r="K26" s="107" t="s">
        <v>769</v>
      </c>
    </row>
    <row r="27" spans="1:12" ht="15" customHeight="1" x14ac:dyDescent="0.2">
      <c r="I27" s="133" t="s">
        <v>390</v>
      </c>
      <c r="J27" s="112">
        <v>1654475</v>
      </c>
      <c r="K27" s="113">
        <v>0.01</v>
      </c>
    </row>
    <row r="28" spans="1:12" ht="15" customHeight="1" x14ac:dyDescent="0.2">
      <c r="I28" s="133" t="s">
        <v>392</v>
      </c>
      <c r="J28" s="112">
        <v>200000</v>
      </c>
      <c r="K28" s="113">
        <v>-0.04</v>
      </c>
    </row>
    <row r="29" spans="1:12" ht="15" customHeight="1" x14ac:dyDescent="0.2">
      <c r="I29" s="133" t="s">
        <v>395</v>
      </c>
      <c r="J29" s="112">
        <v>500000</v>
      </c>
      <c r="K29" s="113">
        <v>-0.04</v>
      </c>
    </row>
    <row r="30" spans="1:12" ht="15" customHeight="1" x14ac:dyDescent="0.2">
      <c r="I30" s="133" t="s">
        <v>396</v>
      </c>
      <c r="J30" s="112">
        <v>19000</v>
      </c>
      <c r="K30" s="113">
        <v>0.09</v>
      </c>
    </row>
    <row r="31" spans="1:12" ht="15" customHeight="1" x14ac:dyDescent="0.2">
      <c r="I31" s="133" t="s">
        <v>397</v>
      </c>
      <c r="J31" s="112">
        <v>1240000</v>
      </c>
      <c r="K31" s="113">
        <v>-0.04</v>
      </c>
    </row>
    <row r="32" spans="1:12" ht="15" customHeight="1" x14ac:dyDescent="0.2">
      <c r="I32" s="133" t="s">
        <v>398</v>
      </c>
      <c r="J32" s="112">
        <v>52680</v>
      </c>
      <c r="K32" s="113">
        <v>0.09</v>
      </c>
    </row>
    <row r="33" spans="9:11" ht="15" customHeight="1" x14ac:dyDescent="0.2">
      <c r="I33" s="133" t="s">
        <v>400</v>
      </c>
      <c r="J33" s="112">
        <v>1050000</v>
      </c>
      <c r="K33" s="113">
        <v>-0.04</v>
      </c>
    </row>
    <row r="34" spans="9:11" ht="15" customHeight="1" x14ac:dyDescent="0.2">
      <c r="I34" s="133" t="s">
        <v>402</v>
      </c>
      <c r="J34" s="112">
        <v>41950</v>
      </c>
      <c r="K34" s="113">
        <v>0.08</v>
      </c>
    </row>
    <row r="35" spans="9:11" ht="15" customHeight="1" x14ac:dyDescent="0.2">
      <c r="I35" s="133" t="s">
        <v>403</v>
      </c>
      <c r="J35" s="112">
        <v>552000</v>
      </c>
      <c r="K35" s="113">
        <v>0.06</v>
      </c>
    </row>
    <row r="36" spans="9:11" ht="15" customHeight="1" x14ac:dyDescent="0.2">
      <c r="I36" s="133" t="s">
        <v>405</v>
      </c>
      <c r="J36" s="112">
        <v>54810</v>
      </c>
      <c r="K36" s="113">
        <v>0.06</v>
      </c>
    </row>
    <row r="37" spans="9:11" ht="15" customHeight="1" x14ac:dyDescent="0.2">
      <c r="I37" s="133" t="s">
        <v>406</v>
      </c>
      <c r="J37" s="112">
        <v>23100</v>
      </c>
      <c r="K37" s="113">
        <v>0.09</v>
      </c>
    </row>
    <row r="38" spans="9:11" ht="15" customHeight="1" x14ac:dyDescent="0.2">
      <c r="I38" s="110" t="s">
        <v>770</v>
      </c>
      <c r="J38" s="112">
        <f>SUM(J27:J37)</f>
        <v>5388015</v>
      </c>
      <c r="K38" s="72"/>
    </row>
  </sheetData>
  <hyperlinks>
    <hyperlink ref="G2" r:id="rId1" xr:uid="{00000000-0004-0000-1900-000000000000}"/>
    <hyperlink ref="G3" r:id="rId2" xr:uid="{00000000-0004-0000-1900-000001000000}"/>
    <hyperlink ref="G4" r:id="rId3" xr:uid="{00000000-0004-0000-1900-000002000000}"/>
    <hyperlink ref="G5" r:id="rId4" xr:uid="{00000000-0004-0000-1900-000003000000}"/>
    <hyperlink ref="G6" r:id="rId5" xr:uid="{00000000-0004-0000-1900-000004000000}"/>
    <hyperlink ref="G7" r:id="rId6" xr:uid="{00000000-0004-0000-1900-000005000000}"/>
    <hyperlink ref="G8" r:id="rId7" xr:uid="{00000000-0004-0000-1900-000006000000}"/>
    <hyperlink ref="G9" r:id="rId8" xr:uid="{00000000-0004-0000-1900-000007000000}"/>
    <hyperlink ref="G10" r:id="rId9" xr:uid="{00000000-0004-0000-1900-000008000000}"/>
    <hyperlink ref="G11" r:id="rId10" xr:uid="{00000000-0004-0000-1900-000009000000}"/>
    <hyperlink ref="G12" r:id="rId11" xr:uid="{00000000-0004-0000-1900-00000A000000}"/>
    <hyperlink ref="G13" r:id="rId12" xr:uid="{00000000-0004-0000-1900-00000B000000}"/>
    <hyperlink ref="G14" r:id="rId13" xr:uid="{00000000-0004-0000-1900-00000C000000}"/>
    <hyperlink ref="G15" r:id="rId14" xr:uid="{00000000-0004-0000-1900-00000D000000}"/>
    <hyperlink ref="G16" r:id="rId15" xr:uid="{00000000-0004-0000-1900-00000E000000}"/>
    <hyperlink ref="G17" r:id="rId16" xr:uid="{00000000-0004-0000-1900-00000F000000}"/>
    <hyperlink ref="G18" r:id="rId17" xr:uid="{00000000-0004-0000-1900-000010000000}"/>
    <hyperlink ref="G19" r:id="rId18" xr:uid="{00000000-0004-0000-1900-000011000000}"/>
    <hyperlink ref="G20" r:id="rId19" xr:uid="{00000000-0004-0000-1900-000012000000}"/>
    <hyperlink ref="G21" r:id="rId20" xr:uid="{00000000-0004-0000-1900-000013000000}"/>
    <hyperlink ref="G22" r:id="rId21" xr:uid="{00000000-0004-0000-1900-000014000000}"/>
    <hyperlink ref="G23" r:id="rId22" xr:uid="{00000000-0004-0000-1900-000015000000}"/>
    <hyperlink ref="G24" r:id="rId23" xr:uid="{00000000-0004-0000-1900-000016000000}"/>
    <hyperlink ref="I27" r:id="rId24" xr:uid="{00000000-0004-0000-1900-000017000000}"/>
    <hyperlink ref="I28" r:id="rId25" xr:uid="{00000000-0004-0000-1900-000018000000}"/>
    <hyperlink ref="I29" r:id="rId26" xr:uid="{00000000-0004-0000-1900-000019000000}"/>
    <hyperlink ref="I30" r:id="rId27" xr:uid="{00000000-0004-0000-1900-00001A000000}"/>
    <hyperlink ref="I31" r:id="rId28" xr:uid="{00000000-0004-0000-1900-00001B000000}"/>
    <hyperlink ref="I32" r:id="rId29" xr:uid="{00000000-0004-0000-1900-00001C000000}"/>
    <hyperlink ref="I33" r:id="rId30" xr:uid="{00000000-0004-0000-1900-00001D000000}"/>
    <hyperlink ref="I34" r:id="rId31" xr:uid="{00000000-0004-0000-1900-00001E000000}"/>
    <hyperlink ref="I35" r:id="rId32" xr:uid="{00000000-0004-0000-1900-00001F000000}"/>
    <hyperlink ref="I36" r:id="rId33" xr:uid="{00000000-0004-0000-1900-000020000000}"/>
    <hyperlink ref="I37" r:id="rId34" xr:uid="{00000000-0004-0000-1900-000021000000}"/>
  </hyperlinks>
  <pageMargins left="0.75" right="0.75" top="1" bottom="1" header="0.511811023622047" footer="0.511811023622047"/>
  <pageSetup paperSize="9" orientation="portrait" horizontalDpi="300" verticalDpi="300"/>
  <drawing r:id="rId3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6"/>
  <sheetViews>
    <sheetView topLeftCell="F1" zoomScale="68" zoomScaleNormal="68" workbookViewId="0">
      <selection activeCell="Y33" sqref="Y33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0.89453125" style="38" customWidth="1"/>
    <col min="4" max="4" width="14.66015625" style="38" customWidth="1"/>
    <col min="5" max="5" width="12.5078125" style="38" customWidth="1"/>
    <col min="6" max="6" width="37.125" style="38" customWidth="1"/>
    <col min="7" max="7" width="12.77734375" style="38" customWidth="1"/>
    <col min="8" max="8" width="2.95703125" style="38" customWidth="1"/>
    <col min="9" max="9" width="37.1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238281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46226</v>
      </c>
      <c r="B2" s="110" t="s">
        <v>24</v>
      </c>
      <c r="C2" s="110">
        <v>496</v>
      </c>
      <c r="D2" s="110">
        <v>5000</v>
      </c>
      <c r="E2" s="112">
        <f t="shared" ref="E2:E23" si="0">C2*D2</f>
        <v>2480000</v>
      </c>
      <c r="F2" s="110" t="s">
        <v>50</v>
      </c>
      <c r="G2" s="71" t="s">
        <v>407</v>
      </c>
      <c r="I2" s="110" t="s">
        <v>24</v>
      </c>
      <c r="J2" s="110">
        <f>C2+C4+C19</f>
        <v>804</v>
      </c>
      <c r="K2" s="112">
        <f>E2+E4+E19</f>
        <v>4020000</v>
      </c>
      <c r="L2" s="113">
        <f t="shared" ref="L2:L15" si="1">K2/K$15</f>
        <v>0.7839336503519414</v>
      </c>
      <c r="N2" s="112">
        <f>K15</f>
        <v>5127985</v>
      </c>
      <c r="O2" s="110">
        <f>J15</f>
        <v>916</v>
      </c>
      <c r="P2" s="110">
        <f>COUNT(J2:J14)</f>
        <v>13</v>
      </c>
    </row>
    <row r="3" spans="1:16" ht="15" customHeight="1" x14ac:dyDescent="0.2">
      <c r="A3" s="108">
        <v>46226</v>
      </c>
      <c r="B3" s="110" t="s">
        <v>101</v>
      </c>
      <c r="C3" s="110">
        <v>5</v>
      </c>
      <c r="D3" s="110">
        <v>13550</v>
      </c>
      <c r="E3" s="112">
        <f t="shared" si="0"/>
        <v>67750</v>
      </c>
      <c r="F3" s="110" t="s">
        <v>50</v>
      </c>
      <c r="G3" s="71" t="s">
        <v>409</v>
      </c>
      <c r="I3" s="110" t="s">
        <v>101</v>
      </c>
      <c r="J3" s="110">
        <f>C3</f>
        <v>5</v>
      </c>
      <c r="K3" s="112">
        <f>E3</f>
        <v>67750</v>
      </c>
      <c r="L3" s="113">
        <f t="shared" si="1"/>
        <v>1.3211817117249757E-2</v>
      </c>
    </row>
    <row r="4" spans="1:16" ht="15" customHeight="1" x14ac:dyDescent="0.2">
      <c r="A4" s="108">
        <v>46226</v>
      </c>
      <c r="B4" s="110" t="s">
        <v>24</v>
      </c>
      <c r="C4" s="110">
        <v>248</v>
      </c>
      <c r="D4" s="110">
        <v>5000</v>
      </c>
      <c r="E4" s="112">
        <f t="shared" si="0"/>
        <v>1240000</v>
      </c>
      <c r="F4" s="110" t="s">
        <v>25</v>
      </c>
      <c r="G4" s="71" t="s">
        <v>411</v>
      </c>
      <c r="I4" s="110" t="s">
        <v>22</v>
      </c>
      <c r="J4" s="110">
        <f>C5+C8+C13+C20+C22</f>
        <v>51</v>
      </c>
      <c r="K4" s="112">
        <f>E5+E8+E13+E20+E22</f>
        <v>465740</v>
      </c>
      <c r="L4" s="113">
        <f t="shared" si="1"/>
        <v>9.0823198585799292E-2</v>
      </c>
    </row>
    <row r="5" spans="1:16" ht="15" customHeight="1" x14ac:dyDescent="0.2">
      <c r="A5" s="108">
        <v>46226</v>
      </c>
      <c r="B5" s="110" t="s">
        <v>22</v>
      </c>
      <c r="C5" s="110">
        <v>4</v>
      </c>
      <c r="D5" s="110">
        <v>9335</v>
      </c>
      <c r="E5" s="112">
        <f t="shared" si="0"/>
        <v>37340</v>
      </c>
      <c r="F5" s="110" t="s">
        <v>341</v>
      </c>
      <c r="G5" s="71" t="s">
        <v>412</v>
      </c>
      <c r="I5" s="110" t="s">
        <v>45</v>
      </c>
      <c r="J5" s="110">
        <f>C6+C18</f>
        <v>9</v>
      </c>
      <c r="K5" s="112">
        <f>E6+E18</f>
        <v>120015</v>
      </c>
      <c r="L5" s="113">
        <f t="shared" si="1"/>
        <v>2.3403929613678667E-2</v>
      </c>
    </row>
    <row r="6" spans="1:16" ht="15" customHeight="1" x14ac:dyDescent="0.2">
      <c r="A6" s="108">
        <v>46226</v>
      </c>
      <c r="B6" s="110" t="s">
        <v>45</v>
      </c>
      <c r="C6" s="110">
        <v>5</v>
      </c>
      <c r="D6" s="110">
        <v>13335</v>
      </c>
      <c r="E6" s="112">
        <f t="shared" si="0"/>
        <v>66675</v>
      </c>
      <c r="F6" s="110" t="s">
        <v>29</v>
      </c>
      <c r="G6" s="71" t="s">
        <v>414</v>
      </c>
      <c r="I6" s="110" t="s">
        <v>44</v>
      </c>
      <c r="J6" s="110">
        <f>C7+C14</f>
        <v>16</v>
      </c>
      <c r="K6" s="112">
        <f>E7+E14</f>
        <v>147200</v>
      </c>
      <c r="L6" s="113">
        <f t="shared" si="1"/>
        <v>2.8705232172090988E-2</v>
      </c>
    </row>
    <row r="7" spans="1:16" ht="15" customHeight="1" x14ac:dyDescent="0.2">
      <c r="A7" s="108">
        <v>46226</v>
      </c>
      <c r="B7" s="110" t="s">
        <v>44</v>
      </c>
      <c r="C7" s="110">
        <v>10</v>
      </c>
      <c r="D7" s="110">
        <v>9200</v>
      </c>
      <c r="E7" s="112">
        <f t="shared" si="0"/>
        <v>92000</v>
      </c>
      <c r="F7" s="110" t="s">
        <v>29</v>
      </c>
      <c r="G7" s="71" t="s">
        <v>414</v>
      </c>
      <c r="I7" s="110" t="s">
        <v>87</v>
      </c>
      <c r="J7" s="110">
        <f>C9</f>
        <v>1</v>
      </c>
      <c r="K7" s="112">
        <f>E9</f>
        <v>21400</v>
      </c>
      <c r="L7" s="113">
        <f t="shared" si="1"/>
        <v>4.1731791337143147E-3</v>
      </c>
    </row>
    <row r="8" spans="1:16" ht="15" customHeight="1" x14ac:dyDescent="0.2">
      <c r="A8" s="108">
        <v>46226</v>
      </c>
      <c r="B8" s="110" t="s">
        <v>22</v>
      </c>
      <c r="C8" s="110">
        <v>10</v>
      </c>
      <c r="D8" s="110">
        <v>8800</v>
      </c>
      <c r="E8" s="112">
        <f t="shared" si="0"/>
        <v>88000</v>
      </c>
      <c r="F8" s="110" t="s">
        <v>29</v>
      </c>
      <c r="G8" s="71" t="s">
        <v>414</v>
      </c>
      <c r="I8" s="110" t="s">
        <v>36</v>
      </c>
      <c r="J8" s="110">
        <f>C10</f>
        <v>2</v>
      </c>
      <c r="K8" s="112">
        <f>E10</f>
        <v>31050</v>
      </c>
      <c r="L8" s="113">
        <f t="shared" si="1"/>
        <v>6.0550099113004423E-3</v>
      </c>
    </row>
    <row r="9" spans="1:16" ht="15" customHeight="1" x14ac:dyDescent="0.2">
      <c r="A9" s="108">
        <v>46226</v>
      </c>
      <c r="B9" s="110" t="s">
        <v>87</v>
      </c>
      <c r="C9" s="110">
        <v>1</v>
      </c>
      <c r="D9" s="110">
        <v>21400</v>
      </c>
      <c r="E9" s="112">
        <f t="shared" si="0"/>
        <v>21400</v>
      </c>
      <c r="F9" s="110" t="s">
        <v>29</v>
      </c>
      <c r="G9" s="71" t="s">
        <v>414</v>
      </c>
      <c r="I9" s="110" t="s">
        <v>70</v>
      </c>
      <c r="J9" s="110">
        <f>C11</f>
        <v>1</v>
      </c>
      <c r="K9" s="112">
        <f>E11</f>
        <v>13460</v>
      </c>
      <c r="L9" s="113">
        <f t="shared" si="1"/>
        <v>2.6248126700838632E-3</v>
      </c>
    </row>
    <row r="10" spans="1:16" ht="15" customHeight="1" x14ac:dyDescent="0.2">
      <c r="A10" s="108">
        <v>46226</v>
      </c>
      <c r="B10" s="110" t="s">
        <v>36</v>
      </c>
      <c r="C10" s="110">
        <v>2</v>
      </c>
      <c r="D10" s="110">
        <v>15525</v>
      </c>
      <c r="E10" s="112">
        <f t="shared" si="0"/>
        <v>31050</v>
      </c>
      <c r="F10" s="110" t="s">
        <v>29</v>
      </c>
      <c r="G10" s="71" t="s">
        <v>414</v>
      </c>
      <c r="I10" s="110" t="s">
        <v>65</v>
      </c>
      <c r="J10" s="110">
        <f>C12</f>
        <v>2</v>
      </c>
      <c r="K10" s="112">
        <f>E12</f>
        <v>23820</v>
      </c>
      <c r="L10" s="113">
        <f t="shared" si="1"/>
        <v>4.6450993908913538E-3</v>
      </c>
    </row>
    <row r="11" spans="1:16" ht="15" customHeight="1" x14ac:dyDescent="0.2">
      <c r="A11" s="108">
        <v>46226</v>
      </c>
      <c r="B11" s="110" t="s">
        <v>70</v>
      </c>
      <c r="C11" s="110">
        <v>1</v>
      </c>
      <c r="D11" s="110">
        <v>13460</v>
      </c>
      <c r="E11" s="112">
        <f t="shared" si="0"/>
        <v>13460</v>
      </c>
      <c r="F11" s="110" t="s">
        <v>29</v>
      </c>
      <c r="G11" s="71" t="s">
        <v>414</v>
      </c>
      <c r="I11" s="110" t="s">
        <v>37</v>
      </c>
      <c r="J11" s="110">
        <f>C15</f>
        <v>5</v>
      </c>
      <c r="K11" s="112">
        <f>E15</f>
        <v>44400</v>
      </c>
      <c r="L11" s="113">
        <f t="shared" si="1"/>
        <v>8.6583716606035317E-3</v>
      </c>
    </row>
    <row r="12" spans="1:16" ht="15" customHeight="1" x14ac:dyDescent="0.2">
      <c r="A12" s="108">
        <v>46226</v>
      </c>
      <c r="B12" s="110" t="s">
        <v>65</v>
      </c>
      <c r="C12" s="110">
        <v>2</v>
      </c>
      <c r="D12" s="110">
        <v>11910</v>
      </c>
      <c r="E12" s="112">
        <f t="shared" si="0"/>
        <v>23820</v>
      </c>
      <c r="F12" s="110" t="s">
        <v>29</v>
      </c>
      <c r="G12" s="71" t="s">
        <v>414</v>
      </c>
      <c r="I12" s="110" t="s">
        <v>100</v>
      </c>
      <c r="J12" s="110">
        <f>C16</f>
        <v>2</v>
      </c>
      <c r="K12" s="112">
        <f>E16</f>
        <v>22960</v>
      </c>
      <c r="L12" s="113">
        <f t="shared" si="1"/>
        <v>4.4773921920598439E-3</v>
      </c>
    </row>
    <row r="13" spans="1:16" ht="15" customHeight="1" x14ac:dyDescent="0.2">
      <c r="A13" s="108">
        <v>46226</v>
      </c>
      <c r="B13" s="110" t="s">
        <v>22</v>
      </c>
      <c r="C13" s="110">
        <v>20</v>
      </c>
      <c r="D13" s="110">
        <v>9200</v>
      </c>
      <c r="E13" s="112">
        <f t="shared" si="0"/>
        <v>184000</v>
      </c>
      <c r="F13" s="110" t="s">
        <v>157</v>
      </c>
      <c r="G13" s="71" t="s">
        <v>416</v>
      </c>
      <c r="I13" s="110" t="s">
        <v>80</v>
      </c>
      <c r="J13" s="110">
        <f>C17</f>
        <v>2</v>
      </c>
      <c r="K13" s="112">
        <f>E17</f>
        <v>18690</v>
      </c>
      <c r="L13" s="113">
        <f t="shared" si="1"/>
        <v>3.6447064490243244E-3</v>
      </c>
    </row>
    <row r="14" spans="1:16" ht="15" customHeight="1" x14ac:dyDescent="0.2">
      <c r="A14" s="108">
        <v>46226</v>
      </c>
      <c r="B14" s="110" t="s">
        <v>44</v>
      </c>
      <c r="C14" s="110">
        <v>6</v>
      </c>
      <c r="D14" s="110">
        <v>9200</v>
      </c>
      <c r="E14" s="112">
        <f t="shared" si="0"/>
        <v>55200</v>
      </c>
      <c r="F14" s="110" t="s">
        <v>157</v>
      </c>
      <c r="G14" s="71" t="s">
        <v>416</v>
      </c>
      <c r="I14" s="110" t="s">
        <v>21</v>
      </c>
      <c r="J14" s="110">
        <f>C21+C23</f>
        <v>16</v>
      </c>
      <c r="K14" s="112">
        <f>E21+E23</f>
        <v>131500</v>
      </c>
      <c r="L14" s="113">
        <f t="shared" si="1"/>
        <v>2.5643600751562259E-2</v>
      </c>
    </row>
    <row r="15" spans="1:16" ht="15" customHeight="1" x14ac:dyDescent="0.2">
      <c r="A15" s="108">
        <v>46226</v>
      </c>
      <c r="B15" s="110" t="s">
        <v>37</v>
      </c>
      <c r="C15" s="110">
        <v>5</v>
      </c>
      <c r="D15" s="110">
        <v>8880</v>
      </c>
      <c r="E15" s="112">
        <f t="shared" si="0"/>
        <v>44400</v>
      </c>
      <c r="F15" s="110" t="s">
        <v>157</v>
      </c>
      <c r="G15" s="71" t="s">
        <v>416</v>
      </c>
      <c r="I15" s="110" t="s">
        <v>768</v>
      </c>
      <c r="J15" s="110">
        <f>SUM(J2:J14)</f>
        <v>916</v>
      </c>
      <c r="K15" s="112">
        <f>SUM(K2:K14)</f>
        <v>5127985</v>
      </c>
      <c r="L15" s="113">
        <f t="shared" si="1"/>
        <v>1</v>
      </c>
    </row>
    <row r="16" spans="1:16" ht="15" customHeight="1" x14ac:dyDescent="0.2">
      <c r="A16" s="108">
        <v>46226</v>
      </c>
      <c r="B16" s="110" t="s">
        <v>100</v>
      </c>
      <c r="C16" s="110">
        <v>2</v>
      </c>
      <c r="D16" s="110">
        <v>11480</v>
      </c>
      <c r="E16" s="112">
        <f t="shared" si="0"/>
        <v>22960</v>
      </c>
      <c r="F16" s="110" t="s">
        <v>157</v>
      </c>
      <c r="G16" s="71" t="s">
        <v>416</v>
      </c>
    </row>
    <row r="17" spans="1:12" ht="25.5" customHeight="1" x14ac:dyDescent="0.2">
      <c r="A17" s="108">
        <v>46226</v>
      </c>
      <c r="B17" s="110" t="s">
        <v>80</v>
      </c>
      <c r="C17" s="110">
        <v>2</v>
      </c>
      <c r="D17" s="110">
        <v>9345</v>
      </c>
      <c r="E17" s="112">
        <f t="shared" si="0"/>
        <v>18690</v>
      </c>
      <c r="F17" s="110" t="s">
        <v>157</v>
      </c>
      <c r="G17" s="71" t="s">
        <v>416</v>
      </c>
      <c r="I17" s="107" t="s">
        <v>758</v>
      </c>
      <c r="J17" s="107" t="s">
        <v>757</v>
      </c>
      <c r="K17" s="107" t="s">
        <v>762</v>
      </c>
      <c r="L17" s="107" t="s">
        <v>769</v>
      </c>
    </row>
    <row r="18" spans="1:12" ht="15" customHeight="1" x14ac:dyDescent="0.2">
      <c r="A18" s="108">
        <v>46226</v>
      </c>
      <c r="B18" s="110" t="s">
        <v>45</v>
      </c>
      <c r="C18" s="110">
        <v>4</v>
      </c>
      <c r="D18" s="110">
        <v>13335</v>
      </c>
      <c r="E18" s="112">
        <f t="shared" si="0"/>
        <v>53340</v>
      </c>
      <c r="F18" s="110" t="s">
        <v>157</v>
      </c>
      <c r="G18" s="71" t="s">
        <v>416</v>
      </c>
      <c r="I18" s="110" t="s">
        <v>50</v>
      </c>
      <c r="J18" s="112">
        <f>E2+E3</f>
        <v>2547750</v>
      </c>
      <c r="K18" s="113">
        <f t="shared" ref="K18:K24" si="2">J18/J$24</f>
        <v>0.49683257653834789</v>
      </c>
      <c r="L18" s="113">
        <v>-3.7699999999999997E-2</v>
      </c>
    </row>
    <row r="19" spans="1:12" ht="15" customHeight="1" x14ac:dyDescent="0.2">
      <c r="A19" s="108">
        <v>46226</v>
      </c>
      <c r="B19" s="110" t="s">
        <v>24</v>
      </c>
      <c r="C19" s="110">
        <v>60</v>
      </c>
      <c r="D19" s="110">
        <v>5000</v>
      </c>
      <c r="E19" s="112">
        <f t="shared" si="0"/>
        <v>300000</v>
      </c>
      <c r="F19" s="110" t="s">
        <v>29</v>
      </c>
      <c r="G19" s="71" t="s">
        <v>418</v>
      </c>
      <c r="I19" s="110" t="s">
        <v>25</v>
      </c>
      <c r="J19" s="112">
        <f>E4+E22+E23</f>
        <v>1501000</v>
      </c>
      <c r="K19" s="113">
        <f t="shared" si="2"/>
        <v>0.29270756447220497</v>
      </c>
      <c r="L19" s="113">
        <v>-2.0199999999999999E-2</v>
      </c>
    </row>
    <row r="20" spans="1:12" ht="15" customHeight="1" x14ac:dyDescent="0.2">
      <c r="A20" s="108">
        <v>46226</v>
      </c>
      <c r="B20" s="110" t="s">
        <v>22</v>
      </c>
      <c r="C20" s="110">
        <v>2</v>
      </c>
      <c r="D20" s="110">
        <v>9200</v>
      </c>
      <c r="E20" s="112">
        <f t="shared" si="0"/>
        <v>18400</v>
      </c>
      <c r="F20" s="110" t="s">
        <v>336</v>
      </c>
      <c r="G20" s="71" t="s">
        <v>420</v>
      </c>
      <c r="I20" s="110" t="s">
        <v>341</v>
      </c>
      <c r="J20" s="112">
        <f>E5</f>
        <v>37340</v>
      </c>
      <c r="K20" s="113">
        <f t="shared" si="2"/>
        <v>7.2816125632192766E-3</v>
      </c>
      <c r="L20" s="113">
        <v>7.2700000000000001E-2</v>
      </c>
    </row>
    <row r="21" spans="1:12" ht="15" customHeight="1" x14ac:dyDescent="0.2">
      <c r="A21" s="108">
        <v>46226</v>
      </c>
      <c r="B21" s="110" t="s">
        <v>21</v>
      </c>
      <c r="C21" s="110">
        <v>1</v>
      </c>
      <c r="D21" s="110">
        <v>8500</v>
      </c>
      <c r="E21" s="112">
        <f t="shared" si="0"/>
        <v>8500</v>
      </c>
      <c r="F21" s="110" t="s">
        <v>336</v>
      </c>
      <c r="G21" s="71" t="s">
        <v>420</v>
      </c>
      <c r="I21" s="110" t="s">
        <v>29</v>
      </c>
      <c r="J21" s="112">
        <f>E6+E7+E8+E9+E10+E11+E12+E19</f>
        <v>636405</v>
      </c>
      <c r="K21" s="113">
        <f t="shared" si="2"/>
        <v>0.12410430217717096</v>
      </c>
      <c r="L21" s="113">
        <v>2.4E-2</v>
      </c>
    </row>
    <row r="22" spans="1:12" ht="15" customHeight="1" x14ac:dyDescent="0.2">
      <c r="A22" s="108">
        <v>46226</v>
      </c>
      <c r="B22" s="110" t="s">
        <v>22</v>
      </c>
      <c r="C22" s="110">
        <v>15</v>
      </c>
      <c r="D22" s="110">
        <v>9200</v>
      </c>
      <c r="E22" s="112">
        <f t="shared" si="0"/>
        <v>138000</v>
      </c>
      <c r="F22" s="110" t="s">
        <v>25</v>
      </c>
      <c r="G22" s="71" t="s">
        <v>421</v>
      </c>
      <c r="I22" s="110" t="s">
        <v>157</v>
      </c>
      <c r="J22" s="112">
        <f>E13+E14+E15+E16+E17+E18</f>
        <v>378590</v>
      </c>
      <c r="K22" s="113">
        <f t="shared" si="2"/>
        <v>7.3828219076303853E-2</v>
      </c>
      <c r="L22" s="113">
        <v>7.9200000000000007E-2</v>
      </c>
    </row>
    <row r="23" spans="1:12" ht="15" customHeight="1" x14ac:dyDescent="0.2">
      <c r="A23" s="108">
        <v>46226</v>
      </c>
      <c r="B23" s="110" t="s">
        <v>21</v>
      </c>
      <c r="C23" s="110">
        <v>15</v>
      </c>
      <c r="D23" s="110">
        <v>8200</v>
      </c>
      <c r="E23" s="112">
        <f t="shared" si="0"/>
        <v>123000</v>
      </c>
      <c r="F23" s="110" t="s">
        <v>25</v>
      </c>
      <c r="G23" s="71" t="s">
        <v>421</v>
      </c>
      <c r="I23" s="110" t="s">
        <v>336</v>
      </c>
      <c r="J23" s="112">
        <f>E20+E21</f>
        <v>26900</v>
      </c>
      <c r="K23" s="113">
        <f t="shared" si="2"/>
        <v>5.2457251727530407E-3</v>
      </c>
      <c r="L23" s="113">
        <v>5.45E-2</v>
      </c>
    </row>
    <row r="24" spans="1:12" ht="15" customHeight="1" x14ac:dyDescent="0.2">
      <c r="A24" s="72"/>
      <c r="B24" s="110" t="s">
        <v>768</v>
      </c>
      <c r="C24" s="110">
        <f>SUM(C2:C23)</f>
        <v>916</v>
      </c>
      <c r="D24" s="110">
        <f>SUM(D2:D23)</f>
        <v>228055</v>
      </c>
      <c r="E24" s="112">
        <f>SUM(E2:E23)</f>
        <v>5127985</v>
      </c>
      <c r="F24" s="72"/>
      <c r="G24" s="72"/>
      <c r="I24" s="110" t="s">
        <v>770</v>
      </c>
      <c r="J24" s="112">
        <f>SUM(J18:J23)</f>
        <v>5127985</v>
      </c>
      <c r="K24" s="113">
        <f t="shared" si="2"/>
        <v>1</v>
      </c>
      <c r="L24" s="72"/>
    </row>
    <row r="26" spans="1:12" ht="25.5" customHeight="1" x14ac:dyDescent="0.2">
      <c r="I26" s="107" t="s">
        <v>759</v>
      </c>
      <c r="J26" s="107" t="s">
        <v>757</v>
      </c>
      <c r="K26" s="107" t="s">
        <v>769</v>
      </c>
    </row>
    <row r="27" spans="1:12" ht="15" customHeight="1" x14ac:dyDescent="0.2">
      <c r="I27" s="133" t="s">
        <v>407</v>
      </c>
      <c r="J27" s="112">
        <v>2480000</v>
      </c>
      <c r="K27" s="113">
        <v>-0.04</v>
      </c>
    </row>
    <row r="28" spans="1:12" ht="15" customHeight="1" x14ac:dyDescent="0.2">
      <c r="I28" s="133" t="s">
        <v>409</v>
      </c>
      <c r="J28" s="112">
        <v>67750</v>
      </c>
      <c r="K28" s="113">
        <v>0.05</v>
      </c>
    </row>
    <row r="29" spans="1:12" ht="15" customHeight="1" x14ac:dyDescent="0.2">
      <c r="I29" s="133" t="s">
        <v>411</v>
      </c>
      <c r="J29" s="112">
        <v>1240000</v>
      </c>
      <c r="K29" s="113">
        <v>-0.04</v>
      </c>
    </row>
    <row r="30" spans="1:12" ht="15" customHeight="1" x14ac:dyDescent="0.2">
      <c r="I30" s="133" t="s">
        <v>412</v>
      </c>
      <c r="J30" s="112">
        <v>37340</v>
      </c>
      <c r="K30" s="113">
        <v>7.0000000000000007E-2</v>
      </c>
    </row>
    <row r="31" spans="1:12" ht="15" customHeight="1" x14ac:dyDescent="0.2">
      <c r="I31" s="133" t="s">
        <v>414</v>
      </c>
      <c r="J31" s="112">
        <v>391605</v>
      </c>
      <c r="K31" s="113">
        <v>7.0000000000000007E-2</v>
      </c>
    </row>
    <row r="32" spans="1:12" ht="15" customHeight="1" x14ac:dyDescent="0.2">
      <c r="I32" s="133" t="s">
        <v>416</v>
      </c>
      <c r="J32" s="112">
        <v>449590</v>
      </c>
      <c r="K32" s="113">
        <v>0.08</v>
      </c>
    </row>
    <row r="33" spans="9:11" ht="15" customHeight="1" x14ac:dyDescent="0.2">
      <c r="I33" s="133" t="s">
        <v>418</v>
      </c>
      <c r="J33" s="112">
        <v>300000</v>
      </c>
      <c r="K33" s="113">
        <v>-0.04</v>
      </c>
    </row>
    <row r="34" spans="9:11" ht="15" customHeight="1" x14ac:dyDescent="0.2">
      <c r="I34" s="133" t="s">
        <v>420</v>
      </c>
      <c r="J34" s="112">
        <v>26900</v>
      </c>
      <c r="K34" s="113">
        <v>0.05</v>
      </c>
    </row>
    <row r="35" spans="9:11" ht="15" customHeight="1" x14ac:dyDescent="0.2">
      <c r="I35" s="133" t="s">
        <v>421</v>
      </c>
      <c r="J35" s="112">
        <v>316500</v>
      </c>
      <c r="K35" s="113">
        <v>0.06</v>
      </c>
    </row>
    <row r="36" spans="9:11" ht="15" customHeight="1" x14ac:dyDescent="0.2">
      <c r="I36" s="110" t="s">
        <v>770</v>
      </c>
      <c r="J36" s="112">
        <f>SUM(J27:J35)</f>
        <v>5309685</v>
      </c>
      <c r="K36" s="72"/>
    </row>
  </sheetData>
  <hyperlinks>
    <hyperlink ref="G2" r:id="rId1" xr:uid="{00000000-0004-0000-1A00-000000000000}"/>
    <hyperlink ref="G3" r:id="rId2" xr:uid="{00000000-0004-0000-1A00-000001000000}"/>
    <hyperlink ref="G4" r:id="rId3" xr:uid="{00000000-0004-0000-1A00-000002000000}"/>
    <hyperlink ref="G5" r:id="rId4" xr:uid="{00000000-0004-0000-1A00-000003000000}"/>
    <hyperlink ref="G6" r:id="rId5" xr:uid="{00000000-0004-0000-1A00-000004000000}"/>
    <hyperlink ref="G7" r:id="rId6" xr:uid="{00000000-0004-0000-1A00-000005000000}"/>
    <hyperlink ref="G8" r:id="rId7" xr:uid="{00000000-0004-0000-1A00-000006000000}"/>
    <hyperlink ref="G9" r:id="rId8" xr:uid="{00000000-0004-0000-1A00-000007000000}"/>
    <hyperlink ref="G10" r:id="rId9" xr:uid="{00000000-0004-0000-1A00-000008000000}"/>
    <hyperlink ref="G11" r:id="rId10" xr:uid="{00000000-0004-0000-1A00-000009000000}"/>
    <hyperlink ref="G12" r:id="rId11" xr:uid="{00000000-0004-0000-1A00-00000A000000}"/>
    <hyperlink ref="G13" r:id="rId12" xr:uid="{00000000-0004-0000-1A00-00000B000000}"/>
    <hyperlink ref="G14" r:id="rId13" xr:uid="{00000000-0004-0000-1A00-00000C000000}"/>
    <hyperlink ref="G15" r:id="rId14" xr:uid="{00000000-0004-0000-1A00-00000D000000}"/>
    <hyperlink ref="G16" r:id="rId15" xr:uid="{00000000-0004-0000-1A00-00000E000000}"/>
    <hyperlink ref="G17" r:id="rId16" xr:uid="{00000000-0004-0000-1A00-00000F000000}"/>
    <hyperlink ref="G18" r:id="rId17" xr:uid="{00000000-0004-0000-1A00-000010000000}"/>
    <hyperlink ref="G19" r:id="rId18" xr:uid="{00000000-0004-0000-1A00-000011000000}"/>
    <hyperlink ref="G20" r:id="rId19" xr:uid="{00000000-0004-0000-1A00-000012000000}"/>
    <hyperlink ref="G21" r:id="rId20" xr:uid="{00000000-0004-0000-1A00-000013000000}"/>
    <hyperlink ref="G22" r:id="rId21" xr:uid="{00000000-0004-0000-1A00-000014000000}"/>
    <hyperlink ref="G23" r:id="rId22" xr:uid="{00000000-0004-0000-1A00-000015000000}"/>
    <hyperlink ref="I27" r:id="rId23" xr:uid="{00000000-0004-0000-1A00-000016000000}"/>
    <hyperlink ref="I28" r:id="rId24" xr:uid="{00000000-0004-0000-1A00-000017000000}"/>
    <hyperlink ref="I29" r:id="rId25" xr:uid="{00000000-0004-0000-1A00-000018000000}"/>
    <hyperlink ref="I30" r:id="rId26" xr:uid="{00000000-0004-0000-1A00-000019000000}"/>
    <hyperlink ref="I31" r:id="rId27" xr:uid="{00000000-0004-0000-1A00-00001A000000}"/>
    <hyperlink ref="I32" r:id="rId28" xr:uid="{00000000-0004-0000-1A00-00001B000000}"/>
    <hyperlink ref="I33" r:id="rId29" xr:uid="{00000000-0004-0000-1A00-00001C000000}"/>
    <hyperlink ref="I34" r:id="rId30" xr:uid="{00000000-0004-0000-1A00-00001D000000}"/>
    <hyperlink ref="I35" r:id="rId31" xr:uid="{00000000-0004-0000-1A00-00001E000000}"/>
  </hyperlinks>
  <pageMargins left="0.75" right="0.75" top="1" bottom="1" header="0.511811023622047" footer="0.511811023622047"/>
  <pageSetup paperSize="9" orientation="portrait" horizontalDpi="300" verticalDpi="300"/>
  <drawing r:id="rId3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2"/>
  <sheetViews>
    <sheetView zoomScale="64" zoomScaleNormal="64" workbookViewId="0">
      <selection activeCell="N4" sqref="N4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1.296875" style="38" customWidth="1"/>
    <col min="4" max="4" width="15.33203125" style="38" customWidth="1"/>
    <col min="5" max="5" width="13.046875" style="38" customWidth="1"/>
    <col min="6" max="6" width="15.6015625" style="38" customWidth="1"/>
    <col min="7" max="7" width="11.8359375" style="38" customWidth="1"/>
    <col min="8" max="8" width="2.95703125" style="38" customWidth="1"/>
    <col min="9" max="9" width="18.96484375" style="38" customWidth="1"/>
    <col min="10" max="10" width="13.046875" style="38" customWidth="1"/>
    <col min="11" max="12" width="18.5625" style="38" customWidth="1"/>
    <col min="13" max="13" width="2.95703125" style="38" customWidth="1"/>
    <col min="14" max="14" width="13.046875" style="38" customWidth="1"/>
    <col min="15" max="16" width="16.140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777</v>
      </c>
      <c r="O1" s="107" t="s">
        <v>764</v>
      </c>
      <c r="P1" s="107" t="s">
        <v>765</v>
      </c>
    </row>
    <row r="2" spans="1:16" ht="15" customHeight="1" x14ac:dyDescent="0.2">
      <c r="A2" s="108">
        <v>46227</v>
      </c>
      <c r="B2" s="110" t="s">
        <v>22</v>
      </c>
      <c r="C2" s="110">
        <v>140</v>
      </c>
      <c r="D2" s="110">
        <v>8500</v>
      </c>
      <c r="E2" s="112">
        <f t="shared" ref="E2:E37" si="0">C2*D2</f>
        <v>1190000</v>
      </c>
      <c r="F2" s="110" t="s">
        <v>66</v>
      </c>
      <c r="G2" s="71" t="s">
        <v>422</v>
      </c>
      <c r="I2" s="110" t="s">
        <v>22</v>
      </c>
      <c r="J2" s="110">
        <f>C2+C4+C6+C18+C22+C26+C30+C34+C36+C37</f>
        <v>258</v>
      </c>
      <c r="K2" s="112">
        <f>E2+E4+E6+E18+E22+E26+E30+E34+E36+E37</f>
        <v>2276840</v>
      </c>
      <c r="L2" s="113">
        <f t="shared" ref="L2:L14" si="1">K2/K$14</f>
        <v>0.33363226071156438</v>
      </c>
      <c r="N2" s="112">
        <f>K14</f>
        <v>6824400</v>
      </c>
      <c r="O2" s="110">
        <f>J14</f>
        <v>880</v>
      </c>
      <c r="P2" s="110">
        <f>COUNT(J2:J13)</f>
        <v>12</v>
      </c>
    </row>
    <row r="3" spans="1:16" ht="15" customHeight="1" x14ac:dyDescent="0.2">
      <c r="A3" s="108">
        <v>46227</v>
      </c>
      <c r="B3" s="110" t="s">
        <v>44</v>
      </c>
      <c r="C3" s="110">
        <v>280</v>
      </c>
      <c r="D3" s="110">
        <v>8990</v>
      </c>
      <c r="E3" s="112">
        <f t="shared" si="0"/>
        <v>2517200</v>
      </c>
      <c r="F3" s="110" t="s">
        <v>66</v>
      </c>
      <c r="G3" s="71" t="s">
        <v>422</v>
      </c>
      <c r="I3" s="110" t="s">
        <v>44</v>
      </c>
      <c r="J3" s="110">
        <f>C3+C10+C14+C19+C31+C35</f>
        <v>298</v>
      </c>
      <c r="K3" s="112">
        <f>E3+E10+E14+E19+E31+E35</f>
        <v>2683400</v>
      </c>
      <c r="L3" s="113">
        <f t="shared" si="1"/>
        <v>0.39320672879667079</v>
      </c>
    </row>
    <row r="4" spans="1:16" ht="15" customHeight="1" x14ac:dyDescent="0.2">
      <c r="A4" s="108">
        <v>46227</v>
      </c>
      <c r="B4" s="110" t="s">
        <v>22</v>
      </c>
      <c r="C4" s="110">
        <v>1</v>
      </c>
      <c r="D4" s="110">
        <v>9500</v>
      </c>
      <c r="E4" s="112">
        <f t="shared" si="0"/>
        <v>9500</v>
      </c>
      <c r="F4" s="110" t="s">
        <v>102</v>
      </c>
      <c r="G4" s="71" t="s">
        <v>425</v>
      </c>
      <c r="I4" s="110" t="s">
        <v>45</v>
      </c>
      <c r="J4" s="110">
        <f>C5+C13+C20+C25</f>
        <v>11</v>
      </c>
      <c r="K4" s="112">
        <f>E5+E13+E20+E25</f>
        <v>149760</v>
      </c>
      <c r="L4" s="113">
        <f t="shared" si="1"/>
        <v>2.194478635484438E-2</v>
      </c>
    </row>
    <row r="5" spans="1:16" ht="15" customHeight="1" x14ac:dyDescent="0.2">
      <c r="A5" s="108">
        <v>46227</v>
      </c>
      <c r="B5" s="110" t="s">
        <v>45</v>
      </c>
      <c r="C5" s="110">
        <v>1</v>
      </c>
      <c r="D5" s="110">
        <v>13950</v>
      </c>
      <c r="E5" s="112">
        <f t="shared" si="0"/>
        <v>13950</v>
      </c>
      <c r="F5" s="110" t="s">
        <v>102</v>
      </c>
      <c r="G5" s="71" t="s">
        <v>426</v>
      </c>
      <c r="I5" s="110" t="s">
        <v>24</v>
      </c>
      <c r="J5" s="110">
        <f>C7+C16+C17+C33</f>
        <v>292</v>
      </c>
      <c r="K5" s="112">
        <f>E7+E16+E17+E33</f>
        <v>1460400</v>
      </c>
      <c r="L5" s="113">
        <f t="shared" si="1"/>
        <v>0.21399683488658344</v>
      </c>
    </row>
    <row r="6" spans="1:16" ht="15" customHeight="1" x14ac:dyDescent="0.2">
      <c r="A6" s="108">
        <v>46227</v>
      </c>
      <c r="B6" s="110" t="s">
        <v>22</v>
      </c>
      <c r="C6" s="110">
        <v>20</v>
      </c>
      <c r="D6" s="110">
        <v>8800</v>
      </c>
      <c r="E6" s="112">
        <f t="shared" si="0"/>
        <v>176000</v>
      </c>
      <c r="F6" s="110" t="s">
        <v>29</v>
      </c>
      <c r="G6" s="71" t="s">
        <v>427</v>
      </c>
      <c r="I6" s="110" t="s">
        <v>87</v>
      </c>
      <c r="J6" s="110">
        <f>C8</f>
        <v>1</v>
      </c>
      <c r="K6" s="112">
        <f>E8</f>
        <v>21400</v>
      </c>
      <c r="L6" s="113">
        <f t="shared" si="1"/>
        <v>3.135806810855167E-3</v>
      </c>
    </row>
    <row r="7" spans="1:16" ht="15" customHeight="1" x14ac:dyDescent="0.2">
      <c r="A7" s="108">
        <v>46227</v>
      </c>
      <c r="B7" s="110" t="s">
        <v>24</v>
      </c>
      <c r="C7" s="110">
        <v>5</v>
      </c>
      <c r="D7" s="110">
        <v>5000</v>
      </c>
      <c r="E7" s="112">
        <f t="shared" si="0"/>
        <v>25000</v>
      </c>
      <c r="F7" s="110" t="s">
        <v>29</v>
      </c>
      <c r="G7" s="71" t="s">
        <v>427</v>
      </c>
      <c r="I7" s="110" t="s">
        <v>101</v>
      </c>
      <c r="J7" s="110">
        <f>C9+C24</f>
        <v>5</v>
      </c>
      <c r="K7" s="112">
        <f>E9+E24</f>
        <v>66160</v>
      </c>
      <c r="L7" s="113">
        <f t="shared" si="1"/>
        <v>9.6946251685129832E-3</v>
      </c>
    </row>
    <row r="8" spans="1:16" ht="15" customHeight="1" x14ac:dyDescent="0.2">
      <c r="A8" s="108">
        <v>46227</v>
      </c>
      <c r="B8" s="110" t="s">
        <v>87</v>
      </c>
      <c r="C8" s="110">
        <v>1</v>
      </c>
      <c r="D8" s="110">
        <v>21400</v>
      </c>
      <c r="E8" s="112">
        <f t="shared" si="0"/>
        <v>21400</v>
      </c>
      <c r="F8" s="110" t="s">
        <v>29</v>
      </c>
      <c r="G8" s="71" t="s">
        <v>427</v>
      </c>
      <c r="I8" s="110" t="s">
        <v>113</v>
      </c>
      <c r="J8" s="110">
        <f>C11</f>
        <v>1</v>
      </c>
      <c r="K8" s="112">
        <f>E11</f>
        <v>14575</v>
      </c>
      <c r="L8" s="113">
        <f t="shared" si="1"/>
        <v>2.1357188910380398E-3</v>
      </c>
    </row>
    <row r="9" spans="1:16" ht="15" customHeight="1" x14ac:dyDescent="0.2">
      <c r="A9" s="108">
        <v>46227</v>
      </c>
      <c r="B9" s="110" t="s">
        <v>101</v>
      </c>
      <c r="C9" s="110">
        <v>3</v>
      </c>
      <c r="D9" s="110">
        <v>13020</v>
      </c>
      <c r="E9" s="112">
        <f t="shared" si="0"/>
        <v>39060</v>
      </c>
      <c r="F9" s="110" t="s">
        <v>29</v>
      </c>
      <c r="G9" s="71" t="s">
        <v>427</v>
      </c>
      <c r="I9" s="110" t="s">
        <v>65</v>
      </c>
      <c r="J9" s="110">
        <f>C12+C23+C32</f>
        <v>4</v>
      </c>
      <c r="K9" s="112">
        <f>E12+E23+E32</f>
        <v>48255</v>
      </c>
      <c r="L9" s="113">
        <f t="shared" si="1"/>
        <v>7.0709512924213118E-3</v>
      </c>
    </row>
    <row r="10" spans="1:16" ht="15" customHeight="1" x14ac:dyDescent="0.2">
      <c r="A10" s="108">
        <v>46227</v>
      </c>
      <c r="B10" s="110" t="s">
        <v>44</v>
      </c>
      <c r="C10" s="110">
        <v>6</v>
      </c>
      <c r="D10" s="110">
        <v>9200</v>
      </c>
      <c r="E10" s="112">
        <f t="shared" si="0"/>
        <v>55200</v>
      </c>
      <c r="F10" s="110" t="s">
        <v>29</v>
      </c>
      <c r="G10" s="71" t="s">
        <v>427</v>
      </c>
      <c r="I10" s="110" t="s">
        <v>37</v>
      </c>
      <c r="J10" s="110">
        <f>C15</f>
        <v>1</v>
      </c>
      <c r="K10" s="112">
        <f>E15</f>
        <v>9500</v>
      </c>
      <c r="L10" s="113">
        <f t="shared" si="1"/>
        <v>1.3920637711740227E-3</v>
      </c>
    </row>
    <row r="11" spans="1:16" ht="15" customHeight="1" x14ac:dyDescent="0.2">
      <c r="A11" s="108">
        <v>46227</v>
      </c>
      <c r="B11" s="110" t="s">
        <v>113</v>
      </c>
      <c r="C11" s="110">
        <v>1</v>
      </c>
      <c r="D11" s="110">
        <v>14575</v>
      </c>
      <c r="E11" s="112">
        <f t="shared" si="0"/>
        <v>14575</v>
      </c>
      <c r="F11" s="110" t="s">
        <v>29</v>
      </c>
      <c r="G11" s="71" t="s">
        <v>427</v>
      </c>
      <c r="I11" s="110" t="s">
        <v>100</v>
      </c>
      <c r="J11" s="110">
        <f>C21</f>
        <v>5</v>
      </c>
      <c r="K11" s="112">
        <f>E21</f>
        <v>57400</v>
      </c>
      <c r="L11" s="113">
        <f t="shared" si="1"/>
        <v>8.41099583846199E-3</v>
      </c>
    </row>
    <row r="12" spans="1:16" ht="15" customHeight="1" x14ac:dyDescent="0.2">
      <c r="A12" s="108">
        <v>46227</v>
      </c>
      <c r="B12" s="110" t="s">
        <v>65</v>
      </c>
      <c r="C12" s="110">
        <v>1</v>
      </c>
      <c r="D12" s="110">
        <v>11910</v>
      </c>
      <c r="E12" s="112">
        <f t="shared" si="0"/>
        <v>11910</v>
      </c>
      <c r="F12" s="110" t="s">
        <v>29</v>
      </c>
      <c r="G12" s="71" t="s">
        <v>427</v>
      </c>
      <c r="I12" s="110" t="s">
        <v>21</v>
      </c>
      <c r="J12" s="110">
        <f>C27+C29</f>
        <v>3</v>
      </c>
      <c r="K12" s="112">
        <f>E27+E29</f>
        <v>27000</v>
      </c>
      <c r="L12" s="113">
        <f t="shared" si="1"/>
        <v>3.956391770705117E-3</v>
      </c>
    </row>
    <row r="13" spans="1:16" ht="15" customHeight="1" x14ac:dyDescent="0.2">
      <c r="A13" s="108">
        <v>46227</v>
      </c>
      <c r="B13" s="110" t="s">
        <v>45</v>
      </c>
      <c r="C13" s="110">
        <v>1</v>
      </c>
      <c r="D13" s="110">
        <v>13335</v>
      </c>
      <c r="E13" s="112">
        <f t="shared" si="0"/>
        <v>13335</v>
      </c>
      <c r="F13" s="110" t="s">
        <v>29</v>
      </c>
      <c r="G13" s="71" t="s">
        <v>427</v>
      </c>
      <c r="I13" s="110" t="s">
        <v>235</v>
      </c>
      <c r="J13" s="110">
        <f>C28</f>
        <v>1</v>
      </c>
      <c r="K13" s="112">
        <f>E28</f>
        <v>9710</v>
      </c>
      <c r="L13" s="113">
        <f t="shared" si="1"/>
        <v>1.4228357071683958E-3</v>
      </c>
    </row>
    <row r="14" spans="1:16" ht="15" customHeight="1" x14ac:dyDescent="0.2">
      <c r="A14" s="108">
        <v>46227</v>
      </c>
      <c r="B14" s="110" t="s">
        <v>44</v>
      </c>
      <c r="C14" s="110">
        <v>1</v>
      </c>
      <c r="D14" s="110">
        <v>9500</v>
      </c>
      <c r="E14" s="112">
        <f t="shared" si="0"/>
        <v>9500</v>
      </c>
      <c r="F14" s="110" t="s">
        <v>15</v>
      </c>
      <c r="G14" s="71" t="s">
        <v>429</v>
      </c>
      <c r="I14" s="110" t="s">
        <v>768</v>
      </c>
      <c r="J14" s="110">
        <f>SUM(J2:J13)</f>
        <v>880</v>
      </c>
      <c r="K14" s="112">
        <f>SUM(K2:K13)</f>
        <v>6824400</v>
      </c>
      <c r="L14" s="113">
        <f t="shared" si="1"/>
        <v>1</v>
      </c>
    </row>
    <row r="15" spans="1:16" ht="15" customHeight="1" x14ac:dyDescent="0.2">
      <c r="A15" s="108">
        <v>46227</v>
      </c>
      <c r="B15" s="110" t="s">
        <v>37</v>
      </c>
      <c r="C15" s="110">
        <v>1</v>
      </c>
      <c r="D15" s="110">
        <v>9500</v>
      </c>
      <c r="E15" s="112">
        <f t="shared" si="0"/>
        <v>9500</v>
      </c>
      <c r="F15" s="110" t="s">
        <v>15</v>
      </c>
      <c r="G15" s="71" t="s">
        <v>429</v>
      </c>
    </row>
    <row r="16" spans="1:16" ht="25.5" customHeight="1" x14ac:dyDescent="0.2">
      <c r="A16" s="108">
        <v>46227</v>
      </c>
      <c r="B16" s="110" t="s">
        <v>24</v>
      </c>
      <c r="C16" s="110">
        <v>270</v>
      </c>
      <c r="D16" s="110">
        <v>5000</v>
      </c>
      <c r="E16" s="112">
        <f t="shared" si="0"/>
        <v>1350000</v>
      </c>
      <c r="F16" s="110" t="s">
        <v>25</v>
      </c>
      <c r="G16" s="71" t="s">
        <v>430</v>
      </c>
      <c r="I16" s="107" t="s">
        <v>758</v>
      </c>
      <c r="J16" s="107" t="s">
        <v>757</v>
      </c>
      <c r="K16" s="107" t="s">
        <v>762</v>
      </c>
      <c r="L16" s="107" t="s">
        <v>769</v>
      </c>
    </row>
    <row r="17" spans="1:12" ht="15" customHeight="1" x14ac:dyDescent="0.2">
      <c r="A17" s="108">
        <v>46227</v>
      </c>
      <c r="B17" s="110" t="s">
        <v>24</v>
      </c>
      <c r="C17" s="110">
        <v>15</v>
      </c>
      <c r="D17" s="110">
        <v>5000</v>
      </c>
      <c r="E17" s="112">
        <f t="shared" si="0"/>
        <v>75000</v>
      </c>
      <c r="F17" s="110" t="s">
        <v>104</v>
      </c>
      <c r="G17" s="71" t="s">
        <v>432</v>
      </c>
      <c r="I17" s="110" t="s">
        <v>66</v>
      </c>
      <c r="J17" s="112">
        <f>E2+E3</f>
        <v>3707200</v>
      </c>
      <c r="K17" s="113">
        <f t="shared" ref="K17:K26" si="2">J17/J$26</f>
        <v>0.54322724342066697</v>
      </c>
      <c r="L17" s="113">
        <v>2.1899999999999999E-2</v>
      </c>
    </row>
    <row r="18" spans="1:12" ht="15" customHeight="1" x14ac:dyDescent="0.2">
      <c r="A18" s="108">
        <v>46227</v>
      </c>
      <c r="B18" s="110" t="s">
        <v>22</v>
      </c>
      <c r="C18" s="110">
        <v>10</v>
      </c>
      <c r="D18" s="110">
        <v>9200</v>
      </c>
      <c r="E18" s="112">
        <f t="shared" si="0"/>
        <v>92000</v>
      </c>
      <c r="F18" s="110" t="s">
        <v>104</v>
      </c>
      <c r="G18" s="71" t="s">
        <v>432</v>
      </c>
      <c r="I18" s="110" t="s">
        <v>102</v>
      </c>
      <c r="J18" s="112">
        <f>E4+E5</f>
        <v>23450</v>
      </c>
      <c r="K18" s="113">
        <f t="shared" si="2"/>
        <v>3.4361995193716664E-3</v>
      </c>
      <c r="L18" s="113">
        <v>8.72E-2</v>
      </c>
    </row>
    <row r="19" spans="1:12" ht="15" customHeight="1" x14ac:dyDescent="0.2">
      <c r="A19" s="108">
        <v>46227</v>
      </c>
      <c r="B19" s="110" t="s">
        <v>44</v>
      </c>
      <c r="C19" s="110">
        <v>5</v>
      </c>
      <c r="D19" s="110">
        <v>9200</v>
      </c>
      <c r="E19" s="112">
        <f t="shared" si="0"/>
        <v>46000</v>
      </c>
      <c r="F19" s="110" t="s">
        <v>104</v>
      </c>
      <c r="G19" s="71" t="s">
        <v>432</v>
      </c>
      <c r="I19" s="110" t="s">
        <v>29</v>
      </c>
      <c r="J19" s="112">
        <f>E6+E7+E8+E9+E10+E11+E12+E13</f>
        <v>356480</v>
      </c>
      <c r="K19" s="113">
        <f t="shared" si="2"/>
        <v>5.2236094015591115E-2</v>
      </c>
      <c r="L19" s="113">
        <v>4.3900000000000002E-2</v>
      </c>
    </row>
    <row r="20" spans="1:12" ht="15" customHeight="1" x14ac:dyDescent="0.2">
      <c r="A20" s="108">
        <v>46227</v>
      </c>
      <c r="B20" s="110" t="s">
        <v>45</v>
      </c>
      <c r="C20" s="110">
        <v>5</v>
      </c>
      <c r="D20" s="110">
        <v>13335</v>
      </c>
      <c r="E20" s="112">
        <f t="shared" si="0"/>
        <v>66675</v>
      </c>
      <c r="F20" s="110" t="s">
        <v>104</v>
      </c>
      <c r="G20" s="71" t="s">
        <v>432</v>
      </c>
      <c r="I20" s="110" t="s">
        <v>15</v>
      </c>
      <c r="J20" s="112">
        <f>E14+E15+E29+E30+E31+E32+E33</f>
        <v>69925</v>
      </c>
      <c r="K20" s="113">
        <f t="shared" si="2"/>
        <v>1.024632202098353E-2</v>
      </c>
      <c r="L20" s="113">
        <v>7.8799999999999995E-2</v>
      </c>
    </row>
    <row r="21" spans="1:12" ht="15" customHeight="1" x14ac:dyDescent="0.2">
      <c r="A21" s="108">
        <v>46227</v>
      </c>
      <c r="B21" s="110" t="s">
        <v>100</v>
      </c>
      <c r="C21" s="110">
        <v>5</v>
      </c>
      <c r="D21" s="110">
        <v>11480</v>
      </c>
      <c r="E21" s="112">
        <f t="shared" si="0"/>
        <v>57400</v>
      </c>
      <c r="F21" s="110" t="s">
        <v>104</v>
      </c>
      <c r="G21" s="71" t="s">
        <v>432</v>
      </c>
      <c r="I21" s="110" t="s">
        <v>25</v>
      </c>
      <c r="J21" s="112">
        <f>E16</f>
        <v>1350000</v>
      </c>
      <c r="K21" s="113">
        <f t="shared" si="2"/>
        <v>0.19781958853525586</v>
      </c>
      <c r="L21" s="113">
        <v>-0.04</v>
      </c>
    </row>
    <row r="22" spans="1:12" ht="15" customHeight="1" x14ac:dyDescent="0.2">
      <c r="A22" s="108">
        <v>46227</v>
      </c>
      <c r="B22" s="110" t="s">
        <v>22</v>
      </c>
      <c r="C22" s="110">
        <v>2</v>
      </c>
      <c r="D22" s="110">
        <v>9335</v>
      </c>
      <c r="E22" s="112">
        <f t="shared" si="0"/>
        <v>18670</v>
      </c>
      <c r="F22" s="110" t="s">
        <v>75</v>
      </c>
      <c r="G22" s="71" t="s">
        <v>433</v>
      </c>
      <c r="I22" s="110" t="s">
        <v>104</v>
      </c>
      <c r="J22" s="112">
        <f>E17+E18+E19+E20+E21</f>
        <v>337075</v>
      </c>
      <c r="K22" s="113">
        <f t="shared" si="2"/>
        <v>4.9392620596682493E-2</v>
      </c>
      <c r="L22" s="113">
        <v>6.3500000000000001E-2</v>
      </c>
    </row>
    <row r="23" spans="1:12" ht="15" customHeight="1" x14ac:dyDescent="0.2">
      <c r="A23" s="108">
        <v>46227</v>
      </c>
      <c r="B23" s="110" t="s">
        <v>65</v>
      </c>
      <c r="C23" s="110">
        <v>2</v>
      </c>
      <c r="D23" s="110">
        <v>11910</v>
      </c>
      <c r="E23" s="112">
        <f t="shared" si="0"/>
        <v>23820</v>
      </c>
      <c r="F23" s="110" t="s">
        <v>212</v>
      </c>
      <c r="G23" s="71" t="s">
        <v>434</v>
      </c>
      <c r="I23" s="110" t="s">
        <v>75</v>
      </c>
      <c r="J23" s="112">
        <f>E22+E36+E37</f>
        <v>597440</v>
      </c>
      <c r="K23" s="113">
        <f t="shared" si="2"/>
        <v>8.7544692573706118E-2</v>
      </c>
      <c r="L23" s="113">
        <v>7.2900000000000006E-2</v>
      </c>
    </row>
    <row r="24" spans="1:12" ht="15" customHeight="1" x14ac:dyDescent="0.2">
      <c r="A24" s="108">
        <v>46227</v>
      </c>
      <c r="B24" s="110" t="s">
        <v>101</v>
      </c>
      <c r="C24" s="110">
        <v>2</v>
      </c>
      <c r="D24" s="110">
        <v>13550</v>
      </c>
      <c r="E24" s="112">
        <f t="shared" si="0"/>
        <v>27100</v>
      </c>
      <c r="F24" s="110" t="s">
        <v>212</v>
      </c>
      <c r="G24" s="71" t="s">
        <v>434</v>
      </c>
      <c r="I24" s="110" t="s">
        <v>212</v>
      </c>
      <c r="J24" s="112">
        <f>E23+E24+E25+E26+E27+E28</f>
        <v>152830</v>
      </c>
      <c r="K24" s="113">
        <f t="shared" si="2"/>
        <v>2.2394642752476407E-2</v>
      </c>
      <c r="L24" s="113">
        <v>7.0000000000000007E-2</v>
      </c>
    </row>
    <row r="25" spans="1:12" ht="15" customHeight="1" x14ac:dyDescent="0.2">
      <c r="A25" s="108">
        <v>46227</v>
      </c>
      <c r="B25" s="110" t="s">
        <v>45</v>
      </c>
      <c r="C25" s="110">
        <v>4</v>
      </c>
      <c r="D25" s="110">
        <v>13950</v>
      </c>
      <c r="E25" s="112">
        <f t="shared" si="0"/>
        <v>55800</v>
      </c>
      <c r="F25" s="110" t="s">
        <v>212</v>
      </c>
      <c r="G25" s="71" t="s">
        <v>434</v>
      </c>
      <c r="I25" s="110" t="s">
        <v>394</v>
      </c>
      <c r="J25" s="112">
        <f>E34+E35</f>
        <v>230000</v>
      </c>
      <c r="K25" s="113">
        <f t="shared" si="2"/>
        <v>3.3702596565265808E-2</v>
      </c>
      <c r="L25" s="113">
        <v>5.1799999999999999E-2</v>
      </c>
    </row>
    <row r="26" spans="1:12" ht="15" customHeight="1" x14ac:dyDescent="0.2">
      <c r="A26" s="108">
        <v>46227</v>
      </c>
      <c r="B26" s="110" t="s">
        <v>22</v>
      </c>
      <c r="C26" s="110">
        <v>2</v>
      </c>
      <c r="D26" s="110">
        <v>9200</v>
      </c>
      <c r="E26" s="112">
        <f t="shared" si="0"/>
        <v>18400</v>
      </c>
      <c r="F26" s="110" t="s">
        <v>212</v>
      </c>
      <c r="G26" s="71" t="s">
        <v>434</v>
      </c>
      <c r="I26" s="110" t="s">
        <v>770</v>
      </c>
      <c r="J26" s="112">
        <f>SUM(J17:J25)</f>
        <v>6824400</v>
      </c>
      <c r="K26" s="113">
        <f t="shared" si="2"/>
        <v>1</v>
      </c>
      <c r="L26" s="72"/>
    </row>
    <row r="27" spans="1:12" ht="15" customHeight="1" x14ac:dyDescent="0.2">
      <c r="A27" s="108">
        <v>46227</v>
      </c>
      <c r="B27" s="110" t="s">
        <v>21</v>
      </c>
      <c r="C27" s="110">
        <v>2</v>
      </c>
      <c r="D27" s="110">
        <v>9000</v>
      </c>
      <c r="E27" s="112">
        <f t="shared" si="0"/>
        <v>18000</v>
      </c>
      <c r="F27" s="110" t="s">
        <v>212</v>
      </c>
      <c r="G27" s="71" t="s">
        <v>434</v>
      </c>
    </row>
    <row r="28" spans="1:12" ht="25.5" customHeight="1" x14ac:dyDescent="0.2">
      <c r="A28" s="108">
        <v>46227</v>
      </c>
      <c r="B28" s="110" t="s">
        <v>235</v>
      </c>
      <c r="C28" s="110">
        <v>1</v>
      </c>
      <c r="D28" s="110">
        <v>9710</v>
      </c>
      <c r="E28" s="112">
        <f t="shared" si="0"/>
        <v>9710</v>
      </c>
      <c r="F28" s="110" t="s">
        <v>212</v>
      </c>
      <c r="G28" s="71" t="s">
        <v>434</v>
      </c>
      <c r="I28" s="107" t="s">
        <v>759</v>
      </c>
      <c r="J28" s="107" t="s">
        <v>757</v>
      </c>
      <c r="K28" s="107" t="s">
        <v>769</v>
      </c>
    </row>
    <row r="29" spans="1:12" ht="15" customHeight="1" x14ac:dyDescent="0.2">
      <c r="A29" s="108">
        <v>46227</v>
      </c>
      <c r="B29" s="110" t="s">
        <v>21</v>
      </c>
      <c r="C29" s="110">
        <v>1</v>
      </c>
      <c r="D29" s="110">
        <v>9000</v>
      </c>
      <c r="E29" s="112">
        <f t="shared" si="0"/>
        <v>9000</v>
      </c>
      <c r="F29" s="110" t="s">
        <v>15</v>
      </c>
      <c r="G29" s="71" t="s">
        <v>435</v>
      </c>
      <c r="I29" s="133" t="s">
        <v>422</v>
      </c>
      <c r="J29" s="112">
        <v>4463200</v>
      </c>
      <c r="K29" s="113">
        <v>0.02</v>
      </c>
    </row>
    <row r="30" spans="1:12" ht="15" customHeight="1" x14ac:dyDescent="0.2">
      <c r="A30" s="108">
        <v>46227</v>
      </c>
      <c r="B30" s="110" t="s">
        <v>22</v>
      </c>
      <c r="C30" s="110">
        <v>1</v>
      </c>
      <c r="D30" s="110">
        <v>9500</v>
      </c>
      <c r="E30" s="112">
        <f t="shared" si="0"/>
        <v>9500</v>
      </c>
      <c r="F30" s="110" t="s">
        <v>15</v>
      </c>
      <c r="G30" s="71" t="s">
        <v>435</v>
      </c>
      <c r="I30" s="133" t="s">
        <v>425</v>
      </c>
      <c r="J30" s="112">
        <v>9500</v>
      </c>
      <c r="K30" s="113">
        <v>0.09</v>
      </c>
    </row>
    <row r="31" spans="1:12" ht="15" customHeight="1" x14ac:dyDescent="0.2">
      <c r="A31" s="108">
        <v>46227</v>
      </c>
      <c r="B31" s="110" t="s">
        <v>44</v>
      </c>
      <c r="C31" s="110">
        <v>1</v>
      </c>
      <c r="D31" s="110">
        <v>9500</v>
      </c>
      <c r="E31" s="112">
        <f t="shared" si="0"/>
        <v>9500</v>
      </c>
      <c r="F31" s="110" t="s">
        <v>15</v>
      </c>
      <c r="G31" s="71" t="s">
        <v>435</v>
      </c>
      <c r="I31" s="133" t="s">
        <v>426</v>
      </c>
      <c r="J31" s="112">
        <v>13950</v>
      </c>
      <c r="K31" s="113">
        <v>0.09</v>
      </c>
    </row>
    <row r="32" spans="1:12" ht="15" customHeight="1" x14ac:dyDescent="0.2">
      <c r="A32" s="108">
        <v>46227</v>
      </c>
      <c r="B32" s="110" t="s">
        <v>65</v>
      </c>
      <c r="C32" s="110">
        <v>1</v>
      </c>
      <c r="D32" s="110">
        <v>12525</v>
      </c>
      <c r="E32" s="112">
        <f t="shared" si="0"/>
        <v>12525</v>
      </c>
      <c r="F32" s="110" t="s">
        <v>15</v>
      </c>
      <c r="G32" s="71" t="s">
        <v>435</v>
      </c>
      <c r="I32" s="133" t="s">
        <v>427</v>
      </c>
      <c r="J32" s="112">
        <v>416280</v>
      </c>
      <c r="K32" s="113">
        <v>0.04</v>
      </c>
    </row>
    <row r="33" spans="1:11" ht="15" customHeight="1" x14ac:dyDescent="0.2">
      <c r="A33" s="108">
        <v>46227</v>
      </c>
      <c r="B33" s="110" t="s">
        <v>24</v>
      </c>
      <c r="C33" s="110">
        <v>2</v>
      </c>
      <c r="D33" s="110">
        <v>5200</v>
      </c>
      <c r="E33" s="112">
        <f t="shared" si="0"/>
        <v>10400</v>
      </c>
      <c r="F33" s="110" t="s">
        <v>15</v>
      </c>
      <c r="G33" s="71" t="s">
        <v>435</v>
      </c>
      <c r="I33" s="133" t="s">
        <v>429</v>
      </c>
      <c r="J33" s="112">
        <v>19000</v>
      </c>
      <c r="K33" s="113">
        <v>0.08</v>
      </c>
    </row>
    <row r="34" spans="1:11" ht="15" customHeight="1" x14ac:dyDescent="0.2">
      <c r="A34" s="108">
        <v>46227</v>
      </c>
      <c r="B34" s="110" t="s">
        <v>22</v>
      </c>
      <c r="C34" s="110">
        <v>20</v>
      </c>
      <c r="D34" s="110">
        <v>9200</v>
      </c>
      <c r="E34" s="112">
        <f t="shared" si="0"/>
        <v>184000</v>
      </c>
      <c r="F34" s="110" t="s">
        <v>394</v>
      </c>
      <c r="G34" s="71" t="s">
        <v>437</v>
      </c>
      <c r="I34" s="133" t="s">
        <v>430</v>
      </c>
      <c r="J34" s="112">
        <v>1350000</v>
      </c>
      <c r="K34" s="113">
        <v>-0.04</v>
      </c>
    </row>
    <row r="35" spans="1:11" ht="15" customHeight="1" x14ac:dyDescent="0.2">
      <c r="A35" s="108">
        <v>46227</v>
      </c>
      <c r="B35" s="110" t="s">
        <v>44</v>
      </c>
      <c r="C35" s="110">
        <v>5</v>
      </c>
      <c r="D35" s="110">
        <v>9200</v>
      </c>
      <c r="E35" s="112">
        <f t="shared" si="0"/>
        <v>46000</v>
      </c>
      <c r="F35" s="110" t="s">
        <v>394</v>
      </c>
      <c r="G35" s="71" t="s">
        <v>437</v>
      </c>
      <c r="I35" s="133" t="s">
        <v>432</v>
      </c>
      <c r="J35" s="112">
        <v>383075</v>
      </c>
      <c r="K35" s="113">
        <v>0.06</v>
      </c>
    </row>
    <row r="36" spans="1:11" ht="15" customHeight="1" x14ac:dyDescent="0.2">
      <c r="A36" s="108">
        <v>46227</v>
      </c>
      <c r="B36" s="110" t="s">
        <v>22</v>
      </c>
      <c r="C36" s="110">
        <v>2</v>
      </c>
      <c r="D36" s="110">
        <v>9335</v>
      </c>
      <c r="E36" s="112">
        <f t="shared" si="0"/>
        <v>18670</v>
      </c>
      <c r="F36" s="110" t="s">
        <v>75</v>
      </c>
      <c r="G36" s="71" t="s">
        <v>438</v>
      </c>
      <c r="I36" s="133" t="s">
        <v>433</v>
      </c>
      <c r="J36" s="112">
        <v>18670</v>
      </c>
      <c r="K36" s="113">
        <v>7.0000000000000007E-2</v>
      </c>
    </row>
    <row r="37" spans="1:11" ht="15" customHeight="1" x14ac:dyDescent="0.2">
      <c r="A37" s="108">
        <v>46227</v>
      </c>
      <c r="B37" s="110" t="s">
        <v>22</v>
      </c>
      <c r="C37" s="110">
        <v>60</v>
      </c>
      <c r="D37" s="110">
        <v>9335</v>
      </c>
      <c r="E37" s="112">
        <f t="shared" si="0"/>
        <v>560100</v>
      </c>
      <c r="F37" s="110" t="s">
        <v>75</v>
      </c>
      <c r="G37" s="71" t="s">
        <v>440</v>
      </c>
      <c r="I37" s="133" t="s">
        <v>434</v>
      </c>
      <c r="J37" s="112">
        <v>154730</v>
      </c>
      <c r="K37" s="113">
        <v>7.0000000000000007E-2</v>
      </c>
    </row>
    <row r="38" spans="1:11" ht="15" customHeight="1" x14ac:dyDescent="0.2">
      <c r="A38" s="72"/>
      <c r="B38" s="110" t="s">
        <v>768</v>
      </c>
      <c r="C38" s="110">
        <f>SUM(C2:C37)</f>
        <v>880</v>
      </c>
      <c r="D38" s="110">
        <f>SUM(D2:D37)</f>
        <v>369845</v>
      </c>
      <c r="E38" s="112">
        <f>SUM(E2:E37)</f>
        <v>6824400</v>
      </c>
      <c r="F38" s="72"/>
      <c r="G38" s="72"/>
      <c r="I38" s="133" t="s">
        <v>435</v>
      </c>
      <c r="J38" s="112">
        <v>58225</v>
      </c>
      <c r="K38" s="113">
        <v>0.08</v>
      </c>
    </row>
    <row r="39" spans="1:11" ht="15" customHeight="1" x14ac:dyDescent="0.2">
      <c r="I39" s="133" t="s">
        <v>437</v>
      </c>
      <c r="J39" s="112">
        <v>230000</v>
      </c>
      <c r="K39" s="113">
        <v>0.05</v>
      </c>
    </row>
    <row r="40" spans="1:11" ht="15" customHeight="1" x14ac:dyDescent="0.2">
      <c r="I40" s="133" t="s">
        <v>438</v>
      </c>
      <c r="J40" s="112">
        <v>20470</v>
      </c>
      <c r="K40" s="113">
        <v>0.08</v>
      </c>
    </row>
    <row r="41" spans="1:11" ht="15" customHeight="1" x14ac:dyDescent="0.2">
      <c r="I41" s="133" t="s">
        <v>440</v>
      </c>
      <c r="J41" s="112">
        <v>560100</v>
      </c>
      <c r="K41" s="113">
        <v>7.0000000000000007E-2</v>
      </c>
    </row>
    <row r="42" spans="1:11" ht="15" customHeight="1" x14ac:dyDescent="0.2">
      <c r="I42" s="110" t="s">
        <v>770</v>
      </c>
      <c r="J42" s="112">
        <f>SUM(J29:J41)</f>
        <v>7697200</v>
      </c>
      <c r="K42" s="72"/>
    </row>
  </sheetData>
  <hyperlinks>
    <hyperlink ref="G2" r:id="rId1" xr:uid="{00000000-0004-0000-1B00-000000000000}"/>
    <hyperlink ref="G3" r:id="rId2" xr:uid="{00000000-0004-0000-1B00-000001000000}"/>
    <hyperlink ref="G4" r:id="rId3" xr:uid="{00000000-0004-0000-1B00-000002000000}"/>
    <hyperlink ref="G5" r:id="rId4" xr:uid="{00000000-0004-0000-1B00-000003000000}"/>
    <hyperlink ref="G6" r:id="rId5" xr:uid="{00000000-0004-0000-1B00-000004000000}"/>
    <hyperlink ref="G7" r:id="rId6" xr:uid="{00000000-0004-0000-1B00-000005000000}"/>
    <hyperlink ref="G8" r:id="rId7" xr:uid="{00000000-0004-0000-1B00-000006000000}"/>
    <hyperlink ref="G9" r:id="rId8" xr:uid="{00000000-0004-0000-1B00-000007000000}"/>
    <hyperlink ref="G10" r:id="rId9" xr:uid="{00000000-0004-0000-1B00-000008000000}"/>
    <hyperlink ref="G11" r:id="rId10" xr:uid="{00000000-0004-0000-1B00-000009000000}"/>
    <hyperlink ref="G12" r:id="rId11" xr:uid="{00000000-0004-0000-1B00-00000A000000}"/>
    <hyperlink ref="G13" r:id="rId12" xr:uid="{00000000-0004-0000-1B00-00000B000000}"/>
    <hyperlink ref="G14" r:id="rId13" xr:uid="{00000000-0004-0000-1B00-00000C000000}"/>
    <hyperlink ref="G15" r:id="rId14" xr:uid="{00000000-0004-0000-1B00-00000D000000}"/>
    <hyperlink ref="G16" r:id="rId15" xr:uid="{00000000-0004-0000-1B00-00000E000000}"/>
    <hyperlink ref="G17" r:id="rId16" xr:uid="{00000000-0004-0000-1B00-00000F000000}"/>
    <hyperlink ref="G18" r:id="rId17" xr:uid="{00000000-0004-0000-1B00-000010000000}"/>
    <hyperlink ref="G19" r:id="rId18" xr:uid="{00000000-0004-0000-1B00-000011000000}"/>
    <hyperlink ref="G20" r:id="rId19" xr:uid="{00000000-0004-0000-1B00-000012000000}"/>
    <hyperlink ref="G21" r:id="rId20" xr:uid="{00000000-0004-0000-1B00-000013000000}"/>
    <hyperlink ref="G22" r:id="rId21" xr:uid="{00000000-0004-0000-1B00-000014000000}"/>
    <hyperlink ref="G23" r:id="rId22" xr:uid="{00000000-0004-0000-1B00-000015000000}"/>
    <hyperlink ref="G24" r:id="rId23" xr:uid="{00000000-0004-0000-1B00-000016000000}"/>
    <hyperlink ref="G25" r:id="rId24" xr:uid="{00000000-0004-0000-1B00-000017000000}"/>
    <hyperlink ref="G26" r:id="rId25" xr:uid="{00000000-0004-0000-1B00-000018000000}"/>
    <hyperlink ref="G27" r:id="rId26" xr:uid="{00000000-0004-0000-1B00-000019000000}"/>
    <hyperlink ref="G28" r:id="rId27" xr:uid="{00000000-0004-0000-1B00-00001A000000}"/>
    <hyperlink ref="G29" r:id="rId28" xr:uid="{00000000-0004-0000-1B00-00001B000000}"/>
    <hyperlink ref="I29" r:id="rId29" xr:uid="{00000000-0004-0000-1B00-00001C000000}"/>
    <hyperlink ref="G30" r:id="rId30" xr:uid="{00000000-0004-0000-1B00-00001D000000}"/>
    <hyperlink ref="I30" r:id="rId31" xr:uid="{00000000-0004-0000-1B00-00001E000000}"/>
    <hyperlink ref="G31" r:id="rId32" xr:uid="{00000000-0004-0000-1B00-00001F000000}"/>
    <hyperlink ref="I31" r:id="rId33" xr:uid="{00000000-0004-0000-1B00-000020000000}"/>
    <hyperlink ref="G32" r:id="rId34" xr:uid="{00000000-0004-0000-1B00-000021000000}"/>
    <hyperlink ref="I32" r:id="rId35" xr:uid="{00000000-0004-0000-1B00-000022000000}"/>
    <hyperlink ref="G33" r:id="rId36" xr:uid="{00000000-0004-0000-1B00-000023000000}"/>
    <hyperlink ref="I33" r:id="rId37" xr:uid="{00000000-0004-0000-1B00-000024000000}"/>
    <hyperlink ref="G34" r:id="rId38" xr:uid="{00000000-0004-0000-1B00-000025000000}"/>
    <hyperlink ref="I34" r:id="rId39" xr:uid="{00000000-0004-0000-1B00-000026000000}"/>
    <hyperlink ref="G35" r:id="rId40" xr:uid="{00000000-0004-0000-1B00-000027000000}"/>
    <hyperlink ref="I35" r:id="rId41" xr:uid="{00000000-0004-0000-1B00-000028000000}"/>
    <hyperlink ref="G36" r:id="rId42" xr:uid="{00000000-0004-0000-1B00-000029000000}"/>
    <hyperlink ref="I36" r:id="rId43" xr:uid="{00000000-0004-0000-1B00-00002A000000}"/>
    <hyperlink ref="G37" r:id="rId44" xr:uid="{00000000-0004-0000-1B00-00002B000000}"/>
    <hyperlink ref="I37" r:id="rId45" xr:uid="{00000000-0004-0000-1B00-00002C000000}"/>
    <hyperlink ref="I38" r:id="rId46" xr:uid="{00000000-0004-0000-1B00-00002D000000}"/>
    <hyperlink ref="I39" r:id="rId47" xr:uid="{00000000-0004-0000-1B00-00002E000000}"/>
    <hyperlink ref="I40" r:id="rId48" xr:uid="{00000000-0004-0000-1B00-00002F000000}"/>
    <hyperlink ref="I41" r:id="rId49" xr:uid="{00000000-0004-0000-1B00-000030000000}"/>
  </hyperlinks>
  <pageMargins left="0.75" right="0.75" top="1" bottom="1" header="0.511811023622047" footer="0.511811023622047"/>
  <pageSetup paperSize="9" orientation="portrait" horizontalDpi="300" verticalDpi="300"/>
  <drawing r:id="rId5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2"/>
  <sheetViews>
    <sheetView topLeftCell="A26" zoomScale="73" zoomScaleNormal="73" workbookViewId="0">
      <selection activeCell="N17" sqref="N17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1.296875" style="38" customWidth="1"/>
    <col min="4" max="4" width="15.33203125" style="38" customWidth="1"/>
    <col min="5" max="5" width="12.64453125" style="38" customWidth="1"/>
    <col min="6" max="6" width="15.6015625" style="38" customWidth="1"/>
    <col min="7" max="7" width="12.77734375" style="38" customWidth="1"/>
    <col min="8" max="8" width="2.95703125" style="38" customWidth="1"/>
    <col min="9" max="9" width="18.96484375" style="38" customWidth="1"/>
    <col min="10" max="10" width="12.64453125" style="38" customWidth="1"/>
    <col min="11" max="12" width="18.5625" style="38" customWidth="1"/>
    <col min="13" max="13" width="2.95703125" style="38" customWidth="1"/>
    <col min="14" max="14" width="12.9140625" style="38" customWidth="1"/>
    <col min="15" max="16" width="15.871093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46228</v>
      </c>
      <c r="B2" s="110" t="s">
        <v>87</v>
      </c>
      <c r="C2" s="110">
        <v>1</v>
      </c>
      <c r="D2" s="110">
        <v>21485</v>
      </c>
      <c r="E2" s="112">
        <f t="shared" ref="E2:E34" si="0">C2*D2</f>
        <v>21485</v>
      </c>
      <c r="F2" s="110" t="s">
        <v>104</v>
      </c>
      <c r="G2" s="71" t="s">
        <v>444</v>
      </c>
      <c r="I2" s="110" t="s">
        <v>87</v>
      </c>
      <c r="J2" s="110">
        <f>C2</f>
        <v>1</v>
      </c>
      <c r="K2" s="112">
        <f>E2</f>
        <v>21485</v>
      </c>
      <c r="L2" s="113">
        <f t="shared" ref="L2:L16" si="1">K2/K$16</f>
        <v>8.2236873582576583E-3</v>
      </c>
      <c r="N2" s="125">
        <f>K16</f>
        <v>2612575</v>
      </c>
      <c r="O2" s="124">
        <f>J16</f>
        <v>384</v>
      </c>
      <c r="P2" s="124">
        <f>COUNT(J2:J15)</f>
        <v>14</v>
      </c>
    </row>
    <row r="3" spans="1:16" ht="15" customHeight="1" x14ac:dyDescent="0.2">
      <c r="A3" s="108">
        <v>46228</v>
      </c>
      <c r="B3" s="110" t="s">
        <v>141</v>
      </c>
      <c r="C3" s="110">
        <v>2</v>
      </c>
      <c r="D3" s="110">
        <v>14145</v>
      </c>
      <c r="E3" s="112">
        <f t="shared" si="0"/>
        <v>28290</v>
      </c>
      <c r="F3" s="110" t="s">
        <v>104</v>
      </c>
      <c r="G3" s="71" t="s">
        <v>444</v>
      </c>
      <c r="I3" s="110" t="s">
        <v>141</v>
      </c>
      <c r="J3" s="110">
        <f>C3</f>
        <v>2</v>
      </c>
      <c r="K3" s="112">
        <f>E3</f>
        <v>28290</v>
      </c>
      <c r="L3" s="113">
        <f t="shared" si="1"/>
        <v>1.0828397270891745E-2</v>
      </c>
    </row>
    <row r="4" spans="1:16" ht="15" customHeight="1" x14ac:dyDescent="0.2">
      <c r="A4" s="108">
        <v>46228</v>
      </c>
      <c r="B4" s="110" t="s">
        <v>24</v>
      </c>
      <c r="C4" s="110">
        <v>1</v>
      </c>
      <c r="D4" s="110">
        <v>5300</v>
      </c>
      <c r="E4" s="112">
        <f t="shared" si="0"/>
        <v>5300</v>
      </c>
      <c r="F4" s="110" t="s">
        <v>15</v>
      </c>
      <c r="G4" s="71" t="s">
        <v>445</v>
      </c>
      <c r="I4" s="110" t="s">
        <v>24</v>
      </c>
      <c r="J4" s="110">
        <f>C4+C5+C7+C24</f>
        <v>267</v>
      </c>
      <c r="K4" s="112">
        <f>E4+E5+E7+E24</f>
        <v>1335600</v>
      </c>
      <c r="L4" s="113">
        <f t="shared" si="1"/>
        <v>0.51121977359501636</v>
      </c>
    </row>
    <row r="5" spans="1:16" ht="15" customHeight="1" x14ac:dyDescent="0.2">
      <c r="A5" s="108">
        <v>46228</v>
      </c>
      <c r="B5" s="110" t="s">
        <v>24</v>
      </c>
      <c r="C5" s="110">
        <v>260</v>
      </c>
      <c r="D5" s="110">
        <v>5000</v>
      </c>
      <c r="E5" s="112">
        <f t="shared" si="0"/>
        <v>1300000</v>
      </c>
      <c r="F5" s="110" t="s">
        <v>59</v>
      </c>
      <c r="G5" s="71" t="s">
        <v>446</v>
      </c>
      <c r="I5" s="110" t="s">
        <v>22</v>
      </c>
      <c r="J5" s="110">
        <f>C6+C10+C11+C12+C16+C17+C20+C26+C29+C32</f>
        <v>64</v>
      </c>
      <c r="K5" s="112">
        <f>E6+E10+E11+E12+E16+E17+E20+E26+E29+E32</f>
        <v>576035</v>
      </c>
      <c r="L5" s="113">
        <f t="shared" si="1"/>
        <v>0.2204855363003933</v>
      </c>
    </row>
    <row r="6" spans="1:16" ht="15" customHeight="1" x14ac:dyDescent="0.2">
      <c r="A6" s="108">
        <v>46228</v>
      </c>
      <c r="B6" s="110" t="s">
        <v>22</v>
      </c>
      <c r="C6" s="110">
        <v>10</v>
      </c>
      <c r="D6" s="110">
        <v>9200</v>
      </c>
      <c r="E6" s="112">
        <f t="shared" si="0"/>
        <v>92000</v>
      </c>
      <c r="F6" s="110" t="s">
        <v>104</v>
      </c>
      <c r="G6" s="71" t="s">
        <v>448</v>
      </c>
      <c r="I6" s="110" t="s">
        <v>34</v>
      </c>
      <c r="J6" s="110">
        <f>C8+C21</f>
        <v>6</v>
      </c>
      <c r="K6" s="112">
        <f>E8+E21</f>
        <v>136440</v>
      </c>
      <c r="L6" s="113">
        <f t="shared" si="1"/>
        <v>5.2224338057280655E-2</v>
      </c>
    </row>
    <row r="7" spans="1:16" ht="15" customHeight="1" x14ac:dyDescent="0.2">
      <c r="A7" s="108">
        <v>46228</v>
      </c>
      <c r="B7" s="110" t="s">
        <v>24</v>
      </c>
      <c r="C7" s="110">
        <v>5</v>
      </c>
      <c r="D7" s="110">
        <v>5000</v>
      </c>
      <c r="E7" s="112">
        <f t="shared" si="0"/>
        <v>25000</v>
      </c>
      <c r="F7" s="110" t="s">
        <v>104</v>
      </c>
      <c r="G7" s="71" t="s">
        <v>448</v>
      </c>
      <c r="I7" s="110" t="s">
        <v>35</v>
      </c>
      <c r="J7" s="110">
        <f>C9</f>
        <v>3</v>
      </c>
      <c r="K7" s="112">
        <f>E9</f>
        <v>63510</v>
      </c>
      <c r="L7" s="113">
        <f t="shared" si="1"/>
        <v>2.4309349970814235E-2</v>
      </c>
    </row>
    <row r="8" spans="1:16" ht="15" customHeight="1" x14ac:dyDescent="0.2">
      <c r="A8" s="108">
        <v>46228</v>
      </c>
      <c r="B8" s="110" t="s">
        <v>34</v>
      </c>
      <c r="C8" s="110">
        <v>5</v>
      </c>
      <c r="D8" s="110">
        <v>22740</v>
      </c>
      <c r="E8" s="112">
        <f t="shared" si="0"/>
        <v>113700</v>
      </c>
      <c r="F8" s="110" t="s">
        <v>253</v>
      </c>
      <c r="G8" s="71" t="s">
        <v>449</v>
      </c>
      <c r="I8" s="110" t="s">
        <v>37</v>
      </c>
      <c r="J8" s="110">
        <f>C13+C27</f>
        <v>11</v>
      </c>
      <c r="K8" s="112">
        <f>E13+E27</f>
        <v>98000</v>
      </c>
      <c r="L8" s="113">
        <f t="shared" si="1"/>
        <v>3.7510884854980241E-2</v>
      </c>
    </row>
    <row r="9" spans="1:16" ht="15" customHeight="1" x14ac:dyDescent="0.2">
      <c r="A9" s="108">
        <v>46228</v>
      </c>
      <c r="B9" s="110" t="s">
        <v>35</v>
      </c>
      <c r="C9" s="110">
        <v>3</v>
      </c>
      <c r="D9" s="110">
        <v>21170</v>
      </c>
      <c r="E9" s="112">
        <f t="shared" si="0"/>
        <v>63510</v>
      </c>
      <c r="F9" s="110" t="s">
        <v>253</v>
      </c>
      <c r="G9" s="71" t="s">
        <v>449</v>
      </c>
      <c r="I9" s="110" t="s">
        <v>44</v>
      </c>
      <c r="J9" s="110">
        <f>C14+C33</f>
        <v>12</v>
      </c>
      <c r="K9" s="112">
        <f>E14+E33</f>
        <v>110400</v>
      </c>
      <c r="L9" s="113">
        <f t="shared" si="1"/>
        <v>4.2257160081528758E-2</v>
      </c>
    </row>
    <row r="10" spans="1:16" ht="15" customHeight="1" x14ac:dyDescent="0.2">
      <c r="A10" s="108">
        <v>46228</v>
      </c>
      <c r="B10" s="110" t="s">
        <v>22</v>
      </c>
      <c r="C10" s="110">
        <v>10</v>
      </c>
      <c r="D10" s="110">
        <v>9200</v>
      </c>
      <c r="E10" s="112">
        <f t="shared" si="0"/>
        <v>92000</v>
      </c>
      <c r="F10" s="110" t="s">
        <v>154</v>
      </c>
      <c r="G10" s="71" t="s">
        <v>450</v>
      </c>
      <c r="I10" s="110" t="s">
        <v>45</v>
      </c>
      <c r="J10" s="110">
        <f>C15+C18+C30+C34</f>
        <v>8</v>
      </c>
      <c r="K10" s="112">
        <f>E15+E18+E30+E34</f>
        <v>107295</v>
      </c>
      <c r="L10" s="113">
        <f t="shared" si="1"/>
        <v>4.1068677454235765E-2</v>
      </c>
    </row>
    <row r="11" spans="1:16" ht="15" customHeight="1" x14ac:dyDescent="0.2">
      <c r="A11" s="108">
        <v>46228</v>
      </c>
      <c r="B11" s="110" t="s">
        <v>22</v>
      </c>
      <c r="C11" s="110">
        <v>3</v>
      </c>
      <c r="D11" s="110">
        <v>9200</v>
      </c>
      <c r="E11" s="112">
        <f t="shared" si="0"/>
        <v>27600</v>
      </c>
      <c r="F11" s="110" t="s">
        <v>212</v>
      </c>
      <c r="G11" s="71" t="s">
        <v>451</v>
      </c>
      <c r="I11" s="110" t="s">
        <v>21</v>
      </c>
      <c r="J11" s="110">
        <f>C19+C28</f>
        <v>2</v>
      </c>
      <c r="K11" s="112">
        <f>E19+E28</f>
        <v>17500</v>
      </c>
      <c r="L11" s="113">
        <f t="shared" si="1"/>
        <v>6.6983722955321857E-3</v>
      </c>
    </row>
    <row r="12" spans="1:16" ht="15" customHeight="1" x14ac:dyDescent="0.2">
      <c r="A12" s="108">
        <v>46228</v>
      </c>
      <c r="B12" s="110" t="s">
        <v>22</v>
      </c>
      <c r="C12" s="110">
        <v>30</v>
      </c>
      <c r="D12" s="110">
        <v>8800</v>
      </c>
      <c r="E12" s="112">
        <f t="shared" si="0"/>
        <v>264000</v>
      </c>
      <c r="F12" s="110" t="s">
        <v>29</v>
      </c>
      <c r="G12" s="71" t="s">
        <v>452</v>
      </c>
      <c r="I12" s="110" t="s">
        <v>460</v>
      </c>
      <c r="J12" s="110">
        <f>C22</f>
        <v>1</v>
      </c>
      <c r="K12" s="112">
        <f>E22</f>
        <v>4200</v>
      </c>
      <c r="L12" s="113">
        <f t="shared" si="1"/>
        <v>1.6076093509277245E-3</v>
      </c>
    </row>
    <row r="13" spans="1:16" ht="15" customHeight="1" x14ac:dyDescent="0.2">
      <c r="A13" s="108">
        <v>46228</v>
      </c>
      <c r="B13" s="110" t="s">
        <v>37</v>
      </c>
      <c r="C13" s="110">
        <v>10</v>
      </c>
      <c r="D13" s="110">
        <v>8880</v>
      </c>
      <c r="E13" s="112">
        <f t="shared" si="0"/>
        <v>88800</v>
      </c>
      <c r="F13" s="110" t="s">
        <v>29</v>
      </c>
      <c r="G13" s="71" t="s">
        <v>452</v>
      </c>
      <c r="I13" s="110" t="s">
        <v>33</v>
      </c>
      <c r="J13" s="110">
        <f>C23</f>
        <v>1</v>
      </c>
      <c r="K13" s="112">
        <f>E23</f>
        <v>16145</v>
      </c>
      <c r="L13" s="113">
        <f t="shared" si="1"/>
        <v>6.1797268977924081E-3</v>
      </c>
    </row>
    <row r="14" spans="1:16" ht="15" customHeight="1" x14ac:dyDescent="0.2">
      <c r="A14" s="108">
        <v>46228</v>
      </c>
      <c r="B14" s="110" t="s">
        <v>44</v>
      </c>
      <c r="C14" s="110">
        <v>10</v>
      </c>
      <c r="D14" s="110">
        <v>9200</v>
      </c>
      <c r="E14" s="112">
        <f t="shared" si="0"/>
        <v>92000</v>
      </c>
      <c r="F14" s="110" t="s">
        <v>29</v>
      </c>
      <c r="G14" s="71" t="s">
        <v>452</v>
      </c>
      <c r="I14" s="110" t="s">
        <v>32</v>
      </c>
      <c r="J14" s="110">
        <f>C25</f>
        <v>5</v>
      </c>
      <c r="K14" s="112">
        <f>E25</f>
        <v>80725</v>
      </c>
      <c r="L14" s="113">
        <f t="shared" si="1"/>
        <v>3.0898634488962039E-2</v>
      </c>
    </row>
    <row r="15" spans="1:16" ht="15" customHeight="1" x14ac:dyDescent="0.2">
      <c r="A15" s="108">
        <v>46228</v>
      </c>
      <c r="B15" s="110" t="s">
        <v>45</v>
      </c>
      <c r="C15" s="110">
        <v>5</v>
      </c>
      <c r="D15" s="110">
        <v>13335</v>
      </c>
      <c r="E15" s="112">
        <f t="shared" si="0"/>
        <v>66675</v>
      </c>
      <c r="F15" s="110" t="s">
        <v>29</v>
      </c>
      <c r="G15" s="71" t="s">
        <v>452</v>
      </c>
      <c r="I15" s="110" t="s">
        <v>181</v>
      </c>
      <c r="J15" s="110">
        <f>C31</f>
        <v>1</v>
      </c>
      <c r="K15" s="112">
        <f>E31</f>
        <v>16950</v>
      </c>
      <c r="L15" s="113">
        <f t="shared" si="1"/>
        <v>6.4878520233868885E-3</v>
      </c>
    </row>
    <row r="16" spans="1:16" ht="15" customHeight="1" x14ac:dyDescent="0.2">
      <c r="A16" s="108">
        <v>46228</v>
      </c>
      <c r="B16" s="110" t="s">
        <v>22</v>
      </c>
      <c r="C16" s="110">
        <v>1</v>
      </c>
      <c r="D16" s="110">
        <v>9335</v>
      </c>
      <c r="E16" s="112">
        <f t="shared" si="0"/>
        <v>9335</v>
      </c>
      <c r="F16" s="110" t="s">
        <v>75</v>
      </c>
      <c r="G16" s="71" t="s">
        <v>454</v>
      </c>
      <c r="I16" s="110" t="s">
        <v>768</v>
      </c>
      <c r="J16" s="110">
        <f>SUM(J2:J15)</f>
        <v>384</v>
      </c>
      <c r="K16" s="112">
        <f>SUM(K2:K15)</f>
        <v>2612575</v>
      </c>
      <c r="L16" s="113">
        <f t="shared" si="1"/>
        <v>1</v>
      </c>
    </row>
    <row r="17" spans="1:12" ht="15" customHeight="1" x14ac:dyDescent="0.2">
      <c r="A17" s="108">
        <v>46228</v>
      </c>
      <c r="B17" s="110" t="s">
        <v>22</v>
      </c>
      <c r="C17" s="110">
        <v>3</v>
      </c>
      <c r="D17" s="110">
        <v>8800</v>
      </c>
      <c r="E17" s="112">
        <f t="shared" si="0"/>
        <v>26400</v>
      </c>
      <c r="F17" s="110" t="s">
        <v>75</v>
      </c>
      <c r="G17" s="71" t="s">
        <v>456</v>
      </c>
    </row>
    <row r="18" spans="1:12" ht="25.5" customHeight="1" x14ac:dyDescent="0.2">
      <c r="A18" s="108">
        <v>46228</v>
      </c>
      <c r="B18" s="110" t="s">
        <v>45</v>
      </c>
      <c r="C18" s="110">
        <v>1</v>
      </c>
      <c r="D18" s="110">
        <v>13335</v>
      </c>
      <c r="E18" s="112">
        <f t="shared" si="0"/>
        <v>13335</v>
      </c>
      <c r="F18" s="110" t="s">
        <v>458</v>
      </c>
      <c r="G18" s="71" t="s">
        <v>459</v>
      </c>
      <c r="I18" s="107" t="s">
        <v>758</v>
      </c>
      <c r="J18" s="107" t="s">
        <v>757</v>
      </c>
      <c r="K18" s="107" t="s">
        <v>762</v>
      </c>
      <c r="L18" s="107" t="s">
        <v>769</v>
      </c>
    </row>
    <row r="19" spans="1:12" ht="15" customHeight="1" x14ac:dyDescent="0.2">
      <c r="A19" s="108">
        <v>46228</v>
      </c>
      <c r="B19" s="110" t="s">
        <v>21</v>
      </c>
      <c r="C19" s="110">
        <v>1</v>
      </c>
      <c r="D19" s="110">
        <v>8500</v>
      </c>
      <c r="E19" s="112">
        <f t="shared" si="0"/>
        <v>8500</v>
      </c>
      <c r="F19" s="110" t="s">
        <v>458</v>
      </c>
      <c r="G19" s="71" t="s">
        <v>459</v>
      </c>
      <c r="I19" s="110" t="s">
        <v>104</v>
      </c>
      <c r="J19" s="112">
        <f>E2+E3+E6+E7+E25</f>
        <v>247500</v>
      </c>
      <c r="K19" s="113">
        <f t="shared" ref="K19:K31" si="2">J19/J$31</f>
        <v>9.4734122465383763E-2</v>
      </c>
      <c r="L19" s="113">
        <v>5.2999999999999999E-2</v>
      </c>
    </row>
    <row r="20" spans="1:12" ht="15" customHeight="1" x14ac:dyDescent="0.2">
      <c r="A20" s="108">
        <v>46228</v>
      </c>
      <c r="B20" s="110" t="s">
        <v>22</v>
      </c>
      <c r="C20" s="110">
        <v>1</v>
      </c>
      <c r="D20" s="110">
        <v>9200</v>
      </c>
      <c r="E20" s="112">
        <f t="shared" si="0"/>
        <v>9200</v>
      </c>
      <c r="F20" s="110" t="s">
        <v>458</v>
      </c>
      <c r="G20" s="71" t="s">
        <v>459</v>
      </c>
      <c r="I20" s="110" t="s">
        <v>15</v>
      </c>
      <c r="J20" s="112">
        <f>E4+E24+E31</f>
        <v>27550</v>
      </c>
      <c r="K20" s="113">
        <f t="shared" si="2"/>
        <v>1.0545151813823527E-2</v>
      </c>
      <c r="L20" s="113">
        <v>0.28939999999999999</v>
      </c>
    </row>
    <row r="21" spans="1:12" ht="15" customHeight="1" x14ac:dyDescent="0.2">
      <c r="A21" s="108">
        <v>46228</v>
      </c>
      <c r="B21" s="110" t="s">
        <v>34</v>
      </c>
      <c r="C21" s="110">
        <v>1</v>
      </c>
      <c r="D21" s="110">
        <v>22740</v>
      </c>
      <c r="E21" s="112">
        <f t="shared" si="0"/>
        <v>22740</v>
      </c>
      <c r="F21" s="110" t="s">
        <v>458</v>
      </c>
      <c r="G21" s="71" t="s">
        <v>459</v>
      </c>
      <c r="I21" s="110" t="s">
        <v>59</v>
      </c>
      <c r="J21" s="112">
        <f>E5</f>
        <v>1300000</v>
      </c>
      <c r="K21" s="113">
        <f t="shared" si="2"/>
        <v>0.4975933705252481</v>
      </c>
      <c r="L21" s="113">
        <v>-0.04</v>
      </c>
    </row>
    <row r="22" spans="1:12" ht="15" customHeight="1" x14ac:dyDescent="0.2">
      <c r="A22" s="108">
        <v>46228</v>
      </c>
      <c r="B22" s="110" t="s">
        <v>460</v>
      </c>
      <c r="C22" s="110">
        <v>1</v>
      </c>
      <c r="D22" s="110">
        <v>4200</v>
      </c>
      <c r="E22" s="112">
        <f t="shared" si="0"/>
        <v>4200</v>
      </c>
      <c r="F22" s="110" t="s">
        <v>458</v>
      </c>
      <c r="G22" s="71" t="s">
        <v>459</v>
      </c>
      <c r="I22" s="110" t="s">
        <v>253</v>
      </c>
      <c r="J22" s="112">
        <f>E8+E9</f>
        <v>177210</v>
      </c>
      <c r="K22" s="113">
        <f t="shared" si="2"/>
        <v>6.7829631685214775E-2</v>
      </c>
      <c r="L22" s="113">
        <v>4.53E-2</v>
      </c>
    </row>
    <row r="23" spans="1:12" ht="15" customHeight="1" x14ac:dyDescent="0.2">
      <c r="A23" s="108">
        <v>46228</v>
      </c>
      <c r="B23" s="110" t="s">
        <v>33</v>
      </c>
      <c r="C23" s="110">
        <v>1</v>
      </c>
      <c r="D23" s="110">
        <v>16145</v>
      </c>
      <c r="E23" s="112">
        <f t="shared" si="0"/>
        <v>16145</v>
      </c>
      <c r="F23" s="110" t="s">
        <v>458</v>
      </c>
      <c r="G23" s="71" t="s">
        <v>459</v>
      </c>
      <c r="I23" s="110" t="s">
        <v>154</v>
      </c>
      <c r="J23" s="112">
        <f>E10</f>
        <v>92000</v>
      </c>
      <c r="K23" s="113">
        <f t="shared" si="2"/>
        <v>3.5214300067940636E-2</v>
      </c>
      <c r="L23" s="113">
        <v>7.5300000000000006E-2</v>
      </c>
    </row>
    <row r="24" spans="1:12" ht="15" customHeight="1" x14ac:dyDescent="0.2">
      <c r="A24" s="108">
        <v>46228</v>
      </c>
      <c r="B24" s="110" t="s">
        <v>24</v>
      </c>
      <c r="C24" s="110">
        <v>1</v>
      </c>
      <c r="D24" s="110">
        <v>5300</v>
      </c>
      <c r="E24" s="112">
        <f t="shared" si="0"/>
        <v>5300</v>
      </c>
      <c r="F24" s="110" t="s">
        <v>15</v>
      </c>
      <c r="G24" s="71" t="s">
        <v>461</v>
      </c>
      <c r="I24" s="110" t="s">
        <v>212</v>
      </c>
      <c r="J24" s="112">
        <f>E11</f>
        <v>27600</v>
      </c>
      <c r="K24" s="113">
        <f t="shared" si="2"/>
        <v>1.0564290020382189E-2</v>
      </c>
      <c r="L24" s="113">
        <v>5.91E-2</v>
      </c>
    </row>
    <row r="25" spans="1:12" ht="15" customHeight="1" x14ac:dyDescent="0.2">
      <c r="A25" s="108">
        <v>46228</v>
      </c>
      <c r="B25" s="110" t="s">
        <v>32</v>
      </c>
      <c r="C25" s="110">
        <v>5</v>
      </c>
      <c r="D25" s="110">
        <v>16145</v>
      </c>
      <c r="E25" s="112">
        <f t="shared" si="0"/>
        <v>80725</v>
      </c>
      <c r="F25" s="110" t="s">
        <v>104</v>
      </c>
      <c r="G25" s="71" t="s">
        <v>462</v>
      </c>
      <c r="I25" s="110" t="s">
        <v>29</v>
      </c>
      <c r="J25" s="112">
        <f>E12+E13+E14+E15</f>
        <v>511475</v>
      </c>
      <c r="K25" s="113">
        <f t="shared" si="2"/>
        <v>0.19577428399184713</v>
      </c>
      <c r="L25" s="113">
        <v>5.9700000000000003E-2</v>
      </c>
    </row>
    <row r="26" spans="1:12" ht="15" customHeight="1" x14ac:dyDescent="0.2">
      <c r="A26" s="108">
        <v>46228</v>
      </c>
      <c r="B26" s="110" t="s">
        <v>22</v>
      </c>
      <c r="C26" s="110">
        <v>2</v>
      </c>
      <c r="D26" s="110">
        <v>9200</v>
      </c>
      <c r="E26" s="112">
        <f t="shared" si="0"/>
        <v>18400</v>
      </c>
      <c r="F26" s="110" t="s">
        <v>122</v>
      </c>
      <c r="G26" s="71" t="s">
        <v>463</v>
      </c>
      <c r="I26" s="110" t="s">
        <v>75</v>
      </c>
      <c r="J26" s="112">
        <f>E16+E17</f>
        <v>35735</v>
      </c>
      <c r="K26" s="113">
        <f t="shared" si="2"/>
        <v>1.3678076227476722E-2</v>
      </c>
      <c r="L26" s="113">
        <v>4.7699999999999999E-2</v>
      </c>
    </row>
    <row r="27" spans="1:12" ht="15" customHeight="1" x14ac:dyDescent="0.2">
      <c r="A27" s="108">
        <v>46228</v>
      </c>
      <c r="B27" s="110" t="s">
        <v>37</v>
      </c>
      <c r="C27" s="110">
        <v>1</v>
      </c>
      <c r="D27" s="110">
        <v>9200</v>
      </c>
      <c r="E27" s="112">
        <f t="shared" si="0"/>
        <v>9200</v>
      </c>
      <c r="F27" s="110" t="s">
        <v>122</v>
      </c>
      <c r="G27" s="71" t="s">
        <v>463</v>
      </c>
      <c r="I27" s="110" t="s">
        <v>458</v>
      </c>
      <c r="J27" s="112">
        <f>E18+E19+E20+E21+E22+E23</f>
        <v>74120</v>
      </c>
      <c r="K27" s="113">
        <f t="shared" si="2"/>
        <v>2.8370477402562606E-2</v>
      </c>
      <c r="L27" s="113">
        <v>4.65E-2</v>
      </c>
    </row>
    <row r="28" spans="1:12" ht="15" customHeight="1" x14ac:dyDescent="0.2">
      <c r="A28" s="108">
        <v>46228</v>
      </c>
      <c r="B28" s="110" t="s">
        <v>21</v>
      </c>
      <c r="C28" s="110">
        <v>1</v>
      </c>
      <c r="D28" s="110">
        <v>9000</v>
      </c>
      <c r="E28" s="112">
        <f t="shared" si="0"/>
        <v>9000</v>
      </c>
      <c r="F28" s="110" t="s">
        <v>122</v>
      </c>
      <c r="G28" s="71" t="s">
        <v>463</v>
      </c>
      <c r="I28" s="110" t="s">
        <v>122</v>
      </c>
      <c r="J28" s="112">
        <f>E26+E27+E28</f>
        <v>36600</v>
      </c>
      <c r="K28" s="113">
        <f t="shared" si="2"/>
        <v>1.40091672009416E-2</v>
      </c>
      <c r="L28" s="113">
        <v>7.2099999999999997E-2</v>
      </c>
    </row>
    <row r="29" spans="1:12" ht="15" customHeight="1" x14ac:dyDescent="0.2">
      <c r="A29" s="108">
        <v>46228</v>
      </c>
      <c r="B29" s="110" t="s">
        <v>22</v>
      </c>
      <c r="C29" s="110">
        <v>1</v>
      </c>
      <c r="D29" s="110">
        <v>9500</v>
      </c>
      <c r="E29" s="112">
        <f t="shared" si="0"/>
        <v>9500</v>
      </c>
      <c r="F29" s="110" t="s">
        <v>102</v>
      </c>
      <c r="G29" s="71" t="s">
        <v>464</v>
      </c>
      <c r="I29" s="110" t="s">
        <v>102</v>
      </c>
      <c r="J29" s="112">
        <f>E29+E30</f>
        <v>23450</v>
      </c>
      <c r="K29" s="113">
        <f t="shared" si="2"/>
        <v>8.9758188760131283E-3</v>
      </c>
      <c r="L29" s="113">
        <v>8.72E-2</v>
      </c>
    </row>
    <row r="30" spans="1:12" ht="15" customHeight="1" x14ac:dyDescent="0.2">
      <c r="A30" s="108">
        <v>46228</v>
      </c>
      <c r="B30" s="110" t="s">
        <v>45</v>
      </c>
      <c r="C30" s="110">
        <v>1</v>
      </c>
      <c r="D30" s="110">
        <v>13950</v>
      </c>
      <c r="E30" s="112">
        <f t="shared" si="0"/>
        <v>13950</v>
      </c>
      <c r="F30" s="110" t="s">
        <v>102</v>
      </c>
      <c r="G30" s="71" t="s">
        <v>465</v>
      </c>
      <c r="I30" s="110" t="s">
        <v>95</v>
      </c>
      <c r="J30" s="112">
        <f>E32+E33+E34</f>
        <v>59335</v>
      </c>
      <c r="K30" s="113">
        <f t="shared" si="2"/>
        <v>2.2711309723165842E-2</v>
      </c>
      <c r="L30" s="113">
        <v>4.4499999999999998E-2</v>
      </c>
    </row>
    <row r="31" spans="1:12" ht="15" customHeight="1" x14ac:dyDescent="0.2">
      <c r="A31" s="108">
        <v>46228</v>
      </c>
      <c r="B31" s="110" t="s">
        <v>181</v>
      </c>
      <c r="C31" s="110">
        <v>1</v>
      </c>
      <c r="D31" s="110">
        <v>16950</v>
      </c>
      <c r="E31" s="112">
        <f t="shared" si="0"/>
        <v>16950</v>
      </c>
      <c r="F31" s="110" t="s">
        <v>15</v>
      </c>
      <c r="G31" s="71" t="s">
        <v>466</v>
      </c>
      <c r="I31" s="110" t="s">
        <v>770</v>
      </c>
      <c r="J31" s="112">
        <f>SUM(J19:J30)</f>
        <v>2612575</v>
      </c>
      <c r="K31" s="113">
        <f t="shared" si="2"/>
        <v>1</v>
      </c>
      <c r="L31" s="72"/>
    </row>
    <row r="32" spans="1:12" ht="15" customHeight="1" x14ac:dyDescent="0.2">
      <c r="A32" s="108">
        <v>46228</v>
      </c>
      <c r="B32" s="110" t="s">
        <v>22</v>
      </c>
      <c r="C32" s="110">
        <v>3</v>
      </c>
      <c r="D32" s="110">
        <v>9200</v>
      </c>
      <c r="E32" s="112">
        <f t="shared" si="0"/>
        <v>27600</v>
      </c>
      <c r="F32" s="110" t="s">
        <v>95</v>
      </c>
      <c r="G32" s="71" t="s">
        <v>467</v>
      </c>
    </row>
    <row r="33" spans="1:11" ht="25.5" customHeight="1" x14ac:dyDescent="0.2">
      <c r="A33" s="108">
        <v>46228</v>
      </c>
      <c r="B33" s="110" t="s">
        <v>44</v>
      </c>
      <c r="C33" s="110">
        <v>2</v>
      </c>
      <c r="D33" s="110">
        <v>9200</v>
      </c>
      <c r="E33" s="112">
        <f t="shared" si="0"/>
        <v>18400</v>
      </c>
      <c r="F33" s="110" t="s">
        <v>95</v>
      </c>
      <c r="G33" s="71" t="s">
        <v>467</v>
      </c>
      <c r="I33" s="107" t="s">
        <v>759</v>
      </c>
      <c r="J33" s="107" t="s">
        <v>757</v>
      </c>
      <c r="K33" s="107" t="s">
        <v>769</v>
      </c>
    </row>
    <row r="34" spans="1:11" ht="15" customHeight="1" x14ac:dyDescent="0.2">
      <c r="A34" s="108">
        <v>46228</v>
      </c>
      <c r="B34" s="110" t="s">
        <v>45</v>
      </c>
      <c r="C34" s="110">
        <v>1</v>
      </c>
      <c r="D34" s="110">
        <v>13335</v>
      </c>
      <c r="E34" s="112">
        <f t="shared" si="0"/>
        <v>13335</v>
      </c>
      <c r="F34" s="110" t="s">
        <v>95</v>
      </c>
      <c r="G34" s="71" t="s">
        <v>467</v>
      </c>
      <c r="I34" s="133" t="s">
        <v>444</v>
      </c>
      <c r="J34" s="112">
        <v>49775</v>
      </c>
      <c r="K34" s="113">
        <v>0.05</v>
      </c>
    </row>
    <row r="35" spans="1:11" ht="15" customHeight="1" x14ac:dyDescent="0.2">
      <c r="A35" s="72"/>
      <c r="B35" s="110" t="s">
        <v>768</v>
      </c>
      <c r="C35" s="110">
        <f>SUM(C2:C34)</f>
        <v>384</v>
      </c>
      <c r="D35" s="110">
        <f>SUM(D2:D34)</f>
        <v>375890</v>
      </c>
      <c r="E35" s="112">
        <f>SUM(E2:E34)</f>
        <v>2612575</v>
      </c>
      <c r="F35" s="72"/>
      <c r="G35" s="72"/>
      <c r="I35" s="133" t="s">
        <v>445</v>
      </c>
      <c r="J35" s="112">
        <v>5300</v>
      </c>
      <c r="K35" s="113">
        <v>0.02</v>
      </c>
    </row>
    <row r="36" spans="1:11" ht="15" customHeight="1" x14ac:dyDescent="0.2">
      <c r="I36" s="133" t="s">
        <v>446</v>
      </c>
      <c r="J36" s="112">
        <v>1300000</v>
      </c>
      <c r="K36" s="113">
        <v>-0.04</v>
      </c>
    </row>
    <row r="37" spans="1:11" ht="15" customHeight="1" x14ac:dyDescent="0.2">
      <c r="I37" s="133" t="s">
        <v>448</v>
      </c>
      <c r="J37" s="112">
        <v>135000</v>
      </c>
      <c r="K37" s="113">
        <v>0.05</v>
      </c>
    </row>
    <row r="38" spans="1:11" ht="15" customHeight="1" x14ac:dyDescent="0.2">
      <c r="I38" s="133" t="s">
        <v>449</v>
      </c>
      <c r="J38" s="112">
        <v>177210</v>
      </c>
      <c r="K38" s="113">
        <v>0.05</v>
      </c>
    </row>
    <row r="39" spans="1:11" ht="15" customHeight="1" x14ac:dyDescent="0.2">
      <c r="I39" s="133" t="s">
        <v>450</v>
      </c>
      <c r="J39" s="112">
        <v>110000</v>
      </c>
      <c r="K39" s="113">
        <v>0.08</v>
      </c>
    </row>
    <row r="40" spans="1:11" ht="15" customHeight="1" x14ac:dyDescent="0.2">
      <c r="I40" s="133" t="s">
        <v>451</v>
      </c>
      <c r="J40" s="112">
        <v>27600</v>
      </c>
      <c r="K40" s="113">
        <v>0.06</v>
      </c>
    </row>
    <row r="41" spans="1:11" ht="15" customHeight="1" x14ac:dyDescent="0.2">
      <c r="I41" s="133" t="s">
        <v>452</v>
      </c>
      <c r="J41" s="112">
        <v>611475</v>
      </c>
      <c r="K41" s="113">
        <v>0.06</v>
      </c>
    </row>
    <row r="42" spans="1:11" ht="15" customHeight="1" x14ac:dyDescent="0.2">
      <c r="I42" s="133" t="s">
        <v>454</v>
      </c>
      <c r="J42" s="112">
        <v>9335</v>
      </c>
      <c r="K42" s="113">
        <v>7.0000000000000007E-2</v>
      </c>
    </row>
    <row r="43" spans="1:11" ht="15" customHeight="1" x14ac:dyDescent="0.2">
      <c r="I43" s="133" t="s">
        <v>456</v>
      </c>
      <c r="J43" s="112">
        <v>31800</v>
      </c>
      <c r="K43" s="113">
        <v>0.04</v>
      </c>
    </row>
    <row r="44" spans="1:11" ht="15" customHeight="1" x14ac:dyDescent="0.2">
      <c r="I44" s="71" t="s">
        <v>459</v>
      </c>
      <c r="J44" s="112">
        <v>74120</v>
      </c>
      <c r="K44" s="113">
        <v>0.05</v>
      </c>
    </row>
    <row r="45" spans="1:11" ht="15" customHeight="1" x14ac:dyDescent="0.2">
      <c r="I45" s="133" t="s">
        <v>461</v>
      </c>
      <c r="J45" s="112">
        <v>5300</v>
      </c>
      <c r="K45" s="113">
        <v>0.02</v>
      </c>
    </row>
    <row r="46" spans="1:11" ht="15" customHeight="1" x14ac:dyDescent="0.2">
      <c r="I46" s="133" t="s">
        <v>462</v>
      </c>
      <c r="J46" s="112">
        <v>80725</v>
      </c>
      <c r="K46" s="113">
        <v>0.06</v>
      </c>
    </row>
    <row r="47" spans="1:11" ht="15" customHeight="1" x14ac:dyDescent="0.2">
      <c r="I47" s="133" t="s">
        <v>463</v>
      </c>
      <c r="J47" s="112">
        <v>36600</v>
      </c>
      <c r="K47" s="113">
        <v>7.0000000000000007E-2</v>
      </c>
    </row>
    <row r="48" spans="1:11" ht="15" customHeight="1" x14ac:dyDescent="0.2">
      <c r="I48" s="133" t="s">
        <v>464</v>
      </c>
      <c r="J48" s="112">
        <v>9500</v>
      </c>
      <c r="K48" s="113">
        <v>0.09</v>
      </c>
    </row>
    <row r="49" spans="9:11" ht="15" customHeight="1" x14ac:dyDescent="0.2">
      <c r="I49" s="133" t="s">
        <v>465</v>
      </c>
      <c r="J49" s="112">
        <v>13950</v>
      </c>
      <c r="K49" s="113">
        <v>0.09</v>
      </c>
    </row>
    <row r="50" spans="9:11" ht="15" customHeight="1" x14ac:dyDescent="0.2">
      <c r="I50" s="133" t="s">
        <v>466</v>
      </c>
      <c r="J50" s="112">
        <v>21950</v>
      </c>
      <c r="K50" s="113">
        <v>0.42</v>
      </c>
    </row>
    <row r="51" spans="9:11" ht="15" customHeight="1" x14ac:dyDescent="0.2">
      <c r="I51" s="71" t="s">
        <v>467</v>
      </c>
      <c r="J51" s="112">
        <v>59335</v>
      </c>
      <c r="K51" s="113">
        <v>0.04</v>
      </c>
    </row>
    <row r="52" spans="9:11" ht="15" customHeight="1" x14ac:dyDescent="0.2">
      <c r="I52" s="110" t="s">
        <v>770</v>
      </c>
      <c r="J52" s="112">
        <f>SUM(J34:J51)</f>
        <v>2758975</v>
      </c>
      <c r="K52" s="72"/>
    </row>
  </sheetData>
  <hyperlinks>
    <hyperlink ref="G2" r:id="rId1" xr:uid="{00000000-0004-0000-1C00-000000000000}"/>
    <hyperlink ref="G3" r:id="rId2" xr:uid="{00000000-0004-0000-1C00-000001000000}"/>
    <hyperlink ref="G4" r:id="rId3" xr:uid="{00000000-0004-0000-1C00-000002000000}"/>
    <hyperlink ref="G5" r:id="rId4" xr:uid="{00000000-0004-0000-1C00-000003000000}"/>
    <hyperlink ref="G6" r:id="rId5" xr:uid="{00000000-0004-0000-1C00-000004000000}"/>
    <hyperlink ref="G7" r:id="rId6" xr:uid="{00000000-0004-0000-1C00-000005000000}"/>
    <hyperlink ref="G8" r:id="rId7" xr:uid="{00000000-0004-0000-1C00-000006000000}"/>
    <hyperlink ref="G9" r:id="rId8" xr:uid="{00000000-0004-0000-1C00-000007000000}"/>
    <hyperlink ref="G10" r:id="rId9" xr:uid="{00000000-0004-0000-1C00-000008000000}"/>
    <hyperlink ref="G11" r:id="rId10" xr:uid="{00000000-0004-0000-1C00-000009000000}"/>
    <hyperlink ref="G12" r:id="rId11" xr:uid="{00000000-0004-0000-1C00-00000A000000}"/>
    <hyperlink ref="G13" r:id="rId12" xr:uid="{00000000-0004-0000-1C00-00000B000000}"/>
    <hyperlink ref="G14" r:id="rId13" xr:uid="{00000000-0004-0000-1C00-00000C000000}"/>
    <hyperlink ref="G15" r:id="rId14" xr:uid="{00000000-0004-0000-1C00-00000D000000}"/>
    <hyperlink ref="G16" r:id="rId15" xr:uid="{00000000-0004-0000-1C00-00000E000000}"/>
    <hyperlink ref="G17" r:id="rId16" xr:uid="{00000000-0004-0000-1C00-00000F000000}"/>
    <hyperlink ref="G18" r:id="rId17" xr:uid="{00000000-0004-0000-1C00-000010000000}"/>
    <hyperlink ref="G19" r:id="rId18" xr:uid="{00000000-0004-0000-1C00-000011000000}"/>
    <hyperlink ref="G20" r:id="rId19" xr:uid="{00000000-0004-0000-1C00-000012000000}"/>
    <hyperlink ref="G21" r:id="rId20" xr:uid="{00000000-0004-0000-1C00-000013000000}"/>
    <hyperlink ref="G22" r:id="rId21" xr:uid="{00000000-0004-0000-1C00-000014000000}"/>
    <hyperlink ref="G23" r:id="rId22" xr:uid="{00000000-0004-0000-1C00-000015000000}"/>
    <hyperlink ref="G24" r:id="rId23" xr:uid="{00000000-0004-0000-1C00-000016000000}"/>
    <hyperlink ref="G25" r:id="rId24" xr:uid="{00000000-0004-0000-1C00-000017000000}"/>
    <hyperlink ref="G26" r:id="rId25" xr:uid="{00000000-0004-0000-1C00-000018000000}"/>
    <hyperlink ref="G27" r:id="rId26" xr:uid="{00000000-0004-0000-1C00-000019000000}"/>
    <hyperlink ref="G28" r:id="rId27" xr:uid="{00000000-0004-0000-1C00-00001A000000}"/>
    <hyperlink ref="G29" r:id="rId28" xr:uid="{00000000-0004-0000-1C00-00001B000000}"/>
    <hyperlink ref="G30" r:id="rId29" xr:uid="{00000000-0004-0000-1C00-00001C000000}"/>
    <hyperlink ref="G31" r:id="rId30" xr:uid="{00000000-0004-0000-1C00-00001D000000}"/>
    <hyperlink ref="G32" r:id="rId31" xr:uid="{00000000-0004-0000-1C00-00001E000000}"/>
    <hyperlink ref="G33" r:id="rId32" xr:uid="{00000000-0004-0000-1C00-00001F000000}"/>
    <hyperlink ref="G34" r:id="rId33" xr:uid="{00000000-0004-0000-1C00-000020000000}"/>
    <hyperlink ref="I34" r:id="rId34" xr:uid="{00000000-0004-0000-1C00-000021000000}"/>
    <hyperlink ref="I35" r:id="rId35" xr:uid="{00000000-0004-0000-1C00-000022000000}"/>
    <hyperlink ref="I36" r:id="rId36" xr:uid="{00000000-0004-0000-1C00-000023000000}"/>
    <hyperlink ref="I37" r:id="rId37" xr:uid="{00000000-0004-0000-1C00-000024000000}"/>
    <hyperlink ref="I38" r:id="rId38" xr:uid="{00000000-0004-0000-1C00-000025000000}"/>
    <hyperlink ref="I39" r:id="rId39" xr:uid="{00000000-0004-0000-1C00-000026000000}"/>
    <hyperlink ref="I40" r:id="rId40" xr:uid="{00000000-0004-0000-1C00-000027000000}"/>
    <hyperlink ref="I41" r:id="rId41" xr:uid="{00000000-0004-0000-1C00-000028000000}"/>
    <hyperlink ref="I42" r:id="rId42" xr:uid="{00000000-0004-0000-1C00-000029000000}"/>
    <hyperlink ref="I43" r:id="rId43" xr:uid="{00000000-0004-0000-1C00-00002A000000}"/>
    <hyperlink ref="I44" r:id="rId44" xr:uid="{00000000-0004-0000-1C00-00002B000000}"/>
    <hyperlink ref="I45" r:id="rId45" xr:uid="{00000000-0004-0000-1C00-00002C000000}"/>
    <hyperlink ref="I46" r:id="rId46" xr:uid="{00000000-0004-0000-1C00-00002D000000}"/>
    <hyperlink ref="I47" r:id="rId47" xr:uid="{00000000-0004-0000-1C00-00002E000000}"/>
    <hyperlink ref="I48" r:id="rId48" xr:uid="{00000000-0004-0000-1C00-00002F000000}"/>
    <hyperlink ref="I49" r:id="rId49" xr:uid="{00000000-0004-0000-1C00-000030000000}"/>
    <hyperlink ref="I50" r:id="rId50" xr:uid="{00000000-0004-0000-1C00-000031000000}"/>
    <hyperlink ref="I51" r:id="rId51" xr:uid="{00000000-0004-0000-1C00-000032000000}"/>
  </hyperlinks>
  <pageMargins left="0.75" right="0.75" top="1" bottom="1" header="0.511811023622047" footer="0.511811023622047"/>
  <pageSetup paperSize="9" orientation="portrait" horizontalDpi="300" verticalDpi="300"/>
  <drawing r:id="rId5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"/>
  <sheetViews>
    <sheetView zoomScaleNormal="100" workbookViewId="0"/>
  </sheetViews>
  <sheetFormatPr defaultColWidth="8.609375" defaultRowHeight="15" x14ac:dyDescent="0.2"/>
  <cols>
    <col min="1" max="1" width="11.296875" style="38" customWidth="1"/>
    <col min="2" max="2" width="18.0234375" style="38" customWidth="1"/>
    <col min="3" max="3" width="10.89453125" style="38" customWidth="1"/>
    <col min="4" max="4" width="11.8359375" style="38" customWidth="1"/>
    <col min="5" max="5" width="12.5078125" style="38" customWidth="1"/>
    <col min="6" max="6" width="21.5234375" style="38" customWidth="1"/>
    <col min="7" max="7" width="11.83593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1" ht="17.25" customHeight="1" x14ac:dyDescent="0.2">
      <c r="A1" s="105" t="s">
        <v>778</v>
      </c>
    </row>
    <row r="2" spans="1:1" ht="15" customHeight="1" x14ac:dyDescent="0.2">
      <c r="A2" s="106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1"/>
  <sheetViews>
    <sheetView zoomScale="57" zoomScaleNormal="57" workbookViewId="0">
      <selection activeCell="AF34" sqref="AF34"/>
    </sheetView>
  </sheetViews>
  <sheetFormatPr defaultColWidth="8.609375" defaultRowHeight="15" x14ac:dyDescent="0.2"/>
  <cols>
    <col min="1" max="1" width="10.4921875" style="38" customWidth="1"/>
    <col min="2" max="2" width="20.58203125" style="38" customWidth="1"/>
    <col min="3" max="3" width="11.43359375" style="38" customWidth="1"/>
    <col min="4" max="4" width="14.66015625" style="38" customWidth="1"/>
    <col min="5" max="5" width="12.5078125" style="38" customWidth="1"/>
    <col min="6" max="6" width="17.21875" style="38" customWidth="1"/>
    <col min="7" max="7" width="12.77734375" style="38" customWidth="1"/>
    <col min="8" max="8" width="2.95703125" style="38" customWidth="1"/>
    <col min="9" max="9" width="20.582031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375" style="38" customWidth="1"/>
    <col min="15" max="16" width="15.871093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5" customHeight="1" x14ac:dyDescent="0.2">
      <c r="A2" s="108">
        <v>46230</v>
      </c>
      <c r="B2" s="110" t="s">
        <v>24</v>
      </c>
      <c r="C2" s="110">
        <v>2</v>
      </c>
      <c r="D2" s="110">
        <v>5300</v>
      </c>
      <c r="E2" s="112">
        <f t="shared" ref="E2:E36" si="0">C2*D2</f>
        <v>10600</v>
      </c>
      <c r="F2" s="110" t="s">
        <v>15</v>
      </c>
      <c r="G2" s="71" t="s">
        <v>468</v>
      </c>
      <c r="I2" s="110" t="s">
        <v>24</v>
      </c>
      <c r="J2" s="110">
        <f>C2+C9+C18+C23+C31+C32</f>
        <v>374</v>
      </c>
      <c r="K2" s="112">
        <f>E2+E9+E18+E23+E31+E32</f>
        <v>1871200</v>
      </c>
      <c r="L2" s="113">
        <f t="shared" ref="L2:L14" si="1">K2/K$14</f>
        <v>0.23661575735504251</v>
      </c>
      <c r="N2" s="112">
        <f>K14</f>
        <v>7908180</v>
      </c>
      <c r="O2" s="110">
        <f>J14</f>
        <v>971</v>
      </c>
      <c r="P2" s="110">
        <f>COUNT(J2:J13)</f>
        <v>12</v>
      </c>
    </row>
    <row r="3" spans="1:16" ht="15" customHeight="1" x14ac:dyDescent="0.2">
      <c r="A3" s="108">
        <v>46230</v>
      </c>
      <c r="B3" s="110" t="s">
        <v>32</v>
      </c>
      <c r="C3" s="110">
        <v>1</v>
      </c>
      <c r="D3" s="110">
        <v>16145</v>
      </c>
      <c r="E3" s="112">
        <f t="shared" si="0"/>
        <v>16145</v>
      </c>
      <c r="F3" s="110" t="s">
        <v>104</v>
      </c>
      <c r="G3" s="71" t="s">
        <v>469</v>
      </c>
      <c r="I3" s="110" t="s">
        <v>32</v>
      </c>
      <c r="J3" s="110">
        <f>C3</f>
        <v>1</v>
      </c>
      <c r="K3" s="112">
        <f>E3</f>
        <v>16145</v>
      </c>
      <c r="L3" s="113">
        <f t="shared" si="1"/>
        <v>2.0415569701246051E-3</v>
      </c>
    </row>
    <row r="4" spans="1:16" ht="15" customHeight="1" x14ac:dyDescent="0.2">
      <c r="A4" s="108">
        <v>46230</v>
      </c>
      <c r="B4" s="110" t="s">
        <v>100</v>
      </c>
      <c r="C4" s="110">
        <v>10</v>
      </c>
      <c r="D4" s="110">
        <v>11480</v>
      </c>
      <c r="E4" s="112">
        <f t="shared" si="0"/>
        <v>114800</v>
      </c>
      <c r="F4" s="110" t="s">
        <v>29</v>
      </c>
      <c r="G4" s="71" t="s">
        <v>470</v>
      </c>
      <c r="I4" s="110" t="s">
        <v>100</v>
      </c>
      <c r="J4" s="110">
        <f>C4</f>
        <v>10</v>
      </c>
      <c r="K4" s="112">
        <f>E4</f>
        <v>114800</v>
      </c>
      <c r="L4" s="113">
        <f t="shared" si="1"/>
        <v>1.4516614442261051E-2</v>
      </c>
    </row>
    <row r="5" spans="1:16" ht="15" customHeight="1" x14ac:dyDescent="0.2">
      <c r="A5" s="108">
        <v>46230</v>
      </c>
      <c r="B5" s="110" t="s">
        <v>87</v>
      </c>
      <c r="C5" s="110">
        <v>10</v>
      </c>
      <c r="D5" s="110">
        <v>21400</v>
      </c>
      <c r="E5" s="112">
        <f t="shared" si="0"/>
        <v>214000</v>
      </c>
      <c r="F5" s="110" t="s">
        <v>29</v>
      </c>
      <c r="G5" s="71" t="s">
        <v>470</v>
      </c>
      <c r="I5" s="110" t="s">
        <v>87</v>
      </c>
      <c r="J5" s="110">
        <f>C5+C22</f>
        <v>15</v>
      </c>
      <c r="K5" s="112">
        <f>E5+E22</f>
        <v>326825</v>
      </c>
      <c r="L5" s="113">
        <f t="shared" si="1"/>
        <v>4.1327460932856865E-2</v>
      </c>
    </row>
    <row r="6" spans="1:16" ht="15" customHeight="1" x14ac:dyDescent="0.2">
      <c r="A6" s="108">
        <v>46230</v>
      </c>
      <c r="B6" s="110" t="s">
        <v>21</v>
      </c>
      <c r="C6" s="110">
        <v>3</v>
      </c>
      <c r="D6" s="110">
        <v>9000</v>
      </c>
      <c r="E6" s="112">
        <f t="shared" si="0"/>
        <v>27000</v>
      </c>
      <c r="F6" s="110" t="s">
        <v>212</v>
      </c>
      <c r="G6" s="71" t="s">
        <v>471</v>
      </c>
      <c r="I6" s="110" t="s">
        <v>21</v>
      </c>
      <c r="J6" s="110">
        <f>C6+C26+C36</f>
        <v>6</v>
      </c>
      <c r="K6" s="112">
        <f>E6+E26+E36</f>
        <v>54000</v>
      </c>
      <c r="L6" s="113">
        <f t="shared" si="1"/>
        <v>6.8283726470565924E-3</v>
      </c>
    </row>
    <row r="7" spans="1:16" ht="15" customHeight="1" x14ac:dyDescent="0.2">
      <c r="A7" s="108">
        <v>46230</v>
      </c>
      <c r="B7" s="110" t="s">
        <v>43</v>
      </c>
      <c r="C7" s="110">
        <v>1</v>
      </c>
      <c r="D7" s="110">
        <v>18300</v>
      </c>
      <c r="E7" s="112">
        <f t="shared" si="0"/>
        <v>18300</v>
      </c>
      <c r="F7" s="110" t="s">
        <v>212</v>
      </c>
      <c r="G7" s="71" t="s">
        <v>471</v>
      </c>
      <c r="I7" s="110" t="s">
        <v>43</v>
      </c>
      <c r="J7" s="110">
        <f>C7+C13+C30</f>
        <v>22</v>
      </c>
      <c r="K7" s="112">
        <f>E7+E13+E30</f>
        <v>390600</v>
      </c>
      <c r="L7" s="113">
        <f t="shared" si="1"/>
        <v>4.9391895480376015E-2</v>
      </c>
    </row>
    <row r="8" spans="1:16" ht="15" customHeight="1" x14ac:dyDescent="0.2">
      <c r="A8" s="108">
        <v>46230</v>
      </c>
      <c r="B8" s="110" t="s">
        <v>45</v>
      </c>
      <c r="C8" s="110">
        <v>50</v>
      </c>
      <c r="D8" s="110">
        <v>12930</v>
      </c>
      <c r="E8" s="112">
        <f t="shared" si="0"/>
        <v>646500</v>
      </c>
      <c r="F8" s="110" t="s">
        <v>152</v>
      </c>
      <c r="G8" s="71" t="s">
        <v>472</v>
      </c>
      <c r="I8" s="110" t="s">
        <v>45</v>
      </c>
      <c r="J8" s="110">
        <f>C8+C12+C17+C19+C25</f>
        <v>97</v>
      </c>
      <c r="K8" s="112">
        <f>E8+E12+E17+E19+E25</f>
        <v>1264245</v>
      </c>
      <c r="L8" s="113">
        <f t="shared" si="1"/>
        <v>0.15986548105885298</v>
      </c>
    </row>
    <row r="9" spans="1:16" ht="15" customHeight="1" x14ac:dyDescent="0.2">
      <c r="A9" s="108">
        <v>46230</v>
      </c>
      <c r="B9" s="110" t="s">
        <v>24</v>
      </c>
      <c r="C9" s="110">
        <v>210</v>
      </c>
      <c r="D9" s="110">
        <v>5000</v>
      </c>
      <c r="E9" s="112">
        <f t="shared" si="0"/>
        <v>1050000</v>
      </c>
      <c r="F9" s="110" t="s">
        <v>25</v>
      </c>
      <c r="G9" s="71" t="s">
        <v>474</v>
      </c>
      <c r="I9" s="110" t="s">
        <v>22</v>
      </c>
      <c r="J9" s="110">
        <f>C10+C14+C15+C20+C24+C27</f>
        <v>321</v>
      </c>
      <c r="K9" s="112">
        <f>E10+E14+E15+E20+E24+E27</f>
        <v>2757240</v>
      </c>
      <c r="L9" s="113">
        <f t="shared" si="1"/>
        <v>0.34865670735870957</v>
      </c>
    </row>
    <row r="10" spans="1:16" ht="15" customHeight="1" x14ac:dyDescent="0.2">
      <c r="A10" s="108">
        <v>46230</v>
      </c>
      <c r="B10" s="110" t="s">
        <v>22</v>
      </c>
      <c r="C10" s="110">
        <v>200</v>
      </c>
      <c r="D10" s="110">
        <v>8500</v>
      </c>
      <c r="E10" s="112">
        <f t="shared" si="0"/>
        <v>1700000</v>
      </c>
      <c r="F10" s="110" t="s">
        <v>165</v>
      </c>
      <c r="G10" s="71" t="s">
        <v>475</v>
      </c>
      <c r="I10" s="110" t="s">
        <v>37</v>
      </c>
      <c r="J10" s="110">
        <f>C11+C29+C35</f>
        <v>102</v>
      </c>
      <c r="K10" s="112">
        <f>E11+E29+E35</f>
        <v>906700</v>
      </c>
      <c r="L10" s="113">
        <f t="shared" si="1"/>
        <v>0.11465343479789282</v>
      </c>
    </row>
    <row r="11" spans="1:16" ht="15" customHeight="1" x14ac:dyDescent="0.2">
      <c r="A11" s="108">
        <v>46230</v>
      </c>
      <c r="B11" s="110" t="s">
        <v>37</v>
      </c>
      <c r="C11" s="110">
        <v>100</v>
      </c>
      <c r="D11" s="110">
        <v>8880</v>
      </c>
      <c r="E11" s="112">
        <f t="shared" si="0"/>
        <v>888000</v>
      </c>
      <c r="F11" s="110" t="s">
        <v>165</v>
      </c>
      <c r="G11" s="71" t="s">
        <v>475</v>
      </c>
      <c r="I11" s="110" t="s">
        <v>27</v>
      </c>
      <c r="J11" s="110">
        <f>C16+C33</f>
        <v>18</v>
      </c>
      <c r="K11" s="112">
        <f>E16+E33</f>
        <v>144360</v>
      </c>
      <c r="L11" s="113">
        <f t="shared" si="1"/>
        <v>1.8254516209797955E-2</v>
      </c>
    </row>
    <row r="12" spans="1:16" ht="15" customHeight="1" x14ac:dyDescent="0.2">
      <c r="A12" s="108">
        <v>46230</v>
      </c>
      <c r="B12" s="110" t="s">
        <v>45</v>
      </c>
      <c r="C12" s="110">
        <v>30</v>
      </c>
      <c r="D12" s="110">
        <v>12830</v>
      </c>
      <c r="E12" s="112">
        <f t="shared" si="0"/>
        <v>384900</v>
      </c>
      <c r="F12" s="110" t="s">
        <v>165</v>
      </c>
      <c r="G12" s="71" t="s">
        <v>475</v>
      </c>
      <c r="I12" s="110" t="s">
        <v>101</v>
      </c>
      <c r="J12" s="110">
        <f>C21</f>
        <v>3</v>
      </c>
      <c r="K12" s="112">
        <f>E21</f>
        <v>43365</v>
      </c>
      <c r="L12" s="113">
        <f t="shared" si="1"/>
        <v>5.4835625896223908E-3</v>
      </c>
    </row>
    <row r="13" spans="1:16" ht="15" customHeight="1" x14ac:dyDescent="0.2">
      <c r="A13" s="108">
        <v>46230</v>
      </c>
      <c r="B13" s="110" t="s">
        <v>43</v>
      </c>
      <c r="C13" s="110">
        <v>20</v>
      </c>
      <c r="D13" s="110">
        <v>17700</v>
      </c>
      <c r="E13" s="112">
        <f t="shared" si="0"/>
        <v>354000</v>
      </c>
      <c r="F13" s="110" t="s">
        <v>165</v>
      </c>
      <c r="G13" s="71" t="s">
        <v>475</v>
      </c>
      <c r="I13" s="110" t="s">
        <v>44</v>
      </c>
      <c r="J13" s="110">
        <f>C28+C34</f>
        <v>2</v>
      </c>
      <c r="K13" s="112">
        <f>E28+E34</f>
        <v>18700</v>
      </c>
      <c r="L13" s="113">
        <f t="shared" si="1"/>
        <v>2.3646401574066345E-3</v>
      </c>
    </row>
    <row r="14" spans="1:16" ht="15" customHeight="1" x14ac:dyDescent="0.2">
      <c r="A14" s="108">
        <v>46230</v>
      </c>
      <c r="B14" s="110" t="s">
        <v>22</v>
      </c>
      <c r="C14" s="110">
        <v>40</v>
      </c>
      <c r="D14" s="110">
        <v>9000</v>
      </c>
      <c r="E14" s="112">
        <f t="shared" si="0"/>
        <v>360000</v>
      </c>
      <c r="F14" s="110" t="s">
        <v>59</v>
      </c>
      <c r="G14" s="71" t="s">
        <v>479</v>
      </c>
      <c r="I14" s="110" t="s">
        <v>768</v>
      </c>
      <c r="J14" s="110">
        <f>SUM(J2:J13)</f>
        <v>971</v>
      </c>
      <c r="K14" s="112">
        <f>SUM(K2:K13)</f>
        <v>7908180</v>
      </c>
      <c r="L14" s="113">
        <f t="shared" si="1"/>
        <v>1</v>
      </c>
    </row>
    <row r="15" spans="1:16" ht="15" customHeight="1" x14ac:dyDescent="0.2">
      <c r="A15" s="108">
        <v>46230</v>
      </c>
      <c r="B15" s="110" t="s">
        <v>22</v>
      </c>
      <c r="C15" s="110">
        <v>70</v>
      </c>
      <c r="D15" s="110">
        <v>8500</v>
      </c>
      <c r="E15" s="112">
        <f t="shared" si="0"/>
        <v>595000</v>
      </c>
      <c r="F15" s="110" t="s">
        <v>139</v>
      </c>
      <c r="G15" s="71" t="s">
        <v>482</v>
      </c>
    </row>
    <row r="16" spans="1:16" ht="25.5" customHeight="1" x14ac:dyDescent="0.2">
      <c r="A16" s="108">
        <v>46230</v>
      </c>
      <c r="B16" s="110" t="s">
        <v>27</v>
      </c>
      <c r="C16" s="110">
        <v>8</v>
      </c>
      <c r="D16" s="110">
        <v>8020</v>
      </c>
      <c r="E16" s="112">
        <f t="shared" si="0"/>
        <v>64160</v>
      </c>
      <c r="F16" s="110" t="s">
        <v>25</v>
      </c>
      <c r="G16" s="71" t="s">
        <v>483</v>
      </c>
      <c r="I16" s="107" t="s">
        <v>758</v>
      </c>
      <c r="J16" s="107" t="s">
        <v>757</v>
      </c>
      <c r="K16" s="107" t="s">
        <v>762</v>
      </c>
      <c r="L16" s="107" t="s">
        <v>769</v>
      </c>
    </row>
    <row r="17" spans="1:12" ht="15" customHeight="1" x14ac:dyDescent="0.2">
      <c r="A17" s="108">
        <v>46230</v>
      </c>
      <c r="B17" s="110" t="s">
        <v>45</v>
      </c>
      <c r="C17" s="110">
        <v>5</v>
      </c>
      <c r="D17" s="110">
        <v>13335</v>
      </c>
      <c r="E17" s="112">
        <f t="shared" si="0"/>
        <v>66675</v>
      </c>
      <c r="F17" s="110" t="s">
        <v>145</v>
      </c>
      <c r="G17" s="71" t="s">
        <v>485</v>
      </c>
      <c r="I17" s="110" t="s">
        <v>15</v>
      </c>
      <c r="J17" s="112">
        <f>E2+E18+E34+E35+E36</f>
        <v>43900</v>
      </c>
      <c r="K17" s="113">
        <f t="shared" ref="K17:K30" si="2">J17/J$30</f>
        <v>5.5512140593663778E-3</v>
      </c>
      <c r="L17" s="113">
        <v>6.08E-2</v>
      </c>
    </row>
    <row r="18" spans="1:12" ht="15" customHeight="1" x14ac:dyDescent="0.2">
      <c r="A18" s="108">
        <v>46230</v>
      </c>
      <c r="B18" s="110" t="s">
        <v>24</v>
      </c>
      <c r="C18" s="110">
        <v>1</v>
      </c>
      <c r="D18" s="110">
        <v>5300</v>
      </c>
      <c r="E18" s="112">
        <f t="shared" si="0"/>
        <v>5300</v>
      </c>
      <c r="F18" s="110" t="s">
        <v>15</v>
      </c>
      <c r="G18" s="71" t="s">
        <v>486</v>
      </c>
      <c r="I18" s="110" t="s">
        <v>104</v>
      </c>
      <c r="J18" s="112">
        <f>E3</f>
        <v>16145</v>
      </c>
      <c r="K18" s="113">
        <f t="shared" si="2"/>
        <v>2.0415569701246051E-3</v>
      </c>
      <c r="L18" s="113">
        <v>5.5599999999999997E-2</v>
      </c>
    </row>
    <row r="19" spans="1:12" ht="15" customHeight="1" x14ac:dyDescent="0.2">
      <c r="A19" s="108">
        <v>46230</v>
      </c>
      <c r="B19" s="110" t="s">
        <v>45</v>
      </c>
      <c r="C19" s="110">
        <v>10</v>
      </c>
      <c r="D19" s="110">
        <v>13950</v>
      </c>
      <c r="E19" s="112">
        <f t="shared" si="0"/>
        <v>139500</v>
      </c>
      <c r="F19" s="110" t="s">
        <v>85</v>
      </c>
      <c r="G19" s="71" t="s">
        <v>487</v>
      </c>
      <c r="I19" s="110" t="s">
        <v>29</v>
      </c>
      <c r="J19" s="112">
        <f>E4+E5</f>
        <v>328800</v>
      </c>
      <c r="K19" s="113">
        <f t="shared" si="2"/>
        <v>4.1577202339855693E-2</v>
      </c>
      <c r="L19" s="113">
        <v>0.1014</v>
      </c>
    </row>
    <row r="20" spans="1:12" ht="15" customHeight="1" x14ac:dyDescent="0.2">
      <c r="A20" s="108">
        <v>46230</v>
      </c>
      <c r="B20" s="110" t="s">
        <v>22</v>
      </c>
      <c r="C20" s="110">
        <v>5</v>
      </c>
      <c r="D20" s="110">
        <v>9300</v>
      </c>
      <c r="E20" s="112">
        <f t="shared" si="0"/>
        <v>46500</v>
      </c>
      <c r="F20" s="110" t="s">
        <v>85</v>
      </c>
      <c r="G20" s="71" t="s">
        <v>487</v>
      </c>
      <c r="I20" s="110" t="s">
        <v>212</v>
      </c>
      <c r="J20" s="112">
        <f>E6+E7</f>
        <v>45300</v>
      </c>
      <c r="K20" s="113">
        <f t="shared" si="2"/>
        <v>5.7282459428085854E-3</v>
      </c>
      <c r="L20" s="113">
        <v>8.3799999999999999E-2</v>
      </c>
    </row>
    <row r="21" spans="1:12" ht="15" customHeight="1" x14ac:dyDescent="0.2">
      <c r="A21" s="108">
        <v>46230</v>
      </c>
      <c r="B21" s="110" t="s">
        <v>101</v>
      </c>
      <c r="C21" s="110">
        <v>3</v>
      </c>
      <c r="D21" s="110">
        <v>14455</v>
      </c>
      <c r="E21" s="112">
        <f t="shared" si="0"/>
        <v>43365</v>
      </c>
      <c r="F21" s="110" t="s">
        <v>85</v>
      </c>
      <c r="G21" s="71" t="s">
        <v>487</v>
      </c>
      <c r="I21" s="110" t="s">
        <v>152</v>
      </c>
      <c r="J21" s="112">
        <f>E8</f>
        <v>646500</v>
      </c>
      <c r="K21" s="113">
        <f t="shared" si="2"/>
        <v>8.175079474670531E-2</v>
      </c>
      <c r="L21" s="113">
        <v>0.14050000000000001</v>
      </c>
    </row>
    <row r="22" spans="1:12" ht="15" customHeight="1" x14ac:dyDescent="0.2">
      <c r="A22" s="108">
        <v>46230</v>
      </c>
      <c r="B22" s="110" t="s">
        <v>87</v>
      </c>
      <c r="C22" s="110">
        <v>5</v>
      </c>
      <c r="D22" s="110">
        <v>22565</v>
      </c>
      <c r="E22" s="112">
        <f t="shared" si="0"/>
        <v>112825</v>
      </c>
      <c r="F22" s="110" t="s">
        <v>85</v>
      </c>
      <c r="G22" s="71" t="s">
        <v>487</v>
      </c>
      <c r="I22" s="110" t="s">
        <v>25</v>
      </c>
      <c r="J22" s="112">
        <f>E9+E16</f>
        <v>1114160</v>
      </c>
      <c r="K22" s="113">
        <f t="shared" si="2"/>
        <v>0.14088703089712171</v>
      </c>
      <c r="L22" s="113">
        <v>-3.5299999999999998E-2</v>
      </c>
    </row>
    <row r="23" spans="1:12" ht="15" customHeight="1" x14ac:dyDescent="0.2">
      <c r="A23" s="108">
        <v>46230</v>
      </c>
      <c r="B23" s="110" t="s">
        <v>24</v>
      </c>
      <c r="C23" s="110">
        <v>100</v>
      </c>
      <c r="D23" s="110">
        <v>5000</v>
      </c>
      <c r="E23" s="112">
        <f t="shared" si="0"/>
        <v>500000</v>
      </c>
      <c r="F23" s="110" t="s">
        <v>59</v>
      </c>
      <c r="G23" s="71" t="s">
        <v>488</v>
      </c>
      <c r="I23" s="110" t="s">
        <v>165</v>
      </c>
      <c r="J23" s="112">
        <f>E10+E11+E12+E13</f>
        <v>3326900</v>
      </c>
      <c r="K23" s="113">
        <f t="shared" si="2"/>
        <v>0.42069098073134398</v>
      </c>
      <c r="L23" s="113">
        <v>8.2900000000000001E-2</v>
      </c>
    </row>
    <row r="24" spans="1:12" ht="15" customHeight="1" x14ac:dyDescent="0.2">
      <c r="A24" s="108">
        <v>46230</v>
      </c>
      <c r="B24" s="110" t="s">
        <v>22</v>
      </c>
      <c r="C24" s="110">
        <v>4</v>
      </c>
      <c r="D24" s="110">
        <v>9335</v>
      </c>
      <c r="E24" s="112">
        <f t="shared" si="0"/>
        <v>37340</v>
      </c>
      <c r="F24" s="110" t="s">
        <v>75</v>
      </c>
      <c r="G24" s="71" t="s">
        <v>489</v>
      </c>
      <c r="I24" s="110" t="s">
        <v>59</v>
      </c>
      <c r="J24" s="112">
        <f>E14+E23+E32+E33</f>
        <v>1240200</v>
      </c>
      <c r="K24" s="113">
        <f t="shared" si="2"/>
        <v>0.15682495846073308</v>
      </c>
      <c r="L24" s="113">
        <v>3.3E-3</v>
      </c>
    </row>
    <row r="25" spans="1:12" ht="15" customHeight="1" x14ac:dyDescent="0.2">
      <c r="A25" s="108">
        <v>46230</v>
      </c>
      <c r="B25" s="110" t="s">
        <v>45</v>
      </c>
      <c r="C25" s="110">
        <v>2</v>
      </c>
      <c r="D25" s="110">
        <v>13335</v>
      </c>
      <c r="E25" s="112">
        <f t="shared" si="0"/>
        <v>26670</v>
      </c>
      <c r="F25" s="110" t="s">
        <v>336</v>
      </c>
      <c r="G25" s="71" t="s">
        <v>491</v>
      </c>
      <c r="I25" s="110" t="s">
        <v>139</v>
      </c>
      <c r="J25" s="112">
        <f>E15</f>
        <v>595000</v>
      </c>
      <c r="K25" s="113">
        <f t="shared" si="2"/>
        <v>7.5238550462938369E-2</v>
      </c>
      <c r="L25" s="113">
        <v>1.2E-2</v>
      </c>
    </row>
    <row r="26" spans="1:12" ht="15" customHeight="1" x14ac:dyDescent="0.2">
      <c r="A26" s="108">
        <v>46230</v>
      </c>
      <c r="B26" s="110" t="s">
        <v>21</v>
      </c>
      <c r="C26" s="110">
        <v>2</v>
      </c>
      <c r="D26" s="110">
        <v>9000</v>
      </c>
      <c r="E26" s="112">
        <f t="shared" si="0"/>
        <v>18000</v>
      </c>
      <c r="F26" s="110" t="s">
        <v>336</v>
      </c>
      <c r="G26" s="71" t="s">
        <v>491</v>
      </c>
      <c r="I26" s="110" t="s">
        <v>145</v>
      </c>
      <c r="J26" s="112">
        <f>E17</f>
        <v>66675</v>
      </c>
      <c r="K26" s="113">
        <f t="shared" si="2"/>
        <v>8.4311434489351533E-3</v>
      </c>
      <c r="L26" s="113">
        <v>0.16320000000000001</v>
      </c>
    </row>
    <row r="27" spans="1:12" ht="15" customHeight="1" x14ac:dyDescent="0.2">
      <c r="A27" s="108">
        <v>46230</v>
      </c>
      <c r="B27" s="110" t="s">
        <v>22</v>
      </c>
      <c r="C27" s="110">
        <v>2</v>
      </c>
      <c r="D27" s="110">
        <v>9200</v>
      </c>
      <c r="E27" s="112">
        <f t="shared" si="0"/>
        <v>18400</v>
      </c>
      <c r="F27" s="110" t="s">
        <v>336</v>
      </c>
      <c r="G27" s="71" t="s">
        <v>491</v>
      </c>
      <c r="I27" s="110" t="s">
        <v>85</v>
      </c>
      <c r="J27" s="112">
        <f>E19+E20+E21+E22</f>
        <v>342190</v>
      </c>
      <c r="K27" s="113">
        <f t="shared" si="2"/>
        <v>4.3270385853635095E-2</v>
      </c>
      <c r="L27" s="113">
        <v>0.15890000000000001</v>
      </c>
    </row>
    <row r="28" spans="1:12" ht="15" customHeight="1" x14ac:dyDescent="0.2">
      <c r="A28" s="108">
        <v>46230</v>
      </c>
      <c r="B28" s="110" t="s">
        <v>44</v>
      </c>
      <c r="C28" s="110">
        <v>1</v>
      </c>
      <c r="D28" s="110">
        <v>9200</v>
      </c>
      <c r="E28" s="112">
        <f t="shared" si="0"/>
        <v>9200</v>
      </c>
      <c r="F28" s="110" t="s">
        <v>336</v>
      </c>
      <c r="G28" s="71" t="s">
        <v>491</v>
      </c>
      <c r="I28" s="110" t="s">
        <v>75</v>
      </c>
      <c r="J28" s="112">
        <f>E24</f>
        <v>37340</v>
      </c>
      <c r="K28" s="113">
        <f t="shared" si="2"/>
        <v>4.7216932340943176E-3</v>
      </c>
      <c r="L28" s="113">
        <v>8.6099999999999996E-2</v>
      </c>
    </row>
    <row r="29" spans="1:12" ht="15" customHeight="1" x14ac:dyDescent="0.2">
      <c r="A29" s="108">
        <v>46230</v>
      </c>
      <c r="B29" s="110" t="s">
        <v>37</v>
      </c>
      <c r="C29" s="110">
        <v>1</v>
      </c>
      <c r="D29" s="110">
        <v>9200</v>
      </c>
      <c r="E29" s="112">
        <f t="shared" si="0"/>
        <v>9200</v>
      </c>
      <c r="F29" s="110" t="s">
        <v>336</v>
      </c>
      <c r="G29" s="71" t="s">
        <v>491</v>
      </c>
      <c r="I29" s="110" t="s">
        <v>336</v>
      </c>
      <c r="J29" s="112">
        <f>E25+E26+E27+E28+E29+E30+E31</f>
        <v>105070</v>
      </c>
      <c r="K29" s="113">
        <f t="shared" si="2"/>
        <v>1.3286242852337706E-2</v>
      </c>
      <c r="L29" s="113">
        <v>5.8700000000000002E-2</v>
      </c>
    </row>
    <row r="30" spans="1:12" ht="15" customHeight="1" x14ac:dyDescent="0.2">
      <c r="A30" s="108">
        <v>46230</v>
      </c>
      <c r="B30" s="110" t="s">
        <v>43</v>
      </c>
      <c r="C30" s="110">
        <v>1</v>
      </c>
      <c r="D30" s="110">
        <v>18300</v>
      </c>
      <c r="E30" s="112">
        <f t="shared" si="0"/>
        <v>18300</v>
      </c>
      <c r="F30" s="110" t="s">
        <v>336</v>
      </c>
      <c r="G30" s="71" t="s">
        <v>491</v>
      </c>
      <c r="I30" s="110" t="s">
        <v>770</v>
      </c>
      <c r="J30" s="112">
        <f>SUM(J17:J29)</f>
        <v>7908180</v>
      </c>
      <c r="K30" s="113">
        <f t="shared" si="2"/>
        <v>1</v>
      </c>
      <c r="L30" s="72"/>
    </row>
    <row r="31" spans="1:12" ht="15" customHeight="1" x14ac:dyDescent="0.2">
      <c r="A31" s="108">
        <v>46230</v>
      </c>
      <c r="B31" s="110" t="s">
        <v>24</v>
      </c>
      <c r="C31" s="110">
        <v>1</v>
      </c>
      <c r="D31" s="110">
        <v>5300</v>
      </c>
      <c r="E31" s="112">
        <f t="shared" si="0"/>
        <v>5300</v>
      </c>
      <c r="F31" s="110" t="s">
        <v>336</v>
      </c>
      <c r="G31" s="71" t="s">
        <v>491</v>
      </c>
    </row>
    <row r="32" spans="1:12" ht="25.5" customHeight="1" x14ac:dyDescent="0.2">
      <c r="A32" s="108">
        <v>46230</v>
      </c>
      <c r="B32" s="110" t="s">
        <v>24</v>
      </c>
      <c r="C32" s="110">
        <v>60</v>
      </c>
      <c r="D32" s="110">
        <v>5000</v>
      </c>
      <c r="E32" s="112">
        <f t="shared" si="0"/>
        <v>300000</v>
      </c>
      <c r="F32" s="110" t="s">
        <v>59</v>
      </c>
      <c r="G32" s="71" t="s">
        <v>492</v>
      </c>
      <c r="I32" s="107" t="s">
        <v>759</v>
      </c>
      <c r="J32" s="107" t="s">
        <v>757</v>
      </c>
      <c r="K32" s="107" t="s">
        <v>769</v>
      </c>
    </row>
    <row r="33" spans="1:11" ht="15" customHeight="1" x14ac:dyDescent="0.2">
      <c r="A33" s="108">
        <v>46230</v>
      </c>
      <c r="B33" s="110" t="s">
        <v>27</v>
      </c>
      <c r="C33" s="110">
        <v>10</v>
      </c>
      <c r="D33" s="110">
        <v>8020</v>
      </c>
      <c r="E33" s="112">
        <f t="shared" si="0"/>
        <v>80200</v>
      </c>
      <c r="F33" s="110" t="s">
        <v>59</v>
      </c>
      <c r="G33" s="71" t="s">
        <v>492</v>
      </c>
      <c r="I33" s="71" t="s">
        <v>468</v>
      </c>
      <c r="J33" s="112">
        <v>10600</v>
      </c>
      <c r="K33" s="113">
        <v>0.02</v>
      </c>
    </row>
    <row r="34" spans="1:11" ht="15" customHeight="1" x14ac:dyDescent="0.2">
      <c r="A34" s="108">
        <v>46230</v>
      </c>
      <c r="B34" s="110" t="s">
        <v>44</v>
      </c>
      <c r="C34" s="110">
        <v>1</v>
      </c>
      <c r="D34" s="110">
        <v>9500</v>
      </c>
      <c r="E34" s="112">
        <f t="shared" si="0"/>
        <v>9500</v>
      </c>
      <c r="F34" s="110" t="s">
        <v>15</v>
      </c>
      <c r="G34" s="71" t="s">
        <v>493</v>
      </c>
      <c r="I34" s="71" t="s">
        <v>469</v>
      </c>
      <c r="J34" s="112">
        <v>16145</v>
      </c>
      <c r="K34" s="113">
        <v>0.06</v>
      </c>
    </row>
    <row r="35" spans="1:11" ht="15" customHeight="1" x14ac:dyDescent="0.2">
      <c r="A35" s="108">
        <v>46230</v>
      </c>
      <c r="B35" s="110" t="s">
        <v>37</v>
      </c>
      <c r="C35" s="110">
        <v>1</v>
      </c>
      <c r="D35" s="110">
        <v>9500</v>
      </c>
      <c r="E35" s="112">
        <f t="shared" si="0"/>
        <v>9500</v>
      </c>
      <c r="F35" s="110" t="s">
        <v>15</v>
      </c>
      <c r="G35" s="71" t="s">
        <v>493</v>
      </c>
      <c r="I35" s="71" t="s">
        <v>470</v>
      </c>
      <c r="J35" s="112">
        <v>366800</v>
      </c>
      <c r="K35" s="113">
        <v>0.1</v>
      </c>
    </row>
    <row r="36" spans="1:11" ht="15" customHeight="1" x14ac:dyDescent="0.2">
      <c r="A36" s="108">
        <v>46230</v>
      </c>
      <c r="B36" s="110" t="s">
        <v>21</v>
      </c>
      <c r="C36" s="110">
        <v>1</v>
      </c>
      <c r="D36" s="110">
        <v>9000</v>
      </c>
      <c r="E36" s="112">
        <f t="shared" si="0"/>
        <v>9000</v>
      </c>
      <c r="F36" s="110" t="s">
        <v>15</v>
      </c>
      <c r="G36" s="71" t="s">
        <v>493</v>
      </c>
      <c r="I36" s="71" t="s">
        <v>471</v>
      </c>
      <c r="J36" s="112">
        <v>45300</v>
      </c>
      <c r="K36" s="113">
        <v>0.08</v>
      </c>
    </row>
    <row r="37" spans="1:11" ht="15" customHeight="1" x14ac:dyDescent="0.2">
      <c r="A37" s="72"/>
      <c r="B37" s="110" t="s">
        <v>768</v>
      </c>
      <c r="C37" s="110">
        <f>SUM(C2:C36)</f>
        <v>971</v>
      </c>
      <c r="D37" s="110">
        <f>SUM(D2:D36)</f>
        <v>380780</v>
      </c>
      <c r="E37" s="112">
        <f>SUM(E2:E36)</f>
        <v>7908180</v>
      </c>
      <c r="F37" s="72"/>
      <c r="G37" s="72"/>
      <c r="I37" s="71" t="s">
        <v>472</v>
      </c>
      <c r="J37" s="112">
        <v>746500</v>
      </c>
      <c r="K37" s="113">
        <v>0.14000000000000001</v>
      </c>
    </row>
    <row r="38" spans="1:11" ht="15" customHeight="1" x14ac:dyDescent="0.2">
      <c r="I38" s="71" t="s">
        <v>474</v>
      </c>
      <c r="J38" s="112">
        <v>1050000</v>
      </c>
      <c r="K38" s="113">
        <v>-0.04</v>
      </c>
    </row>
    <row r="39" spans="1:11" ht="15" customHeight="1" x14ac:dyDescent="0.2">
      <c r="I39" s="71" t="s">
        <v>475</v>
      </c>
      <c r="J39" s="112">
        <v>4026900</v>
      </c>
      <c r="K39" s="113">
        <v>0.08</v>
      </c>
    </row>
    <row r="40" spans="1:11" ht="15" customHeight="1" x14ac:dyDescent="0.2">
      <c r="I40" s="71" t="s">
        <v>479</v>
      </c>
      <c r="J40" s="112">
        <v>440000</v>
      </c>
      <c r="K40" s="113">
        <v>7.0000000000000007E-2</v>
      </c>
    </row>
    <row r="41" spans="1:11" ht="15" customHeight="1" x14ac:dyDescent="0.2">
      <c r="I41" s="71" t="s">
        <v>482</v>
      </c>
      <c r="J41" s="112">
        <v>721000</v>
      </c>
      <c r="K41" s="113">
        <v>0.01</v>
      </c>
    </row>
    <row r="42" spans="1:11" ht="15" customHeight="1" x14ac:dyDescent="0.2">
      <c r="I42" s="71" t="s">
        <v>483</v>
      </c>
      <c r="J42" s="112">
        <v>64160</v>
      </c>
      <c r="K42" s="113">
        <v>0.04</v>
      </c>
    </row>
    <row r="43" spans="1:11" ht="15" customHeight="1" x14ac:dyDescent="0.2">
      <c r="I43" s="71" t="s">
        <v>485</v>
      </c>
      <c r="J43" s="112">
        <v>76675</v>
      </c>
      <c r="K43" s="113">
        <v>0.16</v>
      </c>
    </row>
    <row r="44" spans="1:11" ht="15" customHeight="1" x14ac:dyDescent="0.2">
      <c r="I44" s="71" t="s">
        <v>486</v>
      </c>
      <c r="J44" s="112">
        <v>5300</v>
      </c>
      <c r="K44" s="113">
        <v>0.02</v>
      </c>
    </row>
    <row r="45" spans="1:11" ht="15" customHeight="1" x14ac:dyDescent="0.2">
      <c r="I45" s="71" t="s">
        <v>487</v>
      </c>
      <c r="J45" s="112">
        <v>386590</v>
      </c>
      <c r="K45" s="113">
        <v>0.16</v>
      </c>
    </row>
    <row r="46" spans="1:11" ht="15" customHeight="1" x14ac:dyDescent="0.2">
      <c r="I46" s="71" t="s">
        <v>488</v>
      </c>
      <c r="J46" s="112">
        <v>500000</v>
      </c>
      <c r="K46" s="113">
        <v>-0.04</v>
      </c>
    </row>
    <row r="47" spans="1:11" ht="15" customHeight="1" x14ac:dyDescent="0.2">
      <c r="I47" s="71" t="s">
        <v>489</v>
      </c>
      <c r="J47" s="112">
        <v>44540</v>
      </c>
      <c r="K47" s="113">
        <v>0.09</v>
      </c>
    </row>
    <row r="48" spans="1:11" ht="15" customHeight="1" x14ac:dyDescent="0.2">
      <c r="I48" s="71" t="s">
        <v>491</v>
      </c>
      <c r="J48" s="112">
        <v>105070</v>
      </c>
      <c r="K48" s="113">
        <v>0.06</v>
      </c>
    </row>
    <row r="49" spans="9:11" ht="15" customHeight="1" x14ac:dyDescent="0.2">
      <c r="I49" s="71" t="s">
        <v>492</v>
      </c>
      <c r="J49" s="112">
        <v>380200</v>
      </c>
      <c r="K49" s="113">
        <v>-0.02</v>
      </c>
    </row>
    <row r="50" spans="9:11" ht="15" customHeight="1" x14ac:dyDescent="0.2">
      <c r="I50" s="71" t="s">
        <v>493</v>
      </c>
      <c r="J50" s="112">
        <v>28000</v>
      </c>
      <c r="K50" s="113">
        <v>0.08</v>
      </c>
    </row>
    <row r="51" spans="9:11" ht="15" customHeight="1" x14ac:dyDescent="0.2">
      <c r="I51" s="110" t="s">
        <v>770</v>
      </c>
      <c r="J51" s="112">
        <f>SUM(J33:J50)</f>
        <v>9013780</v>
      </c>
      <c r="K51" s="72"/>
    </row>
  </sheetData>
  <hyperlinks>
    <hyperlink ref="G2" r:id="rId1" xr:uid="{00000000-0004-0000-1E00-000000000000}"/>
    <hyperlink ref="G3" r:id="rId2" xr:uid="{00000000-0004-0000-1E00-000001000000}"/>
    <hyperlink ref="G4" r:id="rId3" xr:uid="{00000000-0004-0000-1E00-000002000000}"/>
    <hyperlink ref="G5" r:id="rId4" xr:uid="{00000000-0004-0000-1E00-000003000000}"/>
    <hyperlink ref="G6" r:id="rId5" xr:uid="{00000000-0004-0000-1E00-000004000000}"/>
    <hyperlink ref="G7" r:id="rId6" xr:uid="{00000000-0004-0000-1E00-000005000000}"/>
    <hyperlink ref="G8" r:id="rId7" xr:uid="{00000000-0004-0000-1E00-000006000000}"/>
    <hyperlink ref="G9" r:id="rId8" xr:uid="{00000000-0004-0000-1E00-000007000000}"/>
    <hyperlink ref="G10" r:id="rId9" xr:uid="{00000000-0004-0000-1E00-000008000000}"/>
    <hyperlink ref="G11" r:id="rId10" xr:uid="{00000000-0004-0000-1E00-000009000000}"/>
    <hyperlink ref="G12" r:id="rId11" xr:uid="{00000000-0004-0000-1E00-00000A000000}"/>
    <hyperlink ref="G13" r:id="rId12" xr:uid="{00000000-0004-0000-1E00-00000B000000}"/>
    <hyperlink ref="G14" r:id="rId13" xr:uid="{00000000-0004-0000-1E00-00000C000000}"/>
    <hyperlink ref="G15" r:id="rId14" xr:uid="{00000000-0004-0000-1E00-00000D000000}"/>
    <hyperlink ref="G16" r:id="rId15" xr:uid="{00000000-0004-0000-1E00-00000E000000}"/>
    <hyperlink ref="G17" r:id="rId16" xr:uid="{00000000-0004-0000-1E00-00000F000000}"/>
    <hyperlink ref="G18" r:id="rId17" xr:uid="{00000000-0004-0000-1E00-000010000000}"/>
    <hyperlink ref="G19" r:id="rId18" xr:uid="{00000000-0004-0000-1E00-000011000000}"/>
    <hyperlink ref="G20" r:id="rId19" xr:uid="{00000000-0004-0000-1E00-000012000000}"/>
    <hyperlink ref="G21" r:id="rId20" xr:uid="{00000000-0004-0000-1E00-000013000000}"/>
    <hyperlink ref="G22" r:id="rId21" xr:uid="{00000000-0004-0000-1E00-000014000000}"/>
    <hyperlink ref="G23" r:id="rId22" xr:uid="{00000000-0004-0000-1E00-000015000000}"/>
    <hyperlink ref="G24" r:id="rId23" xr:uid="{00000000-0004-0000-1E00-000016000000}"/>
    <hyperlink ref="G25" r:id="rId24" xr:uid="{00000000-0004-0000-1E00-000017000000}"/>
    <hyperlink ref="G26" r:id="rId25" xr:uid="{00000000-0004-0000-1E00-000018000000}"/>
    <hyperlink ref="G27" r:id="rId26" xr:uid="{00000000-0004-0000-1E00-000019000000}"/>
    <hyperlink ref="G28" r:id="rId27" xr:uid="{00000000-0004-0000-1E00-00001A000000}"/>
    <hyperlink ref="G29" r:id="rId28" xr:uid="{00000000-0004-0000-1E00-00001B000000}"/>
    <hyperlink ref="G30" r:id="rId29" xr:uid="{00000000-0004-0000-1E00-00001C000000}"/>
    <hyperlink ref="G31" r:id="rId30" xr:uid="{00000000-0004-0000-1E00-00001D000000}"/>
    <hyperlink ref="G32" r:id="rId31" xr:uid="{00000000-0004-0000-1E00-00001E000000}"/>
    <hyperlink ref="G33" r:id="rId32" xr:uid="{00000000-0004-0000-1E00-00001F000000}"/>
    <hyperlink ref="I33" r:id="rId33" xr:uid="{00000000-0004-0000-1E00-000020000000}"/>
    <hyperlink ref="G34" r:id="rId34" xr:uid="{00000000-0004-0000-1E00-000021000000}"/>
    <hyperlink ref="I34" r:id="rId35" xr:uid="{00000000-0004-0000-1E00-000022000000}"/>
    <hyperlink ref="G35" r:id="rId36" xr:uid="{00000000-0004-0000-1E00-000023000000}"/>
    <hyperlink ref="I35" r:id="rId37" xr:uid="{00000000-0004-0000-1E00-000024000000}"/>
    <hyperlink ref="G36" r:id="rId38" xr:uid="{00000000-0004-0000-1E00-000025000000}"/>
    <hyperlink ref="I36" r:id="rId39" xr:uid="{00000000-0004-0000-1E00-000026000000}"/>
    <hyperlink ref="I37" r:id="rId40" xr:uid="{00000000-0004-0000-1E00-000027000000}"/>
    <hyperlink ref="I38" r:id="rId41" xr:uid="{00000000-0004-0000-1E00-000028000000}"/>
    <hyperlink ref="I39" r:id="rId42" xr:uid="{00000000-0004-0000-1E00-000029000000}"/>
    <hyperlink ref="I40" r:id="rId43" xr:uid="{00000000-0004-0000-1E00-00002A000000}"/>
    <hyperlink ref="I41" r:id="rId44" xr:uid="{00000000-0004-0000-1E00-00002B000000}"/>
    <hyperlink ref="I42" r:id="rId45" xr:uid="{00000000-0004-0000-1E00-00002C000000}"/>
    <hyperlink ref="I43" r:id="rId46" xr:uid="{00000000-0004-0000-1E00-00002D000000}"/>
    <hyperlink ref="I44" r:id="rId47" xr:uid="{00000000-0004-0000-1E00-00002E000000}"/>
    <hyperlink ref="I45" r:id="rId48" xr:uid="{00000000-0004-0000-1E00-00002F000000}"/>
    <hyperlink ref="I46" r:id="rId49" xr:uid="{00000000-0004-0000-1E00-000030000000}"/>
    <hyperlink ref="I47" r:id="rId50" xr:uid="{00000000-0004-0000-1E00-000031000000}"/>
    <hyperlink ref="I48" r:id="rId51" xr:uid="{00000000-0004-0000-1E00-000032000000}"/>
    <hyperlink ref="I49" r:id="rId52" xr:uid="{00000000-0004-0000-1E00-000033000000}"/>
    <hyperlink ref="I50" r:id="rId53" xr:uid="{00000000-0004-0000-1E00-000034000000}"/>
  </hyperlinks>
  <pageMargins left="0.75" right="0.75" top="1" bottom="1" header="0.511811023622047" footer="0.511811023622047"/>
  <pageSetup paperSize="9" orientation="portrait" horizontalDpi="300" verticalDpi="300"/>
  <drawing r:id="rId5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40"/>
  <sheetViews>
    <sheetView topLeftCell="I17" zoomScaleNormal="100" workbookViewId="0">
      <selection activeCell="O8" sqref="O8"/>
    </sheetView>
  </sheetViews>
  <sheetFormatPr defaultColWidth="8.609375" defaultRowHeight="15" x14ac:dyDescent="0.2"/>
  <cols>
    <col min="1" max="1" width="9.4140625" style="38" customWidth="1"/>
    <col min="2" max="2" width="18.96484375" style="38" customWidth="1"/>
    <col min="3" max="3" width="10.89453125" style="38" customWidth="1"/>
    <col min="4" max="4" width="14.66015625" style="38" customWidth="1"/>
    <col min="5" max="5" width="12.5078125" style="38" customWidth="1"/>
    <col min="6" max="6" width="15.6015625" style="38" customWidth="1"/>
    <col min="7" max="7" width="11.8359375" style="38" customWidth="1"/>
    <col min="8" max="8" width="2.95703125" style="38" customWidth="1"/>
    <col min="9" max="9" width="18.9648437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3.31640625" style="38" customWidth="1"/>
    <col min="15" max="15" width="15.46875" style="38" customWidth="1"/>
    <col min="16" max="16" width="15.6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777</v>
      </c>
      <c r="O1" s="107" t="s">
        <v>764</v>
      </c>
      <c r="P1" s="107" t="s">
        <v>765</v>
      </c>
    </row>
    <row r="2" spans="1:16" ht="14.25" customHeight="1" x14ac:dyDescent="0.2">
      <c r="A2" s="108">
        <v>46231</v>
      </c>
      <c r="B2" s="110" t="s">
        <v>22</v>
      </c>
      <c r="C2" s="110">
        <v>4</v>
      </c>
      <c r="D2" s="110">
        <v>9200</v>
      </c>
      <c r="E2" s="112">
        <f t="shared" ref="E2:E30" si="0">C2*D2</f>
        <v>36800</v>
      </c>
      <c r="F2" s="110" t="s">
        <v>212</v>
      </c>
      <c r="G2" s="71" t="s">
        <v>494</v>
      </c>
      <c r="I2" s="110" t="s">
        <v>22</v>
      </c>
      <c r="J2" s="110">
        <f>C2+C18</f>
        <v>86</v>
      </c>
      <c r="K2" s="112">
        <f>E2+E18</f>
        <v>802270</v>
      </c>
      <c r="L2" s="113">
        <f t="shared" ref="L2:L17" si="1">K2/K$17</f>
        <v>0.16069600818833163</v>
      </c>
      <c r="N2" s="112">
        <f>K17</f>
        <v>4992470</v>
      </c>
      <c r="O2" s="110">
        <f>J17</f>
        <v>762</v>
      </c>
      <c r="P2" s="110">
        <f>COUNT(J2:J16)</f>
        <v>15</v>
      </c>
    </row>
    <row r="3" spans="1:16" ht="14.25" customHeight="1" x14ac:dyDescent="0.2">
      <c r="A3" s="108">
        <v>46231</v>
      </c>
      <c r="B3" s="110" t="s">
        <v>44</v>
      </c>
      <c r="C3" s="110">
        <v>1</v>
      </c>
      <c r="D3" s="110">
        <v>9200</v>
      </c>
      <c r="E3" s="112">
        <f t="shared" si="0"/>
        <v>9200</v>
      </c>
      <c r="F3" s="110" t="s">
        <v>212</v>
      </c>
      <c r="G3" s="71" t="s">
        <v>494</v>
      </c>
      <c r="I3" s="110" t="s">
        <v>44</v>
      </c>
      <c r="J3" s="110">
        <f>C3+C10+C20</f>
        <v>34</v>
      </c>
      <c r="K3" s="112">
        <f>E3+E10+E20</f>
        <v>312800</v>
      </c>
      <c r="L3" s="113">
        <f t="shared" si="1"/>
        <v>6.2654357462338287E-2</v>
      </c>
    </row>
    <row r="4" spans="1:16" ht="14.25" customHeight="1" x14ac:dyDescent="0.2">
      <c r="A4" s="108">
        <v>46231</v>
      </c>
      <c r="B4" s="110" t="s">
        <v>24</v>
      </c>
      <c r="C4" s="110">
        <v>248</v>
      </c>
      <c r="D4" s="110">
        <v>4950</v>
      </c>
      <c r="E4" s="112">
        <f t="shared" si="0"/>
        <v>1227600</v>
      </c>
      <c r="F4" s="110" t="s">
        <v>95</v>
      </c>
      <c r="G4" s="71" t="s">
        <v>495</v>
      </c>
      <c r="I4" s="110" t="s">
        <v>24</v>
      </c>
      <c r="J4" s="110">
        <f>C4+C6+C7+C9+C15+C19+C26</f>
        <v>552</v>
      </c>
      <c r="K4" s="112">
        <f>E4+E6+E7+E9+E15+E19+E26</f>
        <v>2775060</v>
      </c>
      <c r="L4" s="113">
        <f t="shared" si="1"/>
        <v>0.55584910875778926</v>
      </c>
    </row>
    <row r="5" spans="1:16" ht="14.25" customHeight="1" x14ac:dyDescent="0.2">
      <c r="A5" s="108">
        <v>46231</v>
      </c>
      <c r="B5" s="110" t="s">
        <v>27</v>
      </c>
      <c r="C5" s="110">
        <v>10</v>
      </c>
      <c r="D5" s="110">
        <v>8020</v>
      </c>
      <c r="E5" s="112">
        <f t="shared" si="0"/>
        <v>80200</v>
      </c>
      <c r="F5" s="110" t="s">
        <v>95</v>
      </c>
      <c r="G5" s="71" t="s">
        <v>495</v>
      </c>
      <c r="I5" s="110" t="s">
        <v>27</v>
      </c>
      <c r="J5" s="110">
        <f>C5</f>
        <v>10</v>
      </c>
      <c r="K5" s="112">
        <f>E5</f>
        <v>80200</v>
      </c>
      <c r="L5" s="113">
        <f t="shared" si="1"/>
        <v>1.6064192674167296E-2</v>
      </c>
    </row>
    <row r="6" spans="1:16" ht="14.25" customHeight="1" x14ac:dyDescent="0.2">
      <c r="A6" s="108">
        <v>46231</v>
      </c>
      <c r="B6" s="110" t="s">
        <v>24</v>
      </c>
      <c r="C6" s="110">
        <v>1</v>
      </c>
      <c r="D6" s="110">
        <v>5300</v>
      </c>
      <c r="E6" s="112">
        <f t="shared" si="0"/>
        <v>5300</v>
      </c>
      <c r="F6" s="110" t="s">
        <v>15</v>
      </c>
      <c r="G6" s="71" t="s">
        <v>496</v>
      </c>
      <c r="I6" s="110" t="s">
        <v>190</v>
      </c>
      <c r="J6" s="110">
        <f>C8</f>
        <v>3</v>
      </c>
      <c r="K6" s="112">
        <f>E8</f>
        <v>85335</v>
      </c>
      <c r="L6" s="113">
        <f t="shared" si="1"/>
        <v>1.7092741668953443E-2</v>
      </c>
    </row>
    <row r="7" spans="1:16" ht="14.25" customHeight="1" x14ac:dyDescent="0.2">
      <c r="A7" s="108">
        <v>46231</v>
      </c>
      <c r="B7" s="110" t="s">
        <v>24</v>
      </c>
      <c r="C7" s="110">
        <v>248</v>
      </c>
      <c r="D7" s="110">
        <v>5000</v>
      </c>
      <c r="E7" s="112">
        <f t="shared" si="0"/>
        <v>1240000</v>
      </c>
      <c r="F7" s="110" t="s">
        <v>25</v>
      </c>
      <c r="G7" s="71" t="s">
        <v>497</v>
      </c>
      <c r="I7" s="110" t="s">
        <v>45</v>
      </c>
      <c r="J7" s="110">
        <f>C11+C21</f>
        <v>29</v>
      </c>
      <c r="K7" s="112">
        <f>E11+E21</f>
        <v>386715</v>
      </c>
      <c r="L7" s="113">
        <f t="shared" si="1"/>
        <v>7.7459654239284359E-2</v>
      </c>
    </row>
    <row r="8" spans="1:16" ht="14.25" customHeight="1" x14ac:dyDescent="0.2">
      <c r="A8" s="108">
        <v>46231</v>
      </c>
      <c r="B8" s="110" t="s">
        <v>190</v>
      </c>
      <c r="C8" s="110">
        <v>3</v>
      </c>
      <c r="D8" s="110">
        <v>28445</v>
      </c>
      <c r="E8" s="112">
        <f t="shared" si="0"/>
        <v>85335</v>
      </c>
      <c r="F8" s="110" t="s">
        <v>25</v>
      </c>
      <c r="G8" s="71" t="s">
        <v>497</v>
      </c>
      <c r="I8" s="110" t="s">
        <v>37</v>
      </c>
      <c r="J8" s="110">
        <f>C12+C22</f>
        <v>17</v>
      </c>
      <c r="K8" s="112">
        <f>E12+E22</f>
        <v>150960</v>
      </c>
      <c r="L8" s="113">
        <f t="shared" si="1"/>
        <v>3.0237537731824127E-2</v>
      </c>
    </row>
    <row r="9" spans="1:16" ht="14.25" customHeight="1" x14ac:dyDescent="0.2">
      <c r="A9" s="108">
        <v>46231</v>
      </c>
      <c r="B9" s="110" t="s">
        <v>24</v>
      </c>
      <c r="C9" s="110">
        <v>15</v>
      </c>
      <c r="D9" s="110">
        <v>5000</v>
      </c>
      <c r="E9" s="112">
        <f t="shared" si="0"/>
        <v>75000</v>
      </c>
      <c r="F9" s="110" t="s">
        <v>50</v>
      </c>
      <c r="G9" s="71" t="s">
        <v>499</v>
      </c>
      <c r="I9" s="110" t="s">
        <v>87</v>
      </c>
      <c r="J9" s="110">
        <f>C13+C29</f>
        <v>2</v>
      </c>
      <c r="K9" s="112">
        <f>E13+E29</f>
        <v>42885</v>
      </c>
      <c r="L9" s="113">
        <f t="shared" si="1"/>
        <v>8.5899364442850925E-3</v>
      </c>
    </row>
    <row r="10" spans="1:16" ht="14.25" customHeight="1" x14ac:dyDescent="0.2">
      <c r="A10" s="108">
        <v>46231</v>
      </c>
      <c r="B10" s="110" t="s">
        <v>44</v>
      </c>
      <c r="C10" s="110">
        <v>18</v>
      </c>
      <c r="D10" s="110">
        <v>9200</v>
      </c>
      <c r="E10" s="112">
        <f t="shared" si="0"/>
        <v>165600</v>
      </c>
      <c r="F10" s="110" t="s">
        <v>29</v>
      </c>
      <c r="G10" s="71" t="s">
        <v>500</v>
      </c>
      <c r="I10" s="110" t="s">
        <v>65</v>
      </c>
      <c r="J10" s="110">
        <f>C14+C25</f>
        <v>14</v>
      </c>
      <c r="K10" s="112">
        <f>E14+E25</f>
        <v>166740</v>
      </c>
      <c r="L10" s="113">
        <f t="shared" si="1"/>
        <v>3.3398297836541829E-2</v>
      </c>
    </row>
    <row r="11" spans="1:16" ht="14.25" customHeight="1" x14ac:dyDescent="0.2">
      <c r="A11" s="108">
        <v>46231</v>
      </c>
      <c r="B11" s="110" t="s">
        <v>45</v>
      </c>
      <c r="C11" s="110">
        <v>19</v>
      </c>
      <c r="D11" s="110">
        <v>13335</v>
      </c>
      <c r="E11" s="112">
        <f t="shared" si="0"/>
        <v>253365</v>
      </c>
      <c r="F11" s="110" t="s">
        <v>29</v>
      </c>
      <c r="G11" s="71" t="s">
        <v>500</v>
      </c>
      <c r="I11" s="110" t="s">
        <v>28</v>
      </c>
      <c r="J11" s="110">
        <f>C16</f>
        <v>1</v>
      </c>
      <c r="K11" s="112">
        <f>E16</f>
        <v>13200</v>
      </c>
      <c r="L11" s="113">
        <f t="shared" si="1"/>
        <v>2.6439818366459887E-3</v>
      </c>
    </row>
    <row r="12" spans="1:16" ht="14.25" customHeight="1" x14ac:dyDescent="0.2">
      <c r="A12" s="108">
        <v>46231</v>
      </c>
      <c r="B12" s="110" t="s">
        <v>37</v>
      </c>
      <c r="C12" s="110">
        <v>12</v>
      </c>
      <c r="D12" s="110">
        <v>8880</v>
      </c>
      <c r="E12" s="112">
        <f t="shared" si="0"/>
        <v>106560</v>
      </c>
      <c r="F12" s="110" t="s">
        <v>29</v>
      </c>
      <c r="G12" s="71" t="s">
        <v>500</v>
      </c>
      <c r="I12" s="110" t="s">
        <v>93</v>
      </c>
      <c r="J12" s="110">
        <f>C17+C28</f>
        <v>5</v>
      </c>
      <c r="K12" s="112">
        <f>E17+E28</f>
        <v>57075</v>
      </c>
      <c r="L12" s="113">
        <f t="shared" si="1"/>
        <v>1.1432216918679532E-2</v>
      </c>
    </row>
    <row r="13" spans="1:16" ht="14.25" customHeight="1" x14ac:dyDescent="0.2">
      <c r="A13" s="108">
        <v>46231</v>
      </c>
      <c r="B13" s="110" t="s">
        <v>87</v>
      </c>
      <c r="C13" s="110">
        <v>1</v>
      </c>
      <c r="D13" s="110">
        <v>21400</v>
      </c>
      <c r="E13" s="112">
        <f t="shared" si="0"/>
        <v>21400</v>
      </c>
      <c r="F13" s="110" t="s">
        <v>29</v>
      </c>
      <c r="G13" s="71" t="s">
        <v>500</v>
      </c>
      <c r="I13" s="110" t="s">
        <v>100</v>
      </c>
      <c r="J13" s="110">
        <f>C23</f>
        <v>3</v>
      </c>
      <c r="K13" s="112">
        <f>E23</f>
        <v>34440</v>
      </c>
      <c r="L13" s="113">
        <f t="shared" si="1"/>
        <v>6.8983889737945347E-3</v>
      </c>
    </row>
    <row r="14" spans="1:16" ht="14.25" customHeight="1" x14ac:dyDescent="0.2">
      <c r="A14" s="108">
        <v>46231</v>
      </c>
      <c r="B14" s="110" t="s">
        <v>65</v>
      </c>
      <c r="C14" s="110">
        <v>11</v>
      </c>
      <c r="D14" s="110">
        <v>11910</v>
      </c>
      <c r="E14" s="112">
        <f t="shared" si="0"/>
        <v>131010</v>
      </c>
      <c r="F14" s="110" t="s">
        <v>29</v>
      </c>
      <c r="G14" s="71" t="s">
        <v>500</v>
      </c>
      <c r="I14" s="110" t="s">
        <v>113</v>
      </c>
      <c r="J14" s="110">
        <f>C24</f>
        <v>3</v>
      </c>
      <c r="K14" s="112">
        <f>E24</f>
        <v>43725</v>
      </c>
      <c r="L14" s="113">
        <f t="shared" si="1"/>
        <v>8.7581898338898387E-3</v>
      </c>
    </row>
    <row r="15" spans="1:16" ht="14.25" customHeight="1" x14ac:dyDescent="0.2">
      <c r="A15" s="108">
        <v>46231</v>
      </c>
      <c r="B15" s="110" t="s">
        <v>24</v>
      </c>
      <c r="C15" s="110">
        <v>7</v>
      </c>
      <c r="D15" s="110">
        <v>5000</v>
      </c>
      <c r="E15" s="112">
        <f t="shared" si="0"/>
        <v>35000</v>
      </c>
      <c r="F15" s="110" t="s">
        <v>29</v>
      </c>
      <c r="G15" s="71" t="s">
        <v>500</v>
      </c>
      <c r="I15" s="110" t="s">
        <v>70</v>
      </c>
      <c r="J15" s="110">
        <f>C27</f>
        <v>2</v>
      </c>
      <c r="K15" s="112">
        <f>E27</f>
        <v>26920</v>
      </c>
      <c r="L15" s="113">
        <f t="shared" si="1"/>
        <v>5.3921205335234861E-3</v>
      </c>
    </row>
    <row r="16" spans="1:16" ht="14.25" customHeight="1" x14ac:dyDescent="0.2">
      <c r="A16" s="108">
        <v>46231</v>
      </c>
      <c r="B16" s="110" t="s">
        <v>28</v>
      </c>
      <c r="C16" s="110">
        <v>1</v>
      </c>
      <c r="D16" s="110">
        <v>13200</v>
      </c>
      <c r="E16" s="112">
        <f t="shared" si="0"/>
        <v>13200</v>
      </c>
      <c r="F16" s="110" t="s">
        <v>29</v>
      </c>
      <c r="G16" s="71" t="s">
        <v>500</v>
      </c>
      <c r="I16" s="110" t="s">
        <v>141</v>
      </c>
      <c r="J16" s="110">
        <f>C30</f>
        <v>1</v>
      </c>
      <c r="K16" s="112">
        <f>E30</f>
        <v>14145</v>
      </c>
      <c r="L16" s="113">
        <f t="shared" si="1"/>
        <v>2.8332668999513267E-3</v>
      </c>
    </row>
    <row r="17" spans="1:12" ht="14.25" customHeight="1" x14ac:dyDescent="0.2">
      <c r="A17" s="108">
        <v>46231</v>
      </c>
      <c r="B17" s="110" t="s">
        <v>93</v>
      </c>
      <c r="C17" s="110">
        <v>2</v>
      </c>
      <c r="D17" s="110">
        <v>11415</v>
      </c>
      <c r="E17" s="112">
        <f t="shared" si="0"/>
        <v>22830</v>
      </c>
      <c r="F17" s="110" t="s">
        <v>29</v>
      </c>
      <c r="G17" s="71" t="s">
        <v>500</v>
      </c>
      <c r="I17" s="110" t="s">
        <v>768</v>
      </c>
      <c r="J17" s="110">
        <f>SUM(J2:J16)</f>
        <v>762</v>
      </c>
      <c r="K17" s="112">
        <f>SUM(K2:K16)</f>
        <v>4992470</v>
      </c>
      <c r="L17" s="113">
        <f t="shared" si="1"/>
        <v>1</v>
      </c>
    </row>
    <row r="18" spans="1:12" ht="14.25" customHeight="1" x14ac:dyDescent="0.2">
      <c r="A18" s="108">
        <v>46231</v>
      </c>
      <c r="B18" s="110" t="s">
        <v>22</v>
      </c>
      <c r="C18" s="110">
        <v>82</v>
      </c>
      <c r="D18" s="110">
        <v>9335</v>
      </c>
      <c r="E18" s="112">
        <f t="shared" si="0"/>
        <v>765470</v>
      </c>
      <c r="F18" s="110" t="s">
        <v>75</v>
      </c>
      <c r="G18" s="71" t="s">
        <v>505</v>
      </c>
    </row>
    <row r="19" spans="1:12" ht="25.5" customHeight="1" x14ac:dyDescent="0.2">
      <c r="A19" s="108">
        <v>46231</v>
      </c>
      <c r="B19" s="110" t="s">
        <v>24</v>
      </c>
      <c r="C19" s="110">
        <v>28</v>
      </c>
      <c r="D19" s="110">
        <v>5970</v>
      </c>
      <c r="E19" s="112">
        <f t="shared" si="0"/>
        <v>167160</v>
      </c>
      <c r="F19" s="110" t="s">
        <v>75</v>
      </c>
      <c r="G19" s="71" t="s">
        <v>505</v>
      </c>
      <c r="I19" s="107" t="s">
        <v>758</v>
      </c>
      <c r="J19" s="107" t="s">
        <v>757</v>
      </c>
      <c r="K19" s="107" t="s">
        <v>762</v>
      </c>
      <c r="L19" s="107" t="s">
        <v>769</v>
      </c>
    </row>
    <row r="20" spans="1:12" ht="14.25" customHeight="1" x14ac:dyDescent="0.2">
      <c r="A20" s="108">
        <v>46231</v>
      </c>
      <c r="B20" s="110" t="s">
        <v>44</v>
      </c>
      <c r="C20" s="110">
        <v>15</v>
      </c>
      <c r="D20" s="110">
        <v>9200</v>
      </c>
      <c r="E20" s="112">
        <f t="shared" si="0"/>
        <v>138000</v>
      </c>
      <c r="F20" s="110" t="s">
        <v>29</v>
      </c>
      <c r="G20" s="71" t="s">
        <v>509</v>
      </c>
      <c r="I20" s="110" t="s">
        <v>212</v>
      </c>
      <c r="J20" s="112">
        <f>E2+E3</f>
        <v>46000</v>
      </c>
      <c r="K20" s="113">
        <f t="shared" ref="K20:K28" si="2">J20/J$28</f>
        <v>9.2138760974026877E-3</v>
      </c>
      <c r="L20" s="113">
        <v>5.1799999999999999E-2</v>
      </c>
    </row>
    <row r="21" spans="1:12" ht="14.25" customHeight="1" x14ac:dyDescent="0.2">
      <c r="A21" s="108">
        <v>46231</v>
      </c>
      <c r="B21" s="110" t="s">
        <v>45</v>
      </c>
      <c r="C21" s="110">
        <v>10</v>
      </c>
      <c r="D21" s="110">
        <v>13335</v>
      </c>
      <c r="E21" s="112">
        <f t="shared" si="0"/>
        <v>133350</v>
      </c>
      <c r="F21" s="110" t="s">
        <v>29</v>
      </c>
      <c r="G21" s="71" t="s">
        <v>509</v>
      </c>
      <c r="I21" s="110" t="s">
        <v>95</v>
      </c>
      <c r="J21" s="112">
        <f>E4+E5</f>
        <v>1307800</v>
      </c>
      <c r="K21" s="113">
        <f t="shared" si="2"/>
        <v>0.26195450348224425</v>
      </c>
      <c r="L21" s="113">
        <v>-4.48E-2</v>
      </c>
    </row>
    <row r="22" spans="1:12" ht="14.25" customHeight="1" x14ac:dyDescent="0.2">
      <c r="A22" s="108">
        <v>46231</v>
      </c>
      <c r="B22" s="110" t="s">
        <v>37</v>
      </c>
      <c r="C22" s="110">
        <v>5</v>
      </c>
      <c r="D22" s="110">
        <v>8880</v>
      </c>
      <c r="E22" s="112">
        <f t="shared" si="0"/>
        <v>44400</v>
      </c>
      <c r="F22" s="110" t="s">
        <v>29</v>
      </c>
      <c r="G22" s="71" t="s">
        <v>509</v>
      </c>
      <c r="I22" s="110" t="s">
        <v>15</v>
      </c>
      <c r="J22" s="112">
        <f>E6</f>
        <v>5300</v>
      </c>
      <c r="K22" s="113">
        <f t="shared" si="2"/>
        <v>1.0615987677442228E-3</v>
      </c>
      <c r="L22" s="113">
        <v>1.89E-2</v>
      </c>
    </row>
    <row r="23" spans="1:12" ht="14.25" customHeight="1" x14ac:dyDescent="0.2">
      <c r="A23" s="108">
        <v>46231</v>
      </c>
      <c r="B23" s="110" t="s">
        <v>100</v>
      </c>
      <c r="C23" s="110">
        <v>3</v>
      </c>
      <c r="D23" s="110">
        <v>11480</v>
      </c>
      <c r="E23" s="112">
        <f t="shared" si="0"/>
        <v>34440</v>
      </c>
      <c r="F23" s="110" t="s">
        <v>29</v>
      </c>
      <c r="G23" s="71" t="s">
        <v>509</v>
      </c>
      <c r="I23" s="110" t="s">
        <v>25</v>
      </c>
      <c r="J23" s="112">
        <f>E7+E8</f>
        <v>1325335</v>
      </c>
      <c r="K23" s="113">
        <f t="shared" si="2"/>
        <v>0.26546679299024328</v>
      </c>
      <c r="L23" s="113">
        <v>-3.1699999999999999E-2</v>
      </c>
    </row>
    <row r="24" spans="1:12" ht="14.25" customHeight="1" x14ac:dyDescent="0.2">
      <c r="A24" s="108">
        <v>46231</v>
      </c>
      <c r="B24" s="110" t="s">
        <v>113</v>
      </c>
      <c r="C24" s="110">
        <v>3</v>
      </c>
      <c r="D24" s="110">
        <v>14575</v>
      </c>
      <c r="E24" s="112">
        <f t="shared" si="0"/>
        <v>43725</v>
      </c>
      <c r="F24" s="110" t="s">
        <v>29</v>
      </c>
      <c r="G24" s="71" t="s">
        <v>509</v>
      </c>
      <c r="I24" s="110" t="s">
        <v>50</v>
      </c>
      <c r="J24" s="112">
        <f>E9</f>
        <v>75000</v>
      </c>
      <c r="K24" s="113">
        <f t="shared" si="2"/>
        <v>1.502262407185221E-2</v>
      </c>
      <c r="L24" s="113">
        <v>-0.04</v>
      </c>
    </row>
    <row r="25" spans="1:12" ht="14.25" customHeight="1" x14ac:dyDescent="0.2">
      <c r="A25" s="108">
        <v>46231</v>
      </c>
      <c r="B25" s="110" t="s">
        <v>65</v>
      </c>
      <c r="C25" s="110">
        <v>3</v>
      </c>
      <c r="D25" s="110">
        <v>11910</v>
      </c>
      <c r="E25" s="112">
        <f t="shared" si="0"/>
        <v>35730</v>
      </c>
      <c r="F25" s="110" t="s">
        <v>29</v>
      </c>
      <c r="G25" s="71" t="s">
        <v>509</v>
      </c>
      <c r="I25" s="110" t="s">
        <v>29</v>
      </c>
      <c r="J25" s="112">
        <f>E10+E11+E12+E13+E14+E15+E16+E17+E20+E21+E22+E23+E24+E25+E26+E27+E28</f>
        <v>1264775</v>
      </c>
      <c r="K25" s="113">
        <f t="shared" si="2"/>
        <v>0.25333652480635838</v>
      </c>
      <c r="L25" s="113">
        <v>8.2000000000000003E-2</v>
      </c>
    </row>
    <row r="26" spans="1:12" ht="14.25" customHeight="1" x14ac:dyDescent="0.2">
      <c r="A26" s="108">
        <v>46231</v>
      </c>
      <c r="B26" s="110" t="s">
        <v>24</v>
      </c>
      <c r="C26" s="110">
        <v>5</v>
      </c>
      <c r="D26" s="110">
        <v>5000</v>
      </c>
      <c r="E26" s="112">
        <f t="shared" si="0"/>
        <v>25000</v>
      </c>
      <c r="F26" s="110" t="s">
        <v>29</v>
      </c>
      <c r="G26" s="71" t="s">
        <v>509</v>
      </c>
      <c r="I26" s="110" t="s">
        <v>75</v>
      </c>
      <c r="J26" s="112">
        <f>E18+E19</f>
        <v>932630</v>
      </c>
      <c r="K26" s="113">
        <f t="shared" si="2"/>
        <v>0.18680733184175369</v>
      </c>
      <c r="L26" s="113">
        <v>9.2799999999999994E-2</v>
      </c>
    </row>
    <row r="27" spans="1:12" ht="14.25" customHeight="1" x14ac:dyDescent="0.2">
      <c r="A27" s="108">
        <v>46231</v>
      </c>
      <c r="B27" s="110" t="s">
        <v>70</v>
      </c>
      <c r="C27" s="110">
        <v>2</v>
      </c>
      <c r="D27" s="110">
        <v>13460</v>
      </c>
      <c r="E27" s="112">
        <f t="shared" si="0"/>
        <v>26920</v>
      </c>
      <c r="F27" s="110" t="s">
        <v>29</v>
      </c>
      <c r="G27" s="71" t="s">
        <v>509</v>
      </c>
      <c r="I27" s="110" t="s">
        <v>104</v>
      </c>
      <c r="J27" s="112">
        <f>E29+E30</f>
        <v>35630</v>
      </c>
      <c r="K27" s="113">
        <f t="shared" si="2"/>
        <v>7.1367479424012566E-3</v>
      </c>
      <c r="L27" s="113">
        <v>4.6899999999999997E-2</v>
      </c>
    </row>
    <row r="28" spans="1:12" ht="14.25" customHeight="1" x14ac:dyDescent="0.2">
      <c r="A28" s="108">
        <v>46231</v>
      </c>
      <c r="B28" s="110" t="s">
        <v>93</v>
      </c>
      <c r="C28" s="110">
        <v>3</v>
      </c>
      <c r="D28" s="110">
        <v>11415</v>
      </c>
      <c r="E28" s="112">
        <f t="shared" si="0"/>
        <v>34245</v>
      </c>
      <c r="F28" s="110" t="s">
        <v>29</v>
      </c>
      <c r="G28" s="71" t="s">
        <v>509</v>
      </c>
      <c r="I28" s="110" t="s">
        <v>770</v>
      </c>
      <c r="J28" s="112">
        <f>SUM(J20:J27)</f>
        <v>4992470</v>
      </c>
      <c r="K28" s="113">
        <f t="shared" si="2"/>
        <v>1</v>
      </c>
      <c r="L28" s="72"/>
    </row>
    <row r="29" spans="1:12" ht="14.25" customHeight="1" x14ac:dyDescent="0.2">
      <c r="A29" s="108">
        <v>46231</v>
      </c>
      <c r="B29" s="110" t="s">
        <v>87</v>
      </c>
      <c r="C29" s="110">
        <v>1</v>
      </c>
      <c r="D29" s="110">
        <v>21485</v>
      </c>
      <c r="E29" s="112">
        <f t="shared" si="0"/>
        <v>21485</v>
      </c>
      <c r="F29" s="110" t="s">
        <v>104</v>
      </c>
      <c r="G29" s="71" t="s">
        <v>511</v>
      </c>
    </row>
    <row r="30" spans="1:12" ht="25.5" customHeight="1" x14ac:dyDescent="0.2">
      <c r="A30" s="108">
        <v>46231</v>
      </c>
      <c r="B30" s="110" t="s">
        <v>141</v>
      </c>
      <c r="C30" s="110">
        <v>1</v>
      </c>
      <c r="D30" s="110">
        <v>14145</v>
      </c>
      <c r="E30" s="112">
        <f t="shared" si="0"/>
        <v>14145</v>
      </c>
      <c r="F30" s="110" t="s">
        <v>104</v>
      </c>
      <c r="G30" s="71" t="s">
        <v>511</v>
      </c>
      <c r="I30" s="107" t="s">
        <v>759</v>
      </c>
      <c r="J30" s="107" t="s">
        <v>757</v>
      </c>
      <c r="K30" s="107" t="s">
        <v>769</v>
      </c>
    </row>
    <row r="31" spans="1:12" ht="14.25" customHeight="1" x14ac:dyDescent="0.2">
      <c r="A31" s="72"/>
      <c r="B31" s="110" t="s">
        <v>768</v>
      </c>
      <c r="C31" s="110">
        <f>SUM(C2:C30)</f>
        <v>762</v>
      </c>
      <c r="D31" s="110">
        <f>SUM(D2:D30)</f>
        <v>319645</v>
      </c>
      <c r="E31" s="112">
        <f>SUM(E2:E30)</f>
        <v>4992470</v>
      </c>
      <c r="F31" s="72"/>
      <c r="G31" s="72"/>
      <c r="I31" s="133" t="s">
        <v>494</v>
      </c>
      <c r="J31" s="112">
        <v>46000</v>
      </c>
      <c r="K31" s="113">
        <v>0.05</v>
      </c>
    </row>
    <row r="32" spans="1:12" ht="14.25" customHeight="1" x14ac:dyDescent="0.2">
      <c r="I32" s="133" t="s">
        <v>495</v>
      </c>
      <c r="J32" s="112">
        <v>1307800</v>
      </c>
      <c r="K32" s="113">
        <v>-0.04</v>
      </c>
    </row>
    <row r="33" spans="9:11" ht="14.25" customHeight="1" x14ac:dyDescent="0.2">
      <c r="I33" s="133" t="s">
        <v>496</v>
      </c>
      <c r="J33" s="112">
        <v>5300</v>
      </c>
      <c r="K33" s="113">
        <v>0.02</v>
      </c>
    </row>
    <row r="34" spans="9:11" ht="14.25" customHeight="1" x14ac:dyDescent="0.2">
      <c r="I34" s="133" t="s">
        <v>497</v>
      </c>
      <c r="J34" s="112">
        <v>1325335</v>
      </c>
      <c r="K34" s="113">
        <v>-0.03</v>
      </c>
    </row>
    <row r="35" spans="9:11" ht="14.25" customHeight="1" x14ac:dyDescent="0.2">
      <c r="I35" s="133" t="s">
        <v>499</v>
      </c>
      <c r="J35" s="112">
        <v>75000</v>
      </c>
      <c r="K35" s="113">
        <v>-0.04</v>
      </c>
    </row>
    <row r="36" spans="9:11" ht="14.25" customHeight="1" x14ac:dyDescent="0.2">
      <c r="I36" s="133" t="s">
        <v>500</v>
      </c>
      <c r="J36" s="112">
        <v>866365</v>
      </c>
      <c r="K36" s="113">
        <v>0.09</v>
      </c>
    </row>
    <row r="37" spans="9:11" ht="14.25" customHeight="1" x14ac:dyDescent="0.2">
      <c r="I37" s="133" t="s">
        <v>505</v>
      </c>
      <c r="J37" s="112">
        <v>1080230</v>
      </c>
      <c r="K37" s="113">
        <v>0.09</v>
      </c>
    </row>
    <row r="38" spans="9:11" ht="14.25" customHeight="1" x14ac:dyDescent="0.2">
      <c r="I38" s="133" t="s">
        <v>509</v>
      </c>
      <c r="J38" s="112">
        <v>593410</v>
      </c>
      <c r="K38" s="113">
        <v>7.0000000000000007E-2</v>
      </c>
    </row>
    <row r="39" spans="9:11" ht="14.25" customHeight="1" x14ac:dyDescent="0.2">
      <c r="I39" s="133" t="s">
        <v>511</v>
      </c>
      <c r="J39" s="112">
        <v>35630</v>
      </c>
      <c r="K39" s="113">
        <v>0.05</v>
      </c>
    </row>
    <row r="40" spans="9:11" ht="14.25" customHeight="1" x14ac:dyDescent="0.2">
      <c r="I40" s="110" t="s">
        <v>770</v>
      </c>
      <c r="J40" s="112">
        <f>SUM(J31:J39)</f>
        <v>5335070</v>
      </c>
      <c r="K40" s="72"/>
    </row>
  </sheetData>
  <hyperlinks>
    <hyperlink ref="G2" r:id="rId1" xr:uid="{00000000-0004-0000-1F00-000000000000}"/>
    <hyperlink ref="G3" r:id="rId2" xr:uid="{00000000-0004-0000-1F00-000001000000}"/>
    <hyperlink ref="G4" r:id="rId3" xr:uid="{00000000-0004-0000-1F00-000002000000}"/>
    <hyperlink ref="G5" r:id="rId4" xr:uid="{00000000-0004-0000-1F00-000003000000}"/>
    <hyperlink ref="G6" r:id="rId5" xr:uid="{00000000-0004-0000-1F00-000004000000}"/>
    <hyperlink ref="G7" r:id="rId6" xr:uid="{00000000-0004-0000-1F00-000005000000}"/>
    <hyperlink ref="G8" r:id="rId7" xr:uid="{00000000-0004-0000-1F00-000006000000}"/>
    <hyperlink ref="G9" r:id="rId8" xr:uid="{00000000-0004-0000-1F00-000007000000}"/>
    <hyperlink ref="G10" r:id="rId9" xr:uid="{00000000-0004-0000-1F00-000008000000}"/>
    <hyperlink ref="G11" r:id="rId10" xr:uid="{00000000-0004-0000-1F00-000009000000}"/>
    <hyperlink ref="G12" r:id="rId11" xr:uid="{00000000-0004-0000-1F00-00000A000000}"/>
    <hyperlink ref="G13" r:id="rId12" xr:uid="{00000000-0004-0000-1F00-00000B000000}"/>
    <hyperlink ref="G14" r:id="rId13" xr:uid="{00000000-0004-0000-1F00-00000C000000}"/>
    <hyperlink ref="G15" r:id="rId14" xr:uid="{00000000-0004-0000-1F00-00000D000000}"/>
    <hyperlink ref="G16" r:id="rId15" xr:uid="{00000000-0004-0000-1F00-00000E000000}"/>
    <hyperlink ref="G17" r:id="rId16" xr:uid="{00000000-0004-0000-1F00-00000F000000}"/>
    <hyperlink ref="G18" r:id="rId17" xr:uid="{00000000-0004-0000-1F00-000010000000}"/>
    <hyperlink ref="G19" r:id="rId18" xr:uid="{00000000-0004-0000-1F00-000011000000}"/>
    <hyperlink ref="G20" r:id="rId19" xr:uid="{00000000-0004-0000-1F00-000012000000}"/>
    <hyperlink ref="G21" r:id="rId20" xr:uid="{00000000-0004-0000-1F00-000013000000}"/>
    <hyperlink ref="G22" r:id="rId21" xr:uid="{00000000-0004-0000-1F00-000014000000}"/>
    <hyperlink ref="G23" r:id="rId22" xr:uid="{00000000-0004-0000-1F00-000015000000}"/>
    <hyperlink ref="G24" r:id="rId23" xr:uid="{00000000-0004-0000-1F00-000016000000}"/>
    <hyperlink ref="G25" r:id="rId24" xr:uid="{00000000-0004-0000-1F00-000017000000}"/>
    <hyperlink ref="G26" r:id="rId25" xr:uid="{00000000-0004-0000-1F00-000018000000}"/>
    <hyperlink ref="G27" r:id="rId26" xr:uid="{00000000-0004-0000-1F00-000019000000}"/>
    <hyperlink ref="G28" r:id="rId27" xr:uid="{00000000-0004-0000-1F00-00001A000000}"/>
    <hyperlink ref="G29" r:id="rId28" xr:uid="{00000000-0004-0000-1F00-00001B000000}"/>
    <hyperlink ref="G30" r:id="rId29" xr:uid="{00000000-0004-0000-1F00-00001C000000}"/>
    <hyperlink ref="I31" r:id="rId30" xr:uid="{00000000-0004-0000-1F00-00001D000000}"/>
    <hyperlink ref="I32" r:id="rId31" xr:uid="{00000000-0004-0000-1F00-00001E000000}"/>
    <hyperlink ref="I33" r:id="rId32" xr:uid="{00000000-0004-0000-1F00-00001F000000}"/>
    <hyperlink ref="I34" r:id="rId33" xr:uid="{00000000-0004-0000-1F00-000020000000}"/>
    <hyperlink ref="I35" r:id="rId34" xr:uid="{00000000-0004-0000-1F00-000021000000}"/>
    <hyperlink ref="I36" r:id="rId35" xr:uid="{00000000-0004-0000-1F00-000022000000}"/>
    <hyperlink ref="I37" r:id="rId36" xr:uid="{00000000-0004-0000-1F00-000023000000}"/>
    <hyperlink ref="I38" r:id="rId37" xr:uid="{00000000-0004-0000-1F00-000024000000}"/>
    <hyperlink ref="I39" r:id="rId38" xr:uid="{00000000-0004-0000-1F00-000025000000}"/>
  </hyperlinks>
  <pageMargins left="0.75" right="0.75" top="1" bottom="1" header="0.511811023622047" footer="0.511811023622047"/>
  <pageSetup paperSize="9" orientation="portrait" horizontalDpi="300" verticalDpi="300"/>
  <drawing r:id="rId39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3"/>
  <sheetViews>
    <sheetView topLeftCell="A6" zoomScale="61" zoomScaleNormal="61" workbookViewId="0">
      <selection activeCell="Z37" sqref="Z37"/>
    </sheetView>
  </sheetViews>
  <sheetFormatPr defaultColWidth="8.609375" defaultRowHeight="15" x14ac:dyDescent="0.2"/>
  <cols>
    <col min="1" max="1" width="9.55078125" style="38" customWidth="1"/>
    <col min="2" max="2" width="17.890625" style="38" customWidth="1"/>
    <col min="3" max="3" width="11.56640625" style="38" customWidth="1"/>
    <col min="4" max="4" width="15.6015625" style="38" customWidth="1"/>
    <col min="5" max="5" width="13.046875" style="38" customWidth="1"/>
    <col min="6" max="6" width="14.125" style="38" customWidth="1"/>
    <col min="7" max="7" width="10.76171875" style="38" customWidth="1"/>
    <col min="8" max="8" width="2.95703125" style="38" customWidth="1"/>
    <col min="9" max="9" width="17.890625" style="38" customWidth="1"/>
    <col min="10" max="10" width="13.046875" style="38" customWidth="1"/>
    <col min="11" max="12" width="18.4296875" style="38" customWidth="1"/>
    <col min="13" max="13" width="2.95703125" style="38" customWidth="1"/>
    <col min="14" max="14" width="12.64453125" style="38" customWidth="1"/>
    <col min="15" max="16" width="16.140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46232</v>
      </c>
      <c r="B2" s="110" t="s">
        <v>22</v>
      </c>
      <c r="C2" s="110">
        <v>140</v>
      </c>
      <c r="D2" s="110">
        <v>8500</v>
      </c>
      <c r="E2" s="112">
        <f t="shared" ref="E2:E21" si="0">C2*D2</f>
        <v>1190000</v>
      </c>
      <c r="F2" s="110" t="s">
        <v>63</v>
      </c>
      <c r="G2" s="110" t="s">
        <v>512</v>
      </c>
      <c r="I2" s="110" t="s">
        <v>22</v>
      </c>
      <c r="J2" s="110">
        <f>C2+C11</f>
        <v>142</v>
      </c>
      <c r="K2" s="112">
        <f>E2+E11</f>
        <v>1208400</v>
      </c>
      <c r="L2" s="113">
        <f t="shared" ref="L2:L17" si="1">K2/K$17</f>
        <v>0.12865673278548109</v>
      </c>
      <c r="N2" s="112">
        <f>K17</f>
        <v>9392435</v>
      </c>
      <c r="O2" s="110">
        <f>J17</f>
        <v>842</v>
      </c>
      <c r="P2" s="110">
        <f>COUNT(J2:J16)</f>
        <v>15</v>
      </c>
    </row>
    <row r="3" spans="1:16" ht="14.25" customHeight="1" x14ac:dyDescent="0.2">
      <c r="A3" s="108">
        <v>46232</v>
      </c>
      <c r="B3" s="110" t="s">
        <v>21</v>
      </c>
      <c r="C3" s="110">
        <v>140</v>
      </c>
      <c r="D3" s="110">
        <v>8100</v>
      </c>
      <c r="E3" s="112">
        <f t="shared" si="0"/>
        <v>1134000</v>
      </c>
      <c r="F3" s="110" t="s">
        <v>63</v>
      </c>
      <c r="G3" s="110" t="s">
        <v>512</v>
      </c>
      <c r="I3" s="110" t="s">
        <v>21</v>
      </c>
      <c r="J3" s="110">
        <f>C3</f>
        <v>140</v>
      </c>
      <c r="K3" s="112">
        <f>E3</f>
        <v>1134000</v>
      </c>
      <c r="L3" s="113">
        <f t="shared" si="1"/>
        <v>0.12073546423265107</v>
      </c>
    </row>
    <row r="4" spans="1:16" ht="14.25" customHeight="1" x14ac:dyDescent="0.2">
      <c r="A4" s="108">
        <v>46232</v>
      </c>
      <c r="B4" s="110" t="s">
        <v>113</v>
      </c>
      <c r="C4" s="110">
        <v>30</v>
      </c>
      <c r="D4" s="110">
        <v>14475</v>
      </c>
      <c r="E4" s="112">
        <f t="shared" si="0"/>
        <v>434250</v>
      </c>
      <c r="F4" s="110" t="s">
        <v>63</v>
      </c>
      <c r="G4" s="110" t="s">
        <v>512</v>
      </c>
      <c r="I4" s="110" t="s">
        <v>113</v>
      </c>
      <c r="J4" s="110">
        <f>C4</f>
        <v>30</v>
      </c>
      <c r="K4" s="112">
        <f>E4</f>
        <v>434250</v>
      </c>
      <c r="L4" s="113">
        <f t="shared" si="1"/>
        <v>4.6234017057344555E-2</v>
      </c>
    </row>
    <row r="5" spans="1:16" ht="14.25" customHeight="1" x14ac:dyDescent="0.2">
      <c r="A5" s="108">
        <v>46232</v>
      </c>
      <c r="B5" s="110" t="s">
        <v>229</v>
      </c>
      <c r="C5" s="110">
        <v>97</v>
      </c>
      <c r="D5" s="110">
        <v>13500</v>
      </c>
      <c r="E5" s="112">
        <f t="shared" si="0"/>
        <v>1309500</v>
      </c>
      <c r="F5" s="110" t="s">
        <v>63</v>
      </c>
      <c r="G5" s="110" t="s">
        <v>512</v>
      </c>
      <c r="I5" s="110" t="s">
        <v>229</v>
      </c>
      <c r="J5" s="110">
        <f>C5</f>
        <v>97</v>
      </c>
      <c r="K5" s="112">
        <f>E5</f>
        <v>1309500</v>
      </c>
      <c r="L5" s="113">
        <f t="shared" si="1"/>
        <v>0.13942071464960898</v>
      </c>
    </row>
    <row r="6" spans="1:16" ht="14.25" customHeight="1" x14ac:dyDescent="0.2">
      <c r="A6" s="108">
        <v>46232</v>
      </c>
      <c r="B6" s="110" t="s">
        <v>32</v>
      </c>
      <c r="C6" s="110">
        <v>96</v>
      </c>
      <c r="D6" s="110">
        <v>15555</v>
      </c>
      <c r="E6" s="112">
        <f t="shared" si="0"/>
        <v>1493280</v>
      </c>
      <c r="F6" s="110" t="s">
        <v>63</v>
      </c>
      <c r="G6" s="110" t="s">
        <v>512</v>
      </c>
      <c r="I6" s="110" t="s">
        <v>32</v>
      </c>
      <c r="J6" s="110">
        <f>C6+C16</f>
        <v>97</v>
      </c>
      <c r="K6" s="112">
        <f>E6+E16</f>
        <v>1509425</v>
      </c>
      <c r="L6" s="113">
        <f t="shared" si="1"/>
        <v>0.16070646216875603</v>
      </c>
    </row>
    <row r="7" spans="1:16" ht="14.25" customHeight="1" x14ac:dyDescent="0.2">
      <c r="A7" s="108">
        <v>46232</v>
      </c>
      <c r="B7" s="110" t="s">
        <v>31</v>
      </c>
      <c r="C7" s="110">
        <v>150</v>
      </c>
      <c r="D7" s="110">
        <v>17100</v>
      </c>
      <c r="E7" s="112">
        <f t="shared" si="0"/>
        <v>2565000</v>
      </c>
      <c r="F7" s="110" t="s">
        <v>63</v>
      </c>
      <c r="G7" s="110" t="s">
        <v>512</v>
      </c>
      <c r="I7" s="110" t="s">
        <v>31</v>
      </c>
      <c r="J7" s="110">
        <f>C7+C15</f>
        <v>152</v>
      </c>
      <c r="K7" s="112">
        <f>E7+E15</f>
        <v>2599200</v>
      </c>
      <c r="L7" s="113">
        <f t="shared" si="1"/>
        <v>0.27673334976499703</v>
      </c>
    </row>
    <row r="8" spans="1:16" ht="14.25" customHeight="1" x14ac:dyDescent="0.2">
      <c r="A8" s="108">
        <v>46232</v>
      </c>
      <c r="B8" s="110" t="s">
        <v>87</v>
      </c>
      <c r="C8" s="110">
        <v>5</v>
      </c>
      <c r="D8" s="110">
        <v>21485</v>
      </c>
      <c r="E8" s="112">
        <f t="shared" si="0"/>
        <v>107425</v>
      </c>
      <c r="F8" s="110" t="s">
        <v>75</v>
      </c>
      <c r="G8" s="110" t="s">
        <v>518</v>
      </c>
      <c r="I8" s="110" t="s">
        <v>87</v>
      </c>
      <c r="J8" s="110">
        <f>C8</f>
        <v>5</v>
      </c>
      <c r="K8" s="112">
        <f>E8</f>
        <v>107425</v>
      </c>
      <c r="L8" s="113">
        <f t="shared" si="1"/>
        <v>1.1437396159781782E-2</v>
      </c>
    </row>
    <row r="9" spans="1:16" ht="14.25" customHeight="1" x14ac:dyDescent="0.2">
      <c r="A9" s="108">
        <v>46232</v>
      </c>
      <c r="B9" s="110" t="s">
        <v>36</v>
      </c>
      <c r="C9" s="110">
        <v>5</v>
      </c>
      <c r="D9" s="110">
        <v>15525</v>
      </c>
      <c r="E9" s="112">
        <f t="shared" si="0"/>
        <v>77625</v>
      </c>
      <c r="F9" s="110" t="s">
        <v>75</v>
      </c>
      <c r="G9" s="110" t="s">
        <v>518</v>
      </c>
      <c r="I9" s="110" t="s">
        <v>36</v>
      </c>
      <c r="J9" s="110">
        <f>C9+C19</f>
        <v>6</v>
      </c>
      <c r="K9" s="112">
        <f>E9+E19</f>
        <v>93150</v>
      </c>
      <c r="L9" s="113">
        <f t="shared" si="1"/>
        <v>9.9175559905391938E-3</v>
      </c>
    </row>
    <row r="10" spans="1:16" ht="14.25" customHeight="1" x14ac:dyDescent="0.2">
      <c r="A10" s="108">
        <v>46232</v>
      </c>
      <c r="B10" s="110" t="s">
        <v>28</v>
      </c>
      <c r="C10" s="110">
        <v>1</v>
      </c>
      <c r="D10" s="110">
        <v>14430</v>
      </c>
      <c r="E10" s="112">
        <f t="shared" si="0"/>
        <v>14430</v>
      </c>
      <c r="F10" s="110" t="s">
        <v>75</v>
      </c>
      <c r="G10" s="110" t="s">
        <v>518</v>
      </c>
      <c r="I10" s="110" t="s">
        <v>28</v>
      </c>
      <c r="J10" s="110">
        <f>C10</f>
        <v>1</v>
      </c>
      <c r="K10" s="112">
        <f>E10</f>
        <v>14430</v>
      </c>
      <c r="L10" s="113">
        <f t="shared" si="1"/>
        <v>1.5363428120609831E-3</v>
      </c>
    </row>
    <row r="11" spans="1:16" ht="14.25" customHeight="1" x14ac:dyDescent="0.2">
      <c r="A11" s="108">
        <v>46232</v>
      </c>
      <c r="B11" s="110" t="s">
        <v>22</v>
      </c>
      <c r="C11" s="110">
        <v>2</v>
      </c>
      <c r="D11" s="110">
        <v>9200</v>
      </c>
      <c r="E11" s="112">
        <f t="shared" si="0"/>
        <v>18400</v>
      </c>
      <c r="F11" s="110" t="s">
        <v>95</v>
      </c>
      <c r="G11" s="110" t="s">
        <v>520</v>
      </c>
      <c r="I11" s="110" t="s">
        <v>44</v>
      </c>
      <c r="J11" s="110">
        <f>C12+C14</f>
        <v>17</v>
      </c>
      <c r="K11" s="112">
        <f>E12+E14</f>
        <v>156400</v>
      </c>
      <c r="L11" s="113">
        <f t="shared" si="1"/>
        <v>1.6651698947078155E-2</v>
      </c>
    </row>
    <row r="12" spans="1:16" ht="14.25" customHeight="1" x14ac:dyDescent="0.2">
      <c r="A12" s="108">
        <v>46232</v>
      </c>
      <c r="B12" s="110" t="s">
        <v>44</v>
      </c>
      <c r="C12" s="110">
        <v>2</v>
      </c>
      <c r="D12" s="110">
        <v>9200</v>
      </c>
      <c r="E12" s="112">
        <f t="shared" si="0"/>
        <v>18400</v>
      </c>
      <c r="F12" s="110" t="s">
        <v>95</v>
      </c>
      <c r="G12" s="110" t="s">
        <v>520</v>
      </c>
      <c r="I12" s="110" t="s">
        <v>45</v>
      </c>
      <c r="J12" s="110">
        <f>C13</f>
        <v>2</v>
      </c>
      <c r="K12" s="112">
        <f>E13</f>
        <v>26670</v>
      </c>
      <c r="L12" s="113">
        <f t="shared" si="1"/>
        <v>2.8395192513975343E-3</v>
      </c>
    </row>
    <row r="13" spans="1:16" ht="14.25" customHeight="1" x14ac:dyDescent="0.2">
      <c r="A13" s="108">
        <v>46232</v>
      </c>
      <c r="B13" s="110" t="s">
        <v>45</v>
      </c>
      <c r="C13" s="110">
        <v>2</v>
      </c>
      <c r="D13" s="110">
        <v>13335</v>
      </c>
      <c r="E13" s="112">
        <f t="shared" si="0"/>
        <v>26670</v>
      </c>
      <c r="F13" s="110" t="s">
        <v>95</v>
      </c>
      <c r="G13" s="110" t="s">
        <v>520</v>
      </c>
      <c r="I13" s="110" t="s">
        <v>34</v>
      </c>
      <c r="J13" s="110">
        <f>C17</f>
        <v>1</v>
      </c>
      <c r="K13" s="112">
        <f>E17</f>
        <v>21695</v>
      </c>
      <c r="L13" s="113">
        <f t="shared" si="1"/>
        <v>2.3098376512586992E-3</v>
      </c>
    </row>
    <row r="14" spans="1:16" ht="14.25" customHeight="1" x14ac:dyDescent="0.2">
      <c r="A14" s="108">
        <v>46232</v>
      </c>
      <c r="B14" s="110" t="s">
        <v>44</v>
      </c>
      <c r="C14" s="110">
        <v>15</v>
      </c>
      <c r="D14" s="110">
        <v>9200</v>
      </c>
      <c r="E14" s="112">
        <f t="shared" si="0"/>
        <v>138000</v>
      </c>
      <c r="F14" s="110" t="s">
        <v>29</v>
      </c>
      <c r="G14" s="110" t="s">
        <v>521</v>
      </c>
      <c r="I14" s="110" t="s">
        <v>224</v>
      </c>
      <c r="J14" s="110">
        <f>C18</f>
        <v>1</v>
      </c>
      <c r="K14" s="112">
        <f>E18</f>
        <v>14430</v>
      </c>
      <c r="L14" s="113">
        <f t="shared" si="1"/>
        <v>1.5363428120609831E-3</v>
      </c>
    </row>
    <row r="15" spans="1:16" ht="14.25" customHeight="1" x14ac:dyDescent="0.2">
      <c r="A15" s="108">
        <v>46232</v>
      </c>
      <c r="B15" s="110" t="s">
        <v>31</v>
      </c>
      <c r="C15" s="110">
        <v>2</v>
      </c>
      <c r="D15" s="110">
        <v>17100</v>
      </c>
      <c r="E15" s="112">
        <f t="shared" si="0"/>
        <v>34200</v>
      </c>
      <c r="F15" s="110" t="s">
        <v>29</v>
      </c>
      <c r="G15" s="110" t="s">
        <v>521</v>
      </c>
      <c r="I15" s="110" t="s">
        <v>70</v>
      </c>
      <c r="J15" s="110">
        <f>C20</f>
        <v>1</v>
      </c>
      <c r="K15" s="112">
        <f>E20</f>
        <v>13460</v>
      </c>
      <c r="L15" s="113">
        <f t="shared" si="1"/>
        <v>1.4330682086168283E-3</v>
      </c>
    </row>
    <row r="16" spans="1:16" ht="14.25" customHeight="1" x14ac:dyDescent="0.2">
      <c r="A16" s="108">
        <v>46232</v>
      </c>
      <c r="B16" s="110" t="s">
        <v>32</v>
      </c>
      <c r="C16" s="110">
        <v>1</v>
      </c>
      <c r="D16" s="110">
        <v>16145</v>
      </c>
      <c r="E16" s="112">
        <f t="shared" si="0"/>
        <v>16145</v>
      </c>
      <c r="F16" s="110" t="s">
        <v>29</v>
      </c>
      <c r="G16" s="110" t="s">
        <v>521</v>
      </c>
      <c r="I16" s="110" t="s">
        <v>24</v>
      </c>
      <c r="J16" s="110">
        <f>C21</f>
        <v>150</v>
      </c>
      <c r="K16" s="112">
        <f>E21</f>
        <v>750000</v>
      </c>
      <c r="L16" s="113">
        <f t="shared" si="1"/>
        <v>7.9851497508367106E-2</v>
      </c>
    </row>
    <row r="17" spans="1:12" ht="14.25" customHeight="1" x14ac:dyDescent="0.2">
      <c r="A17" s="108">
        <v>46232</v>
      </c>
      <c r="B17" s="110" t="s">
        <v>34</v>
      </c>
      <c r="C17" s="110">
        <v>1</v>
      </c>
      <c r="D17" s="110">
        <v>21695</v>
      </c>
      <c r="E17" s="112">
        <f t="shared" si="0"/>
        <v>21695</v>
      </c>
      <c r="F17" s="110" t="s">
        <v>29</v>
      </c>
      <c r="G17" s="110" t="s">
        <v>521</v>
      </c>
      <c r="I17" s="110" t="s">
        <v>768</v>
      </c>
      <c r="J17" s="110">
        <f>SUM(J2:J16)</f>
        <v>842</v>
      </c>
      <c r="K17" s="112">
        <f>SUM(K2:K16)</f>
        <v>9392435</v>
      </c>
      <c r="L17" s="113">
        <f t="shared" si="1"/>
        <v>1</v>
      </c>
    </row>
    <row r="18" spans="1:12" ht="14.25" customHeight="1" x14ac:dyDescent="0.2">
      <c r="A18" s="108">
        <v>46232</v>
      </c>
      <c r="B18" s="110" t="s">
        <v>224</v>
      </c>
      <c r="C18" s="110">
        <v>1</v>
      </c>
      <c r="D18" s="110">
        <v>14430</v>
      </c>
      <c r="E18" s="112">
        <f t="shared" si="0"/>
        <v>14430</v>
      </c>
      <c r="F18" s="110" t="s">
        <v>29</v>
      </c>
      <c r="G18" s="110" t="s">
        <v>521</v>
      </c>
      <c r="I18" s="72"/>
      <c r="J18" s="72"/>
      <c r="K18" s="72"/>
      <c r="L18" s="72"/>
    </row>
    <row r="19" spans="1:12" ht="25.5" customHeight="1" x14ac:dyDescent="0.2">
      <c r="A19" s="108">
        <v>46232</v>
      </c>
      <c r="B19" s="110" t="s">
        <v>36</v>
      </c>
      <c r="C19" s="110">
        <v>1</v>
      </c>
      <c r="D19" s="110">
        <v>15525</v>
      </c>
      <c r="E19" s="112">
        <f t="shared" si="0"/>
        <v>15525</v>
      </c>
      <c r="F19" s="110" t="s">
        <v>29</v>
      </c>
      <c r="G19" s="110" t="s">
        <v>521</v>
      </c>
      <c r="I19" s="107" t="s">
        <v>758</v>
      </c>
      <c r="J19" s="107" t="s">
        <v>757</v>
      </c>
      <c r="K19" s="107" t="s">
        <v>762</v>
      </c>
      <c r="L19" s="107" t="s">
        <v>769</v>
      </c>
    </row>
    <row r="20" spans="1:12" ht="14.25" customHeight="1" x14ac:dyDescent="0.2">
      <c r="A20" s="108">
        <v>46232</v>
      </c>
      <c r="B20" s="110" t="s">
        <v>70</v>
      </c>
      <c r="C20" s="110">
        <v>1</v>
      </c>
      <c r="D20" s="110">
        <v>13460</v>
      </c>
      <c r="E20" s="112">
        <f t="shared" si="0"/>
        <v>13460</v>
      </c>
      <c r="F20" s="110" t="s">
        <v>29</v>
      </c>
      <c r="G20" s="110" t="s">
        <v>521</v>
      </c>
      <c r="I20" s="110" t="s">
        <v>63</v>
      </c>
      <c r="J20" s="112">
        <f>E2+E3+E4+E5+E6+E7</f>
        <v>8126030</v>
      </c>
      <c r="K20" s="113">
        <f t="shared" ref="K20:K25" si="2">J20/J$25</f>
        <v>0.86516755239722176</v>
      </c>
      <c r="L20" s="113">
        <v>5.7000000000000002E-3</v>
      </c>
    </row>
    <row r="21" spans="1:12" ht="14.25" customHeight="1" x14ac:dyDescent="0.2">
      <c r="A21" s="108">
        <v>46232</v>
      </c>
      <c r="B21" s="110" t="s">
        <v>24</v>
      </c>
      <c r="C21" s="110">
        <v>150</v>
      </c>
      <c r="D21" s="110">
        <v>5000</v>
      </c>
      <c r="E21" s="112">
        <f t="shared" si="0"/>
        <v>750000</v>
      </c>
      <c r="F21" s="110" t="s">
        <v>25</v>
      </c>
      <c r="G21" s="110" t="s">
        <v>522</v>
      </c>
      <c r="I21" s="110" t="s">
        <v>75</v>
      </c>
      <c r="J21" s="112">
        <f>E8+E9+E10</f>
        <v>199480</v>
      </c>
      <c r="K21" s="113">
        <f t="shared" si="2"/>
        <v>2.1238368963958761E-2</v>
      </c>
      <c r="L21" s="113">
        <v>9.2600000000000002E-2</v>
      </c>
    </row>
    <row r="22" spans="1:12" ht="14.25" customHeight="1" x14ac:dyDescent="0.2">
      <c r="A22" s="72"/>
      <c r="B22" s="110" t="s">
        <v>768</v>
      </c>
      <c r="C22" s="110">
        <f>SUM(C2:C21)</f>
        <v>842</v>
      </c>
      <c r="D22" s="110">
        <f>SUM(D2:D21)</f>
        <v>272960</v>
      </c>
      <c r="E22" s="112">
        <f>SUM(E2:E21)</f>
        <v>9392435</v>
      </c>
      <c r="F22" s="72"/>
      <c r="G22" s="72"/>
      <c r="I22" s="110" t="s">
        <v>95</v>
      </c>
      <c r="J22" s="112">
        <f>E11+E12+E13</f>
        <v>63470</v>
      </c>
      <c r="K22" s="113">
        <f t="shared" si="2"/>
        <v>6.7575660624747472E-3</v>
      </c>
      <c r="L22" s="113">
        <v>4.2299999999999997E-2</v>
      </c>
    </row>
    <row r="23" spans="1:12" ht="14.25" customHeight="1" x14ac:dyDescent="0.2">
      <c r="I23" s="110" t="s">
        <v>29</v>
      </c>
      <c r="J23" s="112">
        <f>E14+E15+E16+E17+E18+E19+E20</f>
        <v>253455</v>
      </c>
      <c r="K23" s="113">
        <f t="shared" si="2"/>
        <v>2.698501506797758E-2</v>
      </c>
      <c r="L23" s="113">
        <v>3.6700000000000003E-2</v>
      </c>
    </row>
    <row r="24" spans="1:12" ht="14.25" customHeight="1" x14ac:dyDescent="0.2">
      <c r="I24" s="110" t="s">
        <v>25</v>
      </c>
      <c r="J24" s="112">
        <f>E21</f>
        <v>750000</v>
      </c>
      <c r="K24" s="113">
        <f t="shared" si="2"/>
        <v>7.9851497508367106E-2</v>
      </c>
      <c r="L24" s="113">
        <v>-0.04</v>
      </c>
    </row>
    <row r="25" spans="1:12" ht="14.25" customHeight="1" x14ac:dyDescent="0.2">
      <c r="I25" s="110" t="s">
        <v>770</v>
      </c>
      <c r="J25" s="112">
        <f>SUM(J20:J24)</f>
        <v>9392435</v>
      </c>
      <c r="K25" s="113">
        <f t="shared" si="2"/>
        <v>1</v>
      </c>
      <c r="L25" s="72"/>
    </row>
    <row r="27" spans="1:12" ht="25.5" customHeight="1" x14ac:dyDescent="0.2">
      <c r="I27" s="107" t="s">
        <v>759</v>
      </c>
      <c r="J27" s="107" t="s">
        <v>757</v>
      </c>
      <c r="K27" s="107" t="s">
        <v>769</v>
      </c>
    </row>
    <row r="28" spans="1:12" ht="14.25" customHeight="1" x14ac:dyDescent="0.2">
      <c r="I28" s="110" t="s">
        <v>512</v>
      </c>
      <c r="J28" s="112">
        <v>8698030</v>
      </c>
      <c r="K28" s="113">
        <v>0.01</v>
      </c>
    </row>
    <row r="29" spans="1:12" ht="14.25" customHeight="1" x14ac:dyDescent="0.2">
      <c r="I29" s="110" t="s">
        <v>518</v>
      </c>
      <c r="J29" s="112">
        <v>218480</v>
      </c>
      <c r="K29" s="113">
        <v>0.09</v>
      </c>
    </row>
    <row r="30" spans="1:12" ht="14.25" customHeight="1" x14ac:dyDescent="0.2">
      <c r="I30" s="110" t="s">
        <v>520</v>
      </c>
      <c r="J30" s="112">
        <v>63470</v>
      </c>
      <c r="K30" s="113">
        <v>0.04</v>
      </c>
    </row>
    <row r="31" spans="1:12" ht="14.25" customHeight="1" x14ac:dyDescent="0.2">
      <c r="I31" s="110" t="s">
        <v>521</v>
      </c>
      <c r="J31" s="112">
        <v>282255</v>
      </c>
      <c r="K31" s="113">
        <v>0.04</v>
      </c>
    </row>
    <row r="32" spans="1:12" ht="14.25" customHeight="1" x14ac:dyDescent="0.2">
      <c r="I32" s="110" t="s">
        <v>522</v>
      </c>
      <c r="J32" s="112">
        <v>750000</v>
      </c>
      <c r="K32" s="113">
        <v>-0.04</v>
      </c>
    </row>
    <row r="33" spans="9:11" ht="14.25" customHeight="1" x14ac:dyDescent="0.2">
      <c r="I33" s="110" t="s">
        <v>770</v>
      </c>
      <c r="J33" s="112">
        <f>SUM(J28:J32)</f>
        <v>10012235</v>
      </c>
      <c r="K33" s="7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6"/>
  <sheetViews>
    <sheetView topLeftCell="H1" zoomScale="52" zoomScaleNormal="52" workbookViewId="0">
      <selection activeCell="AA13" sqref="AA13"/>
    </sheetView>
  </sheetViews>
  <sheetFormatPr defaultColWidth="8.609375" defaultRowHeight="15" x14ac:dyDescent="0.2"/>
  <cols>
    <col min="1" max="1" width="9.4140625" style="38" customWidth="1"/>
    <col min="2" max="2" width="19.234375" style="38" customWidth="1"/>
    <col min="3" max="3" width="11.43359375" style="38" customWidth="1"/>
    <col min="4" max="4" width="15.6015625" style="38" customWidth="1"/>
    <col min="5" max="5" width="13.1796875" style="38" customWidth="1"/>
    <col min="6" max="6" width="15.6015625" style="38" customWidth="1"/>
    <col min="7" max="7" width="10.625" style="38" customWidth="1"/>
    <col min="8" max="8" width="2.95703125" style="38" customWidth="1"/>
    <col min="9" max="9" width="19.234375" style="38" customWidth="1"/>
    <col min="10" max="10" width="13.1796875" style="38" customWidth="1"/>
    <col min="11" max="12" width="18.83203125" style="38" customWidth="1"/>
    <col min="13" max="13" width="2.95703125" style="38" customWidth="1"/>
    <col min="14" max="14" width="13.1796875" style="38" customWidth="1"/>
    <col min="15" max="16" width="16.4101562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46233</v>
      </c>
      <c r="B2" s="110" t="s">
        <v>24</v>
      </c>
      <c r="C2" s="110">
        <v>1240</v>
      </c>
      <c r="D2" s="110">
        <v>4950</v>
      </c>
      <c r="E2" s="112">
        <f t="shared" ref="E2:E20" si="0">C2*D2</f>
        <v>6138000</v>
      </c>
      <c r="F2" s="110" t="s">
        <v>210</v>
      </c>
      <c r="G2" s="110" t="s">
        <v>524</v>
      </c>
      <c r="I2" s="110" t="s">
        <v>24</v>
      </c>
      <c r="J2" s="110">
        <f>C2+C12+C20</f>
        <v>1255</v>
      </c>
      <c r="K2" s="112">
        <f>E2+E12+E20</f>
        <v>6213300</v>
      </c>
      <c r="L2" s="113">
        <f t="shared" ref="L2:L15" si="1">K2/K$15</f>
        <v>0.88663835021594084</v>
      </c>
      <c r="N2" s="112">
        <f>K15</f>
        <v>7007705</v>
      </c>
      <c r="O2" s="110">
        <f>J15</f>
        <v>1315</v>
      </c>
      <c r="P2" s="110">
        <f>COUNT(J2:J14)</f>
        <v>13</v>
      </c>
    </row>
    <row r="3" spans="1:16" ht="14.25" customHeight="1" x14ac:dyDescent="0.2">
      <c r="A3" s="108">
        <v>46233</v>
      </c>
      <c r="B3" s="110" t="s">
        <v>45</v>
      </c>
      <c r="C3" s="110">
        <v>7</v>
      </c>
      <c r="D3" s="110">
        <v>13335</v>
      </c>
      <c r="E3" s="112">
        <f t="shared" si="0"/>
        <v>93345</v>
      </c>
      <c r="F3" s="110" t="s">
        <v>29</v>
      </c>
      <c r="G3" s="110" t="s">
        <v>526</v>
      </c>
      <c r="I3" s="110" t="s">
        <v>45</v>
      </c>
      <c r="J3" s="110">
        <f>C3+C17</f>
        <v>8</v>
      </c>
      <c r="K3" s="112">
        <f>E3+E17</f>
        <v>107295</v>
      </c>
      <c r="L3" s="113">
        <f t="shared" si="1"/>
        <v>1.5311004101913536E-2</v>
      </c>
    </row>
    <row r="4" spans="1:16" ht="14.25" customHeight="1" x14ac:dyDescent="0.2">
      <c r="A4" s="108">
        <v>46233</v>
      </c>
      <c r="B4" s="110" t="s">
        <v>44</v>
      </c>
      <c r="C4" s="110">
        <v>8</v>
      </c>
      <c r="D4" s="110">
        <v>9200</v>
      </c>
      <c r="E4" s="112">
        <f t="shared" si="0"/>
        <v>73600</v>
      </c>
      <c r="F4" s="110" t="s">
        <v>29</v>
      </c>
      <c r="G4" s="110" t="s">
        <v>526</v>
      </c>
      <c r="I4" s="110" t="s">
        <v>44</v>
      </c>
      <c r="J4" s="110">
        <f>C4+C15</f>
        <v>11</v>
      </c>
      <c r="K4" s="112">
        <f>E4+E15</f>
        <v>101200</v>
      </c>
      <c r="L4" s="113">
        <f t="shared" si="1"/>
        <v>1.4441247170079221E-2</v>
      </c>
    </row>
    <row r="5" spans="1:16" ht="14.25" customHeight="1" x14ac:dyDescent="0.2">
      <c r="A5" s="108">
        <v>46233</v>
      </c>
      <c r="B5" s="110" t="s">
        <v>37</v>
      </c>
      <c r="C5" s="110">
        <v>4</v>
      </c>
      <c r="D5" s="110">
        <v>8880</v>
      </c>
      <c r="E5" s="112">
        <f t="shared" si="0"/>
        <v>35520</v>
      </c>
      <c r="F5" s="110" t="s">
        <v>29</v>
      </c>
      <c r="G5" s="110" t="s">
        <v>526</v>
      </c>
      <c r="I5" s="110" t="s">
        <v>37</v>
      </c>
      <c r="J5" s="110">
        <f>C5</f>
        <v>4</v>
      </c>
      <c r="K5" s="112">
        <f>E5</f>
        <v>35520</v>
      </c>
      <c r="L5" s="113">
        <f t="shared" si="1"/>
        <v>5.0687065166127856E-3</v>
      </c>
    </row>
    <row r="6" spans="1:16" ht="14.25" customHeight="1" x14ac:dyDescent="0.2">
      <c r="A6" s="108">
        <v>46233</v>
      </c>
      <c r="B6" s="110" t="s">
        <v>65</v>
      </c>
      <c r="C6" s="110">
        <v>3</v>
      </c>
      <c r="D6" s="110">
        <v>11910</v>
      </c>
      <c r="E6" s="112">
        <f t="shared" si="0"/>
        <v>35730</v>
      </c>
      <c r="F6" s="110" t="s">
        <v>29</v>
      </c>
      <c r="G6" s="110" t="s">
        <v>526</v>
      </c>
      <c r="I6" s="110" t="s">
        <v>65</v>
      </c>
      <c r="J6" s="110">
        <f>C6+C18</f>
        <v>4</v>
      </c>
      <c r="K6" s="112">
        <f>E6+E18</f>
        <v>48255</v>
      </c>
      <c r="L6" s="113">
        <f t="shared" si="1"/>
        <v>6.885991918894988E-3</v>
      </c>
    </row>
    <row r="7" spans="1:16" ht="14.25" customHeight="1" x14ac:dyDescent="0.2">
      <c r="A7" s="108">
        <v>46233</v>
      </c>
      <c r="B7" s="110" t="s">
        <v>87</v>
      </c>
      <c r="C7" s="110">
        <v>2</v>
      </c>
      <c r="D7" s="110">
        <v>21400</v>
      </c>
      <c r="E7" s="112">
        <f t="shared" si="0"/>
        <v>42800</v>
      </c>
      <c r="F7" s="110" t="s">
        <v>29</v>
      </c>
      <c r="G7" s="110" t="s">
        <v>526</v>
      </c>
      <c r="I7" s="110" t="s">
        <v>87</v>
      </c>
      <c r="J7" s="110">
        <f>C7</f>
        <v>2</v>
      </c>
      <c r="K7" s="112">
        <f>E7</f>
        <v>42800</v>
      </c>
      <c r="L7" s="113">
        <f t="shared" si="1"/>
        <v>6.1075630324050455E-3</v>
      </c>
    </row>
    <row r="8" spans="1:16" ht="14.25" customHeight="1" x14ac:dyDescent="0.2">
      <c r="A8" s="108">
        <v>46233</v>
      </c>
      <c r="B8" s="110" t="s">
        <v>36</v>
      </c>
      <c r="C8" s="110">
        <v>1</v>
      </c>
      <c r="D8" s="110">
        <v>15525</v>
      </c>
      <c r="E8" s="112">
        <f t="shared" si="0"/>
        <v>15525</v>
      </c>
      <c r="F8" s="110" t="s">
        <v>29</v>
      </c>
      <c r="G8" s="110" t="s">
        <v>526</v>
      </c>
      <c r="I8" s="110" t="s">
        <v>36</v>
      </c>
      <c r="J8" s="110">
        <f>C8</f>
        <v>1</v>
      </c>
      <c r="K8" s="112">
        <f>E8</f>
        <v>15525</v>
      </c>
      <c r="L8" s="113">
        <f t="shared" si="1"/>
        <v>2.2154185999553348E-3</v>
      </c>
    </row>
    <row r="9" spans="1:16" ht="14.25" customHeight="1" x14ac:dyDescent="0.2">
      <c r="A9" s="108">
        <v>46233</v>
      </c>
      <c r="B9" s="110" t="s">
        <v>150</v>
      </c>
      <c r="C9" s="110">
        <v>3</v>
      </c>
      <c r="D9" s="110">
        <v>10315</v>
      </c>
      <c r="E9" s="112">
        <f t="shared" si="0"/>
        <v>30945</v>
      </c>
      <c r="F9" s="110" t="s">
        <v>29</v>
      </c>
      <c r="G9" s="110" t="s">
        <v>526</v>
      </c>
      <c r="I9" s="110" t="s">
        <v>150</v>
      </c>
      <c r="J9" s="110">
        <f>C9</f>
        <v>3</v>
      </c>
      <c r="K9" s="112">
        <f>E9</f>
        <v>30945</v>
      </c>
      <c r="L9" s="113">
        <f t="shared" si="1"/>
        <v>4.415853692471358E-3</v>
      </c>
    </row>
    <row r="10" spans="1:16" ht="14.25" customHeight="1" x14ac:dyDescent="0.2">
      <c r="A10" s="108">
        <v>46233</v>
      </c>
      <c r="B10" s="110" t="s">
        <v>33</v>
      </c>
      <c r="C10" s="110">
        <v>20</v>
      </c>
      <c r="D10" s="110">
        <v>15655</v>
      </c>
      <c r="E10" s="112">
        <f t="shared" si="0"/>
        <v>313100</v>
      </c>
      <c r="F10" s="110" t="s">
        <v>29</v>
      </c>
      <c r="G10" s="110" t="s">
        <v>526</v>
      </c>
      <c r="I10" s="110" t="s">
        <v>33</v>
      </c>
      <c r="J10" s="110">
        <f>C10+C14</f>
        <v>22</v>
      </c>
      <c r="K10" s="112">
        <f>E10+E14</f>
        <v>344410</v>
      </c>
      <c r="L10" s="113">
        <f t="shared" si="1"/>
        <v>4.9147331401650042E-2</v>
      </c>
    </row>
    <row r="11" spans="1:16" ht="14.25" customHeight="1" x14ac:dyDescent="0.2">
      <c r="A11" s="108">
        <v>46233</v>
      </c>
      <c r="B11" s="110" t="s">
        <v>22</v>
      </c>
      <c r="C11" s="110">
        <v>1</v>
      </c>
      <c r="D11" s="110">
        <v>9500</v>
      </c>
      <c r="E11" s="112">
        <f t="shared" si="0"/>
        <v>9500</v>
      </c>
      <c r="F11" s="110" t="s">
        <v>109</v>
      </c>
      <c r="G11" s="110" t="s">
        <v>530</v>
      </c>
      <c r="I11" s="110" t="s">
        <v>22</v>
      </c>
      <c r="J11" s="110">
        <f>C11</f>
        <v>1</v>
      </c>
      <c r="K11" s="112">
        <f>E11</f>
        <v>9500</v>
      </c>
      <c r="L11" s="113">
        <f t="shared" si="1"/>
        <v>1.3556506730805591E-3</v>
      </c>
    </row>
    <row r="12" spans="1:16" ht="14.25" customHeight="1" x14ac:dyDescent="0.2">
      <c r="A12" s="108">
        <v>46233</v>
      </c>
      <c r="B12" s="110" t="s">
        <v>24</v>
      </c>
      <c r="C12" s="110">
        <v>14</v>
      </c>
      <c r="D12" s="110">
        <v>5000</v>
      </c>
      <c r="E12" s="112">
        <f t="shared" si="0"/>
        <v>70000</v>
      </c>
      <c r="F12" s="110" t="s">
        <v>29</v>
      </c>
      <c r="G12" s="110" t="s">
        <v>531</v>
      </c>
      <c r="I12" s="110" t="s">
        <v>32</v>
      </c>
      <c r="J12" s="110">
        <f>C13</f>
        <v>2</v>
      </c>
      <c r="K12" s="112">
        <f>E13</f>
        <v>31310</v>
      </c>
      <c r="L12" s="113">
        <f t="shared" si="1"/>
        <v>4.467939218331822E-3</v>
      </c>
    </row>
    <row r="13" spans="1:16" ht="14.25" customHeight="1" x14ac:dyDescent="0.2">
      <c r="A13" s="108">
        <v>46233</v>
      </c>
      <c r="B13" s="110" t="s">
        <v>32</v>
      </c>
      <c r="C13" s="110">
        <v>2</v>
      </c>
      <c r="D13" s="110">
        <v>15655</v>
      </c>
      <c r="E13" s="112">
        <f t="shared" si="0"/>
        <v>31310</v>
      </c>
      <c r="F13" s="110" t="s">
        <v>29</v>
      </c>
      <c r="G13" s="110" t="s">
        <v>531</v>
      </c>
      <c r="I13" s="110" t="s">
        <v>80</v>
      </c>
      <c r="J13" s="110">
        <f>C16</f>
        <v>1</v>
      </c>
      <c r="K13" s="112">
        <f>E16</f>
        <v>9345</v>
      </c>
      <c r="L13" s="113">
        <f t="shared" si="1"/>
        <v>1.3335321620987185E-3</v>
      </c>
    </row>
    <row r="14" spans="1:16" ht="14.25" customHeight="1" x14ac:dyDescent="0.2">
      <c r="A14" s="108">
        <v>46233</v>
      </c>
      <c r="B14" s="110" t="s">
        <v>33</v>
      </c>
      <c r="C14" s="110">
        <v>2</v>
      </c>
      <c r="D14" s="110">
        <v>15655</v>
      </c>
      <c r="E14" s="112">
        <f t="shared" si="0"/>
        <v>31310</v>
      </c>
      <c r="F14" s="110" t="s">
        <v>29</v>
      </c>
      <c r="G14" s="110" t="s">
        <v>531</v>
      </c>
      <c r="I14" s="110" t="s">
        <v>43</v>
      </c>
      <c r="J14" s="110">
        <f>C19</f>
        <v>1</v>
      </c>
      <c r="K14" s="112">
        <f>E19</f>
        <v>18300</v>
      </c>
      <c r="L14" s="113">
        <f t="shared" si="1"/>
        <v>2.6114112965657087E-3</v>
      </c>
    </row>
    <row r="15" spans="1:16" ht="14.25" customHeight="1" x14ac:dyDescent="0.2">
      <c r="A15" s="108">
        <v>46233</v>
      </c>
      <c r="B15" s="110" t="s">
        <v>44</v>
      </c>
      <c r="C15" s="110">
        <v>3</v>
      </c>
      <c r="D15" s="110">
        <v>9200</v>
      </c>
      <c r="E15" s="112">
        <f t="shared" si="0"/>
        <v>27600</v>
      </c>
      <c r="F15" s="110" t="s">
        <v>29</v>
      </c>
      <c r="G15" s="110" t="s">
        <v>531</v>
      </c>
      <c r="I15" s="110" t="s">
        <v>768</v>
      </c>
      <c r="J15" s="110">
        <f>SUM(J2:J14)</f>
        <v>1315</v>
      </c>
      <c r="K15" s="112">
        <f>SUM(K2:K14)</f>
        <v>7007705</v>
      </c>
      <c r="L15" s="113">
        <f t="shared" si="1"/>
        <v>1</v>
      </c>
    </row>
    <row r="16" spans="1:16" ht="14.25" customHeight="1" x14ac:dyDescent="0.2">
      <c r="A16" s="108">
        <v>46233</v>
      </c>
      <c r="B16" s="110" t="s">
        <v>80</v>
      </c>
      <c r="C16" s="110">
        <v>1</v>
      </c>
      <c r="D16" s="110">
        <v>9345</v>
      </c>
      <c r="E16" s="112">
        <f t="shared" si="0"/>
        <v>9345</v>
      </c>
      <c r="F16" s="110" t="s">
        <v>219</v>
      </c>
      <c r="G16" s="110" t="s">
        <v>533</v>
      </c>
    </row>
    <row r="17" spans="1:12" ht="25.5" customHeight="1" x14ac:dyDescent="0.2">
      <c r="A17" s="108">
        <v>46233</v>
      </c>
      <c r="B17" s="110" t="s">
        <v>45</v>
      </c>
      <c r="C17" s="110">
        <v>1</v>
      </c>
      <c r="D17" s="110">
        <v>13950</v>
      </c>
      <c r="E17" s="112">
        <f t="shared" si="0"/>
        <v>13950</v>
      </c>
      <c r="F17" s="110" t="s">
        <v>109</v>
      </c>
      <c r="G17" s="110" t="s">
        <v>535</v>
      </c>
      <c r="I17" s="107" t="s">
        <v>758</v>
      </c>
      <c r="J17" s="107" t="s">
        <v>757</v>
      </c>
      <c r="K17" s="107" t="s">
        <v>762</v>
      </c>
      <c r="L17" s="107" t="s">
        <v>769</v>
      </c>
    </row>
    <row r="18" spans="1:12" ht="14.25" customHeight="1" x14ac:dyDescent="0.2">
      <c r="A18" s="108">
        <v>46233</v>
      </c>
      <c r="B18" s="110" t="s">
        <v>65</v>
      </c>
      <c r="C18" s="110">
        <v>1</v>
      </c>
      <c r="D18" s="110">
        <v>12525</v>
      </c>
      <c r="E18" s="112">
        <f t="shared" si="0"/>
        <v>12525</v>
      </c>
      <c r="F18" s="110" t="s">
        <v>109</v>
      </c>
      <c r="G18" s="110" t="s">
        <v>536</v>
      </c>
      <c r="I18" s="110" t="s">
        <v>210</v>
      </c>
      <c r="J18" s="112">
        <f>E2</f>
        <v>6138000</v>
      </c>
      <c r="K18" s="113">
        <f t="shared" ref="K18:K24" si="2">J18/J$24</f>
        <v>0.87589303488089176</v>
      </c>
      <c r="L18" s="113">
        <v>-5.0500000000000003E-2</v>
      </c>
    </row>
    <row r="19" spans="1:12" ht="14.25" customHeight="1" x14ac:dyDescent="0.2">
      <c r="A19" s="108">
        <v>46233</v>
      </c>
      <c r="B19" s="110" t="s">
        <v>43</v>
      </c>
      <c r="C19" s="110">
        <v>1</v>
      </c>
      <c r="D19" s="110">
        <v>18300</v>
      </c>
      <c r="E19" s="112">
        <f t="shared" si="0"/>
        <v>18300</v>
      </c>
      <c r="F19" s="110" t="s">
        <v>212</v>
      </c>
      <c r="G19" s="110" t="s">
        <v>537</v>
      </c>
      <c r="I19" s="110" t="s">
        <v>29</v>
      </c>
      <c r="J19" s="112">
        <f>E3+E4+E5+E6+E7+E8+E9+E10+E12+E13+E14+E15</f>
        <v>800785</v>
      </c>
      <c r="K19" s="113">
        <f t="shared" si="2"/>
        <v>0.11427207623608585</v>
      </c>
      <c r="L19" s="113">
        <v>4.2999999999999997E-2</v>
      </c>
    </row>
    <row r="20" spans="1:12" ht="14.25" customHeight="1" x14ac:dyDescent="0.2">
      <c r="A20" s="108">
        <v>46233</v>
      </c>
      <c r="B20" s="110" t="s">
        <v>24</v>
      </c>
      <c r="C20" s="110">
        <v>1</v>
      </c>
      <c r="D20" s="110">
        <v>5300</v>
      </c>
      <c r="E20" s="112">
        <f t="shared" si="0"/>
        <v>5300</v>
      </c>
      <c r="F20" s="110" t="s">
        <v>15</v>
      </c>
      <c r="G20" s="110" t="s">
        <v>538</v>
      </c>
      <c r="I20" s="110" t="s">
        <v>109</v>
      </c>
      <c r="J20" s="112">
        <f>E11+E17+E18</f>
        <v>35975</v>
      </c>
      <c r="K20" s="113">
        <f t="shared" si="2"/>
        <v>5.1336350488498019E-3</v>
      </c>
      <c r="L20" s="113">
        <v>9.0499999999999997E-2</v>
      </c>
    </row>
    <row r="21" spans="1:12" ht="14.25" customHeight="1" x14ac:dyDescent="0.2">
      <c r="A21" s="72"/>
      <c r="B21" s="110" t="s">
        <v>768</v>
      </c>
      <c r="C21" s="110">
        <f>SUM(C2:C20)</f>
        <v>1315</v>
      </c>
      <c r="D21" s="110">
        <f>SUM(D2:D20)</f>
        <v>225600</v>
      </c>
      <c r="E21" s="112">
        <f>SUM(E2:E20)</f>
        <v>7007705</v>
      </c>
      <c r="F21" s="72"/>
      <c r="G21" s="72"/>
      <c r="I21" s="110" t="s">
        <v>219</v>
      </c>
      <c r="J21" s="112">
        <f>E16</f>
        <v>9345</v>
      </c>
      <c r="K21" s="113">
        <f t="shared" si="2"/>
        <v>1.3335321620987185E-3</v>
      </c>
      <c r="L21" s="113">
        <v>4.0099999999999997E-2</v>
      </c>
    </row>
    <row r="22" spans="1:12" ht="14.25" customHeight="1" x14ac:dyDescent="0.2">
      <c r="I22" s="110" t="s">
        <v>212</v>
      </c>
      <c r="J22" s="112">
        <f>E19</f>
        <v>18300</v>
      </c>
      <c r="K22" s="113">
        <f t="shared" si="2"/>
        <v>2.6114112965657087E-3</v>
      </c>
      <c r="L22" s="113">
        <v>6.2799999999999995E-2</v>
      </c>
    </row>
    <row r="23" spans="1:12" ht="14.25" customHeight="1" x14ac:dyDescent="0.2">
      <c r="I23" s="110" t="s">
        <v>15</v>
      </c>
      <c r="J23" s="112">
        <f>E20</f>
        <v>5300</v>
      </c>
      <c r="K23" s="113">
        <f t="shared" si="2"/>
        <v>7.5631037550810145E-4</v>
      </c>
      <c r="L23" s="113">
        <v>1.89E-2</v>
      </c>
    </row>
    <row r="24" spans="1:12" ht="14.25" customHeight="1" x14ac:dyDescent="0.2">
      <c r="I24" s="110" t="s">
        <v>770</v>
      </c>
      <c r="J24" s="112">
        <f>SUM(J18:J23)</f>
        <v>7007705</v>
      </c>
      <c r="K24" s="113">
        <f t="shared" si="2"/>
        <v>1</v>
      </c>
      <c r="L24" s="72"/>
    </row>
    <row r="26" spans="1:12" ht="25.5" customHeight="1" x14ac:dyDescent="0.2">
      <c r="I26" s="107" t="s">
        <v>759</v>
      </c>
      <c r="J26" s="107" t="s">
        <v>757</v>
      </c>
      <c r="K26" s="107" t="s">
        <v>769</v>
      </c>
    </row>
    <row r="27" spans="1:12" ht="14.25" customHeight="1" x14ac:dyDescent="0.2">
      <c r="I27" s="110" t="s">
        <v>524</v>
      </c>
      <c r="J27" s="112">
        <v>6138000</v>
      </c>
      <c r="K27" s="113">
        <v>-0.05</v>
      </c>
    </row>
    <row r="28" spans="1:12" ht="14.25" customHeight="1" x14ac:dyDescent="0.2">
      <c r="I28" s="110" t="s">
        <v>526</v>
      </c>
      <c r="J28" s="112">
        <v>692765</v>
      </c>
      <c r="K28" s="113">
        <v>0.05</v>
      </c>
    </row>
    <row r="29" spans="1:12" ht="14.25" customHeight="1" x14ac:dyDescent="0.2">
      <c r="I29" s="110" t="s">
        <v>530</v>
      </c>
      <c r="J29" s="112">
        <v>9500</v>
      </c>
      <c r="K29" s="113">
        <v>0.09</v>
      </c>
    </row>
    <row r="30" spans="1:12" ht="14.25" customHeight="1" x14ac:dyDescent="0.2">
      <c r="I30" s="110" t="s">
        <v>531</v>
      </c>
      <c r="J30" s="112">
        <v>165620</v>
      </c>
      <c r="K30" s="113">
        <v>0</v>
      </c>
    </row>
    <row r="31" spans="1:12" ht="14.25" customHeight="1" x14ac:dyDescent="0.2">
      <c r="I31" s="110" t="s">
        <v>533</v>
      </c>
      <c r="J31" s="112">
        <v>9345</v>
      </c>
      <c r="K31" s="113">
        <v>0.04</v>
      </c>
    </row>
    <row r="32" spans="1:12" ht="14.25" customHeight="1" x14ac:dyDescent="0.2">
      <c r="I32" s="110" t="s">
        <v>535</v>
      </c>
      <c r="J32" s="112">
        <v>13950</v>
      </c>
      <c r="K32" s="113">
        <v>0.09</v>
      </c>
    </row>
    <row r="33" spans="9:11" ht="14.25" customHeight="1" x14ac:dyDescent="0.2">
      <c r="I33" s="110" t="s">
        <v>536</v>
      </c>
      <c r="J33" s="112">
        <v>12525</v>
      </c>
      <c r="K33" s="113">
        <v>0.1</v>
      </c>
    </row>
    <row r="34" spans="9:11" ht="14.25" customHeight="1" x14ac:dyDescent="0.2">
      <c r="I34" s="110" t="s">
        <v>537</v>
      </c>
      <c r="J34" s="112">
        <v>18300</v>
      </c>
      <c r="K34" s="113">
        <v>0.06</v>
      </c>
    </row>
    <row r="35" spans="9:11" ht="14.25" customHeight="1" x14ac:dyDescent="0.2">
      <c r="I35" s="110" t="s">
        <v>538</v>
      </c>
      <c r="J35" s="112">
        <v>5300</v>
      </c>
      <c r="K35" s="113">
        <v>0.02</v>
      </c>
    </row>
    <row r="36" spans="9:11" ht="14.25" customHeight="1" x14ac:dyDescent="0.2">
      <c r="I36" s="110" t="s">
        <v>770</v>
      </c>
      <c r="J36" s="112">
        <f>SUM(J27:J35)</f>
        <v>7065305</v>
      </c>
      <c r="K36" s="7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7"/>
  <sheetViews>
    <sheetView topLeftCell="A9" zoomScale="50" zoomScaleNormal="50" workbookViewId="0">
      <selection activeCell="N33" sqref="N33"/>
    </sheetView>
  </sheetViews>
  <sheetFormatPr defaultColWidth="8.609375" defaultRowHeight="15" x14ac:dyDescent="0.2"/>
  <cols>
    <col min="1" max="1" width="10.4921875" style="38" customWidth="1"/>
    <col min="2" max="2" width="20.58203125" style="38" customWidth="1"/>
    <col min="3" max="3" width="11.43359375" style="38" customWidth="1"/>
    <col min="4" max="4" width="14.66015625" style="38" customWidth="1"/>
    <col min="5" max="5" width="12.5078125" style="38" customWidth="1"/>
    <col min="6" max="6" width="15.33203125" style="38" customWidth="1"/>
    <col min="7" max="7" width="11.43359375" style="38" customWidth="1"/>
    <col min="8" max="8" width="2.95703125" style="38" customWidth="1"/>
    <col min="9" max="9" width="20.58203125" style="38" customWidth="1"/>
    <col min="10" max="10" width="12.5078125" style="38" customWidth="1"/>
    <col min="11" max="12" width="17.75390625" style="38" customWidth="1"/>
    <col min="13" max="13" width="2.95703125" style="38" customWidth="1"/>
    <col min="14" max="14" width="12.375" style="38" customWidth="1"/>
    <col min="15" max="16" width="15.87109375" style="38" customWidth="1"/>
  </cols>
  <sheetData>
    <row r="1" spans="1:16" ht="25.5" customHeight="1" x14ac:dyDescent="0.2">
      <c r="A1" s="107" t="s">
        <v>753</v>
      </c>
      <c r="B1" s="107" t="s">
        <v>754</v>
      </c>
      <c r="C1" s="107" t="s">
        <v>755</v>
      </c>
      <c r="D1" s="107" t="s">
        <v>756</v>
      </c>
      <c r="E1" s="107" t="s">
        <v>757</v>
      </c>
      <c r="F1" s="107" t="s">
        <v>758</v>
      </c>
      <c r="G1" s="107" t="s">
        <v>759</v>
      </c>
      <c r="I1" s="107" t="s">
        <v>754</v>
      </c>
      <c r="J1" s="107" t="s">
        <v>760</v>
      </c>
      <c r="K1" s="107" t="s">
        <v>761</v>
      </c>
      <c r="L1" s="107" t="s">
        <v>762</v>
      </c>
      <c r="N1" s="107" t="s">
        <v>763</v>
      </c>
      <c r="O1" s="107" t="s">
        <v>764</v>
      </c>
      <c r="P1" s="107" t="s">
        <v>765</v>
      </c>
    </row>
    <row r="2" spans="1:16" ht="14.25" customHeight="1" x14ac:dyDescent="0.2">
      <c r="A2" s="108">
        <v>46234</v>
      </c>
      <c r="B2" s="110" t="s">
        <v>22</v>
      </c>
      <c r="C2" s="110">
        <v>1</v>
      </c>
      <c r="D2" s="110">
        <v>9500</v>
      </c>
      <c r="E2" s="112">
        <f t="shared" ref="E2:E21" si="0">C2*D2</f>
        <v>9500</v>
      </c>
      <c r="F2" s="110" t="s">
        <v>102</v>
      </c>
      <c r="G2" s="110" t="s">
        <v>539</v>
      </c>
      <c r="I2" s="110" t="s">
        <v>22</v>
      </c>
      <c r="J2" s="110">
        <f>C2+C9+C13</f>
        <v>19</v>
      </c>
      <c r="K2" s="112">
        <f>E2+E9+E13</f>
        <v>171700</v>
      </c>
      <c r="L2" s="113">
        <f t="shared" ref="L2:L13" si="1">K2/K$13</f>
        <v>6.8724258422424037E-2</v>
      </c>
      <c r="N2" s="112">
        <f>K13</f>
        <v>2498390</v>
      </c>
      <c r="O2" s="110">
        <f>J13</f>
        <v>302</v>
      </c>
      <c r="P2" s="110">
        <f>COUNT(J2:J12)</f>
        <v>11</v>
      </c>
    </row>
    <row r="3" spans="1:16" ht="14.25" customHeight="1" x14ac:dyDescent="0.2">
      <c r="A3" s="108">
        <v>46234</v>
      </c>
      <c r="B3" s="110" t="s">
        <v>31</v>
      </c>
      <c r="C3" s="110">
        <v>20</v>
      </c>
      <c r="D3" s="110">
        <v>17200</v>
      </c>
      <c r="E3" s="112">
        <f t="shared" si="0"/>
        <v>344000</v>
      </c>
      <c r="F3" s="110" t="s">
        <v>50</v>
      </c>
      <c r="G3" s="110" t="s">
        <v>540</v>
      </c>
      <c r="I3" s="110" t="s">
        <v>31</v>
      </c>
      <c r="J3" s="110">
        <f>C3+C11+C17</f>
        <v>42</v>
      </c>
      <c r="K3" s="112">
        <f>E3+E11+E17</f>
        <v>722800</v>
      </c>
      <c r="L3" s="113">
        <f t="shared" si="1"/>
        <v>0.28930631326574313</v>
      </c>
    </row>
    <row r="4" spans="1:16" ht="14.25" customHeight="1" x14ac:dyDescent="0.2">
      <c r="A4" s="108">
        <v>46234</v>
      </c>
      <c r="B4" s="110" t="s">
        <v>33</v>
      </c>
      <c r="C4" s="110">
        <v>10</v>
      </c>
      <c r="D4" s="110">
        <v>15655</v>
      </c>
      <c r="E4" s="112">
        <f t="shared" si="0"/>
        <v>156550</v>
      </c>
      <c r="F4" s="110" t="s">
        <v>50</v>
      </c>
      <c r="G4" s="110" t="s">
        <v>540</v>
      </c>
      <c r="I4" s="110" t="s">
        <v>33</v>
      </c>
      <c r="J4" s="110">
        <f>C4</f>
        <v>10</v>
      </c>
      <c r="K4" s="112">
        <f>E4</f>
        <v>156550</v>
      </c>
      <c r="L4" s="113">
        <f t="shared" si="1"/>
        <v>6.2660353267504271E-2</v>
      </c>
    </row>
    <row r="5" spans="1:16" ht="14.25" customHeight="1" x14ac:dyDescent="0.2">
      <c r="A5" s="108">
        <v>46234</v>
      </c>
      <c r="B5" s="110" t="s">
        <v>24</v>
      </c>
      <c r="C5" s="110">
        <v>150</v>
      </c>
      <c r="D5" s="110">
        <v>5000</v>
      </c>
      <c r="E5" s="112">
        <f t="shared" si="0"/>
        <v>750000</v>
      </c>
      <c r="F5" s="110" t="s">
        <v>25</v>
      </c>
      <c r="G5" s="110" t="s">
        <v>541</v>
      </c>
      <c r="I5" s="110" t="s">
        <v>24</v>
      </c>
      <c r="J5" s="110">
        <f>C5+C6+C7+C8+C21</f>
        <v>194</v>
      </c>
      <c r="K5" s="112">
        <f>E5+E6+E7+E8+E21</f>
        <v>970300</v>
      </c>
      <c r="L5" s="113">
        <f t="shared" si="1"/>
        <v>0.38837011035106611</v>
      </c>
    </row>
    <row r="6" spans="1:16" ht="14.25" customHeight="1" x14ac:dyDescent="0.2">
      <c r="A6" s="108">
        <v>46234</v>
      </c>
      <c r="B6" s="110" t="s">
        <v>24</v>
      </c>
      <c r="C6" s="110">
        <v>12</v>
      </c>
      <c r="D6" s="110">
        <v>5000</v>
      </c>
      <c r="E6" s="112">
        <f t="shared" si="0"/>
        <v>60000</v>
      </c>
      <c r="F6" s="110" t="s">
        <v>29</v>
      </c>
      <c r="G6" s="110" t="s">
        <v>542</v>
      </c>
      <c r="I6" s="110" t="s">
        <v>21</v>
      </c>
      <c r="J6" s="110">
        <f>C10</f>
        <v>1</v>
      </c>
      <c r="K6" s="112">
        <f>E10</f>
        <v>9000</v>
      </c>
      <c r="L6" s="113">
        <f t="shared" si="1"/>
        <v>3.6023198940117436E-3</v>
      </c>
    </row>
    <row r="7" spans="1:16" ht="14.25" customHeight="1" x14ac:dyDescent="0.2">
      <c r="A7" s="108">
        <v>46234</v>
      </c>
      <c r="B7" s="110" t="s">
        <v>24</v>
      </c>
      <c r="C7" s="110">
        <v>30</v>
      </c>
      <c r="D7" s="110">
        <v>5000</v>
      </c>
      <c r="E7" s="112">
        <f t="shared" si="0"/>
        <v>150000</v>
      </c>
      <c r="F7" s="110" t="s">
        <v>394</v>
      </c>
      <c r="G7" s="110" t="s">
        <v>544</v>
      </c>
      <c r="I7" s="110" t="s">
        <v>34</v>
      </c>
      <c r="J7" s="110">
        <f>C12+C18</f>
        <v>8</v>
      </c>
      <c r="K7" s="112">
        <f>E12+E18</f>
        <v>176670</v>
      </c>
      <c r="L7" s="113">
        <f t="shared" si="1"/>
        <v>7.071353951945053E-2</v>
      </c>
    </row>
    <row r="8" spans="1:16" ht="14.25" customHeight="1" x14ac:dyDescent="0.2">
      <c r="A8" s="108">
        <v>46234</v>
      </c>
      <c r="B8" s="110" t="s">
        <v>24</v>
      </c>
      <c r="C8" s="110">
        <v>1</v>
      </c>
      <c r="D8" s="110">
        <v>5300</v>
      </c>
      <c r="E8" s="112">
        <f t="shared" si="0"/>
        <v>5300</v>
      </c>
      <c r="F8" s="110" t="s">
        <v>122</v>
      </c>
      <c r="G8" s="110" t="s">
        <v>546</v>
      </c>
      <c r="I8" s="110" t="s">
        <v>45</v>
      </c>
      <c r="J8" s="110">
        <f>C14</f>
        <v>5</v>
      </c>
      <c r="K8" s="112">
        <f>E14</f>
        <v>66675</v>
      </c>
      <c r="L8" s="113">
        <f t="shared" si="1"/>
        <v>2.6687186548136999E-2</v>
      </c>
    </row>
    <row r="9" spans="1:16" ht="14.25" customHeight="1" x14ac:dyDescent="0.2">
      <c r="A9" s="108">
        <v>46234</v>
      </c>
      <c r="B9" s="110" t="s">
        <v>22</v>
      </c>
      <c r="C9" s="110">
        <v>1</v>
      </c>
      <c r="D9" s="110">
        <v>9200</v>
      </c>
      <c r="E9" s="112">
        <f t="shared" si="0"/>
        <v>9200</v>
      </c>
      <c r="F9" s="110" t="s">
        <v>122</v>
      </c>
      <c r="G9" s="110" t="s">
        <v>546</v>
      </c>
      <c r="I9" s="110" t="s">
        <v>44</v>
      </c>
      <c r="J9" s="110">
        <f>C15</f>
        <v>13</v>
      </c>
      <c r="K9" s="112">
        <f>E15</f>
        <v>119600</v>
      </c>
      <c r="L9" s="113">
        <f t="shared" si="1"/>
        <v>4.787082881375606E-2</v>
      </c>
    </row>
    <row r="10" spans="1:16" ht="14.25" customHeight="1" x14ac:dyDescent="0.2">
      <c r="A10" s="108">
        <v>46234</v>
      </c>
      <c r="B10" s="110" t="s">
        <v>21</v>
      </c>
      <c r="C10" s="110">
        <v>1</v>
      </c>
      <c r="D10" s="110">
        <v>9000</v>
      </c>
      <c r="E10" s="112">
        <f t="shared" si="0"/>
        <v>9000</v>
      </c>
      <c r="F10" s="110" t="s">
        <v>122</v>
      </c>
      <c r="G10" s="110" t="s">
        <v>546</v>
      </c>
      <c r="I10" s="110" t="s">
        <v>37</v>
      </c>
      <c r="J10" s="110">
        <f>C16</f>
        <v>8</v>
      </c>
      <c r="K10" s="112">
        <f>E16</f>
        <v>71040</v>
      </c>
      <c r="L10" s="113">
        <f t="shared" si="1"/>
        <v>2.8434311696732696E-2</v>
      </c>
    </row>
    <row r="11" spans="1:16" ht="14.25" customHeight="1" x14ac:dyDescent="0.2">
      <c r="A11" s="108">
        <v>46234</v>
      </c>
      <c r="B11" s="110" t="s">
        <v>31</v>
      </c>
      <c r="C11" s="110">
        <v>20</v>
      </c>
      <c r="D11" s="110">
        <v>17200</v>
      </c>
      <c r="E11" s="112">
        <f t="shared" si="0"/>
        <v>344000</v>
      </c>
      <c r="F11" s="110" t="s">
        <v>50</v>
      </c>
      <c r="G11" s="110" t="s">
        <v>547</v>
      </c>
      <c r="I11" s="110" t="s">
        <v>35</v>
      </c>
      <c r="J11" s="110">
        <f>C19</f>
        <v>1</v>
      </c>
      <c r="K11" s="112">
        <f>E19</f>
        <v>21170</v>
      </c>
      <c r="L11" s="113">
        <f t="shared" si="1"/>
        <v>8.4734569062476228E-3</v>
      </c>
    </row>
    <row r="12" spans="1:16" ht="14.25" customHeight="1" x14ac:dyDescent="0.2">
      <c r="A12" s="108">
        <v>46234</v>
      </c>
      <c r="B12" s="110" t="s">
        <v>34</v>
      </c>
      <c r="C12" s="110">
        <v>5</v>
      </c>
      <c r="D12" s="110">
        <v>21690</v>
      </c>
      <c r="E12" s="112">
        <f t="shared" si="0"/>
        <v>108450</v>
      </c>
      <c r="F12" s="110" t="s">
        <v>50</v>
      </c>
      <c r="G12" s="110" t="s">
        <v>547</v>
      </c>
      <c r="I12" s="110" t="s">
        <v>61</v>
      </c>
      <c r="J12" s="110">
        <f>C20</f>
        <v>1</v>
      </c>
      <c r="K12" s="112">
        <f>E20</f>
        <v>12885</v>
      </c>
      <c r="L12" s="113">
        <f t="shared" si="1"/>
        <v>5.1573213149268132E-3</v>
      </c>
    </row>
    <row r="13" spans="1:16" ht="14.25" customHeight="1" x14ac:dyDescent="0.2">
      <c r="A13" s="108">
        <v>46234</v>
      </c>
      <c r="B13" s="110" t="s">
        <v>22</v>
      </c>
      <c r="C13" s="110">
        <v>17</v>
      </c>
      <c r="D13" s="110">
        <v>9000</v>
      </c>
      <c r="E13" s="112">
        <f t="shared" si="0"/>
        <v>153000</v>
      </c>
      <c r="F13" s="110" t="s">
        <v>29</v>
      </c>
      <c r="G13" s="110" t="s">
        <v>548</v>
      </c>
      <c r="I13" s="110" t="s">
        <v>768</v>
      </c>
      <c r="J13" s="110">
        <f>SUM(J2:J12)</f>
        <v>302</v>
      </c>
      <c r="K13" s="112">
        <f>SUM(K2:K12)</f>
        <v>2498390</v>
      </c>
      <c r="L13" s="113">
        <f t="shared" si="1"/>
        <v>1</v>
      </c>
    </row>
    <row r="14" spans="1:16" ht="14.25" customHeight="1" x14ac:dyDescent="0.2">
      <c r="A14" s="108">
        <v>46234</v>
      </c>
      <c r="B14" s="110" t="s">
        <v>45</v>
      </c>
      <c r="C14" s="110">
        <v>5</v>
      </c>
      <c r="D14" s="110">
        <v>13335</v>
      </c>
      <c r="E14" s="112">
        <f t="shared" si="0"/>
        <v>66675</v>
      </c>
      <c r="F14" s="110" t="s">
        <v>29</v>
      </c>
      <c r="G14" s="110" t="s">
        <v>548</v>
      </c>
    </row>
    <row r="15" spans="1:16" ht="25.5" customHeight="1" x14ac:dyDescent="0.2">
      <c r="A15" s="108">
        <v>46234</v>
      </c>
      <c r="B15" s="110" t="s">
        <v>44</v>
      </c>
      <c r="C15" s="110">
        <v>13</v>
      </c>
      <c r="D15" s="110">
        <v>9200</v>
      </c>
      <c r="E15" s="112">
        <f t="shared" si="0"/>
        <v>119600</v>
      </c>
      <c r="F15" s="110" t="s">
        <v>29</v>
      </c>
      <c r="G15" s="110" t="s">
        <v>548</v>
      </c>
      <c r="I15" s="107" t="s">
        <v>758</v>
      </c>
      <c r="J15" s="107" t="s">
        <v>757</v>
      </c>
      <c r="K15" s="107" t="s">
        <v>762</v>
      </c>
      <c r="L15" s="107" t="s">
        <v>769</v>
      </c>
    </row>
    <row r="16" spans="1:16" ht="14.25" customHeight="1" x14ac:dyDescent="0.2">
      <c r="A16" s="108">
        <v>46234</v>
      </c>
      <c r="B16" s="110" t="s">
        <v>37</v>
      </c>
      <c r="C16" s="110">
        <v>8</v>
      </c>
      <c r="D16" s="110">
        <v>8880</v>
      </c>
      <c r="E16" s="112">
        <f t="shared" si="0"/>
        <v>71040</v>
      </c>
      <c r="F16" s="110" t="s">
        <v>29</v>
      </c>
      <c r="G16" s="110" t="s">
        <v>548</v>
      </c>
      <c r="I16" s="110" t="s">
        <v>102</v>
      </c>
      <c r="J16" s="112">
        <f>E2</f>
        <v>9500</v>
      </c>
      <c r="K16" s="113">
        <f t="shared" ref="K16:K24" si="2">J16/J$24</f>
        <v>3.8024487770123958E-3</v>
      </c>
      <c r="L16" s="113">
        <v>8.8700000000000001E-2</v>
      </c>
    </row>
    <row r="17" spans="1:12" ht="14.25" customHeight="1" x14ac:dyDescent="0.2">
      <c r="A17" s="108">
        <v>46234</v>
      </c>
      <c r="B17" s="110" t="s">
        <v>31</v>
      </c>
      <c r="C17" s="110">
        <v>2</v>
      </c>
      <c r="D17" s="110">
        <v>17400</v>
      </c>
      <c r="E17" s="112">
        <f t="shared" si="0"/>
        <v>34800</v>
      </c>
      <c r="F17" s="110" t="s">
        <v>78</v>
      </c>
      <c r="G17" s="110" t="s">
        <v>552</v>
      </c>
      <c r="I17" s="110" t="s">
        <v>50</v>
      </c>
      <c r="J17" s="112">
        <f>E3+E4+E11+E12</f>
        <v>953000</v>
      </c>
      <c r="K17" s="113">
        <f t="shared" si="2"/>
        <v>0.38144565099924349</v>
      </c>
      <c r="L17" s="113">
        <v>5.7000000000000002E-3</v>
      </c>
    </row>
    <row r="18" spans="1:12" ht="14.25" customHeight="1" x14ac:dyDescent="0.2">
      <c r="A18" s="108">
        <v>46234</v>
      </c>
      <c r="B18" s="110" t="s">
        <v>34</v>
      </c>
      <c r="C18" s="110">
        <v>3</v>
      </c>
      <c r="D18" s="110">
        <v>22740</v>
      </c>
      <c r="E18" s="112">
        <f t="shared" si="0"/>
        <v>68220</v>
      </c>
      <c r="F18" s="110" t="s">
        <v>78</v>
      </c>
      <c r="G18" s="110" t="s">
        <v>552</v>
      </c>
      <c r="I18" s="110" t="s">
        <v>25</v>
      </c>
      <c r="J18" s="112">
        <f>E5</f>
        <v>750000</v>
      </c>
      <c r="K18" s="113">
        <f t="shared" si="2"/>
        <v>0.30019332450097863</v>
      </c>
      <c r="L18" s="113">
        <v>-0.04</v>
      </c>
    </row>
    <row r="19" spans="1:12" ht="14.25" customHeight="1" x14ac:dyDescent="0.2">
      <c r="A19" s="108">
        <v>46234</v>
      </c>
      <c r="B19" s="110" t="s">
        <v>35</v>
      </c>
      <c r="C19" s="110">
        <v>1</v>
      </c>
      <c r="D19" s="110">
        <v>21170</v>
      </c>
      <c r="E19" s="112">
        <f t="shared" si="0"/>
        <v>21170</v>
      </c>
      <c r="F19" s="110" t="s">
        <v>78</v>
      </c>
      <c r="G19" s="110" t="s">
        <v>552</v>
      </c>
      <c r="I19" s="110" t="s">
        <v>29</v>
      </c>
      <c r="J19" s="112">
        <f>E6+E13+E14+E15+E16</f>
        <v>470315</v>
      </c>
      <c r="K19" s="113">
        <f t="shared" si="2"/>
        <v>0.18824723121690368</v>
      </c>
      <c r="L19" s="113">
        <v>5.91E-2</v>
      </c>
    </row>
    <row r="20" spans="1:12" ht="14.25" customHeight="1" x14ac:dyDescent="0.2">
      <c r="A20" s="108">
        <v>46234</v>
      </c>
      <c r="B20" s="110" t="s">
        <v>61</v>
      </c>
      <c r="C20" s="110">
        <v>1</v>
      </c>
      <c r="D20" s="110">
        <v>12885</v>
      </c>
      <c r="E20" s="112">
        <f t="shared" si="0"/>
        <v>12885</v>
      </c>
      <c r="F20" s="110" t="s">
        <v>78</v>
      </c>
      <c r="G20" s="110" t="s">
        <v>552</v>
      </c>
      <c r="I20" s="110" t="s">
        <v>394</v>
      </c>
      <c r="J20" s="112">
        <f>E7</f>
        <v>150000</v>
      </c>
      <c r="K20" s="113">
        <f t="shared" si="2"/>
        <v>6.0038664900195729E-2</v>
      </c>
      <c r="L20" s="113">
        <v>-0.04</v>
      </c>
    </row>
    <row r="21" spans="1:12" ht="14.25" customHeight="1" x14ac:dyDescent="0.2">
      <c r="A21" s="108">
        <v>46234</v>
      </c>
      <c r="B21" s="110" t="s">
        <v>24</v>
      </c>
      <c r="C21" s="110">
        <v>1</v>
      </c>
      <c r="D21" s="110">
        <v>5000</v>
      </c>
      <c r="E21" s="112">
        <f t="shared" si="0"/>
        <v>5000</v>
      </c>
      <c r="F21" s="110" t="s">
        <v>104</v>
      </c>
      <c r="G21" s="110" t="s">
        <v>553</v>
      </c>
      <c r="I21" s="110" t="s">
        <v>122</v>
      </c>
      <c r="J21" s="112">
        <f>E8+E9+E10</f>
        <v>23500</v>
      </c>
      <c r="K21" s="113">
        <f t="shared" si="2"/>
        <v>9.4060575010306638E-3</v>
      </c>
      <c r="L21" s="113">
        <v>6.4899999999999999E-2</v>
      </c>
    </row>
    <row r="22" spans="1:12" ht="14.25" customHeight="1" x14ac:dyDescent="0.2">
      <c r="A22" s="72"/>
      <c r="B22" s="110" t="s">
        <v>768</v>
      </c>
      <c r="C22" s="110">
        <f>SUM(C2:C21)</f>
        <v>302</v>
      </c>
      <c r="D22" s="110">
        <f>SUM(D2:D21)</f>
        <v>239355</v>
      </c>
      <c r="E22" s="112">
        <f>SUM(E2:E21)</f>
        <v>2498390</v>
      </c>
      <c r="F22" s="72"/>
      <c r="G22" s="72"/>
      <c r="I22" s="110" t="s">
        <v>78</v>
      </c>
      <c r="J22" s="112">
        <f>E17+E18+E19+E20</f>
        <v>137075</v>
      </c>
      <c r="K22" s="113">
        <f t="shared" si="2"/>
        <v>5.4865333274628864E-2</v>
      </c>
      <c r="L22" s="113">
        <v>4.0599999999999997E-2</v>
      </c>
    </row>
    <row r="23" spans="1:12" ht="14.25" customHeight="1" x14ac:dyDescent="0.2">
      <c r="I23" s="110" t="s">
        <v>104</v>
      </c>
      <c r="J23" s="112">
        <f>E21</f>
        <v>5000</v>
      </c>
      <c r="K23" s="113">
        <f t="shared" si="2"/>
        <v>2.0012888300065244E-3</v>
      </c>
      <c r="L23" s="113">
        <v>-0.04</v>
      </c>
    </row>
    <row r="24" spans="1:12" ht="14.25" customHeight="1" x14ac:dyDescent="0.2">
      <c r="I24" s="110" t="s">
        <v>770</v>
      </c>
      <c r="J24" s="112">
        <f>SUM(J16:J23)</f>
        <v>2498390</v>
      </c>
      <c r="K24" s="113">
        <f t="shared" si="2"/>
        <v>1</v>
      </c>
      <c r="L24" s="72"/>
    </row>
    <row r="26" spans="1:12" ht="25.5" customHeight="1" x14ac:dyDescent="0.2">
      <c r="I26" s="107" t="s">
        <v>759</v>
      </c>
      <c r="J26" s="107" t="s">
        <v>757</v>
      </c>
      <c r="K26" s="107" t="s">
        <v>769</v>
      </c>
    </row>
    <row r="27" spans="1:12" ht="14.25" customHeight="1" x14ac:dyDescent="0.2">
      <c r="I27" s="110" t="s">
        <v>539</v>
      </c>
      <c r="J27" s="112">
        <v>9500</v>
      </c>
      <c r="K27" s="113">
        <v>0.09</v>
      </c>
    </row>
    <row r="28" spans="1:12" ht="14.25" customHeight="1" x14ac:dyDescent="0.2">
      <c r="I28" s="110" t="s">
        <v>540</v>
      </c>
      <c r="J28" s="112">
        <v>500550</v>
      </c>
      <c r="K28" s="113">
        <v>0.01</v>
      </c>
    </row>
    <row r="29" spans="1:12" ht="14.25" customHeight="1" x14ac:dyDescent="0.2">
      <c r="I29" s="110" t="s">
        <v>541</v>
      </c>
      <c r="J29" s="112">
        <v>750000</v>
      </c>
      <c r="K29" s="113">
        <v>-0.04</v>
      </c>
    </row>
    <row r="30" spans="1:12" ht="14.25" customHeight="1" x14ac:dyDescent="0.2">
      <c r="I30" s="110" t="s">
        <v>542</v>
      </c>
      <c r="J30" s="112">
        <v>60000</v>
      </c>
      <c r="K30" s="113">
        <v>-0.04</v>
      </c>
    </row>
    <row r="31" spans="1:12" ht="14.25" customHeight="1" x14ac:dyDescent="0.2">
      <c r="I31" s="110" t="s">
        <v>544</v>
      </c>
      <c r="J31" s="112">
        <v>150000</v>
      </c>
      <c r="K31" s="113">
        <v>-0.04</v>
      </c>
    </row>
    <row r="32" spans="1:12" ht="14.25" customHeight="1" x14ac:dyDescent="0.2">
      <c r="I32" s="110" t="s">
        <v>546</v>
      </c>
      <c r="J32" s="112">
        <v>23500</v>
      </c>
      <c r="K32" s="113">
        <v>0.06</v>
      </c>
    </row>
    <row r="33" spans="9:11" ht="14.25" customHeight="1" x14ac:dyDescent="0.2">
      <c r="I33" s="110" t="s">
        <v>547</v>
      </c>
      <c r="J33" s="112">
        <v>452450</v>
      </c>
      <c r="K33" s="113">
        <v>0.01</v>
      </c>
    </row>
    <row r="34" spans="9:11" ht="14.25" customHeight="1" x14ac:dyDescent="0.2">
      <c r="I34" s="110" t="s">
        <v>548</v>
      </c>
      <c r="J34" s="112">
        <v>488715</v>
      </c>
      <c r="K34" s="113">
        <v>7.0000000000000007E-2</v>
      </c>
    </row>
    <row r="35" spans="9:11" ht="14.25" customHeight="1" x14ac:dyDescent="0.2">
      <c r="I35" s="110" t="s">
        <v>552</v>
      </c>
      <c r="J35" s="112">
        <v>137075</v>
      </c>
      <c r="K35" s="113">
        <v>0.04</v>
      </c>
    </row>
    <row r="36" spans="9:11" ht="14.25" customHeight="1" x14ac:dyDescent="0.2">
      <c r="I36" s="110" t="s">
        <v>553</v>
      </c>
      <c r="J36" s="112">
        <v>5000</v>
      </c>
      <c r="K36" s="113">
        <v>-0.04</v>
      </c>
    </row>
    <row r="37" spans="9:11" ht="14.25" customHeight="1" x14ac:dyDescent="0.2">
      <c r="I37" s="110" t="s">
        <v>770</v>
      </c>
      <c r="J37" s="112">
        <f>SUM(J27:J36)</f>
        <v>2576790</v>
      </c>
      <c r="K37" s="7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7"/>
  <sheetViews>
    <sheetView zoomScale="70" zoomScaleNormal="100" workbookViewId="0">
      <selection activeCell="B59" sqref="B59"/>
    </sheetView>
  </sheetViews>
  <sheetFormatPr defaultColWidth="8.609375" defaultRowHeight="15" x14ac:dyDescent="0.2"/>
  <cols>
    <col min="1" max="1" width="18.96484375" style="38" customWidth="1"/>
    <col min="2" max="2" width="10.4921875" style="38" customWidth="1"/>
    <col min="3" max="3" width="20.3125" style="38" customWidth="1"/>
    <col min="4" max="4" width="19.234375" style="38" customWidth="1"/>
    <col min="5" max="5" width="13.5859375" style="38" customWidth="1"/>
    <col min="6" max="6" width="10.76171875" style="38" customWidth="1"/>
    <col min="7" max="7" width="14.2578125" style="38" customWidth="1"/>
    <col min="8" max="8" width="15.6015625" style="38" customWidth="1"/>
    <col min="9" max="9" width="17.3515625" style="38" customWidth="1"/>
    <col min="10" max="10" width="13.5859375" style="38" customWidth="1"/>
  </cols>
  <sheetData>
    <row r="1" spans="1:10" ht="15.75" customHeight="1" x14ac:dyDescent="0.2">
      <c r="A1" s="134" t="s">
        <v>779</v>
      </c>
    </row>
    <row r="2" spans="1:10" ht="15" customHeight="1" x14ac:dyDescent="0.2">
      <c r="A2" s="135"/>
    </row>
    <row r="4" spans="1:10" ht="24" customHeight="1" x14ac:dyDescent="0.2">
      <c r="A4" s="136" t="s">
        <v>754</v>
      </c>
      <c r="B4" s="136" t="s">
        <v>780</v>
      </c>
      <c r="C4" s="136" t="s">
        <v>781</v>
      </c>
      <c r="D4" s="136" t="s">
        <v>782</v>
      </c>
      <c r="E4" s="136" t="s">
        <v>783</v>
      </c>
      <c r="F4" s="136" t="s">
        <v>784</v>
      </c>
      <c r="G4" s="136" t="s">
        <v>785</v>
      </c>
      <c r="H4" s="136" t="s">
        <v>786</v>
      </c>
      <c r="I4" s="136" t="s">
        <v>787</v>
      </c>
      <c r="J4" s="136" t="s">
        <v>788</v>
      </c>
    </row>
    <row r="5" spans="1:10" ht="15" customHeight="1" x14ac:dyDescent="0.2">
      <c r="A5" s="72" t="s">
        <v>24</v>
      </c>
      <c r="B5" s="72">
        <v>10236</v>
      </c>
      <c r="C5" s="70">
        <v>4990</v>
      </c>
      <c r="D5" s="70">
        <v>5200</v>
      </c>
      <c r="E5" s="161">
        <v>-210</v>
      </c>
      <c r="F5" s="153">
        <v>-4.0300000000000002E-2</v>
      </c>
      <c r="G5" s="70">
        <v>51082710</v>
      </c>
      <c r="H5" s="70">
        <v>53227200</v>
      </c>
      <c r="I5" s="70">
        <v>-2144490</v>
      </c>
      <c r="J5" s="153">
        <v>-4.2000000000000003E-2</v>
      </c>
    </row>
    <row r="6" spans="1:10" ht="15" customHeight="1" x14ac:dyDescent="0.2">
      <c r="A6" s="72" t="s">
        <v>22</v>
      </c>
      <c r="B6" s="72">
        <v>3349</v>
      </c>
      <c r="C6" s="70">
        <v>8787</v>
      </c>
      <c r="D6" s="70">
        <v>8657</v>
      </c>
      <c r="E6" s="162">
        <v>130</v>
      </c>
      <c r="F6" s="153">
        <v>1.4999999999999999E-2</v>
      </c>
      <c r="G6" s="70">
        <v>29426205</v>
      </c>
      <c r="H6" s="70">
        <v>28992293</v>
      </c>
      <c r="I6" s="70">
        <v>433912</v>
      </c>
      <c r="J6" s="153">
        <v>1.47E-2</v>
      </c>
    </row>
    <row r="7" spans="1:10" ht="15" customHeight="1" x14ac:dyDescent="0.2">
      <c r="A7" s="72" t="s">
        <v>45</v>
      </c>
      <c r="B7" s="72">
        <v>1978</v>
      </c>
      <c r="C7" s="70">
        <v>12985</v>
      </c>
      <c r="D7" s="70">
        <v>12746</v>
      </c>
      <c r="E7" s="162">
        <v>239</v>
      </c>
      <c r="F7" s="153">
        <v>1.8700000000000001E-2</v>
      </c>
      <c r="G7" s="70">
        <v>25683985</v>
      </c>
      <c r="H7" s="70">
        <v>25211588</v>
      </c>
      <c r="I7" s="70">
        <v>472397</v>
      </c>
      <c r="J7" s="153">
        <v>1.84E-2</v>
      </c>
    </row>
    <row r="8" spans="1:10" ht="15" customHeight="1" x14ac:dyDescent="0.2">
      <c r="A8" s="72" t="s">
        <v>44</v>
      </c>
      <c r="B8" s="72">
        <v>1290</v>
      </c>
      <c r="C8" s="70">
        <v>9066</v>
      </c>
      <c r="D8" s="70">
        <v>8990</v>
      </c>
      <c r="E8" s="162">
        <v>76</v>
      </c>
      <c r="F8" s="153">
        <v>8.5000000000000006E-3</v>
      </c>
      <c r="G8" s="70">
        <v>11695550</v>
      </c>
      <c r="H8" s="70">
        <v>11597100</v>
      </c>
      <c r="I8" s="70">
        <v>98450</v>
      </c>
      <c r="J8" s="153">
        <v>8.3999999999999995E-3</v>
      </c>
    </row>
    <row r="9" spans="1:10" ht="15" customHeight="1" x14ac:dyDescent="0.2">
      <c r="A9" s="72" t="s">
        <v>31</v>
      </c>
      <c r="B9" s="72">
        <v>446</v>
      </c>
      <c r="C9" s="70">
        <v>17261</v>
      </c>
      <c r="D9" s="70">
        <v>17100</v>
      </c>
      <c r="E9" s="162">
        <v>161</v>
      </c>
      <c r="F9" s="153">
        <v>9.4000000000000004E-3</v>
      </c>
      <c r="G9" s="70">
        <v>7698240</v>
      </c>
      <c r="H9" s="70">
        <v>7626600</v>
      </c>
      <c r="I9" s="70">
        <v>71640</v>
      </c>
      <c r="J9" s="153">
        <v>9.2999999999999992E-3</v>
      </c>
    </row>
    <row r="10" spans="1:10" ht="15" customHeight="1" x14ac:dyDescent="0.2">
      <c r="A10" s="72" t="s">
        <v>27</v>
      </c>
      <c r="B10" s="72">
        <v>961</v>
      </c>
      <c r="C10" s="70">
        <v>7828</v>
      </c>
      <c r="D10" s="70">
        <v>7685</v>
      </c>
      <c r="E10" s="162">
        <v>143</v>
      </c>
      <c r="F10" s="153">
        <v>1.8700000000000001E-2</v>
      </c>
      <c r="G10" s="70">
        <v>7523100</v>
      </c>
      <c r="H10" s="70">
        <v>7385285</v>
      </c>
      <c r="I10" s="70">
        <v>137815</v>
      </c>
      <c r="J10" s="153">
        <v>1.83E-2</v>
      </c>
    </row>
    <row r="11" spans="1:10" ht="15" customHeight="1" x14ac:dyDescent="0.2">
      <c r="A11" s="72" t="s">
        <v>37</v>
      </c>
      <c r="B11" s="72">
        <v>505</v>
      </c>
      <c r="C11" s="70">
        <v>8902</v>
      </c>
      <c r="D11" s="70">
        <v>8525</v>
      </c>
      <c r="E11" s="162">
        <v>377</v>
      </c>
      <c r="F11" s="153">
        <v>4.4200000000000003E-2</v>
      </c>
      <c r="G11" s="70">
        <v>4495620</v>
      </c>
      <c r="H11" s="70">
        <v>4305125</v>
      </c>
      <c r="I11" s="70">
        <v>190495</v>
      </c>
      <c r="J11" s="153">
        <v>4.24E-2</v>
      </c>
    </row>
    <row r="12" spans="1:10" ht="15" customHeight="1" x14ac:dyDescent="0.2">
      <c r="A12" s="72" t="s">
        <v>32</v>
      </c>
      <c r="B12" s="72">
        <v>238</v>
      </c>
      <c r="C12" s="70">
        <v>15748</v>
      </c>
      <c r="D12" s="70">
        <v>15247</v>
      </c>
      <c r="E12" s="162">
        <v>501</v>
      </c>
      <c r="F12" s="153">
        <v>3.2899999999999999E-2</v>
      </c>
      <c r="G12" s="70">
        <v>3748140</v>
      </c>
      <c r="H12" s="70">
        <v>3628786</v>
      </c>
      <c r="I12" s="70">
        <v>119354</v>
      </c>
      <c r="J12" s="153">
        <v>3.1800000000000002E-2</v>
      </c>
    </row>
    <row r="13" spans="1:10" ht="15" customHeight="1" x14ac:dyDescent="0.2">
      <c r="A13" s="72" t="s">
        <v>28</v>
      </c>
      <c r="B13" s="72">
        <v>284</v>
      </c>
      <c r="C13" s="70">
        <v>13172</v>
      </c>
      <c r="D13" s="70">
        <v>13501</v>
      </c>
      <c r="E13" s="161">
        <v>-329</v>
      </c>
      <c r="F13" s="153">
        <v>-2.4400000000000002E-2</v>
      </c>
      <c r="G13" s="70">
        <v>3740730</v>
      </c>
      <c r="H13" s="70">
        <v>3834284</v>
      </c>
      <c r="I13" s="70">
        <v>-93554</v>
      </c>
      <c r="J13" s="153">
        <v>-2.5000000000000001E-2</v>
      </c>
    </row>
    <row r="14" spans="1:10" ht="15" customHeight="1" x14ac:dyDescent="0.2">
      <c r="A14" s="72" t="s">
        <v>65</v>
      </c>
      <c r="B14" s="72">
        <v>309</v>
      </c>
      <c r="C14" s="70">
        <v>11568</v>
      </c>
      <c r="D14" s="70">
        <v>11315</v>
      </c>
      <c r="E14" s="162">
        <v>253</v>
      </c>
      <c r="F14" s="153">
        <v>2.24E-2</v>
      </c>
      <c r="G14" s="70">
        <v>3574515</v>
      </c>
      <c r="H14" s="70">
        <v>3496335</v>
      </c>
      <c r="I14" s="70">
        <v>78180</v>
      </c>
      <c r="J14" s="153">
        <v>2.1899999999999999E-2</v>
      </c>
    </row>
    <row r="15" spans="1:10" ht="15" customHeight="1" x14ac:dyDescent="0.2">
      <c r="A15" s="72" t="s">
        <v>21</v>
      </c>
      <c r="B15" s="72">
        <v>398</v>
      </c>
      <c r="C15" s="70">
        <v>8236</v>
      </c>
      <c r="D15" s="70">
        <v>8118</v>
      </c>
      <c r="E15" s="162">
        <v>118</v>
      </c>
      <c r="F15" s="153">
        <v>1.4500000000000001E-2</v>
      </c>
      <c r="G15" s="70">
        <v>3277900</v>
      </c>
      <c r="H15" s="70">
        <v>3230964</v>
      </c>
      <c r="I15" s="70">
        <v>46936</v>
      </c>
      <c r="J15" s="153">
        <v>1.43E-2</v>
      </c>
    </row>
    <row r="16" spans="1:10" ht="15" customHeight="1" x14ac:dyDescent="0.2">
      <c r="A16" s="72" t="s">
        <v>113</v>
      </c>
      <c r="B16" s="72">
        <v>160</v>
      </c>
      <c r="C16" s="70">
        <v>14564</v>
      </c>
      <c r="D16" s="70">
        <v>14475</v>
      </c>
      <c r="E16" s="162">
        <v>89</v>
      </c>
      <c r="F16" s="153">
        <v>6.1000000000000004E-3</v>
      </c>
      <c r="G16" s="70">
        <v>2330190</v>
      </c>
      <c r="H16" s="70">
        <v>2316000</v>
      </c>
      <c r="I16" s="70">
        <v>14190</v>
      </c>
      <c r="J16" s="153">
        <v>6.1000000000000004E-3</v>
      </c>
    </row>
    <row r="17" spans="1:10" ht="15" customHeight="1" x14ac:dyDescent="0.2">
      <c r="A17" s="72" t="s">
        <v>33</v>
      </c>
      <c r="B17" s="72">
        <v>137</v>
      </c>
      <c r="C17" s="70">
        <v>15673</v>
      </c>
      <c r="D17" s="70">
        <v>15555</v>
      </c>
      <c r="E17" s="162">
        <v>118</v>
      </c>
      <c r="F17" s="153">
        <v>7.6E-3</v>
      </c>
      <c r="G17" s="70">
        <v>2147185</v>
      </c>
      <c r="H17" s="70">
        <v>2131035</v>
      </c>
      <c r="I17" s="70">
        <v>16150</v>
      </c>
      <c r="J17" s="153">
        <v>7.4999999999999997E-3</v>
      </c>
    </row>
    <row r="18" spans="1:10" ht="15" customHeight="1" x14ac:dyDescent="0.2">
      <c r="A18" s="72" t="s">
        <v>87</v>
      </c>
      <c r="B18" s="72">
        <v>88</v>
      </c>
      <c r="C18" s="70">
        <v>21452</v>
      </c>
      <c r="D18" s="70">
        <v>20440</v>
      </c>
      <c r="E18" s="162">
        <v>1012</v>
      </c>
      <c r="F18" s="153">
        <v>4.9500000000000002E-2</v>
      </c>
      <c r="G18" s="70">
        <v>1887755</v>
      </c>
      <c r="H18" s="70">
        <v>1798720</v>
      </c>
      <c r="I18" s="70">
        <v>89035</v>
      </c>
      <c r="J18" s="153">
        <v>4.7199999999999999E-2</v>
      </c>
    </row>
    <row r="19" spans="1:10" ht="15" customHeight="1" x14ac:dyDescent="0.2">
      <c r="A19" s="72" t="s">
        <v>70</v>
      </c>
      <c r="B19" s="72">
        <v>134</v>
      </c>
      <c r="C19" s="70">
        <v>13323</v>
      </c>
      <c r="D19" s="70">
        <v>12855</v>
      </c>
      <c r="E19" s="162">
        <v>468</v>
      </c>
      <c r="F19" s="153">
        <v>3.6400000000000002E-2</v>
      </c>
      <c r="G19" s="70">
        <v>1785310</v>
      </c>
      <c r="H19" s="70">
        <v>1722570</v>
      </c>
      <c r="I19" s="70">
        <v>62740</v>
      </c>
      <c r="J19" s="153">
        <v>3.5099999999999999E-2</v>
      </c>
    </row>
    <row r="20" spans="1:10" ht="15" customHeight="1" x14ac:dyDescent="0.2">
      <c r="A20" s="72" t="s">
        <v>36</v>
      </c>
      <c r="B20" s="72">
        <v>105</v>
      </c>
      <c r="C20" s="70">
        <v>15173</v>
      </c>
      <c r="D20" s="70">
        <v>14900</v>
      </c>
      <c r="E20" s="162">
        <v>273</v>
      </c>
      <c r="F20" s="153">
        <v>1.83E-2</v>
      </c>
      <c r="G20" s="70">
        <v>1593165</v>
      </c>
      <c r="H20" s="70">
        <v>1564500</v>
      </c>
      <c r="I20" s="70">
        <v>28665</v>
      </c>
      <c r="J20" s="153">
        <v>1.7999999999999999E-2</v>
      </c>
    </row>
    <row r="21" spans="1:10" ht="15" customHeight="1" x14ac:dyDescent="0.2">
      <c r="A21" s="72" t="s">
        <v>229</v>
      </c>
      <c r="B21" s="72">
        <v>102</v>
      </c>
      <c r="C21" s="70">
        <v>13598</v>
      </c>
      <c r="D21" s="155">
        <v>14000</v>
      </c>
      <c r="E21" s="163">
        <f>C21-D21</f>
        <v>-402</v>
      </c>
      <c r="F21" s="164">
        <f>E21/D21</f>
        <v>-2.8714285714285713E-2</v>
      </c>
      <c r="G21" s="70">
        <v>1386950</v>
      </c>
      <c r="H21" s="165">
        <f>D21*B21</f>
        <v>1428000</v>
      </c>
      <c r="I21" s="166">
        <f>G21-H21</f>
        <v>-41050</v>
      </c>
      <c r="J21" s="164">
        <f>I21/G21</f>
        <v>-2.9597317855726595E-2</v>
      </c>
    </row>
    <row r="22" spans="1:10" ht="15" customHeight="1" x14ac:dyDescent="0.2">
      <c r="A22" s="72" t="s">
        <v>101</v>
      </c>
      <c r="B22" s="72">
        <v>99</v>
      </c>
      <c r="C22" s="70">
        <v>13193</v>
      </c>
      <c r="D22" s="70">
        <v>12920</v>
      </c>
      <c r="E22" s="162">
        <v>273</v>
      </c>
      <c r="F22" s="153">
        <v>2.1100000000000001E-2</v>
      </c>
      <c r="G22" s="70">
        <v>1306130</v>
      </c>
      <c r="H22" s="70">
        <v>1279080</v>
      </c>
      <c r="I22" s="70">
        <v>27050</v>
      </c>
      <c r="J22" s="153">
        <v>2.07E-2</v>
      </c>
    </row>
    <row r="23" spans="1:10" ht="15" customHeight="1" x14ac:dyDescent="0.2">
      <c r="A23" s="72" t="s">
        <v>34</v>
      </c>
      <c r="B23" s="72">
        <v>51</v>
      </c>
      <c r="C23" s="70">
        <v>22289</v>
      </c>
      <c r="D23" s="70">
        <v>21595</v>
      </c>
      <c r="E23" s="162">
        <v>694</v>
      </c>
      <c r="F23" s="153">
        <v>3.2099999999999997E-2</v>
      </c>
      <c r="G23" s="70">
        <v>1136725</v>
      </c>
      <c r="H23" s="70">
        <v>1101345</v>
      </c>
      <c r="I23" s="70">
        <v>35380</v>
      </c>
      <c r="J23" s="153">
        <v>3.1099999999999999E-2</v>
      </c>
    </row>
    <row r="24" spans="1:10" ht="15" customHeight="1" x14ac:dyDescent="0.2">
      <c r="A24" s="72" t="s">
        <v>43</v>
      </c>
      <c r="B24" s="72">
        <v>63</v>
      </c>
      <c r="C24" s="70">
        <v>17843</v>
      </c>
      <c r="D24" s="70">
        <v>17150</v>
      </c>
      <c r="E24" s="162">
        <v>693</v>
      </c>
      <c r="F24" s="153">
        <v>4.0399999999999998E-2</v>
      </c>
      <c r="G24" s="70">
        <v>1124100</v>
      </c>
      <c r="H24" s="70">
        <v>1080450</v>
      </c>
      <c r="I24" s="70">
        <v>43650</v>
      </c>
      <c r="J24" s="153">
        <v>3.8800000000000001E-2</v>
      </c>
    </row>
    <row r="25" spans="1:10" ht="15" customHeight="1" x14ac:dyDescent="0.2">
      <c r="A25" s="72" t="s">
        <v>181</v>
      </c>
      <c r="B25" s="72">
        <v>62</v>
      </c>
      <c r="C25" s="70">
        <v>16902</v>
      </c>
      <c r="D25" s="70">
        <v>16350</v>
      </c>
      <c r="E25" s="162">
        <v>552</v>
      </c>
      <c r="F25" s="153">
        <v>3.3799999999999997E-2</v>
      </c>
      <c r="G25" s="70">
        <v>1047950</v>
      </c>
      <c r="H25" s="70">
        <v>1013700</v>
      </c>
      <c r="I25" s="70">
        <v>34250</v>
      </c>
      <c r="J25" s="153">
        <v>3.27E-2</v>
      </c>
    </row>
    <row r="26" spans="1:10" ht="15" customHeight="1" x14ac:dyDescent="0.2">
      <c r="A26" s="72" t="s">
        <v>100</v>
      </c>
      <c r="B26" s="72">
        <v>79</v>
      </c>
      <c r="C26" s="70">
        <v>11194</v>
      </c>
      <c r="D26" s="70">
        <v>10915</v>
      </c>
      <c r="E26" s="162">
        <v>279</v>
      </c>
      <c r="F26" s="153">
        <v>2.5600000000000001E-2</v>
      </c>
      <c r="G26" s="70">
        <v>884320</v>
      </c>
      <c r="H26" s="70">
        <v>862285</v>
      </c>
      <c r="I26" s="70">
        <v>22035</v>
      </c>
      <c r="J26" s="153">
        <v>2.4899999999999999E-2</v>
      </c>
    </row>
    <row r="27" spans="1:10" ht="15" customHeight="1" x14ac:dyDescent="0.2">
      <c r="A27" s="72" t="s">
        <v>77</v>
      </c>
      <c r="B27" s="72">
        <v>47</v>
      </c>
      <c r="C27" s="70">
        <v>17840</v>
      </c>
      <c r="D27" s="70">
        <v>17265</v>
      </c>
      <c r="E27" s="162">
        <v>575</v>
      </c>
      <c r="F27" s="153">
        <v>3.3300000000000003E-2</v>
      </c>
      <c r="G27" s="70">
        <v>838480</v>
      </c>
      <c r="H27" s="70">
        <v>811455</v>
      </c>
      <c r="I27" s="70">
        <v>27025</v>
      </c>
      <c r="J27" s="153">
        <v>3.2199999999999999E-2</v>
      </c>
    </row>
    <row r="28" spans="1:10" ht="15" customHeight="1" x14ac:dyDescent="0.2">
      <c r="A28" s="72" t="s">
        <v>178</v>
      </c>
      <c r="B28" s="72">
        <v>30</v>
      </c>
      <c r="C28" s="70">
        <v>23770</v>
      </c>
      <c r="D28" s="70">
        <v>22775</v>
      </c>
      <c r="E28" s="162">
        <v>995</v>
      </c>
      <c r="F28" s="153">
        <v>4.3700000000000003E-2</v>
      </c>
      <c r="G28" s="70">
        <v>713100</v>
      </c>
      <c r="H28" s="70">
        <v>683250</v>
      </c>
      <c r="I28" s="70">
        <v>29850</v>
      </c>
      <c r="J28" s="153">
        <v>4.19E-2</v>
      </c>
    </row>
    <row r="29" spans="1:10" ht="15" customHeight="1" x14ac:dyDescent="0.2">
      <c r="A29" s="72" t="s">
        <v>190</v>
      </c>
      <c r="B29" s="72">
        <v>22</v>
      </c>
      <c r="C29" s="70">
        <v>31324</v>
      </c>
      <c r="D29" s="70">
        <v>25930</v>
      </c>
      <c r="E29" s="162">
        <v>5394</v>
      </c>
      <c r="F29" s="153">
        <v>0.20799999999999999</v>
      </c>
      <c r="G29" s="70">
        <v>689120</v>
      </c>
      <c r="H29" s="70">
        <v>570460</v>
      </c>
      <c r="I29" s="70">
        <v>118660</v>
      </c>
      <c r="J29" s="153">
        <v>0.17219999999999999</v>
      </c>
    </row>
    <row r="30" spans="1:10" ht="15" customHeight="1" x14ac:dyDescent="0.2">
      <c r="A30" s="72" t="s">
        <v>93</v>
      </c>
      <c r="B30" s="72">
        <v>55</v>
      </c>
      <c r="C30" s="70">
        <v>11462</v>
      </c>
      <c r="D30" s="70">
        <v>11130</v>
      </c>
      <c r="E30" s="162">
        <v>332</v>
      </c>
      <c r="F30" s="153">
        <v>2.9899999999999999E-2</v>
      </c>
      <c r="G30" s="70">
        <v>630435</v>
      </c>
      <c r="H30" s="70">
        <v>612150</v>
      </c>
      <c r="I30" s="70">
        <v>18285</v>
      </c>
      <c r="J30" s="153">
        <v>2.9000000000000001E-2</v>
      </c>
    </row>
    <row r="31" spans="1:10" ht="15" customHeight="1" x14ac:dyDescent="0.2">
      <c r="A31" s="72" t="s">
        <v>35</v>
      </c>
      <c r="B31" s="72">
        <v>24</v>
      </c>
      <c r="C31" s="70">
        <v>21170</v>
      </c>
      <c r="D31" s="70">
        <v>20405</v>
      </c>
      <c r="E31" s="162">
        <v>765</v>
      </c>
      <c r="F31" s="153">
        <v>3.7499999999999999E-2</v>
      </c>
      <c r="G31" s="70">
        <v>508080</v>
      </c>
      <c r="H31" s="70">
        <v>489720</v>
      </c>
      <c r="I31" s="70">
        <v>18360</v>
      </c>
      <c r="J31" s="153">
        <v>3.61E-2</v>
      </c>
    </row>
    <row r="32" spans="1:10" ht="15" customHeight="1" x14ac:dyDescent="0.2">
      <c r="A32" s="72" t="s">
        <v>80</v>
      </c>
      <c r="B32" s="72">
        <v>46</v>
      </c>
      <c r="C32" s="70">
        <v>9345</v>
      </c>
      <c r="D32" s="70">
        <v>8970</v>
      </c>
      <c r="E32" s="162">
        <v>375</v>
      </c>
      <c r="F32" s="153">
        <v>4.1799999999999997E-2</v>
      </c>
      <c r="G32" s="70">
        <v>429870</v>
      </c>
      <c r="H32" s="70">
        <v>412620</v>
      </c>
      <c r="I32" s="70">
        <v>17250</v>
      </c>
      <c r="J32" s="153">
        <v>4.0099999999999997E-2</v>
      </c>
    </row>
    <row r="33" spans="1:10" ht="15" customHeight="1" x14ac:dyDescent="0.2">
      <c r="A33" s="72" t="s">
        <v>141</v>
      </c>
      <c r="B33" s="72">
        <v>26</v>
      </c>
      <c r="C33" s="70">
        <v>14145</v>
      </c>
      <c r="D33" s="70">
        <v>13520</v>
      </c>
      <c r="E33" s="162">
        <v>625</v>
      </c>
      <c r="F33" s="153">
        <v>4.6199999999999998E-2</v>
      </c>
      <c r="G33" s="70">
        <v>367770</v>
      </c>
      <c r="H33" s="70">
        <v>351520</v>
      </c>
      <c r="I33" s="70">
        <v>16250</v>
      </c>
      <c r="J33" s="153">
        <v>4.4200000000000003E-2</v>
      </c>
    </row>
    <row r="34" spans="1:10" ht="15" customHeight="1" x14ac:dyDescent="0.2">
      <c r="A34" s="72" t="s">
        <v>150</v>
      </c>
      <c r="B34" s="72">
        <v>33</v>
      </c>
      <c r="C34" s="70">
        <v>10257</v>
      </c>
      <c r="D34" s="70">
        <v>9925</v>
      </c>
      <c r="E34" s="162">
        <v>332</v>
      </c>
      <c r="F34" s="153">
        <v>3.3500000000000002E-2</v>
      </c>
      <c r="G34" s="70">
        <v>338495</v>
      </c>
      <c r="H34" s="70">
        <v>327525</v>
      </c>
      <c r="I34" s="70">
        <v>10970</v>
      </c>
      <c r="J34" s="153">
        <v>3.2399999999999998E-2</v>
      </c>
    </row>
    <row r="35" spans="1:10" ht="15" customHeight="1" x14ac:dyDescent="0.2">
      <c r="A35" s="72" t="s">
        <v>62</v>
      </c>
      <c r="B35" s="72">
        <v>13</v>
      </c>
      <c r="C35" s="70">
        <v>20655</v>
      </c>
      <c r="D35" s="70">
        <v>19305</v>
      </c>
      <c r="E35" s="162">
        <v>1350</v>
      </c>
      <c r="F35" s="153">
        <v>6.9900000000000004E-2</v>
      </c>
      <c r="G35" s="70">
        <v>268515</v>
      </c>
      <c r="H35" s="70">
        <v>250965</v>
      </c>
      <c r="I35" s="70">
        <v>17550</v>
      </c>
      <c r="J35" s="153">
        <v>6.54E-2</v>
      </c>
    </row>
    <row r="36" spans="1:10" ht="15" customHeight="1" x14ac:dyDescent="0.2">
      <c r="A36" s="72" t="s">
        <v>71</v>
      </c>
      <c r="B36" s="72">
        <v>13</v>
      </c>
      <c r="C36" s="70">
        <v>15945</v>
      </c>
      <c r="D36" s="70">
        <v>15375</v>
      </c>
      <c r="E36" s="162">
        <v>570</v>
      </c>
      <c r="F36" s="153">
        <v>3.7100000000000001E-2</v>
      </c>
      <c r="G36" s="70">
        <v>207285</v>
      </c>
      <c r="H36" s="70">
        <v>199875</v>
      </c>
      <c r="I36" s="70">
        <v>7410</v>
      </c>
      <c r="J36" s="153">
        <v>3.5700000000000003E-2</v>
      </c>
    </row>
    <row r="37" spans="1:10" ht="15" customHeight="1" x14ac:dyDescent="0.2">
      <c r="A37" s="72" t="s">
        <v>224</v>
      </c>
      <c r="B37" s="72">
        <v>14</v>
      </c>
      <c r="C37" s="70">
        <v>14430</v>
      </c>
      <c r="D37" s="70">
        <v>13911</v>
      </c>
      <c r="E37" s="162">
        <v>519</v>
      </c>
      <c r="F37" s="153">
        <v>3.73E-2</v>
      </c>
      <c r="G37" s="70">
        <v>202020</v>
      </c>
      <c r="H37" s="70">
        <v>194754</v>
      </c>
      <c r="I37" s="70">
        <v>7266</v>
      </c>
      <c r="J37" s="153">
        <v>3.5999999999999997E-2</v>
      </c>
    </row>
    <row r="38" spans="1:10" ht="15" customHeight="1" x14ac:dyDescent="0.2">
      <c r="A38" s="72" t="s">
        <v>69</v>
      </c>
      <c r="B38" s="72">
        <v>12</v>
      </c>
      <c r="C38" s="70">
        <v>14450</v>
      </c>
      <c r="D38" s="70">
        <v>13780</v>
      </c>
      <c r="E38" s="162">
        <v>670</v>
      </c>
      <c r="F38" s="153">
        <v>4.8599999999999997E-2</v>
      </c>
      <c r="G38" s="70">
        <v>173400</v>
      </c>
      <c r="H38" s="70">
        <v>165360</v>
      </c>
      <c r="I38" s="70">
        <v>8040</v>
      </c>
      <c r="J38" s="153">
        <v>4.6399999999999997E-2</v>
      </c>
    </row>
    <row r="39" spans="1:10" ht="15" customHeight="1" x14ac:dyDescent="0.2">
      <c r="A39" s="72" t="s">
        <v>61</v>
      </c>
      <c r="B39" s="72">
        <v>10</v>
      </c>
      <c r="C39" s="70">
        <v>12885</v>
      </c>
      <c r="D39" s="70">
        <v>12120</v>
      </c>
      <c r="E39" s="162">
        <v>765</v>
      </c>
      <c r="F39" s="153">
        <v>6.3100000000000003E-2</v>
      </c>
      <c r="G39" s="70">
        <v>128850</v>
      </c>
      <c r="H39" s="70">
        <v>121200</v>
      </c>
      <c r="I39" s="70">
        <v>7650</v>
      </c>
      <c r="J39" s="153">
        <v>5.9400000000000001E-2</v>
      </c>
    </row>
    <row r="40" spans="1:10" ht="15" customHeight="1" x14ac:dyDescent="0.2">
      <c r="A40" s="72" t="s">
        <v>56</v>
      </c>
      <c r="B40" s="72">
        <v>4</v>
      </c>
      <c r="C40" s="70">
        <v>24210</v>
      </c>
      <c r="D40" s="70">
        <v>22250</v>
      </c>
      <c r="E40" s="162">
        <v>1960</v>
      </c>
      <c r="F40" s="153">
        <v>8.8099999999999998E-2</v>
      </c>
      <c r="G40" s="70">
        <v>96840</v>
      </c>
      <c r="H40" s="70">
        <v>89000</v>
      </c>
      <c r="I40" s="70">
        <v>7840</v>
      </c>
      <c r="J40" s="153">
        <v>8.1000000000000003E-2</v>
      </c>
    </row>
    <row r="41" spans="1:10" ht="15" customHeight="1" x14ac:dyDescent="0.2">
      <c r="A41" s="72" t="s">
        <v>235</v>
      </c>
      <c r="B41" s="72">
        <v>9</v>
      </c>
      <c r="C41" s="70">
        <v>9701</v>
      </c>
      <c r="D41" s="70">
        <v>9280</v>
      </c>
      <c r="E41" s="162">
        <v>421</v>
      </c>
      <c r="F41" s="153">
        <v>4.5400000000000003E-2</v>
      </c>
      <c r="G41" s="70">
        <v>87310</v>
      </c>
      <c r="H41" s="70">
        <v>83520</v>
      </c>
      <c r="I41" s="70">
        <v>3790</v>
      </c>
      <c r="J41" s="153">
        <v>4.3400000000000001E-2</v>
      </c>
    </row>
    <row r="42" spans="1:10" ht="15" customHeight="1" x14ac:dyDescent="0.2">
      <c r="A42" s="72" t="s">
        <v>119</v>
      </c>
      <c r="B42" s="72">
        <v>4</v>
      </c>
      <c r="C42" s="70">
        <v>13319</v>
      </c>
      <c r="D42" s="70">
        <v>12390</v>
      </c>
      <c r="E42" s="162">
        <v>929</v>
      </c>
      <c r="F42" s="153">
        <v>7.4999999999999997E-2</v>
      </c>
      <c r="G42" s="70">
        <v>53275</v>
      </c>
      <c r="H42" s="70">
        <v>49560</v>
      </c>
      <c r="I42" s="70">
        <v>3715</v>
      </c>
      <c r="J42" s="153">
        <v>6.9699999999999998E-2</v>
      </c>
    </row>
    <row r="43" spans="1:10" ht="15" customHeight="1" x14ac:dyDescent="0.2">
      <c r="A43" s="72" t="s">
        <v>291</v>
      </c>
      <c r="B43" s="72">
        <v>1</v>
      </c>
      <c r="C43" s="70">
        <v>11320</v>
      </c>
      <c r="D43" s="70">
        <v>10410</v>
      </c>
      <c r="E43" s="162">
        <v>910</v>
      </c>
      <c r="F43" s="153">
        <v>8.7400000000000005E-2</v>
      </c>
      <c r="G43" s="70">
        <v>11320</v>
      </c>
      <c r="H43" s="70">
        <v>10410</v>
      </c>
      <c r="I43" s="70">
        <v>910</v>
      </c>
      <c r="J43" s="153">
        <v>8.0399999999999999E-2</v>
      </c>
    </row>
    <row r="44" spans="1:10" ht="15" customHeight="1" x14ac:dyDescent="0.2">
      <c r="A44" s="72" t="s">
        <v>460</v>
      </c>
      <c r="B44" s="72">
        <v>1</v>
      </c>
      <c r="C44" s="70">
        <v>4200</v>
      </c>
      <c r="D44" s="167">
        <v>4000</v>
      </c>
      <c r="E44" s="70">
        <f>C44-D44</f>
        <v>200</v>
      </c>
      <c r="F44" s="164">
        <f>E44/D44</f>
        <v>0.05</v>
      </c>
      <c r="G44" s="70">
        <v>4200</v>
      </c>
      <c r="H44" s="70">
        <v>4000</v>
      </c>
      <c r="I44" s="70">
        <v>200</v>
      </c>
      <c r="J44" s="164">
        <f>I44/G44</f>
        <v>4.7619047619047616E-2</v>
      </c>
    </row>
    <row r="45" spans="1:10" ht="15" customHeight="1" x14ac:dyDescent="0.2">
      <c r="A45" s="158" t="s">
        <v>789</v>
      </c>
      <c r="B45" s="72"/>
      <c r="C45" s="72"/>
      <c r="D45" s="72"/>
      <c r="E45" s="72"/>
      <c r="F45" s="72"/>
      <c r="G45" s="159">
        <f>SUM(G5:G44)</f>
        <v>174324840</v>
      </c>
      <c r="H45" s="159">
        <f>SUM(H5:H44)</f>
        <v>174260589</v>
      </c>
      <c r="I45" s="159">
        <f>SUM(I5:I44)</f>
        <v>64251</v>
      </c>
      <c r="J45" s="160">
        <f>IFERROR(I45/G45,0)</f>
        <v>3.6857053762389801E-4</v>
      </c>
    </row>
    <row r="47" spans="1:10" ht="15" customHeight="1" x14ac:dyDescent="0.2">
      <c r="A47" s="1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110"/>
  <sheetViews>
    <sheetView zoomScale="46" zoomScaleNormal="100" workbookViewId="0">
      <selection activeCell="D37" sqref="D37"/>
    </sheetView>
  </sheetViews>
  <sheetFormatPr defaultColWidth="8.609375" defaultRowHeight="15" x14ac:dyDescent="0.2"/>
  <cols>
    <col min="1" max="1" width="89.32421875" style="38" bestFit="1" customWidth="1"/>
    <col min="2" max="2" width="27.7109375" style="38" bestFit="1" customWidth="1"/>
    <col min="3" max="3" width="18.6953125" style="38" bestFit="1" customWidth="1"/>
    <col min="4" max="4" width="18.96484375" style="38" bestFit="1" customWidth="1"/>
    <col min="5" max="5" width="21.65625" style="38" bestFit="1" customWidth="1"/>
    <col min="6" max="6" width="24.48046875" style="38" bestFit="1" customWidth="1"/>
    <col min="7" max="7" width="20.3125" style="38" bestFit="1" customWidth="1"/>
    <col min="8" max="8" width="27.3046875" style="38" bestFit="1" customWidth="1"/>
    <col min="9" max="9" width="17.484375" style="38" bestFit="1" customWidth="1"/>
    <col min="10" max="10" width="14.390625" style="38" bestFit="1" customWidth="1"/>
    <col min="11" max="11" width="15.6015625" style="38" bestFit="1" customWidth="1"/>
    <col min="12" max="12" width="17.3515625" style="38" bestFit="1" customWidth="1"/>
    <col min="13" max="13" width="13.5859375" style="38" bestFit="1" customWidth="1"/>
    <col min="14" max="14" width="23.40625" style="38" bestFit="1" customWidth="1"/>
  </cols>
  <sheetData>
    <row r="1" spans="1:14" ht="18" x14ac:dyDescent="0.2">
      <c r="A1" s="141" t="s">
        <v>790</v>
      </c>
    </row>
    <row r="2" spans="1:14" x14ac:dyDescent="0.2">
      <c r="A2" s="135"/>
    </row>
    <row r="4" spans="1:14" ht="25.5" x14ac:dyDescent="0.35">
      <c r="A4" s="142" t="s">
        <v>791</v>
      </c>
      <c r="B4" s="168" t="s">
        <v>930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</row>
    <row r="6" spans="1:14" x14ac:dyDescent="0.2">
      <c r="A6" s="154" t="s">
        <v>777</v>
      </c>
      <c r="B6" s="72"/>
      <c r="C6" s="136" t="s">
        <v>792</v>
      </c>
      <c r="D6" s="72"/>
      <c r="E6" s="136" t="s">
        <v>793</v>
      </c>
      <c r="F6" s="72"/>
      <c r="G6" s="136" t="s">
        <v>794</v>
      </c>
      <c r="H6" s="72"/>
      <c r="I6" s="136" t="s">
        <v>764</v>
      </c>
      <c r="J6" s="72"/>
      <c r="K6" s="136" t="s">
        <v>795</v>
      </c>
    </row>
    <row r="7" spans="1:14" x14ac:dyDescent="0.2">
      <c r="A7" s="79">
        <v>3642500</v>
      </c>
      <c r="B7" s="72"/>
      <c r="C7" s="70">
        <v>3755050</v>
      </c>
      <c r="D7" s="72"/>
      <c r="E7" s="70">
        <v>-112550</v>
      </c>
      <c r="F7" s="72"/>
      <c r="G7" s="153">
        <v>-3.09E-2</v>
      </c>
      <c r="H7" s="72"/>
      <c r="I7" s="72">
        <v>660</v>
      </c>
      <c r="J7" s="72"/>
      <c r="K7" s="72">
        <v>3</v>
      </c>
    </row>
    <row r="10" spans="1:14" x14ac:dyDescent="0.2">
      <c r="A10" s="154" t="s">
        <v>753</v>
      </c>
      <c r="B10" s="136" t="s">
        <v>759</v>
      </c>
      <c r="C10" s="136" t="s">
        <v>758</v>
      </c>
      <c r="D10" s="136" t="s">
        <v>754</v>
      </c>
      <c r="E10" s="136" t="s">
        <v>780</v>
      </c>
      <c r="F10" s="136" t="s">
        <v>796</v>
      </c>
      <c r="G10" s="136" t="s">
        <v>797</v>
      </c>
      <c r="H10" s="136" t="s">
        <v>798</v>
      </c>
      <c r="I10" s="136" t="s">
        <v>799</v>
      </c>
      <c r="J10" s="136" t="s">
        <v>785</v>
      </c>
      <c r="K10" s="136" t="s">
        <v>786</v>
      </c>
      <c r="L10" s="136" t="s">
        <v>787</v>
      </c>
      <c r="M10" s="136" t="s">
        <v>788</v>
      </c>
      <c r="N10" s="136" t="s">
        <v>800</v>
      </c>
    </row>
    <row r="11" spans="1:14" x14ac:dyDescent="0.2">
      <c r="A11" s="38" t="s">
        <v>801</v>
      </c>
      <c r="B11" s="72" t="s">
        <v>107</v>
      </c>
      <c r="C11" s="72" t="s">
        <v>106</v>
      </c>
      <c r="D11" s="72" t="s">
        <v>24</v>
      </c>
      <c r="E11" s="72">
        <v>330</v>
      </c>
      <c r="F11" s="70">
        <v>4950</v>
      </c>
      <c r="G11" s="70">
        <v>5200</v>
      </c>
      <c r="H11" s="70">
        <v>-250</v>
      </c>
      <c r="I11" s="153">
        <v>-4.8099999999999997E-2</v>
      </c>
      <c r="J11" s="70">
        <v>1633500</v>
      </c>
      <c r="K11" s="70">
        <v>1716000</v>
      </c>
      <c r="L11" s="70">
        <v>-82500</v>
      </c>
      <c r="M11" s="153">
        <v>-5.0500000000000003E-2</v>
      </c>
      <c r="N11" s="70">
        <v>-250</v>
      </c>
    </row>
    <row r="12" spans="1:14" x14ac:dyDescent="0.2">
      <c r="A12" s="38" t="s">
        <v>801</v>
      </c>
      <c r="B12" s="72" t="s">
        <v>107</v>
      </c>
      <c r="C12" s="72" t="s">
        <v>106</v>
      </c>
      <c r="D12" s="72" t="s">
        <v>27</v>
      </c>
      <c r="E12" s="72">
        <v>130</v>
      </c>
      <c r="F12" s="70">
        <v>7800</v>
      </c>
      <c r="G12" s="70">
        <v>7685</v>
      </c>
      <c r="H12" s="70">
        <v>115</v>
      </c>
      <c r="I12" s="153">
        <v>1.4999999999999999E-2</v>
      </c>
      <c r="J12" s="70">
        <v>1014000</v>
      </c>
      <c r="K12" s="70">
        <v>999050</v>
      </c>
      <c r="L12" s="70">
        <v>14950</v>
      </c>
      <c r="M12" s="153">
        <v>1.47E-2</v>
      </c>
      <c r="N12" s="70">
        <v>115</v>
      </c>
    </row>
    <row r="13" spans="1:14" x14ac:dyDescent="0.2">
      <c r="A13" s="38" t="s">
        <v>801</v>
      </c>
      <c r="B13" s="72" t="s">
        <v>115</v>
      </c>
      <c r="C13" s="72" t="s">
        <v>106</v>
      </c>
      <c r="D13" s="72" t="s">
        <v>24</v>
      </c>
      <c r="E13" s="72">
        <v>100</v>
      </c>
      <c r="F13" s="70">
        <v>4950</v>
      </c>
      <c r="G13" s="70">
        <v>5200</v>
      </c>
      <c r="H13" s="70">
        <v>-250</v>
      </c>
      <c r="I13" s="153">
        <v>-4.8099999999999997E-2</v>
      </c>
      <c r="J13" s="70">
        <v>495000</v>
      </c>
      <c r="K13" s="70">
        <v>520000</v>
      </c>
      <c r="L13" s="70">
        <v>-25000</v>
      </c>
      <c r="M13" s="153">
        <v>-5.0500000000000003E-2</v>
      </c>
      <c r="N13" s="70">
        <v>-250</v>
      </c>
    </row>
    <row r="14" spans="1:14" x14ac:dyDescent="0.2">
      <c r="A14" s="38" t="s">
        <v>802</v>
      </c>
      <c r="B14" s="72" t="s">
        <v>202</v>
      </c>
      <c r="C14" s="72" t="s">
        <v>106</v>
      </c>
      <c r="D14" s="72" t="s">
        <v>24</v>
      </c>
      <c r="E14" s="72">
        <v>100</v>
      </c>
      <c r="F14" s="70">
        <v>5000</v>
      </c>
      <c r="G14" s="70">
        <v>5200</v>
      </c>
      <c r="H14" s="70">
        <v>-200</v>
      </c>
      <c r="I14" s="153">
        <v>-3.85E-2</v>
      </c>
      <c r="J14" s="70">
        <v>500000</v>
      </c>
      <c r="K14" s="70">
        <v>520000</v>
      </c>
      <c r="L14" s="70">
        <v>-20000</v>
      </c>
      <c r="M14" s="153">
        <v>-0.04</v>
      </c>
      <c r="N14" s="70">
        <v>-200</v>
      </c>
    </row>
    <row r="15" spans="1:14" x14ac:dyDescent="0.2">
      <c r="B15" s="72"/>
      <c r="C15" s="72"/>
      <c r="D15" s="158" t="s">
        <v>789</v>
      </c>
      <c r="E15" s="158">
        <f>SUM(E11:E14)</f>
        <v>660</v>
      </c>
      <c r="F15" s="72"/>
      <c r="G15" s="72"/>
      <c r="H15" s="72"/>
      <c r="I15" s="72"/>
      <c r="J15" s="159">
        <f>SUM(J11:J14)</f>
        <v>3642500</v>
      </c>
      <c r="K15" s="159">
        <f>SUM(K11:K14)</f>
        <v>3755050</v>
      </c>
      <c r="L15" s="159">
        <f>SUM(L11:L14)</f>
        <v>-112550</v>
      </c>
      <c r="M15" s="160">
        <f>IFERROR(L15/J15,0)</f>
        <v>-3.0899107755662319E-2</v>
      </c>
      <c r="N15" s="72"/>
    </row>
    <row r="18" spans="1:14" x14ac:dyDescent="0.2">
      <c r="A18" s="139" t="s">
        <v>803</v>
      </c>
    </row>
    <row r="19" spans="1:14" x14ac:dyDescent="0.2">
      <c r="A19" s="154" t="s">
        <v>754</v>
      </c>
      <c r="B19" s="136" t="s">
        <v>780</v>
      </c>
      <c r="C19" s="136" t="s">
        <v>804</v>
      </c>
      <c r="D19" s="136" t="s">
        <v>805</v>
      </c>
      <c r="E19" s="136" t="s">
        <v>806</v>
      </c>
      <c r="F19" s="136" t="s">
        <v>761</v>
      </c>
      <c r="G19" s="136" t="s">
        <v>769</v>
      </c>
      <c r="H19" s="136" t="s">
        <v>788</v>
      </c>
    </row>
    <row r="20" spans="1:14" x14ac:dyDescent="0.2">
      <c r="A20" s="38" t="s">
        <v>24</v>
      </c>
      <c r="B20" s="72">
        <v>530</v>
      </c>
      <c r="C20" s="70">
        <v>4959</v>
      </c>
      <c r="D20" s="70">
        <v>5200</v>
      </c>
      <c r="E20" s="70">
        <v>-241</v>
      </c>
      <c r="F20" s="70">
        <v>2628500</v>
      </c>
      <c r="G20" s="70">
        <v>-127500</v>
      </c>
      <c r="H20" s="153">
        <v>-4.8500000000000001E-2</v>
      </c>
    </row>
    <row r="21" spans="1:14" x14ac:dyDescent="0.2">
      <c r="A21" s="38" t="s">
        <v>27</v>
      </c>
      <c r="B21" s="72">
        <v>130</v>
      </c>
      <c r="C21" s="70">
        <v>7800</v>
      </c>
      <c r="D21" s="70">
        <v>7685</v>
      </c>
      <c r="E21" s="70">
        <v>115</v>
      </c>
      <c r="F21" s="70">
        <v>1014000</v>
      </c>
      <c r="G21" s="70">
        <v>14950</v>
      </c>
      <c r="H21" s="153">
        <v>1.47E-2</v>
      </c>
    </row>
    <row r="24" spans="1:14" ht="23.25" x14ac:dyDescent="0.3">
      <c r="A24" s="142" t="s">
        <v>807</v>
      </c>
      <c r="B24" s="169" t="s">
        <v>931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</row>
    <row r="26" spans="1:14" x14ac:dyDescent="0.2">
      <c r="A26" s="154" t="s">
        <v>777</v>
      </c>
      <c r="B26" s="72"/>
      <c r="C26" s="136" t="s">
        <v>792</v>
      </c>
      <c r="D26" s="72"/>
      <c r="E26" s="136" t="s">
        <v>793</v>
      </c>
      <c r="F26" s="72"/>
      <c r="G26" s="136" t="s">
        <v>794</v>
      </c>
      <c r="H26" s="72"/>
      <c r="I26" s="136" t="s">
        <v>764</v>
      </c>
      <c r="J26" s="72"/>
      <c r="K26" s="136" t="s">
        <v>795</v>
      </c>
    </row>
    <row r="27" spans="1:14" x14ac:dyDescent="0.2">
      <c r="A27" s="79">
        <v>23458165</v>
      </c>
      <c r="B27" s="72"/>
      <c r="C27" s="70">
        <f>K87</f>
        <v>24010817</v>
      </c>
      <c r="D27" s="72"/>
      <c r="E27" s="70">
        <f>L87</f>
        <v>-475202</v>
      </c>
      <c r="F27" s="72"/>
      <c r="G27" s="153">
        <f>M87</f>
        <v>-2.01907619579943E-2</v>
      </c>
      <c r="H27" s="72"/>
      <c r="I27" s="72">
        <v>3977</v>
      </c>
      <c r="J27" s="72"/>
      <c r="K27" s="72">
        <v>31</v>
      </c>
    </row>
    <row r="30" spans="1:14" x14ac:dyDescent="0.2">
      <c r="A30" s="136" t="s">
        <v>753</v>
      </c>
      <c r="B30" s="136" t="s">
        <v>759</v>
      </c>
      <c r="C30" s="136" t="s">
        <v>758</v>
      </c>
      <c r="D30" s="136" t="s">
        <v>754</v>
      </c>
      <c r="E30" s="136" t="s">
        <v>780</v>
      </c>
      <c r="F30" s="136" t="s">
        <v>796</v>
      </c>
      <c r="G30" s="136" t="s">
        <v>797</v>
      </c>
      <c r="H30" s="136" t="s">
        <v>798</v>
      </c>
      <c r="I30" s="136" t="s">
        <v>799</v>
      </c>
      <c r="J30" s="136" t="s">
        <v>785</v>
      </c>
      <c r="K30" s="136" t="s">
        <v>786</v>
      </c>
      <c r="L30" s="136" t="s">
        <v>787</v>
      </c>
      <c r="M30" s="136" t="s">
        <v>788</v>
      </c>
      <c r="N30" s="136" t="s">
        <v>800</v>
      </c>
    </row>
    <row r="31" spans="1:14" x14ac:dyDescent="0.2">
      <c r="A31" s="72" t="s">
        <v>808</v>
      </c>
      <c r="B31" s="72" t="s">
        <v>26</v>
      </c>
      <c r="C31" s="72" t="s">
        <v>25</v>
      </c>
      <c r="D31" s="72" t="s">
        <v>24</v>
      </c>
      <c r="E31" s="72">
        <v>200</v>
      </c>
      <c r="F31" s="70">
        <v>4950</v>
      </c>
      <c r="G31" s="70">
        <v>5200</v>
      </c>
      <c r="H31" s="70">
        <v>-250</v>
      </c>
      <c r="I31" s="153">
        <v>-4.8099999999999997E-2</v>
      </c>
      <c r="J31" s="70">
        <v>990000</v>
      </c>
      <c r="K31" s="70">
        <v>1040000</v>
      </c>
      <c r="L31" s="70">
        <v>-50000</v>
      </c>
      <c r="M31" s="153">
        <v>-5.0500000000000003E-2</v>
      </c>
      <c r="N31" s="70">
        <v>-250</v>
      </c>
    </row>
    <row r="32" spans="1:14" x14ac:dyDescent="0.2">
      <c r="A32" s="72" t="s">
        <v>808</v>
      </c>
      <c r="B32" s="72" t="s">
        <v>26</v>
      </c>
      <c r="C32" s="72" t="s">
        <v>25</v>
      </c>
      <c r="D32" s="72" t="s">
        <v>27</v>
      </c>
      <c r="E32" s="72">
        <v>35</v>
      </c>
      <c r="F32" s="70">
        <v>8020</v>
      </c>
      <c r="G32" s="70">
        <v>7685</v>
      </c>
      <c r="H32" s="70">
        <v>335</v>
      </c>
      <c r="I32" s="153">
        <v>4.36E-2</v>
      </c>
      <c r="J32" s="70">
        <v>280700</v>
      </c>
      <c r="K32" s="70">
        <v>268975</v>
      </c>
      <c r="L32" s="70">
        <v>11725</v>
      </c>
      <c r="M32" s="153">
        <v>4.1799999999999997E-2</v>
      </c>
      <c r="N32" s="70">
        <v>335</v>
      </c>
    </row>
    <row r="33" spans="1:14" x14ac:dyDescent="0.2">
      <c r="A33" s="72" t="s">
        <v>808</v>
      </c>
      <c r="B33" s="72" t="s">
        <v>26</v>
      </c>
      <c r="C33" s="72" t="s">
        <v>25</v>
      </c>
      <c r="D33" s="72" t="s">
        <v>28</v>
      </c>
      <c r="E33" s="72">
        <v>20</v>
      </c>
      <c r="F33" s="70">
        <v>13150</v>
      </c>
      <c r="G33" s="70">
        <v>13501</v>
      </c>
      <c r="H33" s="70">
        <v>-351</v>
      </c>
      <c r="I33" s="153">
        <v>-2.5999999999999999E-2</v>
      </c>
      <c r="J33" s="70">
        <v>263000</v>
      </c>
      <c r="K33" s="70">
        <v>270020</v>
      </c>
      <c r="L33" s="70">
        <v>-7020</v>
      </c>
      <c r="M33" s="153">
        <v>-2.6700000000000002E-2</v>
      </c>
      <c r="N33" s="70">
        <v>-351</v>
      </c>
    </row>
    <row r="34" spans="1:14" x14ac:dyDescent="0.2">
      <c r="A34" s="72" t="s">
        <v>809</v>
      </c>
      <c r="B34" s="72" t="s">
        <v>55</v>
      </c>
      <c r="C34" s="72" t="s">
        <v>25</v>
      </c>
      <c r="D34" s="72" t="s">
        <v>24</v>
      </c>
      <c r="E34" s="72">
        <v>260</v>
      </c>
      <c r="F34" s="70">
        <v>5000</v>
      </c>
      <c r="G34" s="70">
        <v>5200</v>
      </c>
      <c r="H34" s="70">
        <v>-200</v>
      </c>
      <c r="I34" s="153">
        <v>-3.85E-2</v>
      </c>
      <c r="J34" s="70">
        <v>1300000</v>
      </c>
      <c r="K34" s="70">
        <v>1352000</v>
      </c>
      <c r="L34" s="70">
        <v>-52000</v>
      </c>
      <c r="M34" s="153">
        <v>-0.04</v>
      </c>
      <c r="N34" s="70">
        <v>-200</v>
      </c>
    </row>
    <row r="35" spans="1:14" x14ac:dyDescent="0.2">
      <c r="A35" s="72" t="s">
        <v>809</v>
      </c>
      <c r="B35" s="72" t="s">
        <v>55</v>
      </c>
      <c r="C35" s="72" t="s">
        <v>25</v>
      </c>
      <c r="D35" s="72" t="s">
        <v>56</v>
      </c>
      <c r="E35" s="72">
        <v>1</v>
      </c>
      <c r="F35" s="70">
        <v>24235</v>
      </c>
      <c r="G35" s="70">
        <v>22250</v>
      </c>
      <c r="H35" s="70">
        <v>1985</v>
      </c>
      <c r="I35" s="153">
        <v>8.9200000000000002E-2</v>
      </c>
      <c r="J35" s="70">
        <v>24235</v>
      </c>
      <c r="K35" s="70">
        <v>22250</v>
      </c>
      <c r="L35" s="70">
        <v>1985</v>
      </c>
      <c r="M35" s="153">
        <v>8.1900000000000001E-2</v>
      </c>
      <c r="N35" s="70">
        <v>1985</v>
      </c>
    </row>
    <row r="36" spans="1:14" x14ac:dyDescent="0.2">
      <c r="A36" s="72" t="s">
        <v>809</v>
      </c>
      <c r="B36" s="72" t="s">
        <v>57</v>
      </c>
      <c r="C36" s="72" t="s">
        <v>25</v>
      </c>
      <c r="D36" s="72" t="s">
        <v>27</v>
      </c>
      <c r="E36" s="72">
        <v>5</v>
      </c>
      <c r="F36" s="70">
        <v>8020</v>
      </c>
      <c r="G36" s="70">
        <v>7685</v>
      </c>
      <c r="H36" s="70">
        <v>335</v>
      </c>
      <c r="I36" s="153">
        <v>4.36E-2</v>
      </c>
      <c r="J36" s="70">
        <v>40100</v>
      </c>
      <c r="K36" s="70">
        <v>38425</v>
      </c>
      <c r="L36" s="70">
        <v>1675</v>
      </c>
      <c r="M36" s="153">
        <v>4.1799999999999997E-2</v>
      </c>
      <c r="N36" s="70">
        <v>335</v>
      </c>
    </row>
    <row r="37" spans="1:14" x14ac:dyDescent="0.2">
      <c r="A37" s="72" t="s">
        <v>809</v>
      </c>
      <c r="B37" s="72" t="s">
        <v>58</v>
      </c>
      <c r="C37" s="72" t="s">
        <v>25</v>
      </c>
      <c r="D37" s="72" t="s">
        <v>27</v>
      </c>
      <c r="E37" s="72">
        <v>10</v>
      </c>
      <c r="F37" s="70">
        <v>8020</v>
      </c>
      <c r="G37" s="70">
        <v>7685</v>
      </c>
      <c r="H37" s="70">
        <v>335</v>
      </c>
      <c r="I37" s="153">
        <v>4.36E-2</v>
      </c>
      <c r="J37" s="70">
        <v>80200</v>
      </c>
      <c r="K37" s="70">
        <v>76850</v>
      </c>
      <c r="L37" s="70">
        <v>3350</v>
      </c>
      <c r="M37" s="153">
        <v>4.1799999999999997E-2</v>
      </c>
      <c r="N37" s="70">
        <v>335</v>
      </c>
    </row>
    <row r="38" spans="1:14" x14ac:dyDescent="0.2">
      <c r="A38" s="72" t="s">
        <v>810</v>
      </c>
      <c r="B38" s="72" t="s">
        <v>74</v>
      </c>
      <c r="C38" s="72" t="s">
        <v>25</v>
      </c>
      <c r="D38" s="72" t="s">
        <v>24</v>
      </c>
      <c r="E38" s="72">
        <v>200</v>
      </c>
      <c r="F38" s="70">
        <v>5000</v>
      </c>
      <c r="G38" s="70">
        <v>5200</v>
      </c>
      <c r="H38" s="70">
        <v>-200</v>
      </c>
      <c r="I38" s="153">
        <v>-3.85E-2</v>
      </c>
      <c r="J38" s="70">
        <v>1000000</v>
      </c>
      <c r="K38" s="70">
        <v>1040000</v>
      </c>
      <c r="L38" s="70">
        <v>-40000</v>
      </c>
      <c r="M38" s="153">
        <v>-0.04</v>
      </c>
      <c r="N38" s="70">
        <v>-200</v>
      </c>
    </row>
    <row r="39" spans="1:14" x14ac:dyDescent="0.2">
      <c r="A39" s="72" t="s">
        <v>811</v>
      </c>
      <c r="B39" s="72" t="s">
        <v>94</v>
      </c>
      <c r="C39" s="72" t="s">
        <v>25</v>
      </c>
      <c r="D39" s="72" t="s">
        <v>21</v>
      </c>
      <c r="E39" s="72">
        <v>50</v>
      </c>
      <c r="F39" s="70">
        <v>8300</v>
      </c>
      <c r="G39" s="70">
        <v>8118</v>
      </c>
      <c r="H39" s="70">
        <v>182</v>
      </c>
      <c r="I39" s="153">
        <v>2.24E-2</v>
      </c>
      <c r="J39" s="70">
        <v>415000</v>
      </c>
      <c r="K39" s="70">
        <v>405900</v>
      </c>
      <c r="L39" s="70">
        <v>9100</v>
      </c>
      <c r="M39" s="153">
        <v>2.1899999999999999E-2</v>
      </c>
      <c r="N39" s="70">
        <v>182</v>
      </c>
    </row>
    <row r="40" spans="1:14" x14ac:dyDescent="0.2">
      <c r="A40" s="72" t="s">
        <v>801</v>
      </c>
      <c r="B40" s="72" t="s">
        <v>108</v>
      </c>
      <c r="C40" s="72" t="s">
        <v>25</v>
      </c>
      <c r="D40" s="72" t="s">
        <v>45</v>
      </c>
      <c r="E40" s="72">
        <v>60</v>
      </c>
      <c r="F40" s="70">
        <v>13335</v>
      </c>
      <c r="G40" s="70">
        <v>12746</v>
      </c>
      <c r="H40" s="70">
        <v>589</v>
      </c>
      <c r="I40" s="153">
        <v>4.6199999999999998E-2</v>
      </c>
      <c r="J40" s="70">
        <v>800100</v>
      </c>
      <c r="K40" s="70">
        <v>764760</v>
      </c>
      <c r="L40" s="70">
        <v>35340</v>
      </c>
      <c r="M40" s="153">
        <v>4.4200000000000003E-2</v>
      </c>
      <c r="N40" s="70">
        <v>589</v>
      </c>
    </row>
    <row r="41" spans="1:14" x14ac:dyDescent="0.2">
      <c r="A41" s="72" t="s">
        <v>801</v>
      </c>
      <c r="B41" s="72" t="s">
        <v>111</v>
      </c>
      <c r="C41" s="72" t="s">
        <v>25</v>
      </c>
      <c r="D41" s="72" t="s">
        <v>44</v>
      </c>
      <c r="E41" s="72">
        <v>30</v>
      </c>
      <c r="F41" s="70">
        <v>9200</v>
      </c>
      <c r="G41" s="70">
        <v>8990</v>
      </c>
      <c r="H41" s="70">
        <v>210</v>
      </c>
      <c r="I41" s="153">
        <v>2.3400000000000001E-2</v>
      </c>
      <c r="J41" s="70">
        <v>276000</v>
      </c>
      <c r="K41" s="70">
        <v>269700</v>
      </c>
      <c r="L41" s="70">
        <v>6300</v>
      </c>
      <c r="M41" s="153">
        <v>2.2800000000000001E-2</v>
      </c>
      <c r="N41" s="70">
        <v>210</v>
      </c>
    </row>
    <row r="42" spans="1:14" x14ac:dyDescent="0.2">
      <c r="A42" s="72" t="s">
        <v>801</v>
      </c>
      <c r="B42" s="72" t="s">
        <v>111</v>
      </c>
      <c r="C42" s="72" t="s">
        <v>25</v>
      </c>
      <c r="D42" s="72" t="s">
        <v>22</v>
      </c>
      <c r="E42" s="72">
        <v>30</v>
      </c>
      <c r="F42" s="70">
        <v>9200</v>
      </c>
      <c r="G42" s="70">
        <v>8657</v>
      </c>
      <c r="H42" s="70">
        <v>543</v>
      </c>
      <c r="I42" s="153">
        <v>6.2700000000000006E-2</v>
      </c>
      <c r="J42" s="70">
        <v>276000</v>
      </c>
      <c r="K42" s="70">
        <v>259710</v>
      </c>
      <c r="L42" s="70">
        <v>16290</v>
      </c>
      <c r="M42" s="153">
        <v>5.8999999999999997E-2</v>
      </c>
      <c r="N42" s="70">
        <v>543</v>
      </c>
    </row>
    <row r="43" spans="1:14" x14ac:dyDescent="0.2">
      <c r="A43" s="72" t="s">
        <v>801</v>
      </c>
      <c r="B43" s="72" t="s">
        <v>111</v>
      </c>
      <c r="C43" s="72" t="s">
        <v>25</v>
      </c>
      <c r="D43" s="72" t="s">
        <v>21</v>
      </c>
      <c r="E43" s="72">
        <v>20</v>
      </c>
      <c r="F43" s="70">
        <v>8300</v>
      </c>
      <c r="G43" s="70">
        <v>8118</v>
      </c>
      <c r="H43" s="70">
        <v>182</v>
      </c>
      <c r="I43" s="153">
        <v>2.24E-2</v>
      </c>
      <c r="J43" s="70">
        <v>166000</v>
      </c>
      <c r="K43" s="70">
        <v>162360</v>
      </c>
      <c r="L43" s="70">
        <v>3640</v>
      </c>
      <c r="M43" s="153">
        <v>2.1899999999999999E-2</v>
      </c>
      <c r="N43" s="70">
        <v>182</v>
      </c>
    </row>
    <row r="44" spans="1:14" x14ac:dyDescent="0.2">
      <c r="A44" s="72" t="s">
        <v>801</v>
      </c>
      <c r="B44" s="72" t="s">
        <v>111</v>
      </c>
      <c r="C44" s="72" t="s">
        <v>25</v>
      </c>
      <c r="D44" s="72" t="s">
        <v>37</v>
      </c>
      <c r="E44" s="72">
        <v>12</v>
      </c>
      <c r="F44" s="70">
        <v>9200</v>
      </c>
      <c r="G44" s="70">
        <v>8525</v>
      </c>
      <c r="H44" s="70">
        <v>675</v>
      </c>
      <c r="I44" s="153">
        <v>7.9200000000000007E-2</v>
      </c>
      <c r="J44" s="70">
        <v>110400</v>
      </c>
      <c r="K44" s="70">
        <v>102300</v>
      </c>
      <c r="L44" s="70">
        <v>8100</v>
      </c>
      <c r="M44" s="153">
        <v>7.3400000000000007E-2</v>
      </c>
      <c r="N44" s="70">
        <v>675</v>
      </c>
    </row>
    <row r="45" spans="1:14" x14ac:dyDescent="0.2">
      <c r="A45" s="72" t="s">
        <v>812</v>
      </c>
      <c r="B45" s="72" t="s">
        <v>131</v>
      </c>
      <c r="C45" s="72" t="s">
        <v>25</v>
      </c>
      <c r="D45" s="72" t="s">
        <v>22</v>
      </c>
      <c r="E45" s="72">
        <v>25</v>
      </c>
      <c r="F45" s="70">
        <v>9200</v>
      </c>
      <c r="G45" s="70">
        <v>8657</v>
      </c>
      <c r="H45" s="70">
        <v>543</v>
      </c>
      <c r="I45" s="153">
        <v>6.2700000000000006E-2</v>
      </c>
      <c r="J45" s="70">
        <v>230000</v>
      </c>
      <c r="K45" s="70">
        <v>216425</v>
      </c>
      <c r="L45" s="70">
        <v>13575</v>
      </c>
      <c r="M45" s="153">
        <v>5.8999999999999997E-2</v>
      </c>
      <c r="N45" s="70">
        <v>543</v>
      </c>
    </row>
    <row r="46" spans="1:14" x14ac:dyDescent="0.2">
      <c r="A46" s="72" t="s">
        <v>812</v>
      </c>
      <c r="B46" s="72" t="s">
        <v>131</v>
      </c>
      <c r="C46" s="72" t="s">
        <v>25</v>
      </c>
      <c r="D46" s="72" t="s">
        <v>45</v>
      </c>
      <c r="E46" s="72">
        <v>17</v>
      </c>
      <c r="F46" s="70">
        <v>13335</v>
      </c>
      <c r="G46" s="70">
        <v>12746</v>
      </c>
      <c r="H46" s="70">
        <v>589</v>
      </c>
      <c r="I46" s="153">
        <v>4.6199999999999998E-2</v>
      </c>
      <c r="J46" s="70">
        <v>226695</v>
      </c>
      <c r="K46" s="70">
        <v>216682</v>
      </c>
      <c r="L46" s="70">
        <v>10013</v>
      </c>
      <c r="M46" s="153">
        <v>4.4200000000000003E-2</v>
      </c>
      <c r="N46" s="70">
        <v>589</v>
      </c>
    </row>
    <row r="47" spans="1:14" x14ac:dyDescent="0.2">
      <c r="A47" s="72" t="s">
        <v>812</v>
      </c>
      <c r="B47" s="72" t="s">
        <v>131</v>
      </c>
      <c r="C47" s="72" t="s">
        <v>25</v>
      </c>
      <c r="D47" s="72" t="s">
        <v>37</v>
      </c>
      <c r="E47" s="72">
        <v>10</v>
      </c>
      <c r="F47" s="70">
        <v>9200</v>
      </c>
      <c r="G47" s="70">
        <v>8525</v>
      </c>
      <c r="H47" s="70">
        <v>675</v>
      </c>
      <c r="I47" s="153">
        <v>7.9200000000000007E-2</v>
      </c>
      <c r="J47" s="70">
        <v>92000</v>
      </c>
      <c r="K47" s="70">
        <v>85250</v>
      </c>
      <c r="L47" s="70">
        <v>6750</v>
      </c>
      <c r="M47" s="153">
        <v>7.3400000000000007E-2</v>
      </c>
      <c r="N47" s="70">
        <v>675</v>
      </c>
    </row>
    <row r="48" spans="1:14" x14ac:dyDescent="0.2">
      <c r="A48" s="72" t="s">
        <v>813</v>
      </c>
      <c r="B48" s="72" t="s">
        <v>162</v>
      </c>
      <c r="C48" s="72" t="s">
        <v>25</v>
      </c>
      <c r="D48" s="72" t="s">
        <v>24</v>
      </c>
      <c r="E48" s="72">
        <v>150</v>
      </c>
      <c r="F48" s="70">
        <v>5000</v>
      </c>
      <c r="G48" s="70">
        <v>5200</v>
      </c>
      <c r="H48" s="70">
        <v>-200</v>
      </c>
      <c r="I48" s="153">
        <v>-3.85E-2</v>
      </c>
      <c r="J48" s="70">
        <v>750000</v>
      </c>
      <c r="K48" s="70">
        <v>780000</v>
      </c>
      <c r="L48" s="70">
        <v>-30000</v>
      </c>
      <c r="M48" s="153">
        <v>-0.04</v>
      </c>
      <c r="N48" s="70">
        <v>-200</v>
      </c>
    </row>
    <row r="49" spans="1:14" x14ac:dyDescent="0.2">
      <c r="A49" s="72" t="s">
        <v>813</v>
      </c>
      <c r="B49" s="72" t="s">
        <v>162</v>
      </c>
      <c r="C49" s="72" t="s">
        <v>25</v>
      </c>
      <c r="D49" s="72" t="s">
        <v>31</v>
      </c>
      <c r="E49" s="72">
        <v>5</v>
      </c>
      <c r="F49" s="70">
        <v>17845</v>
      </c>
      <c r="G49" s="70">
        <v>17100</v>
      </c>
      <c r="H49" s="70">
        <v>745</v>
      </c>
      <c r="I49" s="153">
        <v>4.36E-2</v>
      </c>
      <c r="J49" s="70">
        <v>89225</v>
      </c>
      <c r="K49" s="70">
        <v>85500</v>
      </c>
      <c r="L49" s="70">
        <v>3725</v>
      </c>
      <c r="M49" s="153">
        <v>4.1700000000000001E-2</v>
      </c>
      <c r="N49" s="70">
        <v>745</v>
      </c>
    </row>
    <row r="50" spans="1:14" x14ac:dyDescent="0.2">
      <c r="A50" s="72" t="s">
        <v>814</v>
      </c>
      <c r="B50" s="72" t="s">
        <v>191</v>
      </c>
      <c r="C50" s="72" t="s">
        <v>25</v>
      </c>
      <c r="D50" s="72" t="s">
        <v>24</v>
      </c>
      <c r="E50" s="72">
        <v>200</v>
      </c>
      <c r="F50" s="70">
        <v>5000</v>
      </c>
      <c r="G50" s="70">
        <v>5200</v>
      </c>
      <c r="H50" s="70">
        <v>-200</v>
      </c>
      <c r="I50" s="153">
        <v>-3.85E-2</v>
      </c>
      <c r="J50" s="70">
        <v>1000000</v>
      </c>
      <c r="K50" s="70">
        <v>1040000</v>
      </c>
      <c r="L50" s="70">
        <v>-40000</v>
      </c>
      <c r="M50" s="153">
        <v>-0.04</v>
      </c>
      <c r="N50" s="70">
        <v>-200</v>
      </c>
    </row>
    <row r="51" spans="1:14" x14ac:dyDescent="0.2">
      <c r="A51" s="72" t="s">
        <v>802</v>
      </c>
      <c r="B51" s="72" t="s">
        <v>205</v>
      </c>
      <c r="C51" s="72" t="s">
        <v>25</v>
      </c>
      <c r="D51" s="72" t="s">
        <v>24</v>
      </c>
      <c r="E51" s="72">
        <v>100</v>
      </c>
      <c r="F51" s="70">
        <v>5000</v>
      </c>
      <c r="G51" s="70">
        <v>5200</v>
      </c>
      <c r="H51" s="70">
        <v>-200</v>
      </c>
      <c r="I51" s="153">
        <v>-3.85E-2</v>
      </c>
      <c r="J51" s="70">
        <v>500000</v>
      </c>
      <c r="K51" s="70">
        <v>520000</v>
      </c>
      <c r="L51" s="70">
        <v>-20000</v>
      </c>
      <c r="M51" s="153">
        <v>-0.04</v>
      </c>
      <c r="N51" s="70">
        <v>-200</v>
      </c>
    </row>
    <row r="52" spans="1:14" x14ac:dyDescent="0.2">
      <c r="A52" s="72" t="s">
        <v>802</v>
      </c>
      <c r="B52" s="72" t="s">
        <v>205</v>
      </c>
      <c r="C52" s="72" t="s">
        <v>25</v>
      </c>
      <c r="D52" s="72" t="s">
        <v>27</v>
      </c>
      <c r="E52" s="72">
        <v>20</v>
      </c>
      <c r="F52" s="70">
        <v>8020</v>
      </c>
      <c r="G52" s="70">
        <v>7685</v>
      </c>
      <c r="H52" s="70">
        <v>335</v>
      </c>
      <c r="I52" s="153">
        <v>4.36E-2</v>
      </c>
      <c r="J52" s="70">
        <v>160400</v>
      </c>
      <c r="K52" s="70">
        <v>153700</v>
      </c>
      <c r="L52" s="70">
        <v>6700</v>
      </c>
      <c r="M52" s="153">
        <v>4.1799999999999997E-2</v>
      </c>
      <c r="N52" s="70">
        <v>335</v>
      </c>
    </row>
    <row r="53" spans="1:14" x14ac:dyDescent="0.2">
      <c r="A53" s="72" t="s">
        <v>815</v>
      </c>
      <c r="B53" s="72" t="s">
        <v>216</v>
      </c>
      <c r="C53" s="72" t="s">
        <v>25</v>
      </c>
      <c r="D53" s="72" t="s">
        <v>24</v>
      </c>
      <c r="E53" s="72">
        <v>150</v>
      </c>
      <c r="F53" s="70">
        <v>5000</v>
      </c>
      <c r="G53" s="70">
        <v>5200</v>
      </c>
      <c r="H53" s="70">
        <v>-200</v>
      </c>
      <c r="I53" s="153">
        <v>-3.85E-2</v>
      </c>
      <c r="J53" s="70">
        <v>750000</v>
      </c>
      <c r="K53" s="70">
        <v>780000</v>
      </c>
      <c r="L53" s="70">
        <v>-30000</v>
      </c>
      <c r="M53" s="153">
        <v>-0.04</v>
      </c>
      <c r="N53" s="70">
        <v>-200</v>
      </c>
    </row>
    <row r="54" spans="1:14" x14ac:dyDescent="0.2">
      <c r="A54" s="72" t="s">
        <v>815</v>
      </c>
      <c r="B54" s="72" t="s">
        <v>216</v>
      </c>
      <c r="C54" s="72" t="s">
        <v>25</v>
      </c>
      <c r="D54" s="72" t="s">
        <v>28</v>
      </c>
      <c r="E54" s="72">
        <v>5</v>
      </c>
      <c r="F54" s="70">
        <v>13150</v>
      </c>
      <c r="G54" s="70">
        <v>13501</v>
      </c>
      <c r="H54" s="70">
        <v>-351</v>
      </c>
      <c r="I54" s="153">
        <v>-2.5999999999999999E-2</v>
      </c>
      <c r="J54" s="70">
        <v>65750</v>
      </c>
      <c r="K54" s="70">
        <v>67505</v>
      </c>
      <c r="L54" s="70">
        <v>-1755</v>
      </c>
      <c r="M54" s="153">
        <v>-2.6700000000000002E-2</v>
      </c>
      <c r="N54" s="70">
        <v>-351</v>
      </c>
    </row>
    <row r="55" spans="1:14" x14ac:dyDescent="0.2">
      <c r="A55" s="72" t="s">
        <v>816</v>
      </c>
      <c r="B55" s="72" t="s">
        <v>228</v>
      </c>
      <c r="C55" s="72" t="s">
        <v>25</v>
      </c>
      <c r="D55" s="72" t="s">
        <v>32</v>
      </c>
      <c r="E55" s="72">
        <v>5</v>
      </c>
      <c r="F55" s="70">
        <v>16145</v>
      </c>
      <c r="G55" s="70">
        <v>15247</v>
      </c>
      <c r="H55" s="70">
        <v>898</v>
      </c>
      <c r="I55" s="153">
        <v>5.8900000000000001E-2</v>
      </c>
      <c r="J55" s="70">
        <v>80725</v>
      </c>
      <c r="K55" s="70">
        <v>76235</v>
      </c>
      <c r="L55" s="70">
        <v>4490</v>
      </c>
      <c r="M55" s="153">
        <v>5.5599999999999997E-2</v>
      </c>
      <c r="N55" s="70">
        <v>898</v>
      </c>
    </row>
    <row r="56" spans="1:14" x14ac:dyDescent="0.2">
      <c r="A56" s="72" t="s">
        <v>816</v>
      </c>
      <c r="B56" s="72" t="s">
        <v>228</v>
      </c>
      <c r="C56" s="72" t="s">
        <v>25</v>
      </c>
      <c r="D56" s="72" t="s">
        <v>35</v>
      </c>
      <c r="E56" s="72">
        <v>3</v>
      </c>
      <c r="F56" s="70">
        <v>21170</v>
      </c>
      <c r="G56" s="70">
        <v>20405</v>
      </c>
      <c r="H56" s="70">
        <v>765</v>
      </c>
      <c r="I56" s="153">
        <v>3.7499999999999999E-2</v>
      </c>
      <c r="J56" s="70">
        <v>63510</v>
      </c>
      <c r="K56" s="70">
        <v>61215</v>
      </c>
      <c r="L56" s="70">
        <v>2295</v>
      </c>
      <c r="M56" s="153">
        <v>3.61E-2</v>
      </c>
      <c r="N56" s="70">
        <v>765</v>
      </c>
    </row>
    <row r="57" spans="1:14" x14ac:dyDescent="0.2">
      <c r="A57" s="72" t="s">
        <v>816</v>
      </c>
      <c r="B57" s="72" t="s">
        <v>228</v>
      </c>
      <c r="C57" s="72" t="s">
        <v>25</v>
      </c>
      <c r="D57" s="72" t="s">
        <v>229</v>
      </c>
      <c r="E57" s="72">
        <v>5</v>
      </c>
      <c r="F57" s="70">
        <v>15490</v>
      </c>
      <c r="G57" s="157">
        <v>14000</v>
      </c>
      <c r="H57" s="70">
        <f>F57-G57</f>
        <v>1490</v>
      </c>
      <c r="I57" s="153">
        <v>0.106</v>
      </c>
      <c r="J57" s="70">
        <v>77450</v>
      </c>
      <c r="K57" s="74">
        <v>70000</v>
      </c>
      <c r="L57" s="74">
        <v>7450</v>
      </c>
      <c r="M57" s="153">
        <v>9.6000000000000002E-2</v>
      </c>
      <c r="N57" s="70">
        <v>1490</v>
      </c>
    </row>
    <row r="58" spans="1:14" x14ac:dyDescent="0.2">
      <c r="A58" s="72" t="s">
        <v>816</v>
      </c>
      <c r="B58" s="72" t="s">
        <v>228</v>
      </c>
      <c r="C58" s="72" t="s">
        <v>25</v>
      </c>
      <c r="D58" s="72" t="s">
        <v>34</v>
      </c>
      <c r="E58" s="72">
        <v>5</v>
      </c>
      <c r="F58" s="70">
        <v>22740</v>
      </c>
      <c r="G58" s="70">
        <v>21595</v>
      </c>
      <c r="H58" s="70">
        <v>1145</v>
      </c>
      <c r="I58" s="153">
        <v>5.2999999999999999E-2</v>
      </c>
      <c r="J58" s="70">
        <v>113700</v>
      </c>
      <c r="K58" s="70">
        <v>107975</v>
      </c>
      <c r="L58" s="70">
        <v>5725</v>
      </c>
      <c r="M58" s="153">
        <v>5.04E-2</v>
      </c>
      <c r="N58" s="70">
        <v>1145</v>
      </c>
    </row>
    <row r="59" spans="1:14" x14ac:dyDescent="0.2">
      <c r="A59" s="72" t="s">
        <v>816</v>
      </c>
      <c r="B59" s="72" t="s">
        <v>228</v>
      </c>
      <c r="C59" s="72" t="s">
        <v>25</v>
      </c>
      <c r="D59" s="72" t="s">
        <v>24</v>
      </c>
      <c r="E59" s="72">
        <v>100</v>
      </c>
      <c r="F59" s="70">
        <v>5000</v>
      </c>
      <c r="G59" s="70">
        <v>5200</v>
      </c>
      <c r="H59" s="70">
        <v>-200</v>
      </c>
      <c r="I59" s="153">
        <v>-3.85E-2</v>
      </c>
      <c r="J59" s="70">
        <v>500000</v>
      </c>
      <c r="K59" s="70">
        <v>520000</v>
      </c>
      <c r="L59" s="70">
        <v>-20000</v>
      </c>
      <c r="M59" s="153">
        <v>-0.04</v>
      </c>
      <c r="N59" s="70">
        <v>-200</v>
      </c>
    </row>
    <row r="60" spans="1:14" x14ac:dyDescent="0.2">
      <c r="A60" s="72" t="s">
        <v>817</v>
      </c>
      <c r="B60" s="72" t="s">
        <v>244</v>
      </c>
      <c r="C60" s="72" t="s">
        <v>25</v>
      </c>
      <c r="D60" s="72" t="s">
        <v>24</v>
      </c>
      <c r="E60" s="72">
        <v>70</v>
      </c>
      <c r="F60" s="70">
        <v>5000</v>
      </c>
      <c r="G60" s="70">
        <v>5200</v>
      </c>
      <c r="H60" s="70">
        <v>-200</v>
      </c>
      <c r="I60" s="153">
        <v>-3.85E-2</v>
      </c>
      <c r="J60" s="70">
        <v>350000</v>
      </c>
      <c r="K60" s="70">
        <v>364000</v>
      </c>
      <c r="L60" s="70">
        <v>-14000</v>
      </c>
      <c r="M60" s="153">
        <v>-0.04</v>
      </c>
      <c r="N60" s="70">
        <v>-200</v>
      </c>
    </row>
    <row r="61" spans="1:14" x14ac:dyDescent="0.2">
      <c r="A61" s="72" t="s">
        <v>817</v>
      </c>
      <c r="B61" s="72" t="s">
        <v>244</v>
      </c>
      <c r="C61" s="72" t="s">
        <v>25</v>
      </c>
      <c r="D61" s="72" t="s">
        <v>28</v>
      </c>
      <c r="E61" s="72">
        <v>20</v>
      </c>
      <c r="F61" s="70">
        <v>13150</v>
      </c>
      <c r="G61" s="70">
        <v>13501</v>
      </c>
      <c r="H61" s="70">
        <v>-351</v>
      </c>
      <c r="I61" s="153">
        <v>-2.5999999999999999E-2</v>
      </c>
      <c r="J61" s="70">
        <v>263000</v>
      </c>
      <c r="K61" s="70">
        <v>270020</v>
      </c>
      <c r="L61" s="70">
        <v>-7020</v>
      </c>
      <c r="M61" s="153">
        <v>-2.6700000000000002E-2</v>
      </c>
      <c r="N61" s="70">
        <v>-351</v>
      </c>
    </row>
    <row r="62" spans="1:14" x14ac:dyDescent="0.2">
      <c r="A62" s="72" t="s">
        <v>818</v>
      </c>
      <c r="B62" s="72" t="s">
        <v>268</v>
      </c>
      <c r="C62" s="72" t="s">
        <v>25</v>
      </c>
      <c r="D62" s="72" t="s">
        <v>22</v>
      </c>
      <c r="E62" s="72">
        <v>25</v>
      </c>
      <c r="F62" s="70">
        <v>9200</v>
      </c>
      <c r="G62" s="70">
        <v>8657</v>
      </c>
      <c r="H62" s="70">
        <v>543</v>
      </c>
      <c r="I62" s="153">
        <v>6.2700000000000006E-2</v>
      </c>
      <c r="J62" s="70">
        <v>230000</v>
      </c>
      <c r="K62" s="70">
        <v>216425</v>
      </c>
      <c r="L62" s="70">
        <v>13575</v>
      </c>
      <c r="M62" s="153">
        <v>5.8999999999999997E-2</v>
      </c>
      <c r="N62" s="70">
        <v>543</v>
      </c>
    </row>
    <row r="63" spans="1:14" x14ac:dyDescent="0.2">
      <c r="A63" s="72" t="s">
        <v>818</v>
      </c>
      <c r="B63" s="72" t="s">
        <v>268</v>
      </c>
      <c r="C63" s="72" t="s">
        <v>25</v>
      </c>
      <c r="D63" s="72" t="s">
        <v>21</v>
      </c>
      <c r="E63" s="72">
        <v>25</v>
      </c>
      <c r="F63" s="70">
        <v>8200</v>
      </c>
      <c r="G63" s="70">
        <v>8118</v>
      </c>
      <c r="H63" s="70">
        <v>82</v>
      </c>
      <c r="I63" s="153">
        <v>1.01E-2</v>
      </c>
      <c r="J63" s="70">
        <v>205000</v>
      </c>
      <c r="K63" s="70">
        <v>202950</v>
      </c>
      <c r="L63" s="70">
        <v>2050</v>
      </c>
      <c r="M63" s="153">
        <v>0.01</v>
      </c>
      <c r="N63" s="70">
        <v>82</v>
      </c>
    </row>
    <row r="64" spans="1:14" x14ac:dyDescent="0.2">
      <c r="A64" s="72" t="s">
        <v>818</v>
      </c>
      <c r="B64" s="72" t="s">
        <v>268</v>
      </c>
      <c r="C64" s="72" t="s">
        <v>25</v>
      </c>
      <c r="D64" s="72" t="s">
        <v>44</v>
      </c>
      <c r="E64" s="72">
        <v>5</v>
      </c>
      <c r="F64" s="70">
        <v>9200</v>
      </c>
      <c r="G64" s="70">
        <v>8990</v>
      </c>
      <c r="H64" s="70">
        <v>210</v>
      </c>
      <c r="I64" s="153">
        <v>2.3400000000000001E-2</v>
      </c>
      <c r="J64" s="70">
        <v>46000</v>
      </c>
      <c r="K64" s="70">
        <v>44950</v>
      </c>
      <c r="L64" s="70">
        <v>1050</v>
      </c>
      <c r="M64" s="153">
        <v>2.2800000000000001E-2</v>
      </c>
      <c r="N64" s="70">
        <v>210</v>
      </c>
    </row>
    <row r="65" spans="1:14" x14ac:dyDescent="0.2">
      <c r="A65" s="72" t="s">
        <v>819</v>
      </c>
      <c r="B65" s="72" t="s">
        <v>298</v>
      </c>
      <c r="C65" s="72" t="s">
        <v>25</v>
      </c>
      <c r="D65" s="72" t="s">
        <v>24</v>
      </c>
      <c r="E65" s="72">
        <v>200</v>
      </c>
      <c r="F65" s="70">
        <v>5000</v>
      </c>
      <c r="G65" s="70">
        <v>5200</v>
      </c>
      <c r="H65" s="70">
        <v>-200</v>
      </c>
      <c r="I65" s="153">
        <v>-3.85E-2</v>
      </c>
      <c r="J65" s="70">
        <v>1000000</v>
      </c>
      <c r="K65" s="70">
        <v>1040000</v>
      </c>
      <c r="L65" s="70">
        <v>-40000</v>
      </c>
      <c r="M65" s="153">
        <v>-0.04</v>
      </c>
      <c r="N65" s="70">
        <v>-200</v>
      </c>
    </row>
    <row r="66" spans="1:14" x14ac:dyDescent="0.2">
      <c r="A66" s="72" t="s">
        <v>820</v>
      </c>
      <c r="B66" s="72" t="s">
        <v>310</v>
      </c>
      <c r="C66" s="72" t="s">
        <v>25</v>
      </c>
      <c r="D66" s="72" t="s">
        <v>28</v>
      </c>
      <c r="E66" s="72">
        <v>45</v>
      </c>
      <c r="F66" s="70">
        <v>13150</v>
      </c>
      <c r="G66" s="70">
        <v>13501</v>
      </c>
      <c r="H66" s="70">
        <v>-351</v>
      </c>
      <c r="I66" s="153">
        <v>-2.5999999999999999E-2</v>
      </c>
      <c r="J66" s="70">
        <v>591750</v>
      </c>
      <c r="K66" s="70">
        <v>607545</v>
      </c>
      <c r="L66" s="70">
        <v>-15795</v>
      </c>
      <c r="M66" s="153">
        <v>-2.6700000000000002E-2</v>
      </c>
      <c r="N66" s="70">
        <v>-351</v>
      </c>
    </row>
    <row r="67" spans="1:14" x14ac:dyDescent="0.2">
      <c r="A67" s="72" t="s">
        <v>820</v>
      </c>
      <c r="B67" s="72" t="s">
        <v>310</v>
      </c>
      <c r="C67" s="72" t="s">
        <v>25</v>
      </c>
      <c r="D67" s="72" t="s">
        <v>31</v>
      </c>
      <c r="E67" s="72">
        <v>10</v>
      </c>
      <c r="F67" s="70">
        <v>17845</v>
      </c>
      <c r="G67" s="70">
        <v>17100</v>
      </c>
      <c r="H67" s="70">
        <v>745</v>
      </c>
      <c r="I67" s="153">
        <v>4.36E-2</v>
      </c>
      <c r="J67" s="70">
        <v>178450</v>
      </c>
      <c r="K67" s="70">
        <v>171000</v>
      </c>
      <c r="L67" s="70">
        <v>7450</v>
      </c>
      <c r="M67" s="153">
        <v>4.1700000000000001E-2</v>
      </c>
      <c r="N67" s="70">
        <v>745</v>
      </c>
    </row>
    <row r="68" spans="1:14" x14ac:dyDescent="0.2">
      <c r="A68" s="72" t="s">
        <v>820</v>
      </c>
      <c r="B68" s="72" t="s">
        <v>310</v>
      </c>
      <c r="C68" s="72" t="s">
        <v>25</v>
      </c>
      <c r="D68" s="72" t="s">
        <v>32</v>
      </c>
      <c r="E68" s="72">
        <v>10</v>
      </c>
      <c r="F68" s="70">
        <v>16145</v>
      </c>
      <c r="G68" s="70">
        <v>15247</v>
      </c>
      <c r="H68" s="70">
        <v>898</v>
      </c>
      <c r="I68" s="153">
        <v>5.8900000000000001E-2</v>
      </c>
      <c r="J68" s="70">
        <v>161450</v>
      </c>
      <c r="K68" s="70">
        <v>152470</v>
      </c>
      <c r="L68" s="70">
        <v>8980</v>
      </c>
      <c r="M68" s="153">
        <v>5.5599999999999997E-2</v>
      </c>
      <c r="N68" s="70">
        <v>898</v>
      </c>
    </row>
    <row r="69" spans="1:14" x14ac:dyDescent="0.2">
      <c r="A69" s="72" t="s">
        <v>820</v>
      </c>
      <c r="B69" s="72" t="s">
        <v>313</v>
      </c>
      <c r="C69" s="72" t="s">
        <v>25</v>
      </c>
      <c r="D69" s="72" t="s">
        <v>70</v>
      </c>
      <c r="E69" s="72">
        <v>10</v>
      </c>
      <c r="F69" s="70">
        <v>13460</v>
      </c>
      <c r="G69" s="70">
        <v>12855</v>
      </c>
      <c r="H69" s="70">
        <v>605</v>
      </c>
      <c r="I69" s="153">
        <v>4.7100000000000003E-2</v>
      </c>
      <c r="J69" s="70">
        <v>134600</v>
      </c>
      <c r="K69" s="70">
        <v>128550</v>
      </c>
      <c r="L69" s="70">
        <v>6050</v>
      </c>
      <c r="M69" s="153">
        <v>4.4900000000000002E-2</v>
      </c>
      <c r="N69" s="70">
        <v>605</v>
      </c>
    </row>
    <row r="70" spans="1:14" x14ac:dyDescent="0.2">
      <c r="A70" s="72" t="s">
        <v>820</v>
      </c>
      <c r="B70" s="72" t="s">
        <v>313</v>
      </c>
      <c r="C70" s="72" t="s">
        <v>25</v>
      </c>
      <c r="D70" s="72" t="s">
        <v>43</v>
      </c>
      <c r="E70" s="72">
        <v>10</v>
      </c>
      <c r="F70" s="70">
        <v>17700</v>
      </c>
      <c r="G70" s="70">
        <v>17150</v>
      </c>
      <c r="H70" s="70">
        <v>550</v>
      </c>
      <c r="I70" s="153">
        <v>3.2099999999999997E-2</v>
      </c>
      <c r="J70" s="70">
        <v>177000</v>
      </c>
      <c r="K70" s="70">
        <v>171500</v>
      </c>
      <c r="L70" s="70">
        <v>5500</v>
      </c>
      <c r="M70" s="153">
        <v>3.1099999999999999E-2</v>
      </c>
      <c r="N70" s="70">
        <v>550</v>
      </c>
    </row>
    <row r="71" spans="1:14" x14ac:dyDescent="0.2">
      <c r="A71" s="72" t="s">
        <v>821</v>
      </c>
      <c r="B71" s="72" t="s">
        <v>349</v>
      </c>
      <c r="C71" s="72" t="s">
        <v>25</v>
      </c>
      <c r="D71" s="72" t="s">
        <v>21</v>
      </c>
      <c r="E71" s="72">
        <v>30</v>
      </c>
      <c r="F71" s="70">
        <v>8200</v>
      </c>
      <c r="G71" s="70">
        <v>8118</v>
      </c>
      <c r="H71" s="70">
        <v>82</v>
      </c>
      <c r="I71" s="153">
        <v>1.01E-2</v>
      </c>
      <c r="J71" s="70">
        <v>246000</v>
      </c>
      <c r="K71" s="70">
        <v>243540</v>
      </c>
      <c r="L71" s="70">
        <v>2460</v>
      </c>
      <c r="M71" s="153">
        <v>0.01</v>
      </c>
      <c r="N71" s="70">
        <v>82</v>
      </c>
    </row>
    <row r="72" spans="1:14" x14ac:dyDescent="0.2">
      <c r="A72" s="72" t="s">
        <v>821</v>
      </c>
      <c r="B72" s="72" t="s">
        <v>349</v>
      </c>
      <c r="C72" s="72" t="s">
        <v>25</v>
      </c>
      <c r="D72" s="72" t="s">
        <v>22</v>
      </c>
      <c r="E72" s="72">
        <v>15</v>
      </c>
      <c r="F72" s="70">
        <v>9200</v>
      </c>
      <c r="G72" s="70">
        <v>8657</v>
      </c>
      <c r="H72" s="70">
        <v>543</v>
      </c>
      <c r="I72" s="153">
        <v>6.2700000000000006E-2</v>
      </c>
      <c r="J72" s="70">
        <v>138000</v>
      </c>
      <c r="K72" s="70">
        <v>129855</v>
      </c>
      <c r="L72" s="70">
        <v>8145</v>
      </c>
      <c r="M72" s="153">
        <v>5.8999999999999997E-2</v>
      </c>
      <c r="N72" s="70">
        <v>543</v>
      </c>
    </row>
    <row r="73" spans="1:14" x14ac:dyDescent="0.2">
      <c r="A73" s="72" t="s">
        <v>822</v>
      </c>
      <c r="B73" s="72" t="s">
        <v>382</v>
      </c>
      <c r="C73" s="72" t="s">
        <v>25</v>
      </c>
      <c r="D73" s="72" t="s">
        <v>24</v>
      </c>
      <c r="E73" s="72">
        <v>240</v>
      </c>
      <c r="F73" s="70">
        <v>5000</v>
      </c>
      <c r="G73" s="70">
        <v>5200</v>
      </c>
      <c r="H73" s="70">
        <v>-200</v>
      </c>
      <c r="I73" s="153">
        <v>-3.85E-2</v>
      </c>
      <c r="J73" s="70">
        <v>1200000</v>
      </c>
      <c r="K73" s="70">
        <v>1248000</v>
      </c>
      <c r="L73" s="70">
        <v>-48000</v>
      </c>
      <c r="M73" s="153">
        <v>-0.04</v>
      </c>
      <c r="N73" s="70">
        <v>-200</v>
      </c>
    </row>
    <row r="74" spans="1:14" x14ac:dyDescent="0.2">
      <c r="A74" s="72" t="s">
        <v>823</v>
      </c>
      <c r="B74" s="72" t="s">
        <v>398</v>
      </c>
      <c r="C74" s="72" t="s">
        <v>25</v>
      </c>
      <c r="D74" s="72" t="s">
        <v>190</v>
      </c>
      <c r="E74" s="72">
        <v>1</v>
      </c>
      <c r="F74" s="70">
        <v>28445</v>
      </c>
      <c r="G74" s="70">
        <v>25930</v>
      </c>
      <c r="H74" s="70">
        <v>2515</v>
      </c>
      <c r="I74" s="153">
        <v>9.7000000000000003E-2</v>
      </c>
      <c r="J74" s="70">
        <v>28445</v>
      </c>
      <c r="K74" s="70">
        <v>25930</v>
      </c>
      <c r="L74" s="70">
        <v>2515</v>
      </c>
      <c r="M74" s="153">
        <v>8.8400000000000006E-2</v>
      </c>
      <c r="N74" s="70">
        <v>2515</v>
      </c>
    </row>
    <row r="75" spans="1:14" x14ac:dyDescent="0.2">
      <c r="A75" s="72" t="s">
        <v>823</v>
      </c>
      <c r="B75" s="72" t="s">
        <v>398</v>
      </c>
      <c r="C75" s="72" t="s">
        <v>25</v>
      </c>
      <c r="D75" s="72" t="s">
        <v>56</v>
      </c>
      <c r="E75" s="72">
        <v>1</v>
      </c>
      <c r="F75" s="70">
        <v>24235</v>
      </c>
      <c r="G75" s="70">
        <v>22250</v>
      </c>
      <c r="H75" s="70">
        <v>1985</v>
      </c>
      <c r="I75" s="153">
        <v>8.9200000000000002E-2</v>
      </c>
      <c r="J75" s="70">
        <v>24235</v>
      </c>
      <c r="K75" s="70">
        <v>22250</v>
      </c>
      <c r="L75" s="70">
        <v>1985</v>
      </c>
      <c r="M75" s="153">
        <v>8.1900000000000001E-2</v>
      </c>
      <c r="N75" s="70">
        <v>1985</v>
      </c>
    </row>
    <row r="76" spans="1:14" x14ac:dyDescent="0.2">
      <c r="A76" s="72" t="s">
        <v>823</v>
      </c>
      <c r="B76" s="72" t="s">
        <v>400</v>
      </c>
      <c r="C76" s="72" t="s">
        <v>25</v>
      </c>
      <c r="D76" s="72" t="s">
        <v>24</v>
      </c>
      <c r="E76" s="72">
        <v>210</v>
      </c>
      <c r="F76" s="70">
        <v>5000</v>
      </c>
      <c r="G76" s="70">
        <v>5200</v>
      </c>
      <c r="H76" s="70">
        <v>-200</v>
      </c>
      <c r="I76" s="153">
        <v>-3.85E-2</v>
      </c>
      <c r="J76" s="70">
        <v>1050000</v>
      </c>
      <c r="K76" s="70">
        <v>1092000</v>
      </c>
      <c r="L76" s="70">
        <v>-42000</v>
      </c>
      <c r="M76" s="153">
        <v>-0.04</v>
      </c>
      <c r="N76" s="70">
        <v>-200</v>
      </c>
    </row>
    <row r="77" spans="1:14" x14ac:dyDescent="0.2">
      <c r="A77" s="72" t="s">
        <v>824</v>
      </c>
      <c r="B77" s="72" t="s">
        <v>411</v>
      </c>
      <c r="C77" s="72" t="s">
        <v>25</v>
      </c>
      <c r="D77" s="72" t="s">
        <v>24</v>
      </c>
      <c r="E77" s="72">
        <v>248</v>
      </c>
      <c r="F77" s="70">
        <v>5000</v>
      </c>
      <c r="G77" s="70">
        <v>5200</v>
      </c>
      <c r="H77" s="70">
        <v>-200</v>
      </c>
      <c r="I77" s="153">
        <v>-3.85E-2</v>
      </c>
      <c r="J77" s="70">
        <v>1240000</v>
      </c>
      <c r="K77" s="70">
        <v>1289600</v>
      </c>
      <c r="L77" s="70">
        <v>-49600</v>
      </c>
      <c r="M77" s="153">
        <v>-0.04</v>
      </c>
      <c r="N77" s="70">
        <v>-200</v>
      </c>
    </row>
    <row r="78" spans="1:14" x14ac:dyDescent="0.2">
      <c r="A78" s="72" t="s">
        <v>824</v>
      </c>
      <c r="B78" s="72" t="s">
        <v>421</v>
      </c>
      <c r="C78" s="72" t="s">
        <v>25</v>
      </c>
      <c r="D78" s="72" t="s">
        <v>22</v>
      </c>
      <c r="E78" s="72">
        <v>15</v>
      </c>
      <c r="F78" s="70">
        <v>9200</v>
      </c>
      <c r="G78" s="70">
        <v>8657</v>
      </c>
      <c r="H78" s="70">
        <v>543</v>
      </c>
      <c r="I78" s="153">
        <v>6.2700000000000006E-2</v>
      </c>
      <c r="J78" s="70">
        <v>138000</v>
      </c>
      <c r="K78" s="70">
        <v>129855</v>
      </c>
      <c r="L78" s="70">
        <v>8145</v>
      </c>
      <c r="M78" s="153">
        <v>5.8999999999999997E-2</v>
      </c>
      <c r="N78" s="70">
        <v>543</v>
      </c>
    </row>
    <row r="79" spans="1:14" x14ac:dyDescent="0.2">
      <c r="A79" s="72" t="s">
        <v>824</v>
      </c>
      <c r="B79" s="72" t="s">
        <v>421</v>
      </c>
      <c r="C79" s="72" t="s">
        <v>25</v>
      </c>
      <c r="D79" s="72" t="s">
        <v>21</v>
      </c>
      <c r="E79" s="72">
        <v>15</v>
      </c>
      <c r="F79" s="70">
        <v>8200</v>
      </c>
      <c r="G79" s="70">
        <v>8118</v>
      </c>
      <c r="H79" s="70">
        <v>82</v>
      </c>
      <c r="I79" s="153">
        <v>1.01E-2</v>
      </c>
      <c r="J79" s="70">
        <v>123000</v>
      </c>
      <c r="K79" s="70">
        <v>121770</v>
      </c>
      <c r="L79" s="70">
        <v>1230</v>
      </c>
      <c r="M79" s="153">
        <v>0.01</v>
      </c>
      <c r="N79" s="70">
        <v>82</v>
      </c>
    </row>
    <row r="80" spans="1:14" x14ac:dyDescent="0.2">
      <c r="A80" s="72" t="s">
        <v>825</v>
      </c>
      <c r="B80" s="72" t="s">
        <v>430</v>
      </c>
      <c r="C80" s="72" t="s">
        <v>25</v>
      </c>
      <c r="D80" s="72" t="s">
        <v>24</v>
      </c>
      <c r="E80" s="72">
        <v>270</v>
      </c>
      <c r="F80" s="70">
        <v>5000</v>
      </c>
      <c r="G80" s="70">
        <v>5200</v>
      </c>
      <c r="H80" s="70">
        <v>-200</v>
      </c>
      <c r="I80" s="153">
        <v>-3.85E-2</v>
      </c>
      <c r="J80" s="70">
        <v>1350000</v>
      </c>
      <c r="K80" s="70">
        <v>1404000</v>
      </c>
      <c r="L80" s="70">
        <v>-54000</v>
      </c>
      <c r="M80" s="153">
        <v>-0.04</v>
      </c>
      <c r="N80" s="70">
        <v>-200</v>
      </c>
    </row>
    <row r="81" spans="1:14" x14ac:dyDescent="0.2">
      <c r="A81" s="72" t="s">
        <v>826</v>
      </c>
      <c r="B81" s="72" t="s">
        <v>474</v>
      </c>
      <c r="C81" s="72" t="s">
        <v>25</v>
      </c>
      <c r="D81" s="72" t="s">
        <v>24</v>
      </c>
      <c r="E81" s="72">
        <v>210</v>
      </c>
      <c r="F81" s="70">
        <v>5000</v>
      </c>
      <c r="G81" s="70">
        <v>5200</v>
      </c>
      <c r="H81" s="70">
        <v>-200</v>
      </c>
      <c r="I81" s="153">
        <v>-3.85E-2</v>
      </c>
      <c r="J81" s="70">
        <v>1050000</v>
      </c>
      <c r="K81" s="70">
        <v>1092000</v>
      </c>
      <c r="L81" s="70">
        <v>-42000</v>
      </c>
      <c r="M81" s="153">
        <v>-0.04</v>
      </c>
      <c r="N81" s="70">
        <v>-200</v>
      </c>
    </row>
    <row r="82" spans="1:14" x14ac:dyDescent="0.2">
      <c r="A82" s="72" t="s">
        <v>826</v>
      </c>
      <c r="B82" s="72" t="s">
        <v>483</v>
      </c>
      <c r="C82" s="72" t="s">
        <v>25</v>
      </c>
      <c r="D82" s="72" t="s">
        <v>27</v>
      </c>
      <c r="E82" s="72">
        <v>8</v>
      </c>
      <c r="F82" s="70">
        <v>8020</v>
      </c>
      <c r="G82" s="70">
        <v>7685</v>
      </c>
      <c r="H82" s="70">
        <v>335</v>
      </c>
      <c r="I82" s="153">
        <v>4.36E-2</v>
      </c>
      <c r="J82" s="70">
        <v>64160</v>
      </c>
      <c r="K82" s="70">
        <v>61480</v>
      </c>
      <c r="L82" s="70">
        <v>2680</v>
      </c>
      <c r="M82" s="153">
        <v>4.1799999999999997E-2</v>
      </c>
      <c r="N82" s="70">
        <v>335</v>
      </c>
    </row>
    <row r="83" spans="1:14" x14ac:dyDescent="0.2">
      <c r="A83" s="72" t="s">
        <v>827</v>
      </c>
      <c r="B83" s="72" t="s">
        <v>497</v>
      </c>
      <c r="C83" s="72" t="s">
        <v>25</v>
      </c>
      <c r="D83" s="72" t="s">
        <v>24</v>
      </c>
      <c r="E83" s="72">
        <v>248</v>
      </c>
      <c r="F83" s="70">
        <v>5000</v>
      </c>
      <c r="G83" s="70">
        <v>5200</v>
      </c>
      <c r="H83" s="70">
        <v>-200</v>
      </c>
      <c r="I83" s="153">
        <v>-3.85E-2</v>
      </c>
      <c r="J83" s="70">
        <v>1240000</v>
      </c>
      <c r="K83" s="70">
        <v>1289600</v>
      </c>
      <c r="L83" s="70">
        <v>-49600</v>
      </c>
      <c r="M83" s="153">
        <v>-0.04</v>
      </c>
      <c r="N83" s="70">
        <v>-200</v>
      </c>
    </row>
    <row r="84" spans="1:14" x14ac:dyDescent="0.2">
      <c r="A84" s="72" t="s">
        <v>827</v>
      </c>
      <c r="B84" s="72" t="s">
        <v>497</v>
      </c>
      <c r="C84" s="72" t="s">
        <v>25</v>
      </c>
      <c r="D84" s="72" t="s">
        <v>190</v>
      </c>
      <c r="E84" s="72">
        <v>3</v>
      </c>
      <c r="F84" s="70">
        <v>28445</v>
      </c>
      <c r="G84" s="70">
        <v>25930</v>
      </c>
      <c r="H84" s="70">
        <v>2515</v>
      </c>
      <c r="I84" s="153">
        <v>9.7000000000000003E-2</v>
      </c>
      <c r="J84" s="70">
        <v>85335</v>
      </c>
      <c r="K84" s="70">
        <v>77790</v>
      </c>
      <c r="L84" s="70">
        <v>7545</v>
      </c>
      <c r="M84" s="153">
        <v>8.8400000000000006E-2</v>
      </c>
      <c r="N84" s="70">
        <v>2515</v>
      </c>
    </row>
    <row r="85" spans="1:14" x14ac:dyDescent="0.2">
      <c r="A85" s="72" t="s">
        <v>828</v>
      </c>
      <c r="B85" s="72" t="s">
        <v>522</v>
      </c>
      <c r="C85" s="72" t="s">
        <v>25</v>
      </c>
      <c r="D85" s="72" t="s">
        <v>24</v>
      </c>
      <c r="E85" s="72">
        <v>150</v>
      </c>
      <c r="F85" s="70">
        <v>5000</v>
      </c>
      <c r="G85" s="70">
        <v>5200</v>
      </c>
      <c r="H85" s="70">
        <v>-200</v>
      </c>
      <c r="I85" s="153">
        <v>-3.85E-2</v>
      </c>
      <c r="J85" s="70">
        <v>750000</v>
      </c>
      <c r="K85" s="70">
        <v>780000</v>
      </c>
      <c r="L85" s="70">
        <v>-30000</v>
      </c>
      <c r="M85" s="153">
        <v>-0.04</v>
      </c>
      <c r="N85" s="70">
        <v>-200</v>
      </c>
    </row>
    <row r="86" spans="1:14" x14ac:dyDescent="0.2">
      <c r="A86" s="72" t="s">
        <v>829</v>
      </c>
      <c r="B86" s="72" t="s">
        <v>541</v>
      </c>
      <c r="C86" s="72" t="s">
        <v>25</v>
      </c>
      <c r="D86" s="72" t="s">
        <v>24</v>
      </c>
      <c r="E86" s="72">
        <v>150</v>
      </c>
      <c r="F86" s="70">
        <v>5000</v>
      </c>
      <c r="G86" s="70">
        <v>5200</v>
      </c>
      <c r="H86" s="70">
        <v>-200</v>
      </c>
      <c r="I86" s="153">
        <v>-3.85E-2</v>
      </c>
      <c r="J86" s="70">
        <v>750000</v>
      </c>
      <c r="K86" s="70">
        <v>780000</v>
      </c>
      <c r="L86" s="70">
        <v>-30000</v>
      </c>
      <c r="M86" s="153">
        <v>-0.04</v>
      </c>
      <c r="N86" s="70">
        <v>-200</v>
      </c>
    </row>
    <row r="87" spans="1:14" x14ac:dyDescent="0.2">
      <c r="A87" s="72"/>
      <c r="B87" s="72"/>
      <c r="C87" s="72"/>
      <c r="D87" s="158" t="s">
        <v>789</v>
      </c>
      <c r="E87" s="158">
        <f>SUM(E31:E86)</f>
        <v>3977</v>
      </c>
      <c r="F87" s="72"/>
      <c r="G87" s="72"/>
      <c r="H87" s="72"/>
      <c r="I87" s="72"/>
      <c r="J87" s="159">
        <f>SUM(J31:J86)</f>
        <v>23535615</v>
      </c>
      <c r="K87" s="159">
        <f>SUM(K31:K86)</f>
        <v>24010817</v>
      </c>
      <c r="L87" s="159">
        <f>SUM(L31:L86)</f>
        <v>-475202</v>
      </c>
      <c r="M87" s="160">
        <f>IFERROR(L87/J87,0)</f>
        <v>-2.01907619579943E-2</v>
      </c>
      <c r="N87" s="72"/>
    </row>
    <row r="90" spans="1:14" x14ac:dyDescent="0.2">
      <c r="A90" s="158" t="s">
        <v>803</v>
      </c>
      <c r="B90" s="72"/>
      <c r="C90" s="72"/>
      <c r="D90" s="72"/>
      <c r="E90" s="72"/>
      <c r="F90" s="72"/>
      <c r="G90" s="72"/>
      <c r="H90" s="72"/>
    </row>
    <row r="91" spans="1:14" x14ac:dyDescent="0.2">
      <c r="A91" s="136" t="s">
        <v>754</v>
      </c>
      <c r="B91" s="136" t="s">
        <v>780</v>
      </c>
      <c r="C91" s="136" t="s">
        <v>804</v>
      </c>
      <c r="D91" s="136" t="s">
        <v>805</v>
      </c>
      <c r="E91" s="136" t="s">
        <v>806</v>
      </c>
      <c r="F91" s="136" t="s">
        <v>761</v>
      </c>
      <c r="G91" s="136" t="s">
        <v>769</v>
      </c>
      <c r="H91" s="136" t="s">
        <v>788</v>
      </c>
    </row>
    <row r="92" spans="1:14" x14ac:dyDescent="0.2">
      <c r="A92" s="72" t="s">
        <v>24</v>
      </c>
      <c r="B92" s="72">
        <v>3356</v>
      </c>
      <c r="C92" s="70">
        <v>4997</v>
      </c>
      <c r="D92" s="70">
        <v>5200</v>
      </c>
      <c r="E92" s="70">
        <v>-203</v>
      </c>
      <c r="F92" s="70">
        <v>16770000</v>
      </c>
      <c r="G92" s="70">
        <v>-681200</v>
      </c>
      <c r="H92" s="153">
        <v>-4.0599999999999997E-2</v>
      </c>
    </row>
    <row r="93" spans="1:14" x14ac:dyDescent="0.2">
      <c r="A93" s="72" t="s">
        <v>28</v>
      </c>
      <c r="B93" s="72">
        <v>90</v>
      </c>
      <c r="C93" s="70">
        <v>13150</v>
      </c>
      <c r="D93" s="70">
        <v>13501</v>
      </c>
      <c r="E93" s="70">
        <v>-351</v>
      </c>
      <c r="F93" s="70">
        <v>1183500</v>
      </c>
      <c r="G93" s="70">
        <v>-31590</v>
      </c>
      <c r="H93" s="153">
        <v>-2.6700000000000002E-2</v>
      </c>
    </row>
    <row r="94" spans="1:14" x14ac:dyDescent="0.2">
      <c r="A94" s="72" t="s">
        <v>21</v>
      </c>
      <c r="B94" s="72">
        <v>140</v>
      </c>
      <c r="C94" s="70">
        <v>8250</v>
      </c>
      <c r="D94" s="70">
        <v>8118</v>
      </c>
      <c r="E94" s="70">
        <v>132</v>
      </c>
      <c r="F94" s="70">
        <v>1155000</v>
      </c>
      <c r="G94" s="70">
        <v>18480</v>
      </c>
      <c r="H94" s="153">
        <v>1.6E-2</v>
      </c>
    </row>
    <row r="95" spans="1:14" x14ac:dyDescent="0.2">
      <c r="A95" s="72" t="s">
        <v>45</v>
      </c>
      <c r="B95" s="72">
        <v>77</v>
      </c>
      <c r="C95" s="70">
        <v>13335</v>
      </c>
      <c r="D95" s="70">
        <v>12746</v>
      </c>
      <c r="E95" s="70">
        <v>589</v>
      </c>
      <c r="F95" s="70">
        <v>1026795</v>
      </c>
      <c r="G95" s="70">
        <v>45353</v>
      </c>
      <c r="H95" s="153">
        <v>4.4200000000000003E-2</v>
      </c>
    </row>
    <row r="96" spans="1:14" x14ac:dyDescent="0.2">
      <c r="A96" s="72" t="s">
        <v>22</v>
      </c>
      <c r="B96" s="72">
        <v>110</v>
      </c>
      <c r="C96" s="70">
        <v>9200</v>
      </c>
      <c r="D96" s="70">
        <v>8657</v>
      </c>
      <c r="E96" s="70">
        <v>543</v>
      </c>
      <c r="F96" s="70">
        <v>1012000</v>
      </c>
      <c r="G96" s="70">
        <v>59730</v>
      </c>
      <c r="H96" s="153">
        <v>5.8999999999999997E-2</v>
      </c>
    </row>
    <row r="97" spans="1:8" x14ac:dyDescent="0.2">
      <c r="A97" s="72" t="s">
        <v>27</v>
      </c>
      <c r="B97" s="72">
        <v>78</v>
      </c>
      <c r="C97" s="70">
        <v>8020</v>
      </c>
      <c r="D97" s="70">
        <v>7685</v>
      </c>
      <c r="E97" s="70">
        <v>335</v>
      </c>
      <c r="F97" s="70">
        <v>625560</v>
      </c>
      <c r="G97" s="70">
        <v>26130</v>
      </c>
      <c r="H97" s="153">
        <v>4.1799999999999997E-2</v>
      </c>
    </row>
    <row r="98" spans="1:8" x14ac:dyDescent="0.2">
      <c r="A98" s="72" t="s">
        <v>44</v>
      </c>
      <c r="B98" s="72">
        <v>35</v>
      </c>
      <c r="C98" s="70">
        <v>9200</v>
      </c>
      <c r="D98" s="70">
        <v>8990</v>
      </c>
      <c r="E98" s="70">
        <v>210</v>
      </c>
      <c r="F98" s="70">
        <v>322000</v>
      </c>
      <c r="G98" s="70">
        <v>7350</v>
      </c>
      <c r="H98" s="153">
        <v>2.2800000000000001E-2</v>
      </c>
    </row>
    <row r="99" spans="1:8" x14ac:dyDescent="0.2">
      <c r="A99" s="72" t="s">
        <v>31</v>
      </c>
      <c r="B99" s="72">
        <v>15</v>
      </c>
      <c r="C99" s="70">
        <v>17845</v>
      </c>
      <c r="D99" s="70">
        <v>17100</v>
      </c>
      <c r="E99" s="70">
        <v>745</v>
      </c>
      <c r="F99" s="70">
        <v>267675</v>
      </c>
      <c r="G99" s="70">
        <v>11175</v>
      </c>
      <c r="H99" s="153">
        <v>4.1700000000000001E-2</v>
      </c>
    </row>
    <row r="100" spans="1:8" x14ac:dyDescent="0.2">
      <c r="A100" s="72" t="s">
        <v>32</v>
      </c>
      <c r="B100" s="72">
        <v>15</v>
      </c>
      <c r="C100" s="70">
        <v>16145</v>
      </c>
      <c r="D100" s="70">
        <v>15247</v>
      </c>
      <c r="E100" s="70">
        <v>898</v>
      </c>
      <c r="F100" s="70">
        <v>242175</v>
      </c>
      <c r="G100" s="70">
        <v>13470</v>
      </c>
      <c r="H100" s="153">
        <v>5.5599999999999997E-2</v>
      </c>
    </row>
    <row r="101" spans="1:8" x14ac:dyDescent="0.2">
      <c r="A101" s="72" t="s">
        <v>37</v>
      </c>
      <c r="B101" s="72">
        <v>22</v>
      </c>
      <c r="C101" s="70">
        <v>9200</v>
      </c>
      <c r="D101" s="70">
        <v>8525</v>
      </c>
      <c r="E101" s="70">
        <v>675</v>
      </c>
      <c r="F101" s="70">
        <v>202400</v>
      </c>
      <c r="G101" s="70">
        <v>14850</v>
      </c>
      <c r="H101" s="153">
        <v>7.3400000000000007E-2</v>
      </c>
    </row>
    <row r="102" spans="1:8" x14ac:dyDescent="0.2">
      <c r="A102" s="72" t="s">
        <v>43</v>
      </c>
      <c r="B102" s="72">
        <v>10</v>
      </c>
      <c r="C102" s="70">
        <v>17700</v>
      </c>
      <c r="D102" s="70">
        <v>17150</v>
      </c>
      <c r="E102" s="70">
        <v>550</v>
      </c>
      <c r="F102" s="70">
        <v>177000</v>
      </c>
      <c r="G102" s="70">
        <v>5500</v>
      </c>
      <c r="H102" s="153">
        <v>3.1099999999999999E-2</v>
      </c>
    </row>
    <row r="103" spans="1:8" x14ac:dyDescent="0.2">
      <c r="A103" s="72" t="s">
        <v>70</v>
      </c>
      <c r="B103" s="72">
        <v>10</v>
      </c>
      <c r="C103" s="70">
        <v>13460</v>
      </c>
      <c r="D103" s="70">
        <v>12855</v>
      </c>
      <c r="E103" s="70">
        <v>605</v>
      </c>
      <c r="F103" s="70">
        <v>134600</v>
      </c>
      <c r="G103" s="70">
        <v>6050</v>
      </c>
      <c r="H103" s="153">
        <v>4.4900000000000002E-2</v>
      </c>
    </row>
    <row r="104" spans="1:8" x14ac:dyDescent="0.2">
      <c r="A104" s="72" t="s">
        <v>190</v>
      </c>
      <c r="B104" s="72">
        <v>4</v>
      </c>
      <c r="C104" s="70">
        <v>28445</v>
      </c>
      <c r="D104" s="70">
        <v>25930</v>
      </c>
      <c r="E104" s="70">
        <v>2515</v>
      </c>
      <c r="F104" s="70">
        <v>113780</v>
      </c>
      <c r="G104" s="70">
        <v>10060</v>
      </c>
      <c r="H104" s="153">
        <v>8.8400000000000006E-2</v>
      </c>
    </row>
    <row r="105" spans="1:8" x14ac:dyDescent="0.2">
      <c r="A105" s="72" t="s">
        <v>34</v>
      </c>
      <c r="B105" s="72">
        <v>5</v>
      </c>
      <c r="C105" s="70">
        <v>22740</v>
      </c>
      <c r="D105" s="70">
        <v>21595</v>
      </c>
      <c r="E105" s="70">
        <v>1145</v>
      </c>
      <c r="F105" s="70">
        <v>113700</v>
      </c>
      <c r="G105" s="70">
        <v>5725</v>
      </c>
      <c r="H105" s="153">
        <v>5.04E-2</v>
      </c>
    </row>
    <row r="106" spans="1:8" x14ac:dyDescent="0.2">
      <c r="A106" s="72" t="s">
        <v>229</v>
      </c>
      <c r="B106" s="72">
        <v>5</v>
      </c>
      <c r="C106" s="70">
        <v>15490</v>
      </c>
      <c r="D106" s="155">
        <v>14000</v>
      </c>
      <c r="E106" s="156">
        <v>1490</v>
      </c>
      <c r="F106" s="70">
        <v>77450</v>
      </c>
      <c r="G106" s="74">
        <v>7450</v>
      </c>
      <c r="H106" s="153">
        <v>9.6000000000000002E-2</v>
      </c>
    </row>
    <row r="107" spans="1:8" x14ac:dyDescent="0.2">
      <c r="A107" s="72" t="s">
        <v>35</v>
      </c>
      <c r="B107" s="72">
        <v>3</v>
      </c>
      <c r="C107" s="70">
        <v>21170</v>
      </c>
      <c r="D107" s="70">
        <v>20405</v>
      </c>
      <c r="E107" s="70">
        <v>765</v>
      </c>
      <c r="F107" s="70">
        <v>63510</v>
      </c>
      <c r="G107" s="70">
        <v>2295</v>
      </c>
      <c r="H107" s="153">
        <v>3.61E-2</v>
      </c>
    </row>
    <row r="108" spans="1:8" x14ac:dyDescent="0.2">
      <c r="A108" s="72" t="s">
        <v>56</v>
      </c>
      <c r="B108" s="72">
        <v>2</v>
      </c>
      <c r="C108" s="70">
        <v>24235</v>
      </c>
      <c r="D108" s="70">
        <v>22250</v>
      </c>
      <c r="E108" s="70">
        <v>1985</v>
      </c>
      <c r="F108" s="70">
        <v>48470</v>
      </c>
      <c r="G108" s="70">
        <v>3970</v>
      </c>
      <c r="H108" s="153">
        <v>8.1900000000000001E-2</v>
      </c>
    </row>
    <row r="110" spans="1:8" x14ac:dyDescent="0.2">
      <c r="A110" s="138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798"/>
  <sheetViews>
    <sheetView topLeftCell="A52" zoomScale="47" zoomScaleNormal="100" workbookViewId="0">
      <selection activeCell="A793" sqref="A793:B797"/>
    </sheetView>
  </sheetViews>
  <sheetFormatPr defaultColWidth="8.609375" defaultRowHeight="15" x14ac:dyDescent="0.2"/>
  <cols>
    <col min="1" max="1" width="80.0390625" style="38" bestFit="1" customWidth="1"/>
    <col min="2" max="2" width="18.96484375" style="38" customWidth="1"/>
    <col min="3" max="3" width="37.125" style="38" customWidth="1"/>
    <col min="4" max="4" width="11.296875" style="38" customWidth="1"/>
    <col min="5" max="5" width="14.390625" style="38" customWidth="1"/>
    <col min="6" max="6" width="18.96484375" style="38" customWidth="1"/>
    <col min="7" max="7" width="16.41015625" style="38" customWidth="1"/>
    <col min="8" max="8" width="19.234375" style="38" customWidth="1"/>
    <col min="9" max="9" width="13.5859375" style="38" customWidth="1"/>
    <col min="10" max="10" width="10.76171875" style="38" customWidth="1"/>
    <col min="11" max="12" width="14.2578125" style="38" customWidth="1"/>
    <col min="13" max="13" width="11.296875" style="38" customWidth="1"/>
    <col min="14" max="14" width="13.5859375" style="38" customWidth="1"/>
    <col min="15" max="15" width="11.296875" style="38" customWidth="1"/>
    <col min="16" max="16" width="16.27734375" style="38" customWidth="1"/>
  </cols>
  <sheetData>
    <row r="1" spans="1:16" ht="17.25" x14ac:dyDescent="0.2">
      <c r="A1" s="134" t="s">
        <v>840</v>
      </c>
    </row>
    <row r="2" spans="1:16" x14ac:dyDescent="0.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</row>
    <row r="4" spans="1:16" x14ac:dyDescent="0.2">
      <c r="A4" s="136" t="s">
        <v>753</v>
      </c>
      <c r="B4" s="136" t="s">
        <v>754</v>
      </c>
      <c r="C4" s="136" t="s">
        <v>758</v>
      </c>
      <c r="D4" s="136" t="s">
        <v>759</v>
      </c>
      <c r="E4" s="136" t="s">
        <v>832</v>
      </c>
      <c r="F4" s="136" t="s">
        <v>833</v>
      </c>
      <c r="G4" s="136" t="s">
        <v>841</v>
      </c>
      <c r="H4" s="136" t="s">
        <v>782</v>
      </c>
      <c r="I4" s="136" t="s">
        <v>783</v>
      </c>
      <c r="J4" s="136" t="s">
        <v>784</v>
      </c>
      <c r="K4" s="136" t="s">
        <v>761</v>
      </c>
      <c r="L4" s="136" t="s">
        <v>792</v>
      </c>
      <c r="M4" s="136" t="s">
        <v>769</v>
      </c>
      <c r="N4" s="136" t="s">
        <v>788</v>
      </c>
      <c r="O4" s="136" t="s">
        <v>842</v>
      </c>
      <c r="P4" s="136" t="s">
        <v>830</v>
      </c>
    </row>
    <row r="5" spans="1:16" x14ac:dyDescent="0.2">
      <c r="A5" s="72" t="s">
        <v>808</v>
      </c>
      <c r="B5" s="72" t="s">
        <v>21</v>
      </c>
      <c r="C5" s="72" t="s">
        <v>15</v>
      </c>
      <c r="D5" s="72" t="s">
        <v>16</v>
      </c>
      <c r="E5" s="72">
        <v>1</v>
      </c>
      <c r="F5" s="72" t="s">
        <v>834</v>
      </c>
      <c r="G5" s="70">
        <v>9000</v>
      </c>
      <c r="H5" s="70">
        <v>8118</v>
      </c>
      <c r="I5" s="70">
        <v>882</v>
      </c>
      <c r="J5" s="153">
        <v>0.1086</v>
      </c>
      <c r="K5" s="70">
        <v>9000</v>
      </c>
      <c r="L5" s="70">
        <v>8118</v>
      </c>
      <c r="M5" s="70">
        <v>882</v>
      </c>
      <c r="N5" s="153">
        <v>9.8000000000000004E-2</v>
      </c>
      <c r="O5" s="72" t="s">
        <v>843</v>
      </c>
      <c r="P5" s="181" t="s">
        <v>844</v>
      </c>
    </row>
    <row r="6" spans="1:16" x14ac:dyDescent="0.2">
      <c r="A6" s="72" t="s">
        <v>808</v>
      </c>
      <c r="B6" s="72" t="s">
        <v>22</v>
      </c>
      <c r="C6" s="72" t="s">
        <v>15</v>
      </c>
      <c r="D6" s="72" t="s">
        <v>16</v>
      </c>
      <c r="E6" s="72">
        <v>1</v>
      </c>
      <c r="F6" s="72" t="s">
        <v>834</v>
      </c>
      <c r="G6" s="70">
        <v>9500</v>
      </c>
      <c r="H6" s="70">
        <v>8657</v>
      </c>
      <c r="I6" s="70">
        <v>843</v>
      </c>
      <c r="J6" s="153">
        <v>9.74E-2</v>
      </c>
      <c r="K6" s="70">
        <v>9500</v>
      </c>
      <c r="L6" s="70">
        <v>8657</v>
      </c>
      <c r="M6" s="70">
        <v>843</v>
      </c>
      <c r="N6" s="153">
        <v>8.8700000000000001E-2</v>
      </c>
      <c r="O6" s="72" t="s">
        <v>843</v>
      </c>
      <c r="P6" s="181" t="s">
        <v>844</v>
      </c>
    </row>
    <row r="7" spans="1:16" x14ac:dyDescent="0.2">
      <c r="A7" s="72" t="s">
        <v>808</v>
      </c>
      <c r="B7" s="72" t="s">
        <v>24</v>
      </c>
      <c r="C7" s="72" t="s">
        <v>15</v>
      </c>
      <c r="D7" s="72" t="s">
        <v>23</v>
      </c>
      <c r="E7" s="72">
        <v>1</v>
      </c>
      <c r="F7" s="72" t="s">
        <v>834</v>
      </c>
      <c r="G7" s="70">
        <v>5400</v>
      </c>
      <c r="H7" s="70">
        <v>5200</v>
      </c>
      <c r="I7" s="70">
        <v>200</v>
      </c>
      <c r="J7" s="153">
        <v>3.85E-2</v>
      </c>
      <c r="K7" s="70">
        <v>5400</v>
      </c>
      <c r="L7" s="70">
        <v>5200</v>
      </c>
      <c r="M7" s="70">
        <v>200</v>
      </c>
      <c r="N7" s="153">
        <v>3.6999999999999998E-2</v>
      </c>
      <c r="O7" s="72" t="s">
        <v>843</v>
      </c>
      <c r="P7" s="181" t="s">
        <v>844</v>
      </c>
    </row>
    <row r="8" spans="1:16" x14ac:dyDescent="0.2">
      <c r="A8" s="72" t="s">
        <v>808</v>
      </c>
      <c r="B8" s="72" t="s">
        <v>24</v>
      </c>
      <c r="C8" s="72" t="s">
        <v>25</v>
      </c>
      <c r="D8" s="72" t="s">
        <v>26</v>
      </c>
      <c r="E8" s="72">
        <v>200</v>
      </c>
      <c r="F8" s="72" t="s">
        <v>835</v>
      </c>
      <c r="G8" s="70">
        <v>4950</v>
      </c>
      <c r="H8" s="70">
        <v>5200</v>
      </c>
      <c r="I8" s="70">
        <v>-250</v>
      </c>
      <c r="J8" s="153">
        <v>-4.8099999999999997E-2</v>
      </c>
      <c r="K8" s="70">
        <v>990000</v>
      </c>
      <c r="L8" s="70">
        <v>1040000</v>
      </c>
      <c r="M8" s="70">
        <v>-50000</v>
      </c>
      <c r="N8" s="153">
        <v>-5.0500000000000003E-2</v>
      </c>
      <c r="O8" s="72" t="s">
        <v>843</v>
      </c>
      <c r="P8" s="182" t="s">
        <v>845</v>
      </c>
    </row>
    <row r="9" spans="1:16" x14ac:dyDescent="0.2">
      <c r="A9" s="72" t="s">
        <v>808</v>
      </c>
      <c r="B9" s="72" t="s">
        <v>27</v>
      </c>
      <c r="C9" s="72" t="s">
        <v>25</v>
      </c>
      <c r="D9" s="72" t="s">
        <v>26</v>
      </c>
      <c r="E9" s="72">
        <v>35</v>
      </c>
      <c r="F9" s="72" t="s">
        <v>834</v>
      </c>
      <c r="G9" s="70">
        <v>8020</v>
      </c>
      <c r="H9" s="70">
        <v>7685</v>
      </c>
      <c r="I9" s="70">
        <v>335</v>
      </c>
      <c r="J9" s="153">
        <v>4.36E-2</v>
      </c>
      <c r="K9" s="70">
        <v>280700</v>
      </c>
      <c r="L9" s="70">
        <v>268975</v>
      </c>
      <c r="M9" s="70">
        <v>11725</v>
      </c>
      <c r="N9" s="153">
        <v>4.1799999999999997E-2</v>
      </c>
      <c r="O9" s="72" t="s">
        <v>843</v>
      </c>
      <c r="P9" s="181" t="s">
        <v>844</v>
      </c>
    </row>
    <row r="10" spans="1:16" x14ac:dyDescent="0.2">
      <c r="A10" s="72" t="s">
        <v>808</v>
      </c>
      <c r="B10" s="72" t="s">
        <v>28</v>
      </c>
      <c r="C10" s="72" t="s">
        <v>25</v>
      </c>
      <c r="D10" s="72" t="s">
        <v>26</v>
      </c>
      <c r="E10" s="72">
        <v>20</v>
      </c>
      <c r="F10" s="72" t="s">
        <v>834</v>
      </c>
      <c r="G10" s="70">
        <v>13150</v>
      </c>
      <c r="H10" s="70">
        <v>13501</v>
      </c>
      <c r="I10" s="70">
        <v>-351</v>
      </c>
      <c r="J10" s="153">
        <v>-2.5999999999999999E-2</v>
      </c>
      <c r="K10" s="70">
        <v>263000</v>
      </c>
      <c r="L10" s="70">
        <v>270020</v>
      </c>
      <c r="M10" s="70">
        <v>-7020</v>
      </c>
      <c r="N10" s="153">
        <v>-2.6700000000000002E-2</v>
      </c>
      <c r="O10" s="72" t="s">
        <v>843</v>
      </c>
      <c r="P10" s="182" t="s">
        <v>845</v>
      </c>
    </row>
    <row r="11" spans="1:16" x14ac:dyDescent="0.2">
      <c r="A11" s="72" t="s">
        <v>809</v>
      </c>
      <c r="B11" s="72" t="s">
        <v>24</v>
      </c>
      <c r="C11" s="72" t="s">
        <v>29</v>
      </c>
      <c r="D11" s="72" t="s">
        <v>30</v>
      </c>
      <c r="E11" s="72">
        <v>40</v>
      </c>
      <c r="F11" s="72" t="s">
        <v>834</v>
      </c>
      <c r="G11" s="70">
        <v>4900</v>
      </c>
      <c r="H11" s="70">
        <v>5200</v>
      </c>
      <c r="I11" s="70">
        <v>-300</v>
      </c>
      <c r="J11" s="153">
        <v>-5.7700000000000001E-2</v>
      </c>
      <c r="K11" s="70">
        <v>196000</v>
      </c>
      <c r="L11" s="70">
        <v>208000</v>
      </c>
      <c r="M11" s="70">
        <v>-12000</v>
      </c>
      <c r="N11" s="153">
        <v>-6.1199999999999997E-2</v>
      </c>
      <c r="O11" s="72" t="s">
        <v>843</v>
      </c>
      <c r="P11" s="182" t="s">
        <v>845</v>
      </c>
    </row>
    <row r="12" spans="1:16" x14ac:dyDescent="0.2">
      <c r="A12" s="72" t="s">
        <v>809</v>
      </c>
      <c r="B12" s="72" t="s">
        <v>31</v>
      </c>
      <c r="C12" s="72" t="s">
        <v>29</v>
      </c>
      <c r="D12" s="72" t="s">
        <v>30</v>
      </c>
      <c r="E12" s="72">
        <v>15</v>
      </c>
      <c r="F12" s="72" t="s">
        <v>834</v>
      </c>
      <c r="G12" s="70">
        <v>17845</v>
      </c>
      <c r="H12" s="70">
        <v>17100</v>
      </c>
      <c r="I12" s="70">
        <v>745</v>
      </c>
      <c r="J12" s="153">
        <v>4.36E-2</v>
      </c>
      <c r="K12" s="70">
        <v>267675</v>
      </c>
      <c r="L12" s="70">
        <v>256500</v>
      </c>
      <c r="M12" s="70">
        <v>11175</v>
      </c>
      <c r="N12" s="153">
        <v>4.1700000000000001E-2</v>
      </c>
      <c r="O12" s="72" t="s">
        <v>843</v>
      </c>
      <c r="P12" s="181" t="s">
        <v>844</v>
      </c>
    </row>
    <row r="13" spans="1:16" x14ac:dyDescent="0.2">
      <c r="A13" s="72" t="s">
        <v>809</v>
      </c>
      <c r="B13" s="72" t="s">
        <v>32</v>
      </c>
      <c r="C13" s="72" t="s">
        <v>29</v>
      </c>
      <c r="D13" s="72" t="s">
        <v>30</v>
      </c>
      <c r="E13" s="72">
        <v>3</v>
      </c>
      <c r="F13" s="72" t="s">
        <v>834</v>
      </c>
      <c r="G13" s="70">
        <v>16145</v>
      </c>
      <c r="H13" s="70">
        <v>15247</v>
      </c>
      <c r="I13" s="70">
        <v>898</v>
      </c>
      <c r="J13" s="153">
        <v>5.8900000000000001E-2</v>
      </c>
      <c r="K13" s="70">
        <v>48435</v>
      </c>
      <c r="L13" s="70">
        <v>45741</v>
      </c>
      <c r="M13" s="70">
        <v>2694</v>
      </c>
      <c r="N13" s="153">
        <v>5.5599999999999997E-2</v>
      </c>
      <c r="O13" s="72" t="s">
        <v>843</v>
      </c>
      <c r="P13" s="181" t="s">
        <v>844</v>
      </c>
    </row>
    <row r="14" spans="1:16" x14ac:dyDescent="0.2">
      <c r="A14" s="72" t="s">
        <v>809</v>
      </c>
      <c r="B14" s="72" t="s">
        <v>33</v>
      </c>
      <c r="C14" s="72" t="s">
        <v>29</v>
      </c>
      <c r="D14" s="72" t="s">
        <v>30</v>
      </c>
      <c r="E14" s="72">
        <v>2</v>
      </c>
      <c r="F14" s="72" t="s">
        <v>834</v>
      </c>
      <c r="G14" s="70">
        <v>16145</v>
      </c>
      <c r="H14" s="70">
        <v>15555</v>
      </c>
      <c r="I14" s="70">
        <v>590</v>
      </c>
      <c r="J14" s="153">
        <v>3.7900000000000003E-2</v>
      </c>
      <c r="K14" s="70">
        <v>32290</v>
      </c>
      <c r="L14" s="70">
        <v>31110</v>
      </c>
      <c r="M14" s="70">
        <v>1180</v>
      </c>
      <c r="N14" s="153">
        <v>3.6499999999999998E-2</v>
      </c>
      <c r="O14" s="72" t="s">
        <v>843</v>
      </c>
      <c r="P14" s="181" t="s">
        <v>844</v>
      </c>
    </row>
    <row r="15" spans="1:16" x14ac:dyDescent="0.2">
      <c r="A15" s="72" t="s">
        <v>809</v>
      </c>
      <c r="B15" s="72" t="s">
        <v>28</v>
      </c>
      <c r="C15" s="72" t="s">
        <v>29</v>
      </c>
      <c r="D15" s="72" t="s">
        <v>30</v>
      </c>
      <c r="E15" s="72">
        <v>5</v>
      </c>
      <c r="F15" s="72" t="s">
        <v>834</v>
      </c>
      <c r="G15" s="70">
        <v>13200</v>
      </c>
      <c r="H15" s="70">
        <v>13501</v>
      </c>
      <c r="I15" s="70">
        <v>-301</v>
      </c>
      <c r="J15" s="153">
        <v>-2.23E-2</v>
      </c>
      <c r="K15" s="70">
        <v>66000</v>
      </c>
      <c r="L15" s="70">
        <v>67505</v>
      </c>
      <c r="M15" s="70">
        <v>-1505</v>
      </c>
      <c r="N15" s="153">
        <v>-2.2800000000000001E-2</v>
      </c>
      <c r="O15" s="72" t="s">
        <v>843</v>
      </c>
      <c r="P15" s="182" t="s">
        <v>845</v>
      </c>
    </row>
    <row r="16" spans="1:16" x14ac:dyDescent="0.2">
      <c r="A16" s="72" t="s">
        <v>809</v>
      </c>
      <c r="B16" s="72" t="s">
        <v>34</v>
      </c>
      <c r="C16" s="72" t="s">
        <v>29</v>
      </c>
      <c r="D16" s="72" t="s">
        <v>30</v>
      </c>
      <c r="E16" s="72">
        <v>2</v>
      </c>
      <c r="F16" s="72" t="s">
        <v>834</v>
      </c>
      <c r="G16" s="70">
        <v>22740</v>
      </c>
      <c r="H16" s="70">
        <v>21595</v>
      </c>
      <c r="I16" s="70">
        <v>1145</v>
      </c>
      <c r="J16" s="153">
        <v>5.2999999999999999E-2</v>
      </c>
      <c r="K16" s="70">
        <v>45480</v>
      </c>
      <c r="L16" s="70">
        <v>43190</v>
      </c>
      <c r="M16" s="70">
        <v>2290</v>
      </c>
      <c r="N16" s="153">
        <v>5.04E-2</v>
      </c>
      <c r="O16" s="72" t="s">
        <v>843</v>
      </c>
      <c r="P16" s="181" t="s">
        <v>844</v>
      </c>
    </row>
    <row r="17" spans="1:16" x14ac:dyDescent="0.2">
      <c r="A17" s="72" t="s">
        <v>809</v>
      </c>
      <c r="B17" s="72" t="s">
        <v>35</v>
      </c>
      <c r="C17" s="72" t="s">
        <v>29</v>
      </c>
      <c r="D17" s="72" t="s">
        <v>30</v>
      </c>
      <c r="E17" s="72">
        <v>2</v>
      </c>
      <c r="F17" s="72" t="s">
        <v>834</v>
      </c>
      <c r="G17" s="70">
        <v>21170</v>
      </c>
      <c r="H17" s="70">
        <v>20405</v>
      </c>
      <c r="I17" s="70">
        <v>765</v>
      </c>
      <c r="J17" s="153">
        <v>3.7499999999999999E-2</v>
      </c>
      <c r="K17" s="70">
        <v>42340</v>
      </c>
      <c r="L17" s="70">
        <v>40810</v>
      </c>
      <c r="M17" s="70">
        <v>1530</v>
      </c>
      <c r="N17" s="153">
        <v>3.61E-2</v>
      </c>
      <c r="O17" s="72" t="s">
        <v>843</v>
      </c>
      <c r="P17" s="181" t="s">
        <v>844</v>
      </c>
    </row>
    <row r="18" spans="1:16" x14ac:dyDescent="0.2">
      <c r="A18" s="72" t="s">
        <v>809</v>
      </c>
      <c r="B18" s="72" t="s">
        <v>36</v>
      </c>
      <c r="C18" s="72" t="s">
        <v>29</v>
      </c>
      <c r="D18" s="72" t="s">
        <v>30</v>
      </c>
      <c r="E18" s="72">
        <v>6</v>
      </c>
      <c r="F18" s="72" t="s">
        <v>834</v>
      </c>
      <c r="G18" s="70">
        <v>15525</v>
      </c>
      <c r="H18" s="70">
        <v>14900</v>
      </c>
      <c r="I18" s="70">
        <v>625</v>
      </c>
      <c r="J18" s="153">
        <v>4.19E-2</v>
      </c>
      <c r="K18" s="70">
        <v>93150</v>
      </c>
      <c r="L18" s="70">
        <v>89400</v>
      </c>
      <c r="M18" s="70">
        <v>3750</v>
      </c>
      <c r="N18" s="153">
        <v>4.0300000000000002E-2</v>
      </c>
      <c r="O18" s="72" t="s">
        <v>843</v>
      </c>
      <c r="P18" s="181" t="s">
        <v>844</v>
      </c>
    </row>
    <row r="19" spans="1:16" x14ac:dyDescent="0.2">
      <c r="A19" s="72" t="s">
        <v>809</v>
      </c>
      <c r="B19" s="72" t="s">
        <v>37</v>
      </c>
      <c r="C19" s="72" t="s">
        <v>29</v>
      </c>
      <c r="D19" s="72" t="s">
        <v>30</v>
      </c>
      <c r="E19" s="72">
        <v>2</v>
      </c>
      <c r="F19" s="72" t="s">
        <v>834</v>
      </c>
      <c r="G19" s="70">
        <v>8880</v>
      </c>
      <c r="H19" s="70">
        <v>8525</v>
      </c>
      <c r="I19" s="70">
        <v>355</v>
      </c>
      <c r="J19" s="153">
        <v>4.1599999999999998E-2</v>
      </c>
      <c r="K19" s="70">
        <v>17760</v>
      </c>
      <c r="L19" s="70">
        <v>17050</v>
      </c>
      <c r="M19" s="70">
        <v>710</v>
      </c>
      <c r="N19" s="153">
        <v>0.04</v>
      </c>
      <c r="O19" s="72" t="s">
        <v>843</v>
      </c>
      <c r="P19" s="181" t="s">
        <v>844</v>
      </c>
    </row>
    <row r="20" spans="1:16" x14ac:dyDescent="0.2">
      <c r="A20" s="72" t="s">
        <v>809</v>
      </c>
      <c r="B20" s="72" t="s">
        <v>31</v>
      </c>
      <c r="C20" s="72" t="s">
        <v>29</v>
      </c>
      <c r="D20" s="72" t="s">
        <v>39</v>
      </c>
      <c r="E20" s="72">
        <v>15</v>
      </c>
      <c r="F20" s="72" t="s">
        <v>834</v>
      </c>
      <c r="G20" s="70">
        <v>17100</v>
      </c>
      <c r="H20" s="70">
        <v>17100</v>
      </c>
      <c r="I20" s="70">
        <v>0</v>
      </c>
      <c r="J20" s="153">
        <v>0</v>
      </c>
      <c r="K20" s="70">
        <v>256500</v>
      </c>
      <c r="L20" s="70">
        <v>256500</v>
      </c>
      <c r="M20" s="70">
        <v>0</v>
      </c>
      <c r="N20" s="153">
        <v>0</v>
      </c>
      <c r="O20" s="72" t="s">
        <v>843</v>
      </c>
      <c r="P20" s="72" t="s">
        <v>846</v>
      </c>
    </row>
    <row r="21" spans="1:16" x14ac:dyDescent="0.2">
      <c r="A21" s="72" t="s">
        <v>809</v>
      </c>
      <c r="B21" s="72" t="s">
        <v>22</v>
      </c>
      <c r="C21" s="72" t="s">
        <v>40</v>
      </c>
      <c r="D21" s="72" t="s">
        <v>41</v>
      </c>
      <c r="E21" s="72">
        <v>10</v>
      </c>
      <c r="F21" s="72" t="s">
        <v>834</v>
      </c>
      <c r="G21" s="70">
        <v>8600</v>
      </c>
      <c r="H21" s="70">
        <v>8657</v>
      </c>
      <c r="I21" s="70">
        <v>-57</v>
      </c>
      <c r="J21" s="153">
        <v>-6.6E-3</v>
      </c>
      <c r="K21" s="70">
        <v>86000</v>
      </c>
      <c r="L21" s="70">
        <v>86570</v>
      </c>
      <c r="M21" s="70">
        <v>-570</v>
      </c>
      <c r="N21" s="153">
        <v>-6.6E-3</v>
      </c>
      <c r="O21" s="72" t="s">
        <v>843</v>
      </c>
      <c r="P21" s="182" t="s">
        <v>845</v>
      </c>
    </row>
    <row r="22" spans="1:16" x14ac:dyDescent="0.2">
      <c r="A22" s="72" t="s">
        <v>809</v>
      </c>
      <c r="B22" s="72" t="s">
        <v>43</v>
      </c>
      <c r="C22" s="72" t="s">
        <v>29</v>
      </c>
      <c r="D22" s="72" t="s">
        <v>42</v>
      </c>
      <c r="E22" s="72">
        <v>1</v>
      </c>
      <c r="F22" s="72" t="s">
        <v>834</v>
      </c>
      <c r="G22" s="70">
        <v>17700</v>
      </c>
      <c r="H22" s="70">
        <v>17150</v>
      </c>
      <c r="I22" s="70">
        <v>550</v>
      </c>
      <c r="J22" s="153">
        <v>3.2099999999999997E-2</v>
      </c>
      <c r="K22" s="70">
        <v>17700</v>
      </c>
      <c r="L22" s="70">
        <v>17150</v>
      </c>
      <c r="M22" s="70">
        <v>550</v>
      </c>
      <c r="N22" s="153">
        <v>3.1099999999999999E-2</v>
      </c>
      <c r="O22" s="72" t="s">
        <v>843</v>
      </c>
      <c r="P22" s="181" t="s">
        <v>844</v>
      </c>
    </row>
    <row r="23" spans="1:16" x14ac:dyDescent="0.2">
      <c r="A23" s="72" t="s">
        <v>809</v>
      </c>
      <c r="B23" s="72" t="s">
        <v>21</v>
      </c>
      <c r="C23" s="72" t="s">
        <v>29</v>
      </c>
      <c r="D23" s="72" t="s">
        <v>42</v>
      </c>
      <c r="E23" s="72">
        <v>1</v>
      </c>
      <c r="F23" s="72" t="s">
        <v>834</v>
      </c>
      <c r="G23" s="70">
        <v>8500</v>
      </c>
      <c r="H23" s="70">
        <v>8118</v>
      </c>
      <c r="I23" s="70">
        <v>382</v>
      </c>
      <c r="J23" s="153">
        <v>4.7100000000000003E-2</v>
      </c>
      <c r="K23" s="70">
        <v>8500</v>
      </c>
      <c r="L23" s="70">
        <v>8118</v>
      </c>
      <c r="M23" s="70">
        <v>382</v>
      </c>
      <c r="N23" s="153">
        <v>4.4900000000000002E-2</v>
      </c>
      <c r="O23" s="72" t="s">
        <v>843</v>
      </c>
      <c r="P23" s="181" t="s">
        <v>844</v>
      </c>
    </row>
    <row r="24" spans="1:16" x14ac:dyDescent="0.2">
      <c r="A24" s="72" t="s">
        <v>809</v>
      </c>
      <c r="B24" s="72" t="s">
        <v>44</v>
      </c>
      <c r="C24" s="72" t="s">
        <v>29</v>
      </c>
      <c r="D24" s="72" t="s">
        <v>42</v>
      </c>
      <c r="E24" s="72">
        <v>1</v>
      </c>
      <c r="F24" s="72" t="s">
        <v>834</v>
      </c>
      <c r="G24" s="70">
        <v>9200</v>
      </c>
      <c r="H24" s="70">
        <v>8990</v>
      </c>
      <c r="I24" s="70">
        <v>210</v>
      </c>
      <c r="J24" s="153">
        <v>2.3400000000000001E-2</v>
      </c>
      <c r="K24" s="70">
        <v>9200</v>
      </c>
      <c r="L24" s="70">
        <v>8990</v>
      </c>
      <c r="M24" s="70">
        <v>210</v>
      </c>
      <c r="N24" s="153">
        <v>2.2800000000000001E-2</v>
      </c>
      <c r="O24" s="72" t="s">
        <v>843</v>
      </c>
      <c r="P24" s="181" t="s">
        <v>844</v>
      </c>
    </row>
    <row r="25" spans="1:16" x14ac:dyDescent="0.2">
      <c r="A25" s="72" t="s">
        <v>809</v>
      </c>
      <c r="B25" s="72" t="s">
        <v>45</v>
      </c>
      <c r="C25" s="72" t="s">
        <v>29</v>
      </c>
      <c r="D25" s="72" t="s">
        <v>42</v>
      </c>
      <c r="E25" s="72">
        <v>2</v>
      </c>
      <c r="F25" s="72" t="s">
        <v>834</v>
      </c>
      <c r="G25" s="70">
        <v>13335</v>
      </c>
      <c r="H25" s="70">
        <v>12746</v>
      </c>
      <c r="I25" s="70">
        <v>589</v>
      </c>
      <c r="J25" s="153">
        <v>4.6199999999999998E-2</v>
      </c>
      <c r="K25" s="70">
        <v>26670</v>
      </c>
      <c r="L25" s="70">
        <v>25492</v>
      </c>
      <c r="M25" s="70">
        <v>1178</v>
      </c>
      <c r="N25" s="153">
        <v>4.4200000000000003E-2</v>
      </c>
      <c r="O25" s="72" t="s">
        <v>843</v>
      </c>
      <c r="P25" s="181" t="s">
        <v>844</v>
      </c>
    </row>
    <row r="26" spans="1:16" x14ac:dyDescent="0.2">
      <c r="A26" s="72" t="s">
        <v>809</v>
      </c>
      <c r="B26" s="72" t="s">
        <v>33</v>
      </c>
      <c r="C26" s="72" t="s">
        <v>50</v>
      </c>
      <c r="D26" s="72" t="s">
        <v>51</v>
      </c>
      <c r="E26" s="72">
        <v>25</v>
      </c>
      <c r="F26" s="72" t="s">
        <v>834</v>
      </c>
      <c r="G26" s="70">
        <v>15655</v>
      </c>
      <c r="H26" s="70">
        <v>15555</v>
      </c>
      <c r="I26" s="70">
        <v>100</v>
      </c>
      <c r="J26" s="153">
        <v>6.4000000000000003E-3</v>
      </c>
      <c r="K26" s="70">
        <v>391375</v>
      </c>
      <c r="L26" s="70">
        <v>388875</v>
      </c>
      <c r="M26" s="70">
        <v>2500</v>
      </c>
      <c r="N26" s="153">
        <v>6.4000000000000003E-3</v>
      </c>
      <c r="O26" s="72" t="s">
        <v>843</v>
      </c>
      <c r="P26" s="181" t="s">
        <v>844</v>
      </c>
    </row>
    <row r="27" spans="1:16" x14ac:dyDescent="0.2">
      <c r="A27" s="72" t="s">
        <v>809</v>
      </c>
      <c r="B27" s="72" t="s">
        <v>32</v>
      </c>
      <c r="C27" s="72" t="s">
        <v>50</v>
      </c>
      <c r="D27" s="72" t="s">
        <v>51</v>
      </c>
      <c r="E27" s="72">
        <v>30</v>
      </c>
      <c r="F27" s="72" t="s">
        <v>834</v>
      </c>
      <c r="G27" s="70">
        <v>15655</v>
      </c>
      <c r="H27" s="70">
        <v>15247</v>
      </c>
      <c r="I27" s="70">
        <v>408</v>
      </c>
      <c r="J27" s="153">
        <v>2.6800000000000001E-2</v>
      </c>
      <c r="K27" s="70">
        <v>469650</v>
      </c>
      <c r="L27" s="70">
        <v>457410</v>
      </c>
      <c r="M27" s="70">
        <v>12240</v>
      </c>
      <c r="N27" s="153">
        <v>2.6100000000000002E-2</v>
      </c>
      <c r="O27" s="72" t="s">
        <v>843</v>
      </c>
      <c r="P27" s="181" t="s">
        <v>844</v>
      </c>
    </row>
    <row r="28" spans="1:16" x14ac:dyDescent="0.2">
      <c r="A28" s="72" t="s">
        <v>809</v>
      </c>
      <c r="B28" s="72" t="s">
        <v>28</v>
      </c>
      <c r="C28" s="72" t="s">
        <v>50</v>
      </c>
      <c r="D28" s="72" t="s">
        <v>51</v>
      </c>
      <c r="E28" s="72">
        <v>35</v>
      </c>
      <c r="F28" s="72" t="s">
        <v>834</v>
      </c>
      <c r="G28" s="70">
        <v>12900</v>
      </c>
      <c r="H28" s="70">
        <v>13501</v>
      </c>
      <c r="I28" s="70">
        <v>-601</v>
      </c>
      <c r="J28" s="153">
        <v>-4.4499999999999998E-2</v>
      </c>
      <c r="K28" s="70">
        <v>451500</v>
      </c>
      <c r="L28" s="70">
        <v>472535</v>
      </c>
      <c r="M28" s="70">
        <v>-21035</v>
      </c>
      <c r="N28" s="153">
        <v>-4.6600000000000003E-2</v>
      </c>
      <c r="O28" s="72" t="s">
        <v>843</v>
      </c>
      <c r="P28" s="182" t="s">
        <v>845</v>
      </c>
    </row>
    <row r="29" spans="1:16" x14ac:dyDescent="0.2">
      <c r="A29" s="72" t="s">
        <v>809</v>
      </c>
      <c r="B29" s="72" t="s">
        <v>34</v>
      </c>
      <c r="C29" s="72" t="s">
        <v>50</v>
      </c>
      <c r="D29" s="72" t="s">
        <v>51</v>
      </c>
      <c r="E29" s="72">
        <v>5</v>
      </c>
      <c r="F29" s="72" t="s">
        <v>834</v>
      </c>
      <c r="G29" s="70">
        <v>21695</v>
      </c>
      <c r="H29" s="70">
        <v>21595</v>
      </c>
      <c r="I29" s="70">
        <v>100</v>
      </c>
      <c r="J29" s="153">
        <v>4.5999999999999999E-3</v>
      </c>
      <c r="K29" s="70">
        <v>108475</v>
      </c>
      <c r="L29" s="70">
        <v>107975</v>
      </c>
      <c r="M29" s="70">
        <v>500</v>
      </c>
      <c r="N29" s="153">
        <v>4.5999999999999999E-3</v>
      </c>
      <c r="O29" s="72" t="s">
        <v>843</v>
      </c>
      <c r="P29" s="181" t="s">
        <v>844</v>
      </c>
    </row>
    <row r="30" spans="1:16" x14ac:dyDescent="0.2">
      <c r="A30" s="72" t="s">
        <v>809</v>
      </c>
      <c r="B30" s="72" t="s">
        <v>31</v>
      </c>
      <c r="C30" s="72" t="s">
        <v>29</v>
      </c>
      <c r="D30" s="72" t="s">
        <v>52</v>
      </c>
      <c r="E30" s="72">
        <v>2</v>
      </c>
      <c r="F30" s="72" t="s">
        <v>834</v>
      </c>
      <c r="G30" s="70">
        <v>17100</v>
      </c>
      <c r="H30" s="70">
        <v>17100</v>
      </c>
      <c r="I30" s="70">
        <v>0</v>
      </c>
      <c r="J30" s="153">
        <v>0</v>
      </c>
      <c r="K30" s="70">
        <v>34200</v>
      </c>
      <c r="L30" s="70">
        <v>34200</v>
      </c>
      <c r="M30" s="70">
        <v>0</v>
      </c>
      <c r="N30" s="153">
        <v>0</v>
      </c>
      <c r="O30" s="72" t="s">
        <v>843</v>
      </c>
      <c r="P30" s="72" t="s">
        <v>846</v>
      </c>
    </row>
    <row r="31" spans="1:16" x14ac:dyDescent="0.2">
      <c r="A31" s="72" t="s">
        <v>809</v>
      </c>
      <c r="B31" s="72" t="s">
        <v>34</v>
      </c>
      <c r="C31" s="72" t="s">
        <v>29</v>
      </c>
      <c r="D31" s="72" t="s">
        <v>52</v>
      </c>
      <c r="E31" s="72">
        <v>1</v>
      </c>
      <c r="F31" s="72" t="s">
        <v>834</v>
      </c>
      <c r="G31" s="70">
        <v>22740</v>
      </c>
      <c r="H31" s="70">
        <v>21595</v>
      </c>
      <c r="I31" s="70">
        <v>1145</v>
      </c>
      <c r="J31" s="153">
        <v>5.2999999999999999E-2</v>
      </c>
      <c r="K31" s="70">
        <v>22740</v>
      </c>
      <c r="L31" s="70">
        <v>21595</v>
      </c>
      <c r="M31" s="70">
        <v>1145</v>
      </c>
      <c r="N31" s="153">
        <v>5.04E-2</v>
      </c>
      <c r="O31" s="72" t="s">
        <v>843</v>
      </c>
      <c r="P31" s="181" t="s">
        <v>844</v>
      </c>
    </row>
    <row r="32" spans="1:16" x14ac:dyDescent="0.2">
      <c r="A32" s="72" t="s">
        <v>809</v>
      </c>
      <c r="B32" s="72" t="s">
        <v>22</v>
      </c>
      <c r="C32" s="72" t="s">
        <v>40</v>
      </c>
      <c r="D32" s="72" t="s">
        <v>53</v>
      </c>
      <c r="E32" s="72">
        <v>2</v>
      </c>
      <c r="F32" s="72" t="s">
        <v>834</v>
      </c>
      <c r="G32" s="70">
        <v>8600</v>
      </c>
      <c r="H32" s="70">
        <v>8657</v>
      </c>
      <c r="I32" s="70">
        <v>-57</v>
      </c>
      <c r="J32" s="153">
        <v>-6.6E-3</v>
      </c>
      <c r="K32" s="70">
        <v>17200</v>
      </c>
      <c r="L32" s="70">
        <v>17314</v>
      </c>
      <c r="M32" s="70">
        <v>-114</v>
      </c>
      <c r="N32" s="153">
        <v>-6.6E-3</v>
      </c>
      <c r="O32" s="72" t="s">
        <v>843</v>
      </c>
      <c r="P32" s="182" t="s">
        <v>845</v>
      </c>
    </row>
    <row r="33" spans="1:16" x14ac:dyDescent="0.2">
      <c r="A33" s="72" t="s">
        <v>809</v>
      </c>
      <c r="B33" s="72" t="s">
        <v>37</v>
      </c>
      <c r="C33" s="72" t="s">
        <v>29</v>
      </c>
      <c r="D33" s="72" t="s">
        <v>54</v>
      </c>
      <c r="E33" s="72">
        <v>1</v>
      </c>
      <c r="F33" s="72" t="s">
        <v>834</v>
      </c>
      <c r="G33" s="70">
        <v>8880</v>
      </c>
      <c r="H33" s="70">
        <v>8525</v>
      </c>
      <c r="I33" s="70">
        <v>355</v>
      </c>
      <c r="J33" s="153">
        <v>4.1599999999999998E-2</v>
      </c>
      <c r="K33" s="70">
        <v>8880</v>
      </c>
      <c r="L33" s="70">
        <v>8525</v>
      </c>
      <c r="M33" s="70">
        <v>355</v>
      </c>
      <c r="N33" s="153">
        <v>0.04</v>
      </c>
      <c r="O33" s="72" t="s">
        <v>843</v>
      </c>
      <c r="P33" s="181" t="s">
        <v>844</v>
      </c>
    </row>
    <row r="34" spans="1:16" x14ac:dyDescent="0.2">
      <c r="A34" s="72" t="s">
        <v>809</v>
      </c>
      <c r="B34" s="72" t="s">
        <v>24</v>
      </c>
      <c r="C34" s="72" t="s">
        <v>25</v>
      </c>
      <c r="D34" s="72" t="s">
        <v>55</v>
      </c>
      <c r="E34" s="72">
        <v>260</v>
      </c>
      <c r="F34" s="72" t="s">
        <v>835</v>
      </c>
      <c r="G34" s="70">
        <v>5000</v>
      </c>
      <c r="H34" s="70">
        <v>5200</v>
      </c>
      <c r="I34" s="70">
        <v>-200</v>
      </c>
      <c r="J34" s="153">
        <v>-3.85E-2</v>
      </c>
      <c r="K34" s="70">
        <v>1300000</v>
      </c>
      <c r="L34" s="70">
        <v>1352000</v>
      </c>
      <c r="M34" s="70">
        <v>-52000</v>
      </c>
      <c r="N34" s="153">
        <v>-0.04</v>
      </c>
      <c r="O34" s="72" t="s">
        <v>843</v>
      </c>
      <c r="P34" s="182" t="s">
        <v>845</v>
      </c>
    </row>
    <row r="35" spans="1:16" x14ac:dyDescent="0.2">
      <c r="A35" s="72" t="s">
        <v>809</v>
      </c>
      <c r="B35" s="72" t="s">
        <v>56</v>
      </c>
      <c r="C35" s="72" t="s">
        <v>25</v>
      </c>
      <c r="D35" s="72" t="s">
        <v>55</v>
      </c>
      <c r="E35" s="72">
        <v>1</v>
      </c>
      <c r="F35" s="72" t="s">
        <v>834</v>
      </c>
      <c r="G35" s="70">
        <v>24235</v>
      </c>
      <c r="H35" s="70">
        <v>22250</v>
      </c>
      <c r="I35" s="70">
        <v>1985</v>
      </c>
      <c r="J35" s="153">
        <v>8.9200000000000002E-2</v>
      </c>
      <c r="K35" s="70">
        <v>24235</v>
      </c>
      <c r="L35" s="70">
        <v>22250</v>
      </c>
      <c r="M35" s="70">
        <v>1985</v>
      </c>
      <c r="N35" s="153">
        <v>8.1900000000000001E-2</v>
      </c>
      <c r="O35" s="72" t="s">
        <v>843</v>
      </c>
      <c r="P35" s="181" t="s">
        <v>844</v>
      </c>
    </row>
    <row r="36" spans="1:16" x14ac:dyDescent="0.2">
      <c r="A36" s="72" t="s">
        <v>809</v>
      </c>
      <c r="B36" s="72" t="s">
        <v>27</v>
      </c>
      <c r="C36" s="72" t="s">
        <v>25</v>
      </c>
      <c r="D36" s="72" t="s">
        <v>57</v>
      </c>
      <c r="E36" s="72">
        <v>5</v>
      </c>
      <c r="F36" s="72" t="s">
        <v>834</v>
      </c>
      <c r="G36" s="70">
        <v>8020</v>
      </c>
      <c r="H36" s="70">
        <v>7685</v>
      </c>
      <c r="I36" s="70">
        <v>335</v>
      </c>
      <c r="J36" s="153">
        <v>4.36E-2</v>
      </c>
      <c r="K36" s="70">
        <v>40100</v>
      </c>
      <c r="L36" s="70">
        <v>38425</v>
      </c>
      <c r="M36" s="70">
        <v>1675</v>
      </c>
      <c r="N36" s="153">
        <v>4.1799999999999997E-2</v>
      </c>
      <c r="O36" s="72" t="s">
        <v>843</v>
      </c>
      <c r="P36" s="181" t="s">
        <v>844</v>
      </c>
    </row>
    <row r="37" spans="1:16" x14ac:dyDescent="0.2">
      <c r="A37" s="72" t="s">
        <v>809</v>
      </c>
      <c r="B37" s="72" t="s">
        <v>27</v>
      </c>
      <c r="C37" s="72" t="s">
        <v>25</v>
      </c>
      <c r="D37" s="72" t="s">
        <v>58</v>
      </c>
      <c r="E37" s="72">
        <v>10</v>
      </c>
      <c r="F37" s="72" t="s">
        <v>834</v>
      </c>
      <c r="G37" s="70">
        <v>8020</v>
      </c>
      <c r="H37" s="70">
        <v>7685</v>
      </c>
      <c r="I37" s="70">
        <v>335</v>
      </c>
      <c r="J37" s="153">
        <v>4.36E-2</v>
      </c>
      <c r="K37" s="70">
        <v>80200</v>
      </c>
      <c r="L37" s="70">
        <v>76850</v>
      </c>
      <c r="M37" s="70">
        <v>3350</v>
      </c>
      <c r="N37" s="153">
        <v>4.1799999999999997E-2</v>
      </c>
      <c r="O37" s="72" t="s">
        <v>843</v>
      </c>
      <c r="P37" s="181" t="s">
        <v>844</v>
      </c>
    </row>
    <row r="38" spans="1:16" x14ac:dyDescent="0.2">
      <c r="A38" s="72" t="s">
        <v>809</v>
      </c>
      <c r="B38" s="72" t="s">
        <v>61</v>
      </c>
      <c r="C38" s="72" t="s">
        <v>59</v>
      </c>
      <c r="D38" s="72" t="s">
        <v>60</v>
      </c>
      <c r="E38" s="72">
        <v>2</v>
      </c>
      <c r="F38" s="72" t="s">
        <v>834</v>
      </c>
      <c r="G38" s="70">
        <v>12885</v>
      </c>
      <c r="H38" s="70">
        <v>12120</v>
      </c>
      <c r="I38" s="70">
        <v>765</v>
      </c>
      <c r="J38" s="153">
        <v>6.3100000000000003E-2</v>
      </c>
      <c r="K38" s="70">
        <v>25770</v>
      </c>
      <c r="L38" s="70">
        <v>24240</v>
      </c>
      <c r="M38" s="70">
        <v>1530</v>
      </c>
      <c r="N38" s="153">
        <v>5.9400000000000001E-2</v>
      </c>
      <c r="O38" s="72" t="s">
        <v>843</v>
      </c>
      <c r="P38" s="181" t="s">
        <v>844</v>
      </c>
    </row>
    <row r="39" spans="1:16" x14ac:dyDescent="0.2">
      <c r="A39" s="72" t="s">
        <v>809</v>
      </c>
      <c r="B39" s="72" t="s">
        <v>62</v>
      </c>
      <c r="C39" s="72" t="s">
        <v>59</v>
      </c>
      <c r="D39" s="72" t="s">
        <v>60</v>
      </c>
      <c r="E39" s="72">
        <v>2</v>
      </c>
      <c r="F39" s="72" t="s">
        <v>834</v>
      </c>
      <c r="G39" s="70">
        <v>20655</v>
      </c>
      <c r="H39" s="70">
        <v>19305</v>
      </c>
      <c r="I39" s="70">
        <v>1350</v>
      </c>
      <c r="J39" s="153">
        <v>6.9900000000000004E-2</v>
      </c>
      <c r="K39" s="70">
        <v>41310</v>
      </c>
      <c r="L39" s="70">
        <v>38610</v>
      </c>
      <c r="M39" s="70">
        <v>2700</v>
      </c>
      <c r="N39" s="153">
        <v>6.54E-2</v>
      </c>
      <c r="O39" s="72" t="s">
        <v>843</v>
      </c>
      <c r="P39" s="181" t="s">
        <v>844</v>
      </c>
    </row>
    <row r="40" spans="1:16" x14ac:dyDescent="0.2">
      <c r="A40" s="72" t="s">
        <v>810</v>
      </c>
      <c r="B40" s="72" t="s">
        <v>22</v>
      </c>
      <c r="C40" s="72" t="s">
        <v>63</v>
      </c>
      <c r="D40" s="72" t="s">
        <v>64</v>
      </c>
      <c r="E40" s="72">
        <v>140</v>
      </c>
      <c r="F40" s="72" t="s">
        <v>835</v>
      </c>
      <c r="G40" s="70">
        <v>8990</v>
      </c>
      <c r="H40" s="70">
        <v>8657</v>
      </c>
      <c r="I40" s="70">
        <v>333</v>
      </c>
      <c r="J40" s="153">
        <v>3.85E-2</v>
      </c>
      <c r="K40" s="70">
        <v>1258600</v>
      </c>
      <c r="L40" s="70">
        <v>1211980</v>
      </c>
      <c r="M40" s="70">
        <v>46620</v>
      </c>
      <c r="N40" s="153">
        <v>3.6999999999999998E-2</v>
      </c>
      <c r="O40" s="72" t="s">
        <v>843</v>
      </c>
      <c r="P40" s="181" t="s">
        <v>844</v>
      </c>
    </row>
    <row r="41" spans="1:16" x14ac:dyDescent="0.2">
      <c r="A41" s="72" t="s">
        <v>810</v>
      </c>
      <c r="B41" s="72" t="s">
        <v>45</v>
      </c>
      <c r="C41" s="72" t="s">
        <v>63</v>
      </c>
      <c r="D41" s="72" t="s">
        <v>64</v>
      </c>
      <c r="E41" s="72">
        <v>140</v>
      </c>
      <c r="F41" s="72" t="s">
        <v>835</v>
      </c>
      <c r="G41" s="70">
        <v>12830</v>
      </c>
      <c r="H41" s="70">
        <v>12746</v>
      </c>
      <c r="I41" s="70">
        <v>84</v>
      </c>
      <c r="J41" s="153">
        <v>6.6E-3</v>
      </c>
      <c r="K41" s="70">
        <v>1796200</v>
      </c>
      <c r="L41" s="70">
        <v>1784440</v>
      </c>
      <c r="M41" s="70">
        <v>11760</v>
      </c>
      <c r="N41" s="153">
        <v>6.4999999999999997E-3</v>
      </c>
      <c r="O41" s="72" t="s">
        <v>843</v>
      </c>
      <c r="P41" s="181" t="s">
        <v>844</v>
      </c>
    </row>
    <row r="42" spans="1:16" x14ac:dyDescent="0.2">
      <c r="A42" s="72" t="s">
        <v>810</v>
      </c>
      <c r="B42" s="72" t="s">
        <v>65</v>
      </c>
      <c r="C42" s="72" t="s">
        <v>63</v>
      </c>
      <c r="D42" s="72" t="s">
        <v>64</v>
      </c>
      <c r="E42" s="72">
        <v>84</v>
      </c>
      <c r="F42" s="72" t="s">
        <v>835</v>
      </c>
      <c r="G42" s="70">
        <v>11315</v>
      </c>
      <c r="H42" s="70">
        <v>11315</v>
      </c>
      <c r="I42" s="70">
        <v>0</v>
      </c>
      <c r="J42" s="153">
        <v>0</v>
      </c>
      <c r="K42" s="70">
        <v>950460</v>
      </c>
      <c r="L42" s="70">
        <v>950460</v>
      </c>
      <c r="M42" s="70">
        <v>0</v>
      </c>
      <c r="N42" s="153">
        <v>0</v>
      </c>
      <c r="O42" s="72" t="s">
        <v>843</v>
      </c>
      <c r="P42" s="72" t="s">
        <v>846</v>
      </c>
    </row>
    <row r="43" spans="1:16" x14ac:dyDescent="0.2">
      <c r="A43" s="72" t="s">
        <v>810</v>
      </c>
      <c r="B43" s="72" t="s">
        <v>45</v>
      </c>
      <c r="C43" s="72" t="s">
        <v>66</v>
      </c>
      <c r="D43" s="72" t="s">
        <v>67</v>
      </c>
      <c r="E43" s="72">
        <v>280</v>
      </c>
      <c r="F43" s="72" t="s">
        <v>835</v>
      </c>
      <c r="G43" s="70">
        <v>12930</v>
      </c>
      <c r="H43" s="70">
        <v>12746</v>
      </c>
      <c r="I43" s="70">
        <v>184</v>
      </c>
      <c r="J43" s="153">
        <v>1.44E-2</v>
      </c>
      <c r="K43" s="70">
        <v>3620400</v>
      </c>
      <c r="L43" s="70">
        <v>3568880</v>
      </c>
      <c r="M43" s="70">
        <v>51520</v>
      </c>
      <c r="N43" s="153">
        <v>1.4200000000000001E-2</v>
      </c>
      <c r="O43" s="72" t="s">
        <v>843</v>
      </c>
      <c r="P43" s="181" t="s">
        <v>844</v>
      </c>
    </row>
    <row r="44" spans="1:16" x14ac:dyDescent="0.2">
      <c r="A44" s="72" t="s">
        <v>810</v>
      </c>
      <c r="B44" s="72" t="s">
        <v>22</v>
      </c>
      <c r="C44" s="72" t="s">
        <v>66</v>
      </c>
      <c r="D44" s="72" t="s">
        <v>67</v>
      </c>
      <c r="E44" s="72">
        <v>210</v>
      </c>
      <c r="F44" s="72" t="s">
        <v>835</v>
      </c>
      <c r="G44" s="70">
        <v>8990</v>
      </c>
      <c r="H44" s="70">
        <v>8657</v>
      </c>
      <c r="I44" s="70">
        <v>333</v>
      </c>
      <c r="J44" s="153">
        <v>3.85E-2</v>
      </c>
      <c r="K44" s="70">
        <v>1887900</v>
      </c>
      <c r="L44" s="70">
        <v>1817970</v>
      </c>
      <c r="M44" s="70">
        <v>69930</v>
      </c>
      <c r="N44" s="153">
        <v>3.6999999999999998E-2</v>
      </c>
      <c r="O44" s="72" t="s">
        <v>843</v>
      </c>
      <c r="P44" s="181" t="s">
        <v>844</v>
      </c>
    </row>
    <row r="45" spans="1:16" x14ac:dyDescent="0.2">
      <c r="A45" s="72" t="s">
        <v>810</v>
      </c>
      <c r="B45" s="72" t="s">
        <v>44</v>
      </c>
      <c r="C45" s="72" t="s">
        <v>66</v>
      </c>
      <c r="D45" s="72" t="s">
        <v>67</v>
      </c>
      <c r="E45" s="72">
        <v>140</v>
      </c>
      <c r="F45" s="72" t="s">
        <v>835</v>
      </c>
      <c r="G45" s="70">
        <v>8990</v>
      </c>
      <c r="H45" s="70">
        <v>8990</v>
      </c>
      <c r="I45" s="70">
        <v>0</v>
      </c>
      <c r="J45" s="153">
        <v>0</v>
      </c>
      <c r="K45" s="70">
        <v>1258600</v>
      </c>
      <c r="L45" s="70">
        <v>1258600</v>
      </c>
      <c r="M45" s="70">
        <v>0</v>
      </c>
      <c r="N45" s="153">
        <v>0</v>
      </c>
      <c r="O45" s="72" t="s">
        <v>843</v>
      </c>
      <c r="P45" s="72" t="s">
        <v>846</v>
      </c>
    </row>
    <row r="46" spans="1:16" x14ac:dyDescent="0.2">
      <c r="A46" s="72" t="s">
        <v>810</v>
      </c>
      <c r="B46" s="72" t="s">
        <v>65</v>
      </c>
      <c r="C46" s="72" t="s">
        <v>66</v>
      </c>
      <c r="D46" s="72" t="s">
        <v>67</v>
      </c>
      <c r="E46" s="72">
        <v>84</v>
      </c>
      <c r="F46" s="72" t="s">
        <v>835</v>
      </c>
      <c r="G46" s="70">
        <v>11415</v>
      </c>
      <c r="H46" s="70">
        <v>11315</v>
      </c>
      <c r="I46" s="70">
        <v>100</v>
      </c>
      <c r="J46" s="153">
        <v>8.8000000000000005E-3</v>
      </c>
      <c r="K46" s="70">
        <v>958860</v>
      </c>
      <c r="L46" s="70">
        <v>950460</v>
      </c>
      <c r="M46" s="70">
        <v>8400</v>
      </c>
      <c r="N46" s="153">
        <v>8.8000000000000005E-3</v>
      </c>
      <c r="O46" s="72" t="s">
        <v>843</v>
      </c>
      <c r="P46" s="181" t="s">
        <v>844</v>
      </c>
    </row>
    <row r="47" spans="1:16" x14ac:dyDescent="0.2">
      <c r="A47" s="72" t="s">
        <v>810</v>
      </c>
      <c r="B47" s="72" t="s">
        <v>44</v>
      </c>
      <c r="C47" s="72" t="s">
        <v>29</v>
      </c>
      <c r="D47" s="72" t="s">
        <v>68</v>
      </c>
      <c r="E47" s="72">
        <v>15</v>
      </c>
      <c r="F47" s="72" t="s">
        <v>834</v>
      </c>
      <c r="G47" s="70">
        <v>9200</v>
      </c>
      <c r="H47" s="70">
        <v>8990</v>
      </c>
      <c r="I47" s="70">
        <v>210</v>
      </c>
      <c r="J47" s="153">
        <v>2.3400000000000001E-2</v>
      </c>
      <c r="K47" s="70">
        <v>138000</v>
      </c>
      <c r="L47" s="70">
        <v>134850</v>
      </c>
      <c r="M47" s="70">
        <v>3150</v>
      </c>
      <c r="N47" s="153">
        <v>2.2800000000000001E-2</v>
      </c>
      <c r="O47" s="72" t="s">
        <v>843</v>
      </c>
      <c r="P47" s="181" t="s">
        <v>844</v>
      </c>
    </row>
    <row r="48" spans="1:16" x14ac:dyDescent="0.2">
      <c r="A48" s="72" t="s">
        <v>810</v>
      </c>
      <c r="B48" s="72" t="s">
        <v>45</v>
      </c>
      <c r="C48" s="72" t="s">
        <v>29</v>
      </c>
      <c r="D48" s="72" t="s">
        <v>68</v>
      </c>
      <c r="E48" s="72">
        <v>10</v>
      </c>
      <c r="F48" s="72" t="s">
        <v>834</v>
      </c>
      <c r="G48" s="70">
        <v>13335</v>
      </c>
      <c r="H48" s="70">
        <v>12746</v>
      </c>
      <c r="I48" s="70">
        <v>589</v>
      </c>
      <c r="J48" s="153">
        <v>4.6199999999999998E-2</v>
      </c>
      <c r="K48" s="70">
        <v>133350</v>
      </c>
      <c r="L48" s="70">
        <v>127460</v>
      </c>
      <c r="M48" s="70">
        <v>5890</v>
      </c>
      <c r="N48" s="153">
        <v>4.4200000000000003E-2</v>
      </c>
      <c r="O48" s="72" t="s">
        <v>843</v>
      </c>
      <c r="P48" s="181" t="s">
        <v>844</v>
      </c>
    </row>
    <row r="49" spans="1:16" x14ac:dyDescent="0.2">
      <c r="A49" s="72" t="s">
        <v>810</v>
      </c>
      <c r="B49" s="72" t="s">
        <v>69</v>
      </c>
      <c r="C49" s="72" t="s">
        <v>29</v>
      </c>
      <c r="D49" s="72" t="s">
        <v>68</v>
      </c>
      <c r="E49" s="72">
        <v>1</v>
      </c>
      <c r="F49" s="72" t="s">
        <v>834</v>
      </c>
      <c r="G49" s="70">
        <v>14450</v>
      </c>
      <c r="H49" s="70">
        <v>13780</v>
      </c>
      <c r="I49" s="70">
        <v>670</v>
      </c>
      <c r="J49" s="153">
        <v>4.8599999999999997E-2</v>
      </c>
      <c r="K49" s="70">
        <v>14450</v>
      </c>
      <c r="L49" s="70">
        <v>13780</v>
      </c>
      <c r="M49" s="70">
        <v>670</v>
      </c>
      <c r="N49" s="153">
        <v>4.6399999999999997E-2</v>
      </c>
      <c r="O49" s="72" t="s">
        <v>843</v>
      </c>
      <c r="P49" s="181" t="s">
        <v>844</v>
      </c>
    </row>
    <row r="50" spans="1:16" x14ac:dyDescent="0.2">
      <c r="A50" s="72" t="s">
        <v>810</v>
      </c>
      <c r="B50" s="72" t="s">
        <v>70</v>
      </c>
      <c r="C50" s="72" t="s">
        <v>29</v>
      </c>
      <c r="D50" s="72" t="s">
        <v>68</v>
      </c>
      <c r="E50" s="72">
        <v>1</v>
      </c>
      <c r="F50" s="72" t="s">
        <v>834</v>
      </c>
      <c r="G50" s="70">
        <v>13460</v>
      </c>
      <c r="H50" s="70">
        <v>12855</v>
      </c>
      <c r="I50" s="70">
        <v>605</v>
      </c>
      <c r="J50" s="153">
        <v>4.7100000000000003E-2</v>
      </c>
      <c r="K50" s="70">
        <v>13460</v>
      </c>
      <c r="L50" s="70">
        <v>12855</v>
      </c>
      <c r="M50" s="70">
        <v>605</v>
      </c>
      <c r="N50" s="153">
        <v>4.4900000000000002E-2</v>
      </c>
      <c r="O50" s="72" t="s">
        <v>843</v>
      </c>
      <c r="P50" s="181" t="s">
        <v>844</v>
      </c>
    </row>
    <row r="51" spans="1:16" x14ac:dyDescent="0.2">
      <c r="A51" s="72" t="s">
        <v>810</v>
      </c>
      <c r="B51" s="72" t="s">
        <v>37</v>
      </c>
      <c r="C51" s="72" t="s">
        <v>29</v>
      </c>
      <c r="D51" s="72" t="s">
        <v>68</v>
      </c>
      <c r="E51" s="72">
        <v>5</v>
      </c>
      <c r="F51" s="72" t="s">
        <v>834</v>
      </c>
      <c r="G51" s="70">
        <v>8880</v>
      </c>
      <c r="H51" s="70">
        <v>8525</v>
      </c>
      <c r="I51" s="70">
        <v>355</v>
      </c>
      <c r="J51" s="153">
        <v>4.1599999999999998E-2</v>
      </c>
      <c r="K51" s="70">
        <v>44400</v>
      </c>
      <c r="L51" s="70">
        <v>42625</v>
      </c>
      <c r="M51" s="70">
        <v>1775</v>
      </c>
      <c r="N51" s="153">
        <v>0.04</v>
      </c>
      <c r="O51" s="72" t="s">
        <v>843</v>
      </c>
      <c r="P51" s="181" t="s">
        <v>844</v>
      </c>
    </row>
    <row r="52" spans="1:16" x14ac:dyDescent="0.2">
      <c r="A52" s="72" t="s">
        <v>810</v>
      </c>
      <c r="B52" s="72" t="s">
        <v>36</v>
      </c>
      <c r="C52" s="72" t="s">
        <v>29</v>
      </c>
      <c r="D52" s="72" t="s">
        <v>68</v>
      </c>
      <c r="E52" s="72">
        <v>1</v>
      </c>
      <c r="F52" s="72" t="s">
        <v>834</v>
      </c>
      <c r="G52" s="70">
        <v>15525</v>
      </c>
      <c r="H52" s="70">
        <v>14900</v>
      </c>
      <c r="I52" s="70">
        <v>625</v>
      </c>
      <c r="J52" s="153">
        <v>4.19E-2</v>
      </c>
      <c r="K52" s="70">
        <v>15525</v>
      </c>
      <c r="L52" s="70">
        <v>14900</v>
      </c>
      <c r="M52" s="70">
        <v>625</v>
      </c>
      <c r="N52" s="153">
        <v>4.0300000000000002E-2</v>
      </c>
      <c r="O52" s="72" t="s">
        <v>843</v>
      </c>
      <c r="P52" s="181" t="s">
        <v>844</v>
      </c>
    </row>
    <row r="53" spans="1:16" x14ac:dyDescent="0.2">
      <c r="A53" s="72" t="s">
        <v>810</v>
      </c>
      <c r="B53" s="72" t="s">
        <v>71</v>
      </c>
      <c r="C53" s="72" t="s">
        <v>29</v>
      </c>
      <c r="D53" s="72" t="s">
        <v>68</v>
      </c>
      <c r="E53" s="72">
        <v>1</v>
      </c>
      <c r="F53" s="72" t="s">
        <v>834</v>
      </c>
      <c r="G53" s="70">
        <v>15945</v>
      </c>
      <c r="H53" s="70">
        <v>15375</v>
      </c>
      <c r="I53" s="70">
        <v>570</v>
      </c>
      <c r="J53" s="153">
        <v>3.7100000000000001E-2</v>
      </c>
      <c r="K53" s="70">
        <v>15945</v>
      </c>
      <c r="L53" s="70">
        <v>15375</v>
      </c>
      <c r="M53" s="70">
        <v>570</v>
      </c>
      <c r="N53" s="153">
        <v>3.5700000000000003E-2</v>
      </c>
      <c r="O53" s="72" t="s">
        <v>843</v>
      </c>
      <c r="P53" s="181" t="s">
        <v>844</v>
      </c>
    </row>
    <row r="54" spans="1:16" x14ac:dyDescent="0.2">
      <c r="A54" s="72" t="s">
        <v>810</v>
      </c>
      <c r="B54" s="72" t="s">
        <v>65</v>
      </c>
      <c r="C54" s="72" t="s">
        <v>29</v>
      </c>
      <c r="D54" s="72" t="s">
        <v>68</v>
      </c>
      <c r="E54" s="72">
        <v>5</v>
      </c>
      <c r="F54" s="72" t="s">
        <v>834</v>
      </c>
      <c r="G54" s="70">
        <v>11910</v>
      </c>
      <c r="H54" s="70">
        <v>11315</v>
      </c>
      <c r="I54" s="70">
        <v>595</v>
      </c>
      <c r="J54" s="153">
        <v>5.2600000000000001E-2</v>
      </c>
      <c r="K54" s="70">
        <v>59550</v>
      </c>
      <c r="L54" s="70">
        <v>56575</v>
      </c>
      <c r="M54" s="70">
        <v>2975</v>
      </c>
      <c r="N54" s="153">
        <v>0.05</v>
      </c>
      <c r="O54" s="72" t="s">
        <v>843</v>
      </c>
      <c r="P54" s="181" t="s">
        <v>844</v>
      </c>
    </row>
    <row r="55" spans="1:16" x14ac:dyDescent="0.2">
      <c r="A55" s="72" t="s">
        <v>810</v>
      </c>
      <c r="B55" s="72" t="s">
        <v>22</v>
      </c>
      <c r="C55" s="72" t="s">
        <v>40</v>
      </c>
      <c r="D55" s="72" t="s">
        <v>72</v>
      </c>
      <c r="E55" s="72">
        <v>30</v>
      </c>
      <c r="F55" s="72" t="s">
        <v>834</v>
      </c>
      <c r="G55" s="70">
        <v>8600</v>
      </c>
      <c r="H55" s="70">
        <v>8657</v>
      </c>
      <c r="I55" s="70">
        <v>-57</v>
      </c>
      <c r="J55" s="153">
        <v>-6.6E-3</v>
      </c>
      <c r="K55" s="70">
        <v>258000</v>
      </c>
      <c r="L55" s="70">
        <v>259710</v>
      </c>
      <c r="M55" s="70">
        <v>-1710</v>
      </c>
      <c r="N55" s="153">
        <v>-6.6E-3</v>
      </c>
      <c r="O55" s="72" t="s">
        <v>843</v>
      </c>
      <c r="P55" s="182" t="s">
        <v>845</v>
      </c>
    </row>
    <row r="56" spans="1:16" x14ac:dyDescent="0.2">
      <c r="A56" s="72" t="s">
        <v>810</v>
      </c>
      <c r="B56" s="72" t="s">
        <v>62</v>
      </c>
      <c r="C56" s="72" t="s">
        <v>29</v>
      </c>
      <c r="D56" s="72" t="s">
        <v>73</v>
      </c>
      <c r="E56" s="72">
        <v>1</v>
      </c>
      <c r="F56" s="72" t="s">
        <v>834</v>
      </c>
      <c r="G56" s="70">
        <v>20655</v>
      </c>
      <c r="H56" s="70">
        <v>19305</v>
      </c>
      <c r="I56" s="70">
        <v>1350</v>
      </c>
      <c r="J56" s="153">
        <v>6.9900000000000004E-2</v>
      </c>
      <c r="K56" s="70">
        <v>20655</v>
      </c>
      <c r="L56" s="70">
        <v>19305</v>
      </c>
      <c r="M56" s="70">
        <v>1350</v>
      </c>
      <c r="N56" s="153">
        <v>6.54E-2</v>
      </c>
      <c r="O56" s="72" t="s">
        <v>843</v>
      </c>
      <c r="P56" s="181" t="s">
        <v>844</v>
      </c>
    </row>
    <row r="57" spans="1:16" x14ac:dyDescent="0.2">
      <c r="A57" s="72" t="s">
        <v>810</v>
      </c>
      <c r="B57" s="72" t="s">
        <v>24</v>
      </c>
      <c r="C57" s="72" t="s">
        <v>25</v>
      </c>
      <c r="D57" s="72" t="s">
        <v>74</v>
      </c>
      <c r="E57" s="72">
        <v>200</v>
      </c>
      <c r="F57" s="72" t="s">
        <v>835</v>
      </c>
      <c r="G57" s="70">
        <v>5000</v>
      </c>
      <c r="H57" s="70">
        <v>5200</v>
      </c>
      <c r="I57" s="70">
        <v>-200</v>
      </c>
      <c r="J57" s="153">
        <v>-3.85E-2</v>
      </c>
      <c r="K57" s="70">
        <v>1000000</v>
      </c>
      <c r="L57" s="70">
        <v>1040000</v>
      </c>
      <c r="M57" s="70">
        <v>-40000</v>
      </c>
      <c r="N57" s="153">
        <v>-0.04</v>
      </c>
      <c r="O57" s="72" t="s">
        <v>843</v>
      </c>
      <c r="P57" s="182" t="s">
        <v>845</v>
      </c>
    </row>
    <row r="58" spans="1:16" x14ac:dyDescent="0.2">
      <c r="A58" s="72" t="s">
        <v>810</v>
      </c>
      <c r="B58" s="72" t="s">
        <v>77</v>
      </c>
      <c r="C58" s="72" t="s">
        <v>75</v>
      </c>
      <c r="D58" s="72" t="s">
        <v>76</v>
      </c>
      <c r="E58" s="72">
        <v>24</v>
      </c>
      <c r="F58" s="72" t="s">
        <v>834</v>
      </c>
      <c r="G58" s="70">
        <v>17840</v>
      </c>
      <c r="H58" s="70">
        <v>17265</v>
      </c>
      <c r="I58" s="70">
        <v>575</v>
      </c>
      <c r="J58" s="153">
        <v>3.3300000000000003E-2</v>
      </c>
      <c r="K58" s="70">
        <v>428160</v>
      </c>
      <c r="L58" s="70">
        <v>414360</v>
      </c>
      <c r="M58" s="70">
        <v>13800</v>
      </c>
      <c r="N58" s="153">
        <v>3.2199999999999999E-2</v>
      </c>
      <c r="O58" s="72" t="s">
        <v>843</v>
      </c>
      <c r="P58" s="181" t="s">
        <v>844</v>
      </c>
    </row>
    <row r="59" spans="1:16" x14ac:dyDescent="0.2">
      <c r="A59" s="72" t="s">
        <v>810</v>
      </c>
      <c r="B59" s="72" t="s">
        <v>80</v>
      </c>
      <c r="C59" s="72" t="s">
        <v>78</v>
      </c>
      <c r="D59" s="72" t="s">
        <v>79</v>
      </c>
      <c r="E59" s="72">
        <v>20</v>
      </c>
      <c r="F59" s="72" t="s">
        <v>834</v>
      </c>
      <c r="G59" s="70">
        <v>9345</v>
      </c>
      <c r="H59" s="70">
        <v>8970</v>
      </c>
      <c r="I59" s="70">
        <v>375</v>
      </c>
      <c r="J59" s="153">
        <v>4.1799999999999997E-2</v>
      </c>
      <c r="K59" s="70">
        <v>186900</v>
      </c>
      <c r="L59" s="70">
        <v>179400</v>
      </c>
      <c r="M59" s="70">
        <v>7500</v>
      </c>
      <c r="N59" s="153">
        <v>4.0099999999999997E-2</v>
      </c>
      <c r="O59" s="72" t="s">
        <v>843</v>
      </c>
      <c r="P59" s="181" t="s">
        <v>844</v>
      </c>
    </row>
    <row r="60" spans="1:16" x14ac:dyDescent="0.2">
      <c r="A60" s="72" t="s">
        <v>810</v>
      </c>
      <c r="B60" s="72" t="s">
        <v>24</v>
      </c>
      <c r="C60" s="72" t="s">
        <v>81</v>
      </c>
      <c r="D60" s="72" t="s">
        <v>82</v>
      </c>
      <c r="E60" s="72">
        <v>2</v>
      </c>
      <c r="F60" s="72" t="s">
        <v>834</v>
      </c>
      <c r="G60" s="70">
        <v>5400</v>
      </c>
      <c r="H60" s="70">
        <v>5200</v>
      </c>
      <c r="I60" s="70">
        <v>200</v>
      </c>
      <c r="J60" s="153">
        <v>3.85E-2</v>
      </c>
      <c r="K60" s="70">
        <v>10800</v>
      </c>
      <c r="L60" s="70">
        <v>10400</v>
      </c>
      <c r="M60" s="70">
        <v>400</v>
      </c>
      <c r="N60" s="153">
        <v>3.6999999999999998E-2</v>
      </c>
      <c r="O60" s="72" t="s">
        <v>843</v>
      </c>
      <c r="P60" s="181" t="s">
        <v>844</v>
      </c>
    </row>
    <row r="61" spans="1:16" x14ac:dyDescent="0.2">
      <c r="A61" s="72" t="s">
        <v>810</v>
      </c>
      <c r="B61" s="72" t="s">
        <v>43</v>
      </c>
      <c r="C61" s="72" t="s">
        <v>81</v>
      </c>
      <c r="D61" s="72" t="s">
        <v>82</v>
      </c>
      <c r="E61" s="72">
        <v>2</v>
      </c>
      <c r="F61" s="72" t="s">
        <v>834</v>
      </c>
      <c r="G61" s="70">
        <v>18300</v>
      </c>
      <c r="H61" s="70">
        <v>17150</v>
      </c>
      <c r="I61" s="70">
        <v>1150</v>
      </c>
      <c r="J61" s="153">
        <v>6.7100000000000007E-2</v>
      </c>
      <c r="K61" s="70">
        <v>36600</v>
      </c>
      <c r="L61" s="70">
        <v>34300</v>
      </c>
      <c r="M61" s="70">
        <v>2300</v>
      </c>
      <c r="N61" s="153">
        <v>6.2799999999999995E-2</v>
      </c>
      <c r="O61" s="72" t="s">
        <v>843</v>
      </c>
      <c r="P61" s="181" t="s">
        <v>844</v>
      </c>
    </row>
    <row r="62" spans="1:16" x14ac:dyDescent="0.2">
      <c r="A62" s="72" t="s">
        <v>810</v>
      </c>
      <c r="B62" s="72" t="s">
        <v>44</v>
      </c>
      <c r="C62" s="72" t="s">
        <v>81</v>
      </c>
      <c r="D62" s="72" t="s">
        <v>82</v>
      </c>
      <c r="E62" s="72">
        <v>1</v>
      </c>
      <c r="F62" s="72" t="s">
        <v>834</v>
      </c>
      <c r="G62" s="70">
        <v>9200</v>
      </c>
      <c r="H62" s="70">
        <v>8990</v>
      </c>
      <c r="I62" s="70">
        <v>210</v>
      </c>
      <c r="J62" s="153">
        <v>2.3400000000000001E-2</v>
      </c>
      <c r="K62" s="70">
        <v>9200</v>
      </c>
      <c r="L62" s="70">
        <v>8990</v>
      </c>
      <c r="M62" s="70">
        <v>210</v>
      </c>
      <c r="N62" s="153">
        <v>2.2800000000000001E-2</v>
      </c>
      <c r="O62" s="72" t="s">
        <v>843</v>
      </c>
      <c r="P62" s="181" t="s">
        <v>844</v>
      </c>
    </row>
    <row r="63" spans="1:16" x14ac:dyDescent="0.2">
      <c r="A63" s="72" t="s">
        <v>810</v>
      </c>
      <c r="B63" s="72" t="s">
        <v>37</v>
      </c>
      <c r="C63" s="72" t="s">
        <v>81</v>
      </c>
      <c r="D63" s="72" t="s">
        <v>82</v>
      </c>
      <c r="E63" s="72">
        <v>1</v>
      </c>
      <c r="F63" s="72" t="s">
        <v>834</v>
      </c>
      <c r="G63" s="70">
        <v>9200</v>
      </c>
      <c r="H63" s="70">
        <v>8525</v>
      </c>
      <c r="I63" s="70">
        <v>675</v>
      </c>
      <c r="J63" s="153">
        <v>7.9200000000000007E-2</v>
      </c>
      <c r="K63" s="70">
        <v>9200</v>
      </c>
      <c r="L63" s="70">
        <v>8525</v>
      </c>
      <c r="M63" s="70">
        <v>675</v>
      </c>
      <c r="N63" s="153">
        <v>7.3400000000000007E-2</v>
      </c>
      <c r="O63" s="72" t="s">
        <v>843</v>
      </c>
      <c r="P63" s="181" t="s">
        <v>844</v>
      </c>
    </row>
    <row r="64" spans="1:16" x14ac:dyDescent="0.2">
      <c r="A64" s="72" t="s">
        <v>810</v>
      </c>
      <c r="B64" s="72" t="s">
        <v>22</v>
      </c>
      <c r="C64" s="72" t="s">
        <v>81</v>
      </c>
      <c r="D64" s="72" t="s">
        <v>82</v>
      </c>
      <c r="E64" s="72">
        <v>1</v>
      </c>
      <c r="F64" s="72" t="s">
        <v>834</v>
      </c>
      <c r="G64" s="70">
        <v>9200</v>
      </c>
      <c r="H64" s="70">
        <v>8657</v>
      </c>
      <c r="I64" s="70">
        <v>543</v>
      </c>
      <c r="J64" s="153">
        <v>6.2700000000000006E-2</v>
      </c>
      <c r="K64" s="70">
        <v>9200</v>
      </c>
      <c r="L64" s="70">
        <v>8657</v>
      </c>
      <c r="M64" s="70">
        <v>543</v>
      </c>
      <c r="N64" s="153">
        <v>5.8999999999999997E-2</v>
      </c>
      <c r="O64" s="72" t="s">
        <v>843</v>
      </c>
      <c r="P64" s="181" t="s">
        <v>844</v>
      </c>
    </row>
    <row r="65" spans="1:16" x14ac:dyDescent="0.2">
      <c r="A65" s="72" t="s">
        <v>810</v>
      </c>
      <c r="B65" s="72" t="s">
        <v>31</v>
      </c>
      <c r="C65" s="72" t="s">
        <v>50</v>
      </c>
      <c r="D65" s="72" t="s">
        <v>83</v>
      </c>
      <c r="E65" s="72">
        <v>40</v>
      </c>
      <c r="F65" s="72" t="s">
        <v>834</v>
      </c>
      <c r="G65" s="70">
        <v>17750</v>
      </c>
      <c r="H65" s="70">
        <v>17100</v>
      </c>
      <c r="I65" s="70">
        <v>650</v>
      </c>
      <c r="J65" s="153">
        <v>3.7999999999999999E-2</v>
      </c>
      <c r="K65" s="70">
        <v>710000</v>
      </c>
      <c r="L65" s="70">
        <v>684000</v>
      </c>
      <c r="M65" s="70">
        <v>26000</v>
      </c>
      <c r="N65" s="153">
        <v>3.6600000000000001E-2</v>
      </c>
      <c r="O65" s="72" t="s">
        <v>843</v>
      </c>
      <c r="P65" s="181" t="s">
        <v>844</v>
      </c>
    </row>
    <row r="66" spans="1:16" x14ac:dyDescent="0.2">
      <c r="A66" s="72" t="s">
        <v>810</v>
      </c>
      <c r="B66" s="72" t="s">
        <v>87</v>
      </c>
      <c r="C66" s="72" t="s">
        <v>85</v>
      </c>
      <c r="D66" s="72" t="s">
        <v>86</v>
      </c>
      <c r="E66" s="72">
        <v>2</v>
      </c>
      <c r="F66" s="72" t="s">
        <v>834</v>
      </c>
      <c r="G66" s="70">
        <v>22565</v>
      </c>
      <c r="H66" s="70">
        <v>20440</v>
      </c>
      <c r="I66" s="70">
        <v>2125</v>
      </c>
      <c r="J66" s="153">
        <v>0.104</v>
      </c>
      <c r="K66" s="70">
        <v>45130</v>
      </c>
      <c r="L66" s="70">
        <v>40880</v>
      </c>
      <c r="M66" s="70">
        <v>4250</v>
      </c>
      <c r="N66" s="153">
        <v>9.4200000000000006E-2</v>
      </c>
      <c r="O66" s="72" t="s">
        <v>843</v>
      </c>
      <c r="P66" s="181" t="s">
        <v>844</v>
      </c>
    </row>
    <row r="67" spans="1:16" x14ac:dyDescent="0.2">
      <c r="A67" s="72" t="s">
        <v>810</v>
      </c>
      <c r="B67" s="72" t="s">
        <v>45</v>
      </c>
      <c r="C67" s="72" t="s">
        <v>85</v>
      </c>
      <c r="D67" s="72" t="s">
        <v>86</v>
      </c>
      <c r="E67" s="72">
        <v>2</v>
      </c>
      <c r="F67" s="72" t="s">
        <v>834</v>
      </c>
      <c r="G67" s="70">
        <v>13950</v>
      </c>
      <c r="H67" s="70">
        <v>12746</v>
      </c>
      <c r="I67" s="70">
        <v>1204</v>
      </c>
      <c r="J67" s="153">
        <v>9.4500000000000001E-2</v>
      </c>
      <c r="K67" s="70">
        <v>27900</v>
      </c>
      <c r="L67" s="70">
        <v>25492</v>
      </c>
      <c r="M67" s="70">
        <v>2408</v>
      </c>
      <c r="N67" s="153">
        <v>8.6300000000000002E-2</v>
      </c>
      <c r="O67" s="72" t="s">
        <v>843</v>
      </c>
      <c r="P67" s="181" t="s">
        <v>844</v>
      </c>
    </row>
    <row r="68" spans="1:16" x14ac:dyDescent="0.2">
      <c r="A68" s="72" t="s">
        <v>810</v>
      </c>
      <c r="B68" s="72" t="s">
        <v>22</v>
      </c>
      <c r="C68" s="72" t="s">
        <v>85</v>
      </c>
      <c r="D68" s="72" t="s">
        <v>86</v>
      </c>
      <c r="E68" s="72">
        <v>1</v>
      </c>
      <c r="F68" s="72" t="s">
        <v>834</v>
      </c>
      <c r="G68" s="70">
        <v>9300</v>
      </c>
      <c r="H68" s="70">
        <v>8657</v>
      </c>
      <c r="I68" s="70">
        <v>643</v>
      </c>
      <c r="J68" s="153">
        <v>7.4300000000000005E-2</v>
      </c>
      <c r="K68" s="70">
        <v>9300</v>
      </c>
      <c r="L68" s="70">
        <v>8657</v>
      </c>
      <c r="M68" s="70">
        <v>643</v>
      </c>
      <c r="N68" s="153">
        <v>6.9099999999999995E-2</v>
      </c>
      <c r="O68" s="72" t="s">
        <v>843</v>
      </c>
      <c r="P68" s="181" t="s">
        <v>844</v>
      </c>
    </row>
    <row r="69" spans="1:16" x14ac:dyDescent="0.2">
      <c r="A69" s="72" t="s">
        <v>810</v>
      </c>
      <c r="B69" s="72" t="s">
        <v>31</v>
      </c>
      <c r="C69" s="72" t="s">
        <v>50</v>
      </c>
      <c r="D69" s="72" t="s">
        <v>88</v>
      </c>
      <c r="E69" s="72">
        <v>30</v>
      </c>
      <c r="F69" s="72" t="s">
        <v>834</v>
      </c>
      <c r="G69" s="70">
        <v>17200</v>
      </c>
      <c r="H69" s="70">
        <v>17100</v>
      </c>
      <c r="I69" s="70">
        <v>100</v>
      </c>
      <c r="J69" s="153">
        <v>5.7999999999999996E-3</v>
      </c>
      <c r="K69" s="70">
        <v>516000</v>
      </c>
      <c r="L69" s="70">
        <v>513000</v>
      </c>
      <c r="M69" s="70">
        <v>3000</v>
      </c>
      <c r="N69" s="153">
        <v>5.7999999999999996E-3</v>
      </c>
      <c r="O69" s="72" t="s">
        <v>843</v>
      </c>
      <c r="P69" s="181" t="s">
        <v>844</v>
      </c>
    </row>
    <row r="70" spans="1:16" x14ac:dyDescent="0.2">
      <c r="A70" s="72" t="s">
        <v>811</v>
      </c>
      <c r="B70" s="72" t="s">
        <v>21</v>
      </c>
      <c r="C70" s="72" t="s">
        <v>15</v>
      </c>
      <c r="D70" s="72" t="s">
        <v>89</v>
      </c>
      <c r="E70" s="72">
        <v>3</v>
      </c>
      <c r="F70" s="72" t="s">
        <v>834</v>
      </c>
      <c r="G70" s="70">
        <v>9000</v>
      </c>
      <c r="H70" s="70">
        <v>8118</v>
      </c>
      <c r="I70" s="70">
        <v>882</v>
      </c>
      <c r="J70" s="153">
        <v>0.1086</v>
      </c>
      <c r="K70" s="70">
        <v>27000</v>
      </c>
      <c r="L70" s="70">
        <v>24354</v>
      </c>
      <c r="M70" s="70">
        <v>2646</v>
      </c>
      <c r="N70" s="153">
        <v>9.8000000000000004E-2</v>
      </c>
      <c r="O70" s="72" t="s">
        <v>843</v>
      </c>
      <c r="P70" s="181" t="s">
        <v>844</v>
      </c>
    </row>
    <row r="71" spans="1:16" x14ac:dyDescent="0.2">
      <c r="A71" s="72" t="s">
        <v>811</v>
      </c>
      <c r="B71" s="72" t="s">
        <v>24</v>
      </c>
      <c r="C71" s="72" t="s">
        <v>15</v>
      </c>
      <c r="D71" s="72" t="s">
        <v>90</v>
      </c>
      <c r="E71" s="72">
        <v>30</v>
      </c>
      <c r="F71" s="72" t="s">
        <v>834</v>
      </c>
      <c r="G71" s="70">
        <v>5000</v>
      </c>
      <c r="H71" s="70">
        <v>5200</v>
      </c>
      <c r="I71" s="70">
        <v>-200</v>
      </c>
      <c r="J71" s="153">
        <v>-3.85E-2</v>
      </c>
      <c r="K71" s="70">
        <v>150000</v>
      </c>
      <c r="L71" s="70">
        <v>156000</v>
      </c>
      <c r="M71" s="70">
        <v>-6000</v>
      </c>
      <c r="N71" s="153">
        <v>-0.04</v>
      </c>
      <c r="O71" s="72" t="s">
        <v>843</v>
      </c>
      <c r="P71" s="182" t="s">
        <v>845</v>
      </c>
    </row>
    <row r="72" spans="1:16" x14ac:dyDescent="0.2">
      <c r="A72" s="72" t="s">
        <v>811</v>
      </c>
      <c r="B72" s="72" t="s">
        <v>24</v>
      </c>
      <c r="C72" s="72" t="s">
        <v>50</v>
      </c>
      <c r="D72" s="72" t="s">
        <v>91</v>
      </c>
      <c r="E72" s="72">
        <v>248</v>
      </c>
      <c r="F72" s="72" t="s">
        <v>835</v>
      </c>
      <c r="G72" s="70">
        <v>5000</v>
      </c>
      <c r="H72" s="70">
        <v>5200</v>
      </c>
      <c r="I72" s="70">
        <v>-200</v>
      </c>
      <c r="J72" s="153">
        <v>-3.85E-2</v>
      </c>
      <c r="K72" s="70">
        <v>1240000</v>
      </c>
      <c r="L72" s="70">
        <v>1289600</v>
      </c>
      <c r="M72" s="70">
        <v>-49600</v>
      </c>
      <c r="N72" s="153">
        <v>-0.04</v>
      </c>
      <c r="O72" s="72" t="s">
        <v>843</v>
      </c>
      <c r="P72" s="182" t="s">
        <v>845</v>
      </c>
    </row>
    <row r="73" spans="1:16" x14ac:dyDescent="0.2">
      <c r="A73" s="72" t="s">
        <v>811</v>
      </c>
      <c r="B73" s="72" t="s">
        <v>31</v>
      </c>
      <c r="C73" s="72" t="s">
        <v>50</v>
      </c>
      <c r="D73" s="72" t="s">
        <v>91</v>
      </c>
      <c r="E73" s="72">
        <v>5</v>
      </c>
      <c r="F73" s="72" t="s">
        <v>834</v>
      </c>
      <c r="G73" s="70">
        <v>17200</v>
      </c>
      <c r="H73" s="70">
        <v>17100</v>
      </c>
      <c r="I73" s="70">
        <v>100</v>
      </c>
      <c r="J73" s="153">
        <v>5.7999999999999996E-3</v>
      </c>
      <c r="K73" s="70">
        <v>86000</v>
      </c>
      <c r="L73" s="70">
        <v>85500</v>
      </c>
      <c r="M73" s="70">
        <v>500</v>
      </c>
      <c r="N73" s="153">
        <v>5.7999999999999996E-3</v>
      </c>
      <c r="O73" s="72" t="s">
        <v>843</v>
      </c>
      <c r="P73" s="181" t="s">
        <v>844</v>
      </c>
    </row>
    <row r="74" spans="1:16" x14ac:dyDescent="0.2">
      <c r="A74" s="72" t="s">
        <v>811</v>
      </c>
      <c r="B74" s="72" t="s">
        <v>93</v>
      </c>
      <c r="C74" s="72" t="s">
        <v>50</v>
      </c>
      <c r="D74" s="72" t="s">
        <v>92</v>
      </c>
      <c r="E74" s="72">
        <v>5</v>
      </c>
      <c r="F74" s="72" t="s">
        <v>834</v>
      </c>
      <c r="G74" s="70">
        <v>11230</v>
      </c>
      <c r="H74" s="70">
        <v>11130</v>
      </c>
      <c r="I74" s="70">
        <v>100</v>
      </c>
      <c r="J74" s="153">
        <v>8.9999999999999993E-3</v>
      </c>
      <c r="K74" s="70">
        <v>56150</v>
      </c>
      <c r="L74" s="70">
        <v>55650</v>
      </c>
      <c r="M74" s="70">
        <v>500</v>
      </c>
      <c r="N74" s="153">
        <v>8.8999999999999999E-3</v>
      </c>
      <c r="O74" s="72" t="s">
        <v>843</v>
      </c>
      <c r="P74" s="181" t="s">
        <v>844</v>
      </c>
    </row>
    <row r="75" spans="1:16" x14ac:dyDescent="0.2">
      <c r="A75" s="72" t="s">
        <v>811</v>
      </c>
      <c r="B75" s="72" t="s">
        <v>31</v>
      </c>
      <c r="C75" s="72" t="s">
        <v>50</v>
      </c>
      <c r="D75" s="72" t="s">
        <v>92</v>
      </c>
      <c r="E75" s="72">
        <v>5</v>
      </c>
      <c r="F75" s="72" t="s">
        <v>834</v>
      </c>
      <c r="G75" s="70">
        <v>17200</v>
      </c>
      <c r="H75" s="70">
        <v>17100</v>
      </c>
      <c r="I75" s="70">
        <v>100</v>
      </c>
      <c r="J75" s="153">
        <v>5.7999999999999996E-3</v>
      </c>
      <c r="K75" s="70">
        <v>86000</v>
      </c>
      <c r="L75" s="70">
        <v>85500</v>
      </c>
      <c r="M75" s="70">
        <v>500</v>
      </c>
      <c r="N75" s="153">
        <v>5.7999999999999996E-3</v>
      </c>
      <c r="O75" s="72" t="s">
        <v>843</v>
      </c>
      <c r="P75" s="181" t="s">
        <v>844</v>
      </c>
    </row>
    <row r="76" spans="1:16" x14ac:dyDescent="0.2">
      <c r="A76" s="72" t="s">
        <v>811</v>
      </c>
      <c r="B76" s="72" t="s">
        <v>33</v>
      </c>
      <c r="C76" s="72" t="s">
        <v>50</v>
      </c>
      <c r="D76" s="72" t="s">
        <v>92</v>
      </c>
      <c r="E76" s="72">
        <v>20</v>
      </c>
      <c r="F76" s="72" t="s">
        <v>834</v>
      </c>
      <c r="G76" s="70">
        <v>15655</v>
      </c>
      <c r="H76" s="70">
        <v>15555</v>
      </c>
      <c r="I76" s="70">
        <v>100</v>
      </c>
      <c r="J76" s="153">
        <v>6.4000000000000003E-3</v>
      </c>
      <c r="K76" s="70">
        <v>313100</v>
      </c>
      <c r="L76" s="70">
        <v>311100</v>
      </c>
      <c r="M76" s="70">
        <v>2000</v>
      </c>
      <c r="N76" s="153">
        <v>6.4000000000000003E-3</v>
      </c>
      <c r="O76" s="72" t="s">
        <v>843</v>
      </c>
      <c r="P76" s="181" t="s">
        <v>844</v>
      </c>
    </row>
    <row r="77" spans="1:16" x14ac:dyDescent="0.2">
      <c r="A77" s="72" t="s">
        <v>811</v>
      </c>
      <c r="B77" s="72" t="s">
        <v>28</v>
      </c>
      <c r="C77" s="72" t="s">
        <v>50</v>
      </c>
      <c r="D77" s="72" t="s">
        <v>92</v>
      </c>
      <c r="E77" s="72">
        <v>30</v>
      </c>
      <c r="F77" s="72" t="s">
        <v>834</v>
      </c>
      <c r="G77" s="70">
        <v>12900</v>
      </c>
      <c r="H77" s="70">
        <v>13501</v>
      </c>
      <c r="I77" s="70">
        <v>-601</v>
      </c>
      <c r="J77" s="153">
        <v>-4.4499999999999998E-2</v>
      </c>
      <c r="K77" s="70">
        <v>387000</v>
      </c>
      <c r="L77" s="70">
        <v>405030</v>
      </c>
      <c r="M77" s="70">
        <v>-18030</v>
      </c>
      <c r="N77" s="153">
        <v>-4.6600000000000003E-2</v>
      </c>
      <c r="O77" s="72" t="s">
        <v>843</v>
      </c>
      <c r="P77" s="182" t="s">
        <v>845</v>
      </c>
    </row>
    <row r="78" spans="1:16" x14ac:dyDescent="0.2">
      <c r="A78" s="72" t="s">
        <v>811</v>
      </c>
      <c r="B78" s="72" t="s">
        <v>21</v>
      </c>
      <c r="C78" s="72" t="s">
        <v>25</v>
      </c>
      <c r="D78" s="72" t="s">
        <v>94</v>
      </c>
      <c r="E78" s="72">
        <v>50</v>
      </c>
      <c r="F78" s="72" t="s">
        <v>835</v>
      </c>
      <c r="G78" s="70">
        <v>8300</v>
      </c>
      <c r="H78" s="70">
        <v>8118</v>
      </c>
      <c r="I78" s="70">
        <v>182</v>
      </c>
      <c r="J78" s="153">
        <v>2.24E-2</v>
      </c>
      <c r="K78" s="70">
        <v>415000</v>
      </c>
      <c r="L78" s="70">
        <v>405900</v>
      </c>
      <c r="M78" s="70">
        <v>9100</v>
      </c>
      <c r="N78" s="153">
        <v>2.1899999999999999E-2</v>
      </c>
      <c r="O78" s="72" t="s">
        <v>843</v>
      </c>
      <c r="P78" s="181" t="s">
        <v>844</v>
      </c>
    </row>
    <row r="79" spans="1:16" x14ac:dyDescent="0.2">
      <c r="A79" s="72" t="s">
        <v>811</v>
      </c>
      <c r="B79" s="72" t="s">
        <v>70</v>
      </c>
      <c r="C79" s="72" t="s">
        <v>95</v>
      </c>
      <c r="D79" s="72" t="s">
        <v>96</v>
      </c>
      <c r="E79" s="72">
        <v>3</v>
      </c>
      <c r="F79" s="72" t="s">
        <v>834</v>
      </c>
      <c r="G79" s="70">
        <v>13460</v>
      </c>
      <c r="H79" s="70">
        <v>12855</v>
      </c>
      <c r="I79" s="70">
        <v>605</v>
      </c>
      <c r="J79" s="153">
        <v>4.7100000000000003E-2</v>
      </c>
      <c r="K79" s="70">
        <v>40380</v>
      </c>
      <c r="L79" s="70">
        <v>38565</v>
      </c>
      <c r="M79" s="70">
        <v>1815</v>
      </c>
      <c r="N79" s="153">
        <v>4.4900000000000002E-2</v>
      </c>
      <c r="O79" s="72" t="s">
        <v>843</v>
      </c>
      <c r="P79" s="181" t="s">
        <v>844</v>
      </c>
    </row>
    <row r="80" spans="1:16" x14ac:dyDescent="0.2">
      <c r="A80" s="72" t="s">
        <v>811</v>
      </c>
      <c r="B80" s="72" t="s">
        <v>45</v>
      </c>
      <c r="C80" s="72" t="s">
        <v>97</v>
      </c>
      <c r="D80" s="72" t="s">
        <v>98</v>
      </c>
      <c r="E80" s="72">
        <v>300</v>
      </c>
      <c r="F80" s="72" t="s">
        <v>836</v>
      </c>
      <c r="G80" s="70">
        <v>12830</v>
      </c>
      <c r="H80" s="70">
        <v>12746</v>
      </c>
      <c r="I80" s="70">
        <v>84</v>
      </c>
      <c r="J80" s="153">
        <v>6.6E-3</v>
      </c>
      <c r="K80" s="70">
        <v>3849000</v>
      </c>
      <c r="L80" s="70">
        <v>3823800</v>
      </c>
      <c r="M80" s="70">
        <v>25200</v>
      </c>
      <c r="N80" s="153">
        <v>6.4999999999999997E-3</v>
      </c>
      <c r="O80" s="72" t="s">
        <v>843</v>
      </c>
      <c r="P80" s="181" t="s">
        <v>844</v>
      </c>
    </row>
    <row r="81" spans="1:16" x14ac:dyDescent="0.2">
      <c r="A81" s="72" t="s">
        <v>811</v>
      </c>
      <c r="B81" s="72" t="s">
        <v>100</v>
      </c>
      <c r="C81" s="72" t="s">
        <v>97</v>
      </c>
      <c r="D81" s="72" t="s">
        <v>98</v>
      </c>
      <c r="E81" s="72">
        <v>40</v>
      </c>
      <c r="F81" s="72" t="s">
        <v>834</v>
      </c>
      <c r="G81" s="70">
        <v>10915</v>
      </c>
      <c r="H81" s="70">
        <v>10915</v>
      </c>
      <c r="I81" s="70">
        <v>0</v>
      </c>
      <c r="J81" s="153">
        <v>0</v>
      </c>
      <c r="K81" s="70">
        <v>436600</v>
      </c>
      <c r="L81" s="70">
        <v>436600</v>
      </c>
      <c r="M81" s="70">
        <v>0</v>
      </c>
      <c r="N81" s="153">
        <v>0</v>
      </c>
      <c r="O81" s="72" t="s">
        <v>843</v>
      </c>
      <c r="P81" s="72" t="s">
        <v>846</v>
      </c>
    </row>
    <row r="82" spans="1:16" x14ac:dyDescent="0.2">
      <c r="A82" s="72" t="s">
        <v>811</v>
      </c>
      <c r="B82" s="72" t="s">
        <v>101</v>
      </c>
      <c r="C82" s="72" t="s">
        <v>97</v>
      </c>
      <c r="D82" s="72" t="s">
        <v>98</v>
      </c>
      <c r="E82" s="72">
        <v>10</v>
      </c>
      <c r="F82" s="72" t="s">
        <v>834</v>
      </c>
      <c r="G82" s="70">
        <v>12920</v>
      </c>
      <c r="H82" s="70">
        <v>12920</v>
      </c>
      <c r="I82" s="70">
        <v>0</v>
      </c>
      <c r="J82" s="153">
        <v>0</v>
      </c>
      <c r="K82" s="70">
        <v>129200</v>
      </c>
      <c r="L82" s="70">
        <v>129200</v>
      </c>
      <c r="M82" s="70">
        <v>0</v>
      </c>
      <c r="N82" s="153">
        <v>0</v>
      </c>
      <c r="O82" s="72" t="s">
        <v>843</v>
      </c>
      <c r="P82" s="72" t="s">
        <v>846</v>
      </c>
    </row>
    <row r="83" spans="1:16" x14ac:dyDescent="0.2">
      <c r="A83" s="72" t="s">
        <v>811</v>
      </c>
      <c r="B83" s="72" t="s">
        <v>22</v>
      </c>
      <c r="C83" s="72" t="s">
        <v>102</v>
      </c>
      <c r="D83" s="72" t="s">
        <v>103</v>
      </c>
      <c r="E83" s="72">
        <v>1</v>
      </c>
      <c r="F83" s="72" t="s">
        <v>834</v>
      </c>
      <c r="G83" s="70">
        <v>9500</v>
      </c>
      <c r="H83" s="70">
        <v>8657</v>
      </c>
      <c r="I83" s="70">
        <v>843</v>
      </c>
      <c r="J83" s="153">
        <v>9.74E-2</v>
      </c>
      <c r="K83" s="70">
        <v>9500</v>
      </c>
      <c r="L83" s="70">
        <v>8657</v>
      </c>
      <c r="M83" s="70">
        <v>843</v>
      </c>
      <c r="N83" s="153">
        <v>8.8700000000000001E-2</v>
      </c>
      <c r="O83" s="72" t="s">
        <v>843</v>
      </c>
      <c r="P83" s="181" t="s">
        <v>844</v>
      </c>
    </row>
    <row r="84" spans="1:16" x14ac:dyDescent="0.2">
      <c r="A84" s="72" t="s">
        <v>811</v>
      </c>
      <c r="B84" s="72" t="s">
        <v>24</v>
      </c>
      <c r="C84" s="72" t="s">
        <v>104</v>
      </c>
      <c r="D84" s="72" t="s">
        <v>105</v>
      </c>
      <c r="E84" s="72">
        <v>5</v>
      </c>
      <c r="F84" s="72" t="s">
        <v>834</v>
      </c>
      <c r="G84" s="70">
        <v>5300</v>
      </c>
      <c r="H84" s="70">
        <v>5200</v>
      </c>
      <c r="I84" s="70">
        <v>100</v>
      </c>
      <c r="J84" s="153">
        <v>1.9199999999999998E-2</v>
      </c>
      <c r="K84" s="70">
        <v>26500</v>
      </c>
      <c r="L84" s="70">
        <v>26000</v>
      </c>
      <c r="M84" s="70">
        <v>500</v>
      </c>
      <c r="N84" s="153">
        <v>1.89E-2</v>
      </c>
      <c r="O84" s="72" t="s">
        <v>843</v>
      </c>
      <c r="P84" s="181" t="s">
        <v>844</v>
      </c>
    </row>
    <row r="85" spans="1:16" x14ac:dyDescent="0.2">
      <c r="A85" s="72" t="s">
        <v>811</v>
      </c>
      <c r="B85" s="72" t="s">
        <v>31</v>
      </c>
      <c r="C85" s="72" t="s">
        <v>104</v>
      </c>
      <c r="D85" s="72" t="s">
        <v>105</v>
      </c>
      <c r="E85" s="72">
        <v>1</v>
      </c>
      <c r="F85" s="72" t="s">
        <v>834</v>
      </c>
      <c r="G85" s="70">
        <v>17840</v>
      </c>
      <c r="H85" s="70">
        <v>17100</v>
      </c>
      <c r="I85" s="70">
        <v>740</v>
      </c>
      <c r="J85" s="153">
        <v>4.3299999999999998E-2</v>
      </c>
      <c r="K85" s="70">
        <v>17840</v>
      </c>
      <c r="L85" s="70">
        <v>17100</v>
      </c>
      <c r="M85" s="70">
        <v>740</v>
      </c>
      <c r="N85" s="153">
        <v>4.1500000000000002E-2</v>
      </c>
      <c r="O85" s="72" t="s">
        <v>843</v>
      </c>
      <c r="P85" s="181" t="s">
        <v>844</v>
      </c>
    </row>
    <row r="86" spans="1:16" x14ac:dyDescent="0.2">
      <c r="A86" s="72" t="s">
        <v>801</v>
      </c>
      <c r="B86" s="72" t="s">
        <v>24</v>
      </c>
      <c r="C86" s="72" t="s">
        <v>106</v>
      </c>
      <c r="D86" s="72" t="s">
        <v>107</v>
      </c>
      <c r="E86" s="72">
        <v>330</v>
      </c>
      <c r="F86" s="72" t="s">
        <v>836</v>
      </c>
      <c r="G86" s="70">
        <v>4950</v>
      </c>
      <c r="H86" s="70">
        <v>5200</v>
      </c>
      <c r="I86" s="70">
        <v>-250</v>
      </c>
      <c r="J86" s="153">
        <v>-4.8099999999999997E-2</v>
      </c>
      <c r="K86" s="70">
        <v>1633500</v>
      </c>
      <c r="L86" s="70">
        <v>1716000</v>
      </c>
      <c r="M86" s="70">
        <v>-82500</v>
      </c>
      <c r="N86" s="153">
        <v>-5.0500000000000003E-2</v>
      </c>
      <c r="O86" s="72" t="s">
        <v>843</v>
      </c>
      <c r="P86" s="182" t="s">
        <v>845</v>
      </c>
    </row>
    <row r="87" spans="1:16" x14ac:dyDescent="0.2">
      <c r="A87" s="72" t="s">
        <v>801</v>
      </c>
      <c r="B87" s="72" t="s">
        <v>27</v>
      </c>
      <c r="C87" s="72" t="s">
        <v>106</v>
      </c>
      <c r="D87" s="72" t="s">
        <v>107</v>
      </c>
      <c r="E87" s="72">
        <v>130</v>
      </c>
      <c r="F87" s="72" t="s">
        <v>835</v>
      </c>
      <c r="G87" s="70">
        <v>7800</v>
      </c>
      <c r="H87" s="70">
        <v>7685</v>
      </c>
      <c r="I87" s="70">
        <v>115</v>
      </c>
      <c r="J87" s="153">
        <v>1.4999999999999999E-2</v>
      </c>
      <c r="K87" s="70">
        <v>1014000</v>
      </c>
      <c r="L87" s="70">
        <v>999050</v>
      </c>
      <c r="M87" s="70">
        <v>14950</v>
      </c>
      <c r="N87" s="153">
        <v>1.47E-2</v>
      </c>
      <c r="O87" s="72" t="s">
        <v>843</v>
      </c>
      <c r="P87" s="181" t="s">
        <v>844</v>
      </c>
    </row>
    <row r="88" spans="1:16" x14ac:dyDescent="0.2">
      <c r="A88" s="72" t="s">
        <v>801</v>
      </c>
      <c r="B88" s="72" t="s">
        <v>45</v>
      </c>
      <c r="C88" s="72" t="s">
        <v>25</v>
      </c>
      <c r="D88" s="72" t="s">
        <v>108</v>
      </c>
      <c r="E88" s="72">
        <v>60</v>
      </c>
      <c r="F88" s="72" t="s">
        <v>835</v>
      </c>
      <c r="G88" s="70">
        <v>13335</v>
      </c>
      <c r="H88" s="70">
        <v>12746</v>
      </c>
      <c r="I88" s="70">
        <v>589</v>
      </c>
      <c r="J88" s="153">
        <v>4.6199999999999998E-2</v>
      </c>
      <c r="K88" s="70">
        <v>800100</v>
      </c>
      <c r="L88" s="70">
        <v>764760</v>
      </c>
      <c r="M88" s="70">
        <v>35340</v>
      </c>
      <c r="N88" s="153">
        <v>4.4200000000000003E-2</v>
      </c>
      <c r="O88" s="72" t="s">
        <v>843</v>
      </c>
      <c r="P88" s="181" t="s">
        <v>844</v>
      </c>
    </row>
    <row r="89" spans="1:16" x14ac:dyDescent="0.2">
      <c r="A89" s="72" t="s">
        <v>801</v>
      </c>
      <c r="B89" s="72" t="s">
        <v>43</v>
      </c>
      <c r="C89" s="72" t="s">
        <v>109</v>
      </c>
      <c r="D89" s="72" t="s">
        <v>110</v>
      </c>
      <c r="E89" s="72">
        <v>1</v>
      </c>
      <c r="F89" s="72" t="s">
        <v>834</v>
      </c>
      <c r="G89" s="70">
        <v>18300</v>
      </c>
      <c r="H89" s="70">
        <v>17150</v>
      </c>
      <c r="I89" s="70">
        <v>1150</v>
      </c>
      <c r="J89" s="153">
        <v>6.7100000000000007E-2</v>
      </c>
      <c r="K89" s="70">
        <v>18300</v>
      </c>
      <c r="L89" s="70">
        <v>17150</v>
      </c>
      <c r="M89" s="70">
        <v>1150</v>
      </c>
      <c r="N89" s="153">
        <v>6.2799999999999995E-2</v>
      </c>
      <c r="O89" s="72" t="s">
        <v>843</v>
      </c>
      <c r="P89" s="181" t="s">
        <v>844</v>
      </c>
    </row>
    <row r="90" spans="1:16" x14ac:dyDescent="0.2">
      <c r="A90" s="72" t="s">
        <v>801</v>
      </c>
      <c r="B90" s="72" t="s">
        <v>44</v>
      </c>
      <c r="C90" s="72" t="s">
        <v>25</v>
      </c>
      <c r="D90" s="72" t="s">
        <v>111</v>
      </c>
      <c r="E90" s="72">
        <v>30</v>
      </c>
      <c r="F90" s="72" t="s">
        <v>834</v>
      </c>
      <c r="G90" s="70">
        <v>9200</v>
      </c>
      <c r="H90" s="70">
        <v>8990</v>
      </c>
      <c r="I90" s="70">
        <v>210</v>
      </c>
      <c r="J90" s="153">
        <v>2.3400000000000001E-2</v>
      </c>
      <c r="K90" s="70">
        <v>276000</v>
      </c>
      <c r="L90" s="70">
        <v>269700</v>
      </c>
      <c r="M90" s="70">
        <v>6300</v>
      </c>
      <c r="N90" s="153">
        <v>2.2800000000000001E-2</v>
      </c>
      <c r="O90" s="72" t="s">
        <v>843</v>
      </c>
      <c r="P90" s="181" t="s">
        <v>844</v>
      </c>
    </row>
    <row r="91" spans="1:16" x14ac:dyDescent="0.2">
      <c r="A91" s="72" t="s">
        <v>801</v>
      </c>
      <c r="B91" s="72" t="s">
        <v>22</v>
      </c>
      <c r="C91" s="72" t="s">
        <v>25</v>
      </c>
      <c r="D91" s="72" t="s">
        <v>111</v>
      </c>
      <c r="E91" s="72">
        <v>30</v>
      </c>
      <c r="F91" s="72" t="s">
        <v>834</v>
      </c>
      <c r="G91" s="70">
        <v>9200</v>
      </c>
      <c r="H91" s="70">
        <v>8657</v>
      </c>
      <c r="I91" s="70">
        <v>543</v>
      </c>
      <c r="J91" s="153">
        <v>6.2700000000000006E-2</v>
      </c>
      <c r="K91" s="70">
        <v>276000</v>
      </c>
      <c r="L91" s="70">
        <v>259710</v>
      </c>
      <c r="M91" s="70">
        <v>16290</v>
      </c>
      <c r="N91" s="153">
        <v>5.8999999999999997E-2</v>
      </c>
      <c r="O91" s="72" t="s">
        <v>843</v>
      </c>
      <c r="P91" s="181" t="s">
        <v>844</v>
      </c>
    </row>
    <row r="92" spans="1:16" x14ac:dyDescent="0.2">
      <c r="A92" s="72" t="s">
        <v>801</v>
      </c>
      <c r="B92" s="72" t="s">
        <v>21</v>
      </c>
      <c r="C92" s="72" t="s">
        <v>25</v>
      </c>
      <c r="D92" s="72" t="s">
        <v>111</v>
      </c>
      <c r="E92" s="72">
        <v>20</v>
      </c>
      <c r="F92" s="72" t="s">
        <v>834</v>
      </c>
      <c r="G92" s="70">
        <v>8300</v>
      </c>
      <c r="H92" s="70">
        <v>8118</v>
      </c>
      <c r="I92" s="70">
        <v>182</v>
      </c>
      <c r="J92" s="153">
        <v>2.24E-2</v>
      </c>
      <c r="K92" s="70">
        <v>166000</v>
      </c>
      <c r="L92" s="70">
        <v>162360</v>
      </c>
      <c r="M92" s="70">
        <v>3640</v>
      </c>
      <c r="N92" s="153">
        <v>2.1899999999999999E-2</v>
      </c>
      <c r="O92" s="72" t="s">
        <v>843</v>
      </c>
      <c r="P92" s="181" t="s">
        <v>844</v>
      </c>
    </row>
    <row r="93" spans="1:16" x14ac:dyDescent="0.2">
      <c r="A93" s="72" t="s">
        <v>801</v>
      </c>
      <c r="B93" s="72" t="s">
        <v>37</v>
      </c>
      <c r="C93" s="72" t="s">
        <v>25</v>
      </c>
      <c r="D93" s="72" t="s">
        <v>111</v>
      </c>
      <c r="E93" s="72">
        <v>12</v>
      </c>
      <c r="F93" s="72" t="s">
        <v>834</v>
      </c>
      <c r="G93" s="70">
        <v>9200</v>
      </c>
      <c r="H93" s="70">
        <v>8525</v>
      </c>
      <c r="I93" s="70">
        <v>675</v>
      </c>
      <c r="J93" s="153">
        <v>7.9200000000000007E-2</v>
      </c>
      <c r="K93" s="70">
        <v>110400</v>
      </c>
      <c r="L93" s="70">
        <v>102300</v>
      </c>
      <c r="M93" s="70">
        <v>8100</v>
      </c>
      <c r="N93" s="153">
        <v>7.3400000000000007E-2</v>
      </c>
      <c r="O93" s="72" t="s">
        <v>843</v>
      </c>
      <c r="P93" s="181" t="s">
        <v>844</v>
      </c>
    </row>
    <row r="94" spans="1:16" x14ac:dyDescent="0.2">
      <c r="A94" s="72" t="s">
        <v>801</v>
      </c>
      <c r="B94" s="72" t="s">
        <v>44</v>
      </c>
      <c r="C94" s="72" t="s">
        <v>29</v>
      </c>
      <c r="D94" s="72" t="s">
        <v>112</v>
      </c>
      <c r="E94" s="72">
        <v>21</v>
      </c>
      <c r="F94" s="72" t="s">
        <v>834</v>
      </c>
      <c r="G94" s="70">
        <v>9200</v>
      </c>
      <c r="H94" s="70">
        <v>8990</v>
      </c>
      <c r="I94" s="70">
        <v>210</v>
      </c>
      <c r="J94" s="153">
        <v>2.3400000000000001E-2</v>
      </c>
      <c r="K94" s="70">
        <v>193200</v>
      </c>
      <c r="L94" s="70">
        <v>188790</v>
      </c>
      <c r="M94" s="70">
        <v>4410</v>
      </c>
      <c r="N94" s="153">
        <v>2.2800000000000001E-2</v>
      </c>
      <c r="O94" s="72" t="s">
        <v>843</v>
      </c>
      <c r="P94" s="181" t="s">
        <v>844</v>
      </c>
    </row>
    <row r="95" spans="1:16" x14ac:dyDescent="0.2">
      <c r="A95" s="72" t="s">
        <v>801</v>
      </c>
      <c r="B95" s="72" t="s">
        <v>45</v>
      </c>
      <c r="C95" s="72" t="s">
        <v>29</v>
      </c>
      <c r="D95" s="72" t="s">
        <v>112</v>
      </c>
      <c r="E95" s="72">
        <v>7</v>
      </c>
      <c r="F95" s="72" t="s">
        <v>834</v>
      </c>
      <c r="G95" s="70">
        <v>13335</v>
      </c>
      <c r="H95" s="70">
        <v>12746</v>
      </c>
      <c r="I95" s="70">
        <v>589</v>
      </c>
      <c r="J95" s="153">
        <v>4.6199999999999998E-2</v>
      </c>
      <c r="K95" s="70">
        <v>93345</v>
      </c>
      <c r="L95" s="70">
        <v>89222</v>
      </c>
      <c r="M95" s="70">
        <v>4123</v>
      </c>
      <c r="N95" s="153">
        <v>4.4200000000000003E-2</v>
      </c>
      <c r="O95" s="72" t="s">
        <v>843</v>
      </c>
      <c r="P95" s="181" t="s">
        <v>844</v>
      </c>
    </row>
    <row r="96" spans="1:16" x14ac:dyDescent="0.2">
      <c r="A96" s="72" t="s">
        <v>801</v>
      </c>
      <c r="B96" s="72" t="s">
        <v>65</v>
      </c>
      <c r="C96" s="72" t="s">
        <v>29</v>
      </c>
      <c r="D96" s="72" t="s">
        <v>112</v>
      </c>
      <c r="E96" s="72">
        <v>1</v>
      </c>
      <c r="F96" s="72" t="s">
        <v>834</v>
      </c>
      <c r="G96" s="70">
        <v>11910</v>
      </c>
      <c r="H96" s="70">
        <v>11315</v>
      </c>
      <c r="I96" s="70">
        <v>595</v>
      </c>
      <c r="J96" s="153">
        <v>5.2600000000000001E-2</v>
      </c>
      <c r="K96" s="70">
        <v>11910</v>
      </c>
      <c r="L96" s="70">
        <v>11315</v>
      </c>
      <c r="M96" s="70">
        <v>595</v>
      </c>
      <c r="N96" s="153">
        <v>0.05</v>
      </c>
      <c r="O96" s="72" t="s">
        <v>843</v>
      </c>
      <c r="P96" s="181" t="s">
        <v>844</v>
      </c>
    </row>
    <row r="97" spans="1:16" x14ac:dyDescent="0.2">
      <c r="A97" s="72" t="s">
        <v>801</v>
      </c>
      <c r="B97" s="72" t="s">
        <v>113</v>
      </c>
      <c r="C97" s="72" t="s">
        <v>29</v>
      </c>
      <c r="D97" s="72" t="s">
        <v>112</v>
      </c>
      <c r="E97" s="72">
        <v>1</v>
      </c>
      <c r="F97" s="72" t="s">
        <v>834</v>
      </c>
      <c r="G97" s="70">
        <v>14575</v>
      </c>
      <c r="H97" s="70">
        <v>14475</v>
      </c>
      <c r="I97" s="70">
        <v>100</v>
      </c>
      <c r="J97" s="153">
        <v>6.8999999999999999E-3</v>
      </c>
      <c r="K97" s="70">
        <v>14575</v>
      </c>
      <c r="L97" s="70">
        <v>14475</v>
      </c>
      <c r="M97" s="70">
        <v>100</v>
      </c>
      <c r="N97" s="153">
        <v>6.8999999999999999E-3</v>
      </c>
      <c r="O97" s="72" t="s">
        <v>843</v>
      </c>
      <c r="P97" s="181" t="s">
        <v>844</v>
      </c>
    </row>
    <row r="98" spans="1:16" x14ac:dyDescent="0.2">
      <c r="A98" s="72" t="s">
        <v>801</v>
      </c>
      <c r="B98" s="72" t="s">
        <v>22</v>
      </c>
      <c r="C98" s="72" t="s">
        <v>40</v>
      </c>
      <c r="D98" s="72" t="s">
        <v>114</v>
      </c>
      <c r="E98" s="72">
        <v>4</v>
      </c>
      <c r="F98" s="72" t="s">
        <v>834</v>
      </c>
      <c r="G98" s="70">
        <v>8600</v>
      </c>
      <c r="H98" s="70">
        <v>8657</v>
      </c>
      <c r="I98" s="70">
        <v>-57</v>
      </c>
      <c r="J98" s="153">
        <v>-6.6E-3</v>
      </c>
      <c r="K98" s="70">
        <v>34400</v>
      </c>
      <c r="L98" s="70">
        <v>34628</v>
      </c>
      <c r="M98" s="70">
        <v>-228</v>
      </c>
      <c r="N98" s="153">
        <v>-6.6E-3</v>
      </c>
      <c r="O98" s="72" t="s">
        <v>843</v>
      </c>
      <c r="P98" s="182" t="s">
        <v>845</v>
      </c>
    </row>
    <row r="99" spans="1:16" x14ac:dyDescent="0.2">
      <c r="A99" s="72" t="s">
        <v>801</v>
      </c>
      <c r="B99" s="72" t="s">
        <v>24</v>
      </c>
      <c r="C99" s="72" t="s">
        <v>106</v>
      </c>
      <c r="D99" s="72" t="s">
        <v>115</v>
      </c>
      <c r="E99" s="72">
        <v>100</v>
      </c>
      <c r="F99" s="72" t="s">
        <v>835</v>
      </c>
      <c r="G99" s="70">
        <v>4950</v>
      </c>
      <c r="H99" s="70">
        <v>5200</v>
      </c>
      <c r="I99" s="70">
        <v>-250</v>
      </c>
      <c r="J99" s="153">
        <v>-4.8099999999999997E-2</v>
      </c>
      <c r="K99" s="70">
        <v>495000</v>
      </c>
      <c r="L99" s="70">
        <v>520000</v>
      </c>
      <c r="M99" s="70">
        <v>-25000</v>
      </c>
      <c r="N99" s="153">
        <v>-5.0500000000000003E-2</v>
      </c>
      <c r="O99" s="72" t="s">
        <v>843</v>
      </c>
      <c r="P99" s="182" t="s">
        <v>845</v>
      </c>
    </row>
    <row r="100" spans="1:16" x14ac:dyDescent="0.2">
      <c r="A100" s="72" t="s">
        <v>801</v>
      </c>
      <c r="B100" s="72" t="s">
        <v>22</v>
      </c>
      <c r="C100" s="72" t="s">
        <v>95</v>
      </c>
      <c r="D100" s="72" t="s">
        <v>116</v>
      </c>
      <c r="E100" s="72">
        <v>4</v>
      </c>
      <c r="F100" s="72" t="s">
        <v>834</v>
      </c>
      <c r="G100" s="70">
        <v>9200</v>
      </c>
      <c r="H100" s="70">
        <v>8657</v>
      </c>
      <c r="I100" s="70">
        <v>543</v>
      </c>
      <c r="J100" s="153">
        <v>6.2700000000000006E-2</v>
      </c>
      <c r="K100" s="70">
        <v>36800</v>
      </c>
      <c r="L100" s="70">
        <v>34628</v>
      </c>
      <c r="M100" s="70">
        <v>2172</v>
      </c>
      <c r="N100" s="153">
        <v>5.8999999999999997E-2</v>
      </c>
      <c r="O100" s="72" t="s">
        <v>843</v>
      </c>
      <c r="P100" s="181" t="s">
        <v>844</v>
      </c>
    </row>
    <row r="101" spans="1:16" x14ac:dyDescent="0.2">
      <c r="A101" s="72" t="s">
        <v>801</v>
      </c>
      <c r="B101" s="72" t="s">
        <v>45</v>
      </c>
      <c r="C101" s="72" t="s">
        <v>95</v>
      </c>
      <c r="D101" s="72" t="s">
        <v>116</v>
      </c>
      <c r="E101" s="72">
        <v>2</v>
      </c>
      <c r="F101" s="72" t="s">
        <v>834</v>
      </c>
      <c r="G101" s="70">
        <v>13335</v>
      </c>
      <c r="H101" s="70">
        <v>12746</v>
      </c>
      <c r="I101" s="70">
        <v>589</v>
      </c>
      <c r="J101" s="153">
        <v>4.6199999999999998E-2</v>
      </c>
      <c r="K101" s="70">
        <v>26670</v>
      </c>
      <c r="L101" s="70">
        <v>25492</v>
      </c>
      <c r="M101" s="70">
        <v>1178</v>
      </c>
      <c r="N101" s="153">
        <v>4.4200000000000003E-2</v>
      </c>
      <c r="O101" s="72" t="s">
        <v>843</v>
      </c>
      <c r="P101" s="181" t="s">
        <v>844</v>
      </c>
    </row>
    <row r="102" spans="1:16" x14ac:dyDescent="0.2">
      <c r="A102" s="72" t="s">
        <v>801</v>
      </c>
      <c r="B102" s="72" t="s">
        <v>44</v>
      </c>
      <c r="C102" s="72" t="s">
        <v>95</v>
      </c>
      <c r="D102" s="72" t="s">
        <v>116</v>
      </c>
      <c r="E102" s="72">
        <v>3</v>
      </c>
      <c r="F102" s="72" t="s">
        <v>834</v>
      </c>
      <c r="G102" s="70">
        <v>9200</v>
      </c>
      <c r="H102" s="70">
        <v>8990</v>
      </c>
      <c r="I102" s="70">
        <v>210</v>
      </c>
      <c r="J102" s="153">
        <v>2.3400000000000001E-2</v>
      </c>
      <c r="K102" s="70">
        <v>27600</v>
      </c>
      <c r="L102" s="70">
        <v>26970</v>
      </c>
      <c r="M102" s="70">
        <v>630</v>
      </c>
      <c r="N102" s="153">
        <v>2.2800000000000001E-2</v>
      </c>
      <c r="O102" s="72" t="s">
        <v>843</v>
      </c>
      <c r="P102" s="181" t="s">
        <v>844</v>
      </c>
    </row>
    <row r="103" spans="1:16" x14ac:dyDescent="0.2">
      <c r="A103" s="72" t="s">
        <v>801</v>
      </c>
      <c r="B103" s="72" t="s">
        <v>101</v>
      </c>
      <c r="C103" s="72" t="s">
        <v>95</v>
      </c>
      <c r="D103" s="72" t="s">
        <v>116</v>
      </c>
      <c r="E103" s="72">
        <v>1</v>
      </c>
      <c r="F103" s="72" t="s">
        <v>834</v>
      </c>
      <c r="G103" s="70">
        <v>13550</v>
      </c>
      <c r="H103" s="70">
        <v>12920</v>
      </c>
      <c r="I103" s="70">
        <v>630</v>
      </c>
      <c r="J103" s="153">
        <v>4.8800000000000003E-2</v>
      </c>
      <c r="K103" s="70">
        <v>13550</v>
      </c>
      <c r="L103" s="70">
        <v>12920</v>
      </c>
      <c r="M103" s="70">
        <v>630</v>
      </c>
      <c r="N103" s="153">
        <v>4.65E-2</v>
      </c>
      <c r="O103" s="72" t="s">
        <v>843</v>
      </c>
      <c r="P103" s="181" t="s">
        <v>844</v>
      </c>
    </row>
    <row r="104" spans="1:16" x14ac:dyDescent="0.2">
      <c r="A104" s="72" t="s">
        <v>801</v>
      </c>
      <c r="B104" s="72" t="s">
        <v>22</v>
      </c>
      <c r="C104" s="72" t="s">
        <v>63</v>
      </c>
      <c r="D104" s="72" t="s">
        <v>117</v>
      </c>
      <c r="E104" s="72">
        <v>70</v>
      </c>
      <c r="F104" s="72" t="s">
        <v>835</v>
      </c>
      <c r="G104" s="70">
        <v>8990</v>
      </c>
      <c r="H104" s="70">
        <v>8657</v>
      </c>
      <c r="I104" s="70">
        <v>333</v>
      </c>
      <c r="J104" s="153">
        <v>3.85E-2</v>
      </c>
      <c r="K104" s="70">
        <v>629300</v>
      </c>
      <c r="L104" s="70">
        <v>605990</v>
      </c>
      <c r="M104" s="70">
        <v>23310</v>
      </c>
      <c r="N104" s="153">
        <v>3.6999999999999998E-2</v>
      </c>
      <c r="O104" s="72" t="s">
        <v>843</v>
      </c>
      <c r="P104" s="181" t="s">
        <v>844</v>
      </c>
    </row>
    <row r="105" spans="1:16" x14ac:dyDescent="0.2">
      <c r="A105" s="72" t="s">
        <v>801</v>
      </c>
      <c r="B105" s="72" t="s">
        <v>44</v>
      </c>
      <c r="C105" s="72" t="s">
        <v>63</v>
      </c>
      <c r="D105" s="72" t="s">
        <v>117</v>
      </c>
      <c r="E105" s="72">
        <v>26</v>
      </c>
      <c r="F105" s="72" t="s">
        <v>834</v>
      </c>
      <c r="G105" s="70">
        <v>8990</v>
      </c>
      <c r="H105" s="70">
        <v>8990</v>
      </c>
      <c r="I105" s="70">
        <v>0</v>
      </c>
      <c r="J105" s="153">
        <v>0</v>
      </c>
      <c r="K105" s="70">
        <v>233740</v>
      </c>
      <c r="L105" s="70">
        <v>233740</v>
      </c>
      <c r="M105" s="70">
        <v>0</v>
      </c>
      <c r="N105" s="153">
        <v>0</v>
      </c>
      <c r="O105" s="72" t="s">
        <v>843</v>
      </c>
      <c r="P105" s="72" t="s">
        <v>846</v>
      </c>
    </row>
    <row r="106" spans="1:16" x14ac:dyDescent="0.2">
      <c r="A106" s="72" t="s">
        <v>801</v>
      </c>
      <c r="B106" s="72" t="s">
        <v>119</v>
      </c>
      <c r="C106" s="72" t="s">
        <v>104</v>
      </c>
      <c r="D106" s="72" t="s">
        <v>118</v>
      </c>
      <c r="E106" s="72">
        <v>2</v>
      </c>
      <c r="F106" s="72" t="s">
        <v>834</v>
      </c>
      <c r="G106" s="70">
        <v>13125</v>
      </c>
      <c r="H106" s="70">
        <v>12390</v>
      </c>
      <c r="I106" s="70">
        <v>735</v>
      </c>
      <c r="J106" s="153">
        <v>5.9299999999999999E-2</v>
      </c>
      <c r="K106" s="70">
        <v>26250</v>
      </c>
      <c r="L106" s="70">
        <v>24780</v>
      </c>
      <c r="M106" s="70">
        <v>1470</v>
      </c>
      <c r="N106" s="153">
        <v>5.6000000000000001E-2</v>
      </c>
      <c r="O106" s="72" t="s">
        <v>843</v>
      </c>
      <c r="P106" s="181" t="s">
        <v>844</v>
      </c>
    </row>
    <row r="107" spans="1:16" x14ac:dyDescent="0.2">
      <c r="A107" s="72" t="s">
        <v>801</v>
      </c>
      <c r="B107" s="72" t="s">
        <v>24</v>
      </c>
      <c r="C107" s="72" t="s">
        <v>104</v>
      </c>
      <c r="D107" s="72" t="s">
        <v>118</v>
      </c>
      <c r="E107" s="72">
        <v>1</v>
      </c>
      <c r="F107" s="72" t="s">
        <v>834</v>
      </c>
      <c r="G107" s="70">
        <v>5300</v>
      </c>
      <c r="H107" s="70">
        <v>5200</v>
      </c>
      <c r="I107" s="70">
        <v>100</v>
      </c>
      <c r="J107" s="153">
        <v>1.9199999999999998E-2</v>
      </c>
      <c r="K107" s="70">
        <v>5300</v>
      </c>
      <c r="L107" s="70">
        <v>5200</v>
      </c>
      <c r="M107" s="70">
        <v>100</v>
      </c>
      <c r="N107" s="153">
        <v>1.89E-2</v>
      </c>
      <c r="O107" s="72" t="s">
        <v>843</v>
      </c>
      <c r="P107" s="181" t="s">
        <v>844</v>
      </c>
    </row>
    <row r="108" spans="1:16" x14ac:dyDescent="0.2">
      <c r="A108" s="72" t="s">
        <v>801</v>
      </c>
      <c r="B108" s="72" t="s">
        <v>22</v>
      </c>
      <c r="C108" s="72" t="s">
        <v>78</v>
      </c>
      <c r="D108" s="72" t="s">
        <v>120</v>
      </c>
      <c r="E108" s="72">
        <v>64</v>
      </c>
      <c r="F108" s="72" t="s">
        <v>835</v>
      </c>
      <c r="G108" s="70">
        <v>9200</v>
      </c>
      <c r="H108" s="70">
        <v>8657</v>
      </c>
      <c r="I108" s="70">
        <v>543</v>
      </c>
      <c r="J108" s="153">
        <v>6.2700000000000006E-2</v>
      </c>
      <c r="K108" s="70">
        <v>588800</v>
      </c>
      <c r="L108" s="70">
        <v>554048</v>
      </c>
      <c r="M108" s="70">
        <v>34752</v>
      </c>
      <c r="N108" s="153">
        <v>5.8999999999999997E-2</v>
      </c>
      <c r="O108" s="72" t="s">
        <v>843</v>
      </c>
      <c r="P108" s="181" t="s">
        <v>844</v>
      </c>
    </row>
    <row r="109" spans="1:16" x14ac:dyDescent="0.2">
      <c r="A109" s="72" t="s">
        <v>801</v>
      </c>
      <c r="B109" s="72" t="s">
        <v>45</v>
      </c>
      <c r="C109" s="72" t="s">
        <v>78</v>
      </c>
      <c r="D109" s="72" t="s">
        <v>120</v>
      </c>
      <c r="E109" s="72">
        <v>4</v>
      </c>
      <c r="F109" s="72" t="s">
        <v>834</v>
      </c>
      <c r="G109" s="70">
        <v>13335</v>
      </c>
      <c r="H109" s="70">
        <v>12746</v>
      </c>
      <c r="I109" s="70">
        <v>589</v>
      </c>
      <c r="J109" s="153">
        <v>4.6199999999999998E-2</v>
      </c>
      <c r="K109" s="70">
        <v>53340</v>
      </c>
      <c r="L109" s="70">
        <v>50984</v>
      </c>
      <c r="M109" s="70">
        <v>2356</v>
      </c>
      <c r="N109" s="153">
        <v>4.4200000000000003E-2</v>
      </c>
      <c r="O109" s="72" t="s">
        <v>843</v>
      </c>
      <c r="P109" s="181" t="s">
        <v>844</v>
      </c>
    </row>
    <row r="110" spans="1:16" x14ac:dyDescent="0.2">
      <c r="A110" s="72" t="s">
        <v>801</v>
      </c>
      <c r="B110" s="72" t="s">
        <v>37</v>
      </c>
      <c r="C110" s="72" t="s">
        <v>78</v>
      </c>
      <c r="D110" s="72" t="s">
        <v>120</v>
      </c>
      <c r="E110" s="72">
        <v>1</v>
      </c>
      <c r="F110" s="72" t="s">
        <v>834</v>
      </c>
      <c r="G110" s="70">
        <v>8880</v>
      </c>
      <c r="H110" s="70">
        <v>8525</v>
      </c>
      <c r="I110" s="70">
        <v>355</v>
      </c>
      <c r="J110" s="153">
        <v>4.1599999999999998E-2</v>
      </c>
      <c r="K110" s="70">
        <v>8880</v>
      </c>
      <c r="L110" s="70">
        <v>8525</v>
      </c>
      <c r="M110" s="70">
        <v>355</v>
      </c>
      <c r="N110" s="153">
        <v>0.04</v>
      </c>
      <c r="O110" s="72" t="s">
        <v>843</v>
      </c>
      <c r="P110" s="181" t="s">
        <v>844</v>
      </c>
    </row>
    <row r="111" spans="1:16" x14ac:dyDescent="0.2">
      <c r="A111" s="72" t="s">
        <v>801</v>
      </c>
      <c r="B111" s="72" t="s">
        <v>87</v>
      </c>
      <c r="C111" s="72" t="s">
        <v>78</v>
      </c>
      <c r="D111" s="72" t="s">
        <v>120</v>
      </c>
      <c r="E111" s="72">
        <v>1</v>
      </c>
      <c r="F111" s="72" t="s">
        <v>834</v>
      </c>
      <c r="G111" s="70">
        <v>21485</v>
      </c>
      <c r="H111" s="70">
        <v>20440</v>
      </c>
      <c r="I111" s="70">
        <v>1045</v>
      </c>
      <c r="J111" s="153">
        <v>5.11E-2</v>
      </c>
      <c r="K111" s="70">
        <v>21485</v>
      </c>
      <c r="L111" s="70">
        <v>20440</v>
      </c>
      <c r="M111" s="70">
        <v>1045</v>
      </c>
      <c r="N111" s="153">
        <v>4.8599999999999997E-2</v>
      </c>
      <c r="O111" s="72" t="s">
        <v>843</v>
      </c>
      <c r="P111" s="181" t="s">
        <v>844</v>
      </c>
    </row>
    <row r="112" spans="1:16" x14ac:dyDescent="0.2">
      <c r="A112" s="72" t="s">
        <v>801</v>
      </c>
      <c r="B112" s="72" t="s">
        <v>22</v>
      </c>
      <c r="C112" s="72" t="s">
        <v>15</v>
      </c>
      <c r="D112" s="72" t="s">
        <v>121</v>
      </c>
      <c r="E112" s="72">
        <v>1</v>
      </c>
      <c r="F112" s="72" t="s">
        <v>834</v>
      </c>
      <c r="G112" s="70">
        <v>9500</v>
      </c>
      <c r="H112" s="70">
        <v>8657</v>
      </c>
      <c r="I112" s="70">
        <v>843</v>
      </c>
      <c r="J112" s="153">
        <v>9.74E-2</v>
      </c>
      <c r="K112" s="70">
        <v>9500</v>
      </c>
      <c r="L112" s="70">
        <v>8657</v>
      </c>
      <c r="M112" s="70">
        <v>843</v>
      </c>
      <c r="N112" s="153">
        <v>8.8700000000000001E-2</v>
      </c>
      <c r="O112" s="72" t="s">
        <v>843</v>
      </c>
      <c r="P112" s="181" t="s">
        <v>844</v>
      </c>
    </row>
    <row r="113" spans="1:16" x14ac:dyDescent="0.2">
      <c r="A113" s="72" t="s">
        <v>801</v>
      </c>
      <c r="B113" s="72" t="s">
        <v>44</v>
      </c>
      <c r="C113" s="72" t="s">
        <v>15</v>
      </c>
      <c r="D113" s="72" t="s">
        <v>121</v>
      </c>
      <c r="E113" s="72">
        <v>1</v>
      </c>
      <c r="F113" s="72" t="s">
        <v>834</v>
      </c>
      <c r="G113" s="70">
        <v>9500</v>
      </c>
      <c r="H113" s="70">
        <v>8990</v>
      </c>
      <c r="I113" s="70">
        <v>510</v>
      </c>
      <c r="J113" s="153">
        <v>5.67E-2</v>
      </c>
      <c r="K113" s="70">
        <v>9500</v>
      </c>
      <c r="L113" s="70">
        <v>8990</v>
      </c>
      <c r="M113" s="70">
        <v>510</v>
      </c>
      <c r="N113" s="153">
        <v>5.3699999999999998E-2</v>
      </c>
      <c r="O113" s="72" t="s">
        <v>843</v>
      </c>
      <c r="P113" s="181" t="s">
        <v>844</v>
      </c>
    </row>
    <row r="114" spans="1:16" x14ac:dyDescent="0.2">
      <c r="A114" s="72" t="s">
        <v>801</v>
      </c>
      <c r="B114" s="72" t="s">
        <v>37</v>
      </c>
      <c r="C114" s="72" t="s">
        <v>15</v>
      </c>
      <c r="D114" s="72" t="s">
        <v>121</v>
      </c>
      <c r="E114" s="72">
        <v>1</v>
      </c>
      <c r="F114" s="72" t="s">
        <v>834</v>
      </c>
      <c r="G114" s="70">
        <v>9500</v>
      </c>
      <c r="H114" s="70">
        <v>8525</v>
      </c>
      <c r="I114" s="70">
        <v>975</v>
      </c>
      <c r="J114" s="153">
        <v>0.1144</v>
      </c>
      <c r="K114" s="70">
        <v>9500</v>
      </c>
      <c r="L114" s="70">
        <v>8525</v>
      </c>
      <c r="M114" s="70">
        <v>975</v>
      </c>
      <c r="N114" s="153">
        <v>0.1026</v>
      </c>
      <c r="O114" s="72" t="s">
        <v>843</v>
      </c>
      <c r="P114" s="181" t="s">
        <v>844</v>
      </c>
    </row>
    <row r="115" spans="1:16" x14ac:dyDescent="0.2">
      <c r="A115" s="72" t="s">
        <v>801</v>
      </c>
      <c r="B115" s="72" t="s">
        <v>22</v>
      </c>
      <c r="C115" s="72" t="s">
        <v>122</v>
      </c>
      <c r="D115" s="72" t="s">
        <v>123</v>
      </c>
      <c r="E115" s="72">
        <v>2</v>
      </c>
      <c r="F115" s="72" t="s">
        <v>834</v>
      </c>
      <c r="G115" s="70">
        <v>9500</v>
      </c>
      <c r="H115" s="70">
        <v>8657</v>
      </c>
      <c r="I115" s="70">
        <v>843</v>
      </c>
      <c r="J115" s="153">
        <v>9.74E-2</v>
      </c>
      <c r="K115" s="70">
        <v>19000</v>
      </c>
      <c r="L115" s="70">
        <v>17314</v>
      </c>
      <c r="M115" s="70">
        <v>1686</v>
      </c>
      <c r="N115" s="153">
        <v>8.8700000000000001E-2</v>
      </c>
      <c r="O115" s="72" t="s">
        <v>843</v>
      </c>
      <c r="P115" s="181" t="s">
        <v>844</v>
      </c>
    </row>
    <row r="116" spans="1:16" x14ac:dyDescent="0.2">
      <c r="A116" s="72" t="s">
        <v>812</v>
      </c>
      <c r="B116" s="72" t="s">
        <v>22</v>
      </c>
      <c r="C116" s="72" t="s">
        <v>63</v>
      </c>
      <c r="D116" s="72" t="s">
        <v>124</v>
      </c>
      <c r="E116" s="72">
        <v>140</v>
      </c>
      <c r="F116" s="72" t="s">
        <v>835</v>
      </c>
      <c r="G116" s="70">
        <v>8990</v>
      </c>
      <c r="H116" s="70">
        <v>8657</v>
      </c>
      <c r="I116" s="70">
        <v>333</v>
      </c>
      <c r="J116" s="153">
        <v>3.85E-2</v>
      </c>
      <c r="K116" s="70">
        <v>1258600</v>
      </c>
      <c r="L116" s="70">
        <v>1211980</v>
      </c>
      <c r="M116" s="70">
        <v>46620</v>
      </c>
      <c r="N116" s="153">
        <v>3.6999999999999998E-2</v>
      </c>
      <c r="O116" s="72" t="s">
        <v>843</v>
      </c>
      <c r="P116" s="181" t="s">
        <v>844</v>
      </c>
    </row>
    <row r="117" spans="1:16" x14ac:dyDescent="0.2">
      <c r="A117" s="72" t="s">
        <v>812</v>
      </c>
      <c r="B117" s="72" t="s">
        <v>44</v>
      </c>
      <c r="C117" s="72" t="s">
        <v>63</v>
      </c>
      <c r="D117" s="72" t="s">
        <v>124</v>
      </c>
      <c r="E117" s="72">
        <v>44</v>
      </c>
      <c r="F117" s="72" t="s">
        <v>834</v>
      </c>
      <c r="G117" s="70">
        <v>8990</v>
      </c>
      <c r="H117" s="70">
        <v>8990</v>
      </c>
      <c r="I117" s="70">
        <v>0</v>
      </c>
      <c r="J117" s="153">
        <v>0</v>
      </c>
      <c r="K117" s="70">
        <v>395560</v>
      </c>
      <c r="L117" s="70">
        <v>395560</v>
      </c>
      <c r="M117" s="70">
        <v>0</v>
      </c>
      <c r="N117" s="153">
        <v>0</v>
      </c>
      <c r="O117" s="72" t="s">
        <v>843</v>
      </c>
      <c r="P117" s="72" t="s">
        <v>846</v>
      </c>
    </row>
    <row r="118" spans="1:16" x14ac:dyDescent="0.2">
      <c r="A118" s="72" t="s">
        <v>812</v>
      </c>
      <c r="B118" s="72" t="s">
        <v>24</v>
      </c>
      <c r="C118" s="72" t="s">
        <v>125</v>
      </c>
      <c r="D118" s="72" t="s">
        <v>126</v>
      </c>
      <c r="E118" s="72">
        <v>120</v>
      </c>
      <c r="F118" s="72" t="s">
        <v>835</v>
      </c>
      <c r="G118" s="70">
        <v>5100</v>
      </c>
      <c r="H118" s="70">
        <v>5200</v>
      </c>
      <c r="I118" s="70">
        <v>-100</v>
      </c>
      <c r="J118" s="153">
        <v>-1.9199999999999998E-2</v>
      </c>
      <c r="K118" s="70">
        <v>612000</v>
      </c>
      <c r="L118" s="70">
        <v>624000</v>
      </c>
      <c r="M118" s="70">
        <v>-12000</v>
      </c>
      <c r="N118" s="153">
        <v>-1.9599999999999999E-2</v>
      </c>
      <c r="O118" s="72" t="s">
        <v>843</v>
      </c>
      <c r="P118" s="182" t="s">
        <v>845</v>
      </c>
    </row>
    <row r="119" spans="1:16" x14ac:dyDescent="0.2">
      <c r="A119" s="72" t="s">
        <v>812</v>
      </c>
      <c r="B119" s="72" t="s">
        <v>24</v>
      </c>
      <c r="C119" s="72" t="s">
        <v>127</v>
      </c>
      <c r="D119" s="72" t="s">
        <v>128</v>
      </c>
      <c r="E119" s="72">
        <v>250</v>
      </c>
      <c r="F119" s="72" t="s">
        <v>835</v>
      </c>
      <c r="G119" s="70">
        <v>4950</v>
      </c>
      <c r="H119" s="70">
        <v>5200</v>
      </c>
      <c r="I119" s="70">
        <v>-250</v>
      </c>
      <c r="J119" s="153">
        <v>-4.8099999999999997E-2</v>
      </c>
      <c r="K119" s="70">
        <v>1237500</v>
      </c>
      <c r="L119" s="70">
        <v>1300000</v>
      </c>
      <c r="M119" s="70">
        <v>-62500</v>
      </c>
      <c r="N119" s="153">
        <v>-5.0500000000000003E-2</v>
      </c>
      <c r="O119" s="72" t="s">
        <v>843</v>
      </c>
      <c r="P119" s="182" t="s">
        <v>845</v>
      </c>
    </row>
    <row r="120" spans="1:16" x14ac:dyDescent="0.2">
      <c r="A120" s="72" t="s">
        <v>812</v>
      </c>
      <c r="B120" s="72" t="s">
        <v>31</v>
      </c>
      <c r="C120" s="72" t="s">
        <v>50</v>
      </c>
      <c r="D120" s="72" t="s">
        <v>130</v>
      </c>
      <c r="E120" s="72">
        <v>10</v>
      </c>
      <c r="F120" s="72" t="s">
        <v>834</v>
      </c>
      <c r="G120" s="70">
        <v>17200</v>
      </c>
      <c r="H120" s="70">
        <v>17100</v>
      </c>
      <c r="I120" s="70">
        <v>100</v>
      </c>
      <c r="J120" s="153">
        <v>5.7999999999999996E-3</v>
      </c>
      <c r="K120" s="70">
        <v>172000</v>
      </c>
      <c r="L120" s="70">
        <v>171000</v>
      </c>
      <c r="M120" s="70">
        <v>1000</v>
      </c>
      <c r="N120" s="153">
        <v>5.7999999999999996E-3</v>
      </c>
      <c r="O120" s="72" t="s">
        <v>843</v>
      </c>
      <c r="P120" s="181" t="s">
        <v>844</v>
      </c>
    </row>
    <row r="121" spans="1:16" x14ac:dyDescent="0.2">
      <c r="A121" s="72" t="s">
        <v>812</v>
      </c>
      <c r="B121" s="72" t="s">
        <v>22</v>
      </c>
      <c r="C121" s="72" t="s">
        <v>25</v>
      </c>
      <c r="D121" s="72" t="s">
        <v>131</v>
      </c>
      <c r="E121" s="72">
        <v>25</v>
      </c>
      <c r="F121" s="72" t="s">
        <v>834</v>
      </c>
      <c r="G121" s="70">
        <v>9200</v>
      </c>
      <c r="H121" s="70">
        <v>8657</v>
      </c>
      <c r="I121" s="70">
        <v>543</v>
      </c>
      <c r="J121" s="153">
        <v>6.2700000000000006E-2</v>
      </c>
      <c r="K121" s="70">
        <v>230000</v>
      </c>
      <c r="L121" s="70">
        <v>216425</v>
      </c>
      <c r="M121" s="70">
        <v>13575</v>
      </c>
      <c r="N121" s="153">
        <v>5.8999999999999997E-2</v>
      </c>
      <c r="O121" s="72" t="s">
        <v>843</v>
      </c>
      <c r="P121" s="181" t="s">
        <v>844</v>
      </c>
    </row>
    <row r="122" spans="1:16" x14ac:dyDescent="0.2">
      <c r="A122" s="72" t="s">
        <v>812</v>
      </c>
      <c r="B122" s="72" t="s">
        <v>45</v>
      </c>
      <c r="C122" s="72" t="s">
        <v>25</v>
      </c>
      <c r="D122" s="72" t="s">
        <v>131</v>
      </c>
      <c r="E122" s="72">
        <v>17</v>
      </c>
      <c r="F122" s="72" t="s">
        <v>834</v>
      </c>
      <c r="G122" s="70">
        <v>13335</v>
      </c>
      <c r="H122" s="70">
        <v>12746</v>
      </c>
      <c r="I122" s="70">
        <v>589</v>
      </c>
      <c r="J122" s="153">
        <v>4.6199999999999998E-2</v>
      </c>
      <c r="K122" s="70">
        <v>226695</v>
      </c>
      <c r="L122" s="70">
        <v>216682</v>
      </c>
      <c r="M122" s="70">
        <v>10013</v>
      </c>
      <c r="N122" s="153">
        <v>4.4200000000000003E-2</v>
      </c>
      <c r="O122" s="72" t="s">
        <v>843</v>
      </c>
      <c r="P122" s="181" t="s">
        <v>844</v>
      </c>
    </row>
    <row r="123" spans="1:16" x14ac:dyDescent="0.2">
      <c r="A123" s="72" t="s">
        <v>812</v>
      </c>
      <c r="B123" s="72" t="s">
        <v>37</v>
      </c>
      <c r="C123" s="72" t="s">
        <v>25</v>
      </c>
      <c r="D123" s="72" t="s">
        <v>131</v>
      </c>
      <c r="E123" s="72">
        <v>10</v>
      </c>
      <c r="F123" s="72" t="s">
        <v>834</v>
      </c>
      <c r="G123" s="70">
        <v>9200</v>
      </c>
      <c r="H123" s="70">
        <v>8525</v>
      </c>
      <c r="I123" s="70">
        <v>675</v>
      </c>
      <c r="J123" s="153">
        <v>7.9200000000000007E-2</v>
      </c>
      <c r="K123" s="70">
        <v>92000</v>
      </c>
      <c r="L123" s="70">
        <v>85250</v>
      </c>
      <c r="M123" s="70">
        <v>6750</v>
      </c>
      <c r="N123" s="153">
        <v>7.3400000000000007E-2</v>
      </c>
      <c r="O123" s="72" t="s">
        <v>843</v>
      </c>
      <c r="P123" s="181" t="s">
        <v>844</v>
      </c>
    </row>
    <row r="124" spans="1:16" x14ac:dyDescent="0.2">
      <c r="A124" s="72" t="s">
        <v>812</v>
      </c>
      <c r="B124" s="72" t="s">
        <v>45</v>
      </c>
      <c r="C124" s="72" t="s">
        <v>132</v>
      </c>
      <c r="D124" s="72" t="s">
        <v>133</v>
      </c>
      <c r="E124" s="72">
        <v>210</v>
      </c>
      <c r="F124" s="72" t="s">
        <v>835</v>
      </c>
      <c r="G124" s="70">
        <v>12930</v>
      </c>
      <c r="H124" s="70">
        <v>12746</v>
      </c>
      <c r="I124" s="70">
        <v>184</v>
      </c>
      <c r="J124" s="153">
        <v>1.44E-2</v>
      </c>
      <c r="K124" s="70">
        <v>2715300</v>
      </c>
      <c r="L124" s="70">
        <v>2676660</v>
      </c>
      <c r="M124" s="70">
        <v>38640</v>
      </c>
      <c r="N124" s="153">
        <v>1.4200000000000001E-2</v>
      </c>
      <c r="O124" s="72" t="s">
        <v>843</v>
      </c>
      <c r="P124" s="181" t="s">
        <v>844</v>
      </c>
    </row>
    <row r="125" spans="1:16" x14ac:dyDescent="0.2">
      <c r="A125" s="72" t="s">
        <v>812</v>
      </c>
      <c r="B125" s="72" t="s">
        <v>44</v>
      </c>
      <c r="C125" s="72" t="s">
        <v>132</v>
      </c>
      <c r="D125" s="72" t="s">
        <v>133</v>
      </c>
      <c r="E125" s="72">
        <v>140</v>
      </c>
      <c r="F125" s="72" t="s">
        <v>835</v>
      </c>
      <c r="G125" s="70">
        <v>9090</v>
      </c>
      <c r="H125" s="70">
        <v>8990</v>
      </c>
      <c r="I125" s="70">
        <v>100</v>
      </c>
      <c r="J125" s="153">
        <v>1.11E-2</v>
      </c>
      <c r="K125" s="70">
        <v>1272600</v>
      </c>
      <c r="L125" s="70">
        <v>1258600</v>
      </c>
      <c r="M125" s="70">
        <v>14000</v>
      </c>
      <c r="N125" s="153">
        <v>1.0999999999999999E-2</v>
      </c>
      <c r="O125" s="72" t="s">
        <v>843</v>
      </c>
      <c r="P125" s="181" t="s">
        <v>844</v>
      </c>
    </row>
    <row r="126" spans="1:16" x14ac:dyDescent="0.2">
      <c r="A126" s="72" t="s">
        <v>812</v>
      </c>
      <c r="B126" s="72" t="s">
        <v>22</v>
      </c>
      <c r="C126" s="72" t="s">
        <v>40</v>
      </c>
      <c r="D126" s="72" t="s">
        <v>135</v>
      </c>
      <c r="E126" s="72">
        <v>11</v>
      </c>
      <c r="F126" s="72" t="s">
        <v>834</v>
      </c>
      <c r="G126" s="70">
        <v>8600</v>
      </c>
      <c r="H126" s="70">
        <v>8657</v>
      </c>
      <c r="I126" s="70">
        <v>-57</v>
      </c>
      <c r="J126" s="153">
        <v>-6.6E-3</v>
      </c>
      <c r="K126" s="70">
        <v>94600</v>
      </c>
      <c r="L126" s="70">
        <v>95227</v>
      </c>
      <c r="M126" s="70">
        <v>-627</v>
      </c>
      <c r="N126" s="153">
        <v>-6.6E-3</v>
      </c>
      <c r="O126" s="72" t="s">
        <v>843</v>
      </c>
      <c r="P126" s="182" t="s">
        <v>845</v>
      </c>
    </row>
    <row r="127" spans="1:16" x14ac:dyDescent="0.2">
      <c r="A127" s="72" t="s">
        <v>812</v>
      </c>
      <c r="B127" s="72" t="s">
        <v>22</v>
      </c>
      <c r="C127" s="72" t="s">
        <v>29</v>
      </c>
      <c r="D127" s="72" t="s">
        <v>136</v>
      </c>
      <c r="E127" s="72">
        <v>27</v>
      </c>
      <c r="F127" s="72" t="s">
        <v>834</v>
      </c>
      <c r="G127" s="70">
        <v>8800</v>
      </c>
      <c r="H127" s="70">
        <v>8657</v>
      </c>
      <c r="I127" s="70">
        <v>143</v>
      </c>
      <c r="J127" s="153">
        <v>1.6500000000000001E-2</v>
      </c>
      <c r="K127" s="70">
        <v>237600</v>
      </c>
      <c r="L127" s="70">
        <v>233739</v>
      </c>
      <c r="M127" s="70">
        <v>3861</v>
      </c>
      <c r="N127" s="153">
        <v>1.6299999999999999E-2</v>
      </c>
      <c r="O127" s="72" t="s">
        <v>843</v>
      </c>
      <c r="P127" s="181" t="s">
        <v>844</v>
      </c>
    </row>
    <row r="128" spans="1:16" x14ac:dyDescent="0.2">
      <c r="A128" s="72" t="s">
        <v>812</v>
      </c>
      <c r="B128" s="72" t="s">
        <v>113</v>
      </c>
      <c r="C128" s="72" t="s">
        <v>29</v>
      </c>
      <c r="D128" s="72" t="s">
        <v>136</v>
      </c>
      <c r="E128" s="72">
        <v>2</v>
      </c>
      <c r="F128" s="72" t="s">
        <v>834</v>
      </c>
      <c r="G128" s="70">
        <v>14575</v>
      </c>
      <c r="H128" s="70">
        <v>14475</v>
      </c>
      <c r="I128" s="70">
        <v>100</v>
      </c>
      <c r="J128" s="153">
        <v>6.8999999999999999E-3</v>
      </c>
      <c r="K128" s="70">
        <v>29150</v>
      </c>
      <c r="L128" s="70">
        <v>28950</v>
      </c>
      <c r="M128" s="70">
        <v>200</v>
      </c>
      <c r="N128" s="153">
        <v>6.8999999999999999E-3</v>
      </c>
      <c r="O128" s="72" t="s">
        <v>843</v>
      </c>
      <c r="P128" s="181" t="s">
        <v>844</v>
      </c>
    </row>
    <row r="129" spans="1:16" x14ac:dyDescent="0.2">
      <c r="A129" s="72" t="s">
        <v>812</v>
      </c>
      <c r="B129" s="72" t="s">
        <v>44</v>
      </c>
      <c r="C129" s="72" t="s">
        <v>29</v>
      </c>
      <c r="D129" s="72" t="s">
        <v>136</v>
      </c>
      <c r="E129" s="72">
        <v>5</v>
      </c>
      <c r="F129" s="72" t="s">
        <v>834</v>
      </c>
      <c r="G129" s="70">
        <v>9200</v>
      </c>
      <c r="H129" s="70">
        <v>8990</v>
      </c>
      <c r="I129" s="70">
        <v>210</v>
      </c>
      <c r="J129" s="153">
        <v>2.3400000000000001E-2</v>
      </c>
      <c r="K129" s="70">
        <v>46000</v>
      </c>
      <c r="L129" s="70">
        <v>44950</v>
      </c>
      <c r="M129" s="70">
        <v>1050</v>
      </c>
      <c r="N129" s="153">
        <v>2.2800000000000001E-2</v>
      </c>
      <c r="O129" s="72" t="s">
        <v>843</v>
      </c>
      <c r="P129" s="181" t="s">
        <v>844</v>
      </c>
    </row>
    <row r="130" spans="1:16" x14ac:dyDescent="0.2">
      <c r="A130" s="72" t="s">
        <v>812</v>
      </c>
      <c r="B130" s="72" t="s">
        <v>37</v>
      </c>
      <c r="C130" s="72" t="s">
        <v>29</v>
      </c>
      <c r="D130" s="72" t="s">
        <v>136</v>
      </c>
      <c r="E130" s="72">
        <v>5</v>
      </c>
      <c r="F130" s="72" t="s">
        <v>834</v>
      </c>
      <c r="G130" s="70">
        <v>8880</v>
      </c>
      <c r="H130" s="70">
        <v>8525</v>
      </c>
      <c r="I130" s="70">
        <v>355</v>
      </c>
      <c r="J130" s="153">
        <v>4.1599999999999998E-2</v>
      </c>
      <c r="K130" s="70">
        <v>44400</v>
      </c>
      <c r="L130" s="70">
        <v>42625</v>
      </c>
      <c r="M130" s="70">
        <v>1775</v>
      </c>
      <c r="N130" s="153">
        <v>0.04</v>
      </c>
      <c r="O130" s="72" t="s">
        <v>843</v>
      </c>
      <c r="P130" s="181" t="s">
        <v>844</v>
      </c>
    </row>
    <row r="131" spans="1:16" x14ac:dyDescent="0.2">
      <c r="A131" s="72" t="s">
        <v>812</v>
      </c>
      <c r="B131" s="72" t="s">
        <v>24</v>
      </c>
      <c r="C131" s="72" t="s">
        <v>29</v>
      </c>
      <c r="D131" s="72" t="s">
        <v>136</v>
      </c>
      <c r="E131" s="72">
        <v>30</v>
      </c>
      <c r="F131" s="72" t="s">
        <v>834</v>
      </c>
      <c r="G131" s="70">
        <v>4900</v>
      </c>
      <c r="H131" s="70">
        <v>5200</v>
      </c>
      <c r="I131" s="70">
        <v>-300</v>
      </c>
      <c r="J131" s="153">
        <v>-5.7700000000000001E-2</v>
      </c>
      <c r="K131" s="70">
        <v>147000</v>
      </c>
      <c r="L131" s="70">
        <v>156000</v>
      </c>
      <c r="M131" s="70">
        <v>-9000</v>
      </c>
      <c r="N131" s="153">
        <v>-6.1199999999999997E-2</v>
      </c>
      <c r="O131" s="72" t="s">
        <v>843</v>
      </c>
      <c r="P131" s="182" t="s">
        <v>845</v>
      </c>
    </row>
    <row r="132" spans="1:16" x14ac:dyDescent="0.2">
      <c r="A132" s="72" t="s">
        <v>812</v>
      </c>
      <c r="B132" s="72" t="s">
        <v>27</v>
      </c>
      <c r="C132" s="72" t="s">
        <v>29</v>
      </c>
      <c r="D132" s="72" t="s">
        <v>136</v>
      </c>
      <c r="E132" s="72">
        <v>15</v>
      </c>
      <c r="F132" s="72" t="s">
        <v>834</v>
      </c>
      <c r="G132" s="70">
        <v>8020</v>
      </c>
      <c r="H132" s="70">
        <v>7685</v>
      </c>
      <c r="I132" s="70">
        <v>335</v>
      </c>
      <c r="J132" s="153">
        <v>4.36E-2</v>
      </c>
      <c r="K132" s="70">
        <v>120300</v>
      </c>
      <c r="L132" s="70">
        <v>115275</v>
      </c>
      <c r="M132" s="70">
        <v>5025</v>
      </c>
      <c r="N132" s="153">
        <v>4.1799999999999997E-2</v>
      </c>
      <c r="O132" s="72" t="s">
        <v>843</v>
      </c>
      <c r="P132" s="181" t="s">
        <v>844</v>
      </c>
    </row>
    <row r="133" spans="1:16" x14ac:dyDescent="0.2">
      <c r="A133" s="72" t="s">
        <v>812</v>
      </c>
      <c r="B133" s="72" t="s">
        <v>65</v>
      </c>
      <c r="C133" s="72" t="s">
        <v>29</v>
      </c>
      <c r="D133" s="72" t="s">
        <v>136</v>
      </c>
      <c r="E133" s="72">
        <v>3</v>
      </c>
      <c r="F133" s="72" t="s">
        <v>834</v>
      </c>
      <c r="G133" s="70">
        <v>11910</v>
      </c>
      <c r="H133" s="70">
        <v>11315</v>
      </c>
      <c r="I133" s="70">
        <v>595</v>
      </c>
      <c r="J133" s="153">
        <v>5.2600000000000001E-2</v>
      </c>
      <c r="K133" s="70">
        <v>35730</v>
      </c>
      <c r="L133" s="70">
        <v>33945</v>
      </c>
      <c r="M133" s="70">
        <v>1785</v>
      </c>
      <c r="N133" s="153">
        <v>0.05</v>
      </c>
      <c r="O133" s="72" t="s">
        <v>843</v>
      </c>
      <c r="P133" s="181" t="s">
        <v>844</v>
      </c>
    </row>
    <row r="134" spans="1:16" x14ac:dyDescent="0.2">
      <c r="A134" s="72" t="s">
        <v>812</v>
      </c>
      <c r="B134" s="72" t="s">
        <v>31</v>
      </c>
      <c r="C134" s="72" t="s">
        <v>29</v>
      </c>
      <c r="D134" s="72" t="s">
        <v>136</v>
      </c>
      <c r="E134" s="72">
        <v>1</v>
      </c>
      <c r="F134" s="72" t="s">
        <v>834</v>
      </c>
      <c r="G134" s="70">
        <v>17100</v>
      </c>
      <c r="H134" s="70">
        <v>17100</v>
      </c>
      <c r="I134" s="70">
        <v>0</v>
      </c>
      <c r="J134" s="153">
        <v>0</v>
      </c>
      <c r="K134" s="70">
        <v>17100</v>
      </c>
      <c r="L134" s="70">
        <v>17100</v>
      </c>
      <c r="M134" s="70">
        <v>0</v>
      </c>
      <c r="N134" s="153">
        <v>0</v>
      </c>
      <c r="O134" s="72" t="s">
        <v>843</v>
      </c>
      <c r="P134" s="72" t="s">
        <v>846</v>
      </c>
    </row>
    <row r="135" spans="1:16" x14ac:dyDescent="0.2">
      <c r="A135" s="72" t="s">
        <v>812</v>
      </c>
      <c r="B135" s="72" t="s">
        <v>32</v>
      </c>
      <c r="C135" s="72" t="s">
        <v>29</v>
      </c>
      <c r="D135" s="72" t="s">
        <v>136</v>
      </c>
      <c r="E135" s="72">
        <v>1</v>
      </c>
      <c r="F135" s="72" t="s">
        <v>834</v>
      </c>
      <c r="G135" s="70">
        <v>16145</v>
      </c>
      <c r="H135" s="70">
        <v>15247</v>
      </c>
      <c r="I135" s="70">
        <v>898</v>
      </c>
      <c r="J135" s="153">
        <v>5.8900000000000001E-2</v>
      </c>
      <c r="K135" s="70">
        <v>16145</v>
      </c>
      <c r="L135" s="70">
        <v>15247</v>
      </c>
      <c r="M135" s="70">
        <v>898</v>
      </c>
      <c r="N135" s="153">
        <v>5.5599999999999997E-2</v>
      </c>
      <c r="O135" s="72" t="s">
        <v>843</v>
      </c>
      <c r="P135" s="181" t="s">
        <v>844</v>
      </c>
    </row>
    <row r="136" spans="1:16" x14ac:dyDescent="0.2">
      <c r="A136" s="72" t="s">
        <v>812</v>
      </c>
      <c r="B136" s="72" t="s">
        <v>24</v>
      </c>
      <c r="C136" s="72" t="s">
        <v>59</v>
      </c>
      <c r="D136" s="72" t="s">
        <v>137</v>
      </c>
      <c r="E136" s="72">
        <v>202</v>
      </c>
      <c r="F136" s="72" t="s">
        <v>835</v>
      </c>
      <c r="G136" s="70">
        <v>5000</v>
      </c>
      <c r="H136" s="70">
        <v>5200</v>
      </c>
      <c r="I136" s="70">
        <v>-200</v>
      </c>
      <c r="J136" s="153">
        <v>-3.85E-2</v>
      </c>
      <c r="K136" s="70">
        <v>1010000</v>
      </c>
      <c r="L136" s="70">
        <v>1050400</v>
      </c>
      <c r="M136" s="70">
        <v>-40400</v>
      </c>
      <c r="N136" s="153">
        <v>-0.04</v>
      </c>
      <c r="O136" s="72" t="s">
        <v>843</v>
      </c>
      <c r="P136" s="182" t="s">
        <v>845</v>
      </c>
    </row>
    <row r="137" spans="1:16" x14ac:dyDescent="0.2">
      <c r="A137" s="72" t="s">
        <v>812</v>
      </c>
      <c r="B137" s="72" t="s">
        <v>27</v>
      </c>
      <c r="C137" s="72" t="s">
        <v>59</v>
      </c>
      <c r="D137" s="72" t="s">
        <v>137</v>
      </c>
      <c r="E137" s="72">
        <v>20</v>
      </c>
      <c r="F137" s="72" t="s">
        <v>834</v>
      </c>
      <c r="G137" s="70">
        <v>8020</v>
      </c>
      <c r="H137" s="70">
        <v>7685</v>
      </c>
      <c r="I137" s="70">
        <v>335</v>
      </c>
      <c r="J137" s="153">
        <v>4.36E-2</v>
      </c>
      <c r="K137" s="70">
        <v>160400</v>
      </c>
      <c r="L137" s="70">
        <v>153700</v>
      </c>
      <c r="M137" s="70">
        <v>6700</v>
      </c>
      <c r="N137" s="153">
        <v>4.1799999999999997E-2</v>
      </c>
      <c r="O137" s="72" t="s">
        <v>843</v>
      </c>
      <c r="P137" s="181" t="s">
        <v>844</v>
      </c>
    </row>
    <row r="138" spans="1:16" x14ac:dyDescent="0.2">
      <c r="A138" s="72" t="s">
        <v>812</v>
      </c>
      <c r="B138" s="72" t="s">
        <v>45</v>
      </c>
      <c r="C138" s="72" t="s">
        <v>78</v>
      </c>
      <c r="D138" s="72" t="s">
        <v>138</v>
      </c>
      <c r="E138" s="72">
        <v>30</v>
      </c>
      <c r="F138" s="72" t="s">
        <v>834</v>
      </c>
      <c r="G138" s="70">
        <v>12930</v>
      </c>
      <c r="H138" s="70">
        <v>12746</v>
      </c>
      <c r="I138" s="70">
        <v>184</v>
      </c>
      <c r="J138" s="153">
        <v>1.44E-2</v>
      </c>
      <c r="K138" s="70">
        <v>387900</v>
      </c>
      <c r="L138" s="70">
        <v>382380</v>
      </c>
      <c r="M138" s="70">
        <v>5520</v>
      </c>
      <c r="N138" s="153">
        <v>1.4200000000000001E-2</v>
      </c>
      <c r="O138" s="72" t="s">
        <v>843</v>
      </c>
      <c r="P138" s="181" t="s">
        <v>844</v>
      </c>
    </row>
    <row r="139" spans="1:16" x14ac:dyDescent="0.2">
      <c r="A139" s="72" t="s">
        <v>812</v>
      </c>
      <c r="B139" s="72" t="s">
        <v>37</v>
      </c>
      <c r="C139" s="72" t="s">
        <v>78</v>
      </c>
      <c r="D139" s="72" t="s">
        <v>138</v>
      </c>
      <c r="E139" s="72">
        <v>10</v>
      </c>
      <c r="F139" s="72" t="s">
        <v>834</v>
      </c>
      <c r="G139" s="70">
        <v>8800</v>
      </c>
      <c r="H139" s="70">
        <v>8525</v>
      </c>
      <c r="I139" s="70">
        <v>275</v>
      </c>
      <c r="J139" s="153">
        <v>3.2300000000000002E-2</v>
      </c>
      <c r="K139" s="70">
        <v>88000</v>
      </c>
      <c r="L139" s="70">
        <v>85250</v>
      </c>
      <c r="M139" s="70">
        <v>2750</v>
      </c>
      <c r="N139" s="153">
        <v>3.1199999999999999E-2</v>
      </c>
      <c r="O139" s="72" t="s">
        <v>843</v>
      </c>
      <c r="P139" s="181" t="s">
        <v>844</v>
      </c>
    </row>
    <row r="140" spans="1:16" x14ac:dyDescent="0.2">
      <c r="A140" s="72" t="s">
        <v>812</v>
      </c>
      <c r="B140" s="72" t="s">
        <v>44</v>
      </c>
      <c r="C140" s="72" t="s">
        <v>78</v>
      </c>
      <c r="D140" s="72" t="s">
        <v>138</v>
      </c>
      <c r="E140" s="72">
        <v>20</v>
      </c>
      <c r="F140" s="72" t="s">
        <v>834</v>
      </c>
      <c r="G140" s="70">
        <v>9100</v>
      </c>
      <c r="H140" s="70">
        <v>8990</v>
      </c>
      <c r="I140" s="70">
        <v>110</v>
      </c>
      <c r="J140" s="153">
        <v>1.2200000000000001E-2</v>
      </c>
      <c r="K140" s="70">
        <v>182000</v>
      </c>
      <c r="L140" s="70">
        <v>179800</v>
      </c>
      <c r="M140" s="70">
        <v>2200</v>
      </c>
      <c r="N140" s="153">
        <v>1.21E-2</v>
      </c>
      <c r="O140" s="72" t="s">
        <v>843</v>
      </c>
      <c r="P140" s="181" t="s">
        <v>844</v>
      </c>
    </row>
    <row r="141" spans="1:16" x14ac:dyDescent="0.2">
      <c r="A141" s="72" t="s">
        <v>812</v>
      </c>
      <c r="B141" s="72" t="s">
        <v>22</v>
      </c>
      <c r="C141" s="72" t="s">
        <v>139</v>
      </c>
      <c r="D141" s="72" t="s">
        <v>140</v>
      </c>
      <c r="E141" s="72">
        <v>200</v>
      </c>
      <c r="F141" s="72" t="s">
        <v>835</v>
      </c>
      <c r="G141" s="70">
        <v>8600</v>
      </c>
      <c r="H141" s="70">
        <v>8657</v>
      </c>
      <c r="I141" s="70">
        <v>-57</v>
      </c>
      <c r="J141" s="153">
        <v>-6.6E-3</v>
      </c>
      <c r="K141" s="70">
        <v>1720000</v>
      </c>
      <c r="L141" s="70">
        <v>1731400</v>
      </c>
      <c r="M141" s="70">
        <v>-11400</v>
      </c>
      <c r="N141" s="153">
        <v>-6.6E-3</v>
      </c>
      <c r="O141" s="72" t="s">
        <v>843</v>
      </c>
      <c r="P141" s="182" t="s">
        <v>845</v>
      </c>
    </row>
    <row r="142" spans="1:16" x14ac:dyDescent="0.2">
      <c r="A142" s="72" t="s">
        <v>812</v>
      </c>
      <c r="B142" s="72" t="s">
        <v>37</v>
      </c>
      <c r="C142" s="72" t="s">
        <v>139</v>
      </c>
      <c r="D142" s="72" t="s">
        <v>140</v>
      </c>
      <c r="E142" s="72">
        <v>40</v>
      </c>
      <c r="F142" s="72" t="s">
        <v>834</v>
      </c>
      <c r="G142" s="70">
        <v>8800</v>
      </c>
      <c r="H142" s="70">
        <v>8525</v>
      </c>
      <c r="I142" s="70">
        <v>275</v>
      </c>
      <c r="J142" s="153">
        <v>3.2300000000000002E-2</v>
      </c>
      <c r="K142" s="70">
        <v>352000</v>
      </c>
      <c r="L142" s="70">
        <v>341000</v>
      </c>
      <c r="M142" s="70">
        <v>11000</v>
      </c>
      <c r="N142" s="153">
        <v>3.1199999999999999E-2</v>
      </c>
      <c r="O142" s="72" t="s">
        <v>843</v>
      </c>
      <c r="P142" s="181" t="s">
        <v>844</v>
      </c>
    </row>
    <row r="143" spans="1:16" x14ac:dyDescent="0.2">
      <c r="A143" s="72" t="s">
        <v>812</v>
      </c>
      <c r="B143" s="72" t="s">
        <v>87</v>
      </c>
      <c r="C143" s="72" t="s">
        <v>139</v>
      </c>
      <c r="D143" s="72" t="s">
        <v>140</v>
      </c>
      <c r="E143" s="72">
        <v>6</v>
      </c>
      <c r="F143" s="72" t="s">
        <v>834</v>
      </c>
      <c r="G143" s="70">
        <v>20540</v>
      </c>
      <c r="H143" s="70">
        <v>20440</v>
      </c>
      <c r="I143" s="70">
        <v>100</v>
      </c>
      <c r="J143" s="153">
        <v>4.8999999999999998E-3</v>
      </c>
      <c r="K143" s="70">
        <v>123240</v>
      </c>
      <c r="L143" s="70">
        <v>122640</v>
      </c>
      <c r="M143" s="70">
        <v>600</v>
      </c>
      <c r="N143" s="153">
        <v>4.8999999999999998E-3</v>
      </c>
      <c r="O143" s="72" t="s">
        <v>843</v>
      </c>
      <c r="P143" s="181" t="s">
        <v>844</v>
      </c>
    </row>
    <row r="144" spans="1:16" x14ac:dyDescent="0.2">
      <c r="A144" s="72" t="s">
        <v>812</v>
      </c>
      <c r="B144" s="72" t="s">
        <v>100</v>
      </c>
      <c r="C144" s="72" t="s">
        <v>139</v>
      </c>
      <c r="D144" s="72" t="s">
        <v>140</v>
      </c>
      <c r="E144" s="72">
        <v>15</v>
      </c>
      <c r="F144" s="72" t="s">
        <v>834</v>
      </c>
      <c r="G144" s="70">
        <v>11480</v>
      </c>
      <c r="H144" s="70">
        <v>10915</v>
      </c>
      <c r="I144" s="70">
        <v>565</v>
      </c>
      <c r="J144" s="153">
        <v>5.1799999999999999E-2</v>
      </c>
      <c r="K144" s="70">
        <v>172200</v>
      </c>
      <c r="L144" s="70">
        <v>163725</v>
      </c>
      <c r="M144" s="70">
        <v>8475</v>
      </c>
      <c r="N144" s="153">
        <v>4.9200000000000001E-2</v>
      </c>
      <c r="O144" s="72" t="s">
        <v>843</v>
      </c>
      <c r="P144" s="181" t="s">
        <v>844</v>
      </c>
    </row>
    <row r="145" spans="1:16" x14ac:dyDescent="0.2">
      <c r="A145" s="72" t="s">
        <v>812</v>
      </c>
      <c r="B145" s="72" t="s">
        <v>65</v>
      </c>
      <c r="C145" s="72" t="s">
        <v>139</v>
      </c>
      <c r="D145" s="72" t="s">
        <v>140</v>
      </c>
      <c r="E145" s="72">
        <v>20</v>
      </c>
      <c r="F145" s="72" t="s">
        <v>834</v>
      </c>
      <c r="G145" s="70">
        <v>11415</v>
      </c>
      <c r="H145" s="70">
        <v>11315</v>
      </c>
      <c r="I145" s="70">
        <v>100</v>
      </c>
      <c r="J145" s="153">
        <v>8.8000000000000005E-3</v>
      </c>
      <c r="K145" s="70">
        <v>228300</v>
      </c>
      <c r="L145" s="70">
        <v>226300</v>
      </c>
      <c r="M145" s="70">
        <v>2000</v>
      </c>
      <c r="N145" s="153">
        <v>8.8000000000000005E-3</v>
      </c>
      <c r="O145" s="72" t="s">
        <v>843</v>
      </c>
      <c r="P145" s="181" t="s">
        <v>844</v>
      </c>
    </row>
    <row r="146" spans="1:16" x14ac:dyDescent="0.2">
      <c r="A146" s="72" t="s">
        <v>812</v>
      </c>
      <c r="B146" s="72" t="s">
        <v>44</v>
      </c>
      <c r="C146" s="72" t="s">
        <v>139</v>
      </c>
      <c r="D146" s="72" t="s">
        <v>140</v>
      </c>
      <c r="E146" s="72">
        <v>15</v>
      </c>
      <c r="F146" s="72" t="s">
        <v>834</v>
      </c>
      <c r="G146" s="70">
        <v>9090</v>
      </c>
      <c r="H146" s="70">
        <v>8990</v>
      </c>
      <c r="I146" s="70">
        <v>100</v>
      </c>
      <c r="J146" s="153">
        <v>1.11E-2</v>
      </c>
      <c r="K146" s="70">
        <v>136350</v>
      </c>
      <c r="L146" s="70">
        <v>134850</v>
      </c>
      <c r="M146" s="70">
        <v>1500</v>
      </c>
      <c r="N146" s="153">
        <v>1.0999999999999999E-2</v>
      </c>
      <c r="O146" s="72" t="s">
        <v>843</v>
      </c>
      <c r="P146" s="181" t="s">
        <v>844</v>
      </c>
    </row>
    <row r="147" spans="1:16" x14ac:dyDescent="0.2">
      <c r="A147" s="72" t="s">
        <v>812</v>
      </c>
      <c r="B147" s="72" t="s">
        <v>101</v>
      </c>
      <c r="C147" s="72" t="s">
        <v>139</v>
      </c>
      <c r="D147" s="72" t="s">
        <v>140</v>
      </c>
      <c r="E147" s="72">
        <v>10</v>
      </c>
      <c r="F147" s="72" t="s">
        <v>834</v>
      </c>
      <c r="G147" s="70">
        <v>13020</v>
      </c>
      <c r="H147" s="70">
        <v>12920</v>
      </c>
      <c r="I147" s="70">
        <v>100</v>
      </c>
      <c r="J147" s="153">
        <v>7.7000000000000002E-3</v>
      </c>
      <c r="K147" s="70">
        <v>130200</v>
      </c>
      <c r="L147" s="70">
        <v>129200</v>
      </c>
      <c r="M147" s="70">
        <v>1000</v>
      </c>
      <c r="N147" s="153">
        <v>7.7000000000000002E-3</v>
      </c>
      <c r="O147" s="72" t="s">
        <v>843</v>
      </c>
      <c r="P147" s="181" t="s">
        <v>844</v>
      </c>
    </row>
    <row r="148" spans="1:16" x14ac:dyDescent="0.2">
      <c r="A148" s="72" t="s">
        <v>812</v>
      </c>
      <c r="B148" s="72" t="s">
        <v>45</v>
      </c>
      <c r="C148" s="72" t="s">
        <v>139</v>
      </c>
      <c r="D148" s="72" t="s">
        <v>140</v>
      </c>
      <c r="E148" s="72">
        <v>5</v>
      </c>
      <c r="F148" s="72" t="s">
        <v>834</v>
      </c>
      <c r="G148" s="70">
        <v>12930</v>
      </c>
      <c r="H148" s="70">
        <v>12746</v>
      </c>
      <c r="I148" s="70">
        <v>184</v>
      </c>
      <c r="J148" s="153">
        <v>1.44E-2</v>
      </c>
      <c r="K148" s="70">
        <v>64650</v>
      </c>
      <c r="L148" s="70">
        <v>63730</v>
      </c>
      <c r="M148" s="70">
        <v>920</v>
      </c>
      <c r="N148" s="153">
        <v>1.4200000000000001E-2</v>
      </c>
      <c r="O148" s="72" t="s">
        <v>843</v>
      </c>
      <c r="P148" s="181" t="s">
        <v>844</v>
      </c>
    </row>
    <row r="149" spans="1:16" x14ac:dyDescent="0.2">
      <c r="A149" s="72" t="s">
        <v>812</v>
      </c>
      <c r="B149" s="72" t="s">
        <v>141</v>
      </c>
      <c r="C149" s="72" t="s">
        <v>139</v>
      </c>
      <c r="D149" s="72" t="s">
        <v>140</v>
      </c>
      <c r="E149" s="72">
        <v>3</v>
      </c>
      <c r="F149" s="72" t="s">
        <v>834</v>
      </c>
      <c r="G149" s="70">
        <v>14145</v>
      </c>
      <c r="H149" s="70">
        <v>13520</v>
      </c>
      <c r="I149" s="70">
        <v>625</v>
      </c>
      <c r="J149" s="153">
        <v>4.6199999999999998E-2</v>
      </c>
      <c r="K149" s="70">
        <v>42435</v>
      </c>
      <c r="L149" s="70">
        <v>40560</v>
      </c>
      <c r="M149" s="70">
        <v>1875</v>
      </c>
      <c r="N149" s="153">
        <v>4.4200000000000003E-2</v>
      </c>
      <c r="O149" s="72" t="s">
        <v>843</v>
      </c>
      <c r="P149" s="181" t="s">
        <v>844</v>
      </c>
    </row>
    <row r="150" spans="1:16" x14ac:dyDescent="0.2">
      <c r="A150" s="72" t="s">
        <v>812</v>
      </c>
      <c r="B150" s="72" t="s">
        <v>37</v>
      </c>
      <c r="C150" s="72" t="s">
        <v>29</v>
      </c>
      <c r="D150" s="72" t="s">
        <v>142</v>
      </c>
      <c r="E150" s="72">
        <v>2</v>
      </c>
      <c r="F150" s="72" t="s">
        <v>834</v>
      </c>
      <c r="G150" s="70">
        <v>8880</v>
      </c>
      <c r="H150" s="70">
        <v>8525</v>
      </c>
      <c r="I150" s="70">
        <v>355</v>
      </c>
      <c r="J150" s="153">
        <v>4.1599999999999998E-2</v>
      </c>
      <c r="K150" s="70">
        <v>17760</v>
      </c>
      <c r="L150" s="70">
        <v>17050</v>
      </c>
      <c r="M150" s="70">
        <v>710</v>
      </c>
      <c r="N150" s="153">
        <v>0.04</v>
      </c>
      <c r="O150" s="72" t="s">
        <v>843</v>
      </c>
      <c r="P150" s="181" t="s">
        <v>844</v>
      </c>
    </row>
    <row r="151" spans="1:16" x14ac:dyDescent="0.2">
      <c r="A151" s="72" t="s">
        <v>812</v>
      </c>
      <c r="B151" s="72" t="s">
        <v>27</v>
      </c>
      <c r="C151" s="72" t="s">
        <v>95</v>
      </c>
      <c r="D151" s="72" t="s">
        <v>143</v>
      </c>
      <c r="E151" s="72">
        <v>20</v>
      </c>
      <c r="F151" s="72" t="s">
        <v>834</v>
      </c>
      <c r="G151" s="70">
        <v>8020</v>
      </c>
      <c r="H151" s="70">
        <v>7685</v>
      </c>
      <c r="I151" s="70">
        <v>335</v>
      </c>
      <c r="J151" s="153">
        <v>4.36E-2</v>
      </c>
      <c r="K151" s="70">
        <v>160400</v>
      </c>
      <c r="L151" s="70">
        <v>153700</v>
      </c>
      <c r="M151" s="70">
        <v>6700</v>
      </c>
      <c r="N151" s="153">
        <v>4.1799999999999997E-2</v>
      </c>
      <c r="O151" s="72" t="s">
        <v>843</v>
      </c>
      <c r="P151" s="181" t="s">
        <v>844</v>
      </c>
    </row>
    <row r="152" spans="1:16" x14ac:dyDescent="0.2">
      <c r="A152" s="72" t="s">
        <v>812</v>
      </c>
      <c r="B152" s="72" t="s">
        <v>24</v>
      </c>
      <c r="C152" s="72" t="s">
        <v>15</v>
      </c>
      <c r="D152" s="72" t="s">
        <v>144</v>
      </c>
      <c r="E152" s="72">
        <v>1</v>
      </c>
      <c r="F152" s="72" t="s">
        <v>834</v>
      </c>
      <c r="G152" s="70">
        <v>5300</v>
      </c>
      <c r="H152" s="70">
        <v>5200</v>
      </c>
      <c r="I152" s="70">
        <v>100</v>
      </c>
      <c r="J152" s="153">
        <v>1.9199999999999998E-2</v>
      </c>
      <c r="K152" s="70">
        <v>5300</v>
      </c>
      <c r="L152" s="70">
        <v>5200</v>
      </c>
      <c r="M152" s="70">
        <v>100</v>
      </c>
      <c r="N152" s="153">
        <v>1.89E-2</v>
      </c>
      <c r="O152" s="72" t="s">
        <v>843</v>
      </c>
      <c r="P152" s="181" t="s">
        <v>844</v>
      </c>
    </row>
    <row r="153" spans="1:16" x14ac:dyDescent="0.2">
      <c r="A153" s="72" t="s">
        <v>813</v>
      </c>
      <c r="B153" s="72" t="s">
        <v>45</v>
      </c>
      <c r="C153" s="72" t="s">
        <v>145</v>
      </c>
      <c r="D153" s="72" t="s">
        <v>146</v>
      </c>
      <c r="E153" s="72">
        <v>5</v>
      </c>
      <c r="F153" s="72" t="s">
        <v>834</v>
      </c>
      <c r="G153" s="70">
        <v>13335</v>
      </c>
      <c r="H153" s="70">
        <v>12746</v>
      </c>
      <c r="I153" s="70">
        <v>589</v>
      </c>
      <c r="J153" s="153">
        <v>4.6199999999999998E-2</v>
      </c>
      <c r="K153" s="70">
        <v>66675</v>
      </c>
      <c r="L153" s="70">
        <v>63730</v>
      </c>
      <c r="M153" s="70">
        <v>2945</v>
      </c>
      <c r="N153" s="153">
        <v>4.4200000000000003E-2</v>
      </c>
      <c r="O153" s="72" t="s">
        <v>843</v>
      </c>
      <c r="P153" s="181" t="s">
        <v>844</v>
      </c>
    </row>
    <row r="154" spans="1:16" x14ac:dyDescent="0.2">
      <c r="A154" s="72" t="s">
        <v>813</v>
      </c>
      <c r="B154" s="72" t="s">
        <v>87</v>
      </c>
      <c r="C154" s="72" t="s">
        <v>145</v>
      </c>
      <c r="D154" s="72" t="s">
        <v>146</v>
      </c>
      <c r="E154" s="72">
        <v>5</v>
      </c>
      <c r="F154" s="72" t="s">
        <v>834</v>
      </c>
      <c r="G154" s="70">
        <v>21485</v>
      </c>
      <c r="H154" s="70">
        <v>20440</v>
      </c>
      <c r="I154" s="70">
        <v>1045</v>
      </c>
      <c r="J154" s="153">
        <v>5.11E-2</v>
      </c>
      <c r="K154" s="70">
        <v>107425</v>
      </c>
      <c r="L154" s="70">
        <v>102200</v>
      </c>
      <c r="M154" s="70">
        <v>5225</v>
      </c>
      <c r="N154" s="153">
        <v>4.8599999999999997E-2</v>
      </c>
      <c r="O154" s="72" t="s">
        <v>843</v>
      </c>
      <c r="P154" s="181" t="s">
        <v>844</v>
      </c>
    </row>
    <row r="155" spans="1:16" x14ac:dyDescent="0.2">
      <c r="A155" s="72" t="s">
        <v>813</v>
      </c>
      <c r="B155" s="72" t="s">
        <v>65</v>
      </c>
      <c r="C155" s="72" t="s">
        <v>145</v>
      </c>
      <c r="D155" s="72" t="s">
        <v>146</v>
      </c>
      <c r="E155" s="72">
        <v>5</v>
      </c>
      <c r="F155" s="72" t="s">
        <v>834</v>
      </c>
      <c r="G155" s="70">
        <v>11910</v>
      </c>
      <c r="H155" s="70">
        <v>11315</v>
      </c>
      <c r="I155" s="70">
        <v>595</v>
      </c>
      <c r="J155" s="153">
        <v>5.2600000000000001E-2</v>
      </c>
      <c r="K155" s="70">
        <v>59550</v>
      </c>
      <c r="L155" s="70">
        <v>56575</v>
      </c>
      <c r="M155" s="70">
        <v>2975</v>
      </c>
      <c r="N155" s="153">
        <v>0.05</v>
      </c>
      <c r="O155" s="72" t="s">
        <v>843</v>
      </c>
      <c r="P155" s="181" t="s">
        <v>844</v>
      </c>
    </row>
    <row r="156" spans="1:16" x14ac:dyDescent="0.2">
      <c r="A156" s="72" t="s">
        <v>813</v>
      </c>
      <c r="B156" s="72" t="s">
        <v>101</v>
      </c>
      <c r="C156" s="72" t="s">
        <v>145</v>
      </c>
      <c r="D156" s="72" t="s">
        <v>146</v>
      </c>
      <c r="E156" s="72">
        <v>5</v>
      </c>
      <c r="F156" s="72" t="s">
        <v>834</v>
      </c>
      <c r="G156" s="70">
        <v>13550</v>
      </c>
      <c r="H156" s="70">
        <v>12920</v>
      </c>
      <c r="I156" s="70">
        <v>630</v>
      </c>
      <c r="J156" s="153">
        <v>4.8800000000000003E-2</v>
      </c>
      <c r="K156" s="70">
        <v>67750</v>
      </c>
      <c r="L156" s="70">
        <v>64600</v>
      </c>
      <c r="M156" s="70">
        <v>3150</v>
      </c>
      <c r="N156" s="153">
        <v>4.65E-2</v>
      </c>
      <c r="O156" s="72" t="s">
        <v>843</v>
      </c>
      <c r="P156" s="181" t="s">
        <v>844</v>
      </c>
    </row>
    <row r="157" spans="1:16" x14ac:dyDescent="0.2">
      <c r="A157" s="72" t="s">
        <v>813</v>
      </c>
      <c r="B157" s="72" t="s">
        <v>150</v>
      </c>
      <c r="C157" s="72" t="s">
        <v>29</v>
      </c>
      <c r="D157" s="72" t="s">
        <v>149</v>
      </c>
      <c r="E157" s="72">
        <v>2</v>
      </c>
      <c r="F157" s="72" t="s">
        <v>834</v>
      </c>
      <c r="G157" s="70">
        <v>10315</v>
      </c>
      <c r="H157" s="70">
        <v>9925</v>
      </c>
      <c r="I157" s="70">
        <v>390</v>
      </c>
      <c r="J157" s="153">
        <v>3.9300000000000002E-2</v>
      </c>
      <c r="K157" s="70">
        <v>20630</v>
      </c>
      <c r="L157" s="70">
        <v>19850</v>
      </c>
      <c r="M157" s="70">
        <v>780</v>
      </c>
      <c r="N157" s="153">
        <v>3.78E-2</v>
      </c>
      <c r="O157" s="72" t="s">
        <v>843</v>
      </c>
      <c r="P157" s="181" t="s">
        <v>844</v>
      </c>
    </row>
    <row r="158" spans="1:16" x14ac:dyDescent="0.2">
      <c r="A158" s="72" t="s">
        <v>813</v>
      </c>
      <c r="B158" s="72" t="s">
        <v>36</v>
      </c>
      <c r="C158" s="72" t="s">
        <v>29</v>
      </c>
      <c r="D158" s="72" t="s">
        <v>149</v>
      </c>
      <c r="E158" s="72">
        <v>1</v>
      </c>
      <c r="F158" s="72" t="s">
        <v>834</v>
      </c>
      <c r="G158" s="70">
        <v>15525</v>
      </c>
      <c r="H158" s="70">
        <v>14900</v>
      </c>
      <c r="I158" s="70">
        <v>625</v>
      </c>
      <c r="J158" s="153">
        <v>4.19E-2</v>
      </c>
      <c r="K158" s="70">
        <v>15525</v>
      </c>
      <c r="L158" s="70">
        <v>14900</v>
      </c>
      <c r="M158" s="70">
        <v>625</v>
      </c>
      <c r="N158" s="153">
        <v>4.0300000000000002E-2</v>
      </c>
      <c r="O158" s="72" t="s">
        <v>843</v>
      </c>
      <c r="P158" s="181" t="s">
        <v>844</v>
      </c>
    </row>
    <row r="159" spans="1:16" x14ac:dyDescent="0.2">
      <c r="A159" s="72" t="s">
        <v>813</v>
      </c>
      <c r="B159" s="72" t="s">
        <v>69</v>
      </c>
      <c r="C159" s="72" t="s">
        <v>29</v>
      </c>
      <c r="D159" s="72" t="s">
        <v>149</v>
      </c>
      <c r="E159" s="72">
        <v>1</v>
      </c>
      <c r="F159" s="72" t="s">
        <v>834</v>
      </c>
      <c r="G159" s="70">
        <v>14450</v>
      </c>
      <c r="H159" s="70">
        <v>13780</v>
      </c>
      <c r="I159" s="70">
        <v>670</v>
      </c>
      <c r="J159" s="153">
        <v>4.8599999999999997E-2</v>
      </c>
      <c r="K159" s="70">
        <v>14450</v>
      </c>
      <c r="L159" s="70">
        <v>13780</v>
      </c>
      <c r="M159" s="70">
        <v>670</v>
      </c>
      <c r="N159" s="153">
        <v>4.6399999999999997E-2</v>
      </c>
      <c r="O159" s="72" t="s">
        <v>843</v>
      </c>
      <c r="P159" s="181" t="s">
        <v>844</v>
      </c>
    </row>
    <row r="160" spans="1:16" x14ac:dyDescent="0.2">
      <c r="A160" s="72" t="s">
        <v>813</v>
      </c>
      <c r="B160" s="72" t="s">
        <v>100</v>
      </c>
      <c r="C160" s="72" t="s">
        <v>29</v>
      </c>
      <c r="D160" s="72" t="s">
        <v>149</v>
      </c>
      <c r="E160" s="72">
        <v>2</v>
      </c>
      <c r="F160" s="72" t="s">
        <v>834</v>
      </c>
      <c r="G160" s="70">
        <v>11480</v>
      </c>
      <c r="H160" s="70">
        <v>10915</v>
      </c>
      <c r="I160" s="70">
        <v>565</v>
      </c>
      <c r="J160" s="153">
        <v>5.1799999999999999E-2</v>
      </c>
      <c r="K160" s="70">
        <v>22960</v>
      </c>
      <c r="L160" s="70">
        <v>21830</v>
      </c>
      <c r="M160" s="70">
        <v>1130</v>
      </c>
      <c r="N160" s="153">
        <v>4.9200000000000001E-2</v>
      </c>
      <c r="O160" s="72" t="s">
        <v>843</v>
      </c>
      <c r="P160" s="181" t="s">
        <v>844</v>
      </c>
    </row>
    <row r="161" spans="1:16" x14ac:dyDescent="0.2">
      <c r="A161" s="72" t="s">
        <v>813</v>
      </c>
      <c r="B161" s="72" t="s">
        <v>31</v>
      </c>
      <c r="C161" s="72" t="s">
        <v>29</v>
      </c>
      <c r="D161" s="72" t="s">
        <v>151</v>
      </c>
      <c r="E161" s="72">
        <v>20</v>
      </c>
      <c r="F161" s="72" t="s">
        <v>834</v>
      </c>
      <c r="G161" s="70">
        <v>17100</v>
      </c>
      <c r="H161" s="70">
        <v>17100</v>
      </c>
      <c r="I161" s="70">
        <v>0</v>
      </c>
      <c r="J161" s="153">
        <v>0</v>
      </c>
      <c r="K161" s="70">
        <v>342000</v>
      </c>
      <c r="L161" s="70">
        <v>342000</v>
      </c>
      <c r="M161" s="70">
        <v>0</v>
      </c>
      <c r="N161" s="153">
        <v>0</v>
      </c>
      <c r="O161" s="72" t="s">
        <v>843</v>
      </c>
      <c r="P161" s="72" t="s">
        <v>846</v>
      </c>
    </row>
    <row r="162" spans="1:16" x14ac:dyDescent="0.2">
      <c r="A162" s="72" t="s">
        <v>813</v>
      </c>
      <c r="B162" s="72" t="s">
        <v>32</v>
      </c>
      <c r="C162" s="72" t="s">
        <v>29</v>
      </c>
      <c r="D162" s="72" t="s">
        <v>151</v>
      </c>
      <c r="E162" s="72">
        <v>25</v>
      </c>
      <c r="F162" s="72" t="s">
        <v>834</v>
      </c>
      <c r="G162" s="70">
        <v>16145</v>
      </c>
      <c r="H162" s="70">
        <v>15247</v>
      </c>
      <c r="I162" s="70">
        <v>898</v>
      </c>
      <c r="J162" s="153">
        <v>5.8900000000000001E-2</v>
      </c>
      <c r="K162" s="70">
        <v>403625</v>
      </c>
      <c r="L162" s="70">
        <v>381175</v>
      </c>
      <c r="M162" s="70">
        <v>22450</v>
      </c>
      <c r="N162" s="153">
        <v>5.5599999999999997E-2</v>
      </c>
      <c r="O162" s="72" t="s">
        <v>843</v>
      </c>
      <c r="P162" s="181" t="s">
        <v>844</v>
      </c>
    </row>
    <row r="163" spans="1:16" x14ac:dyDescent="0.2">
      <c r="A163" s="72" t="s">
        <v>813</v>
      </c>
      <c r="B163" s="72" t="s">
        <v>45</v>
      </c>
      <c r="C163" s="72" t="s">
        <v>152</v>
      </c>
      <c r="D163" s="72" t="s">
        <v>153</v>
      </c>
      <c r="E163" s="72">
        <v>10</v>
      </c>
      <c r="F163" s="72" t="s">
        <v>834</v>
      </c>
      <c r="G163" s="70">
        <v>12930</v>
      </c>
      <c r="H163" s="70">
        <v>12746</v>
      </c>
      <c r="I163" s="70">
        <v>184</v>
      </c>
      <c r="J163" s="153">
        <v>1.44E-2</v>
      </c>
      <c r="K163" s="70">
        <v>129300</v>
      </c>
      <c r="L163" s="70">
        <v>127460</v>
      </c>
      <c r="M163" s="70">
        <v>1840</v>
      </c>
      <c r="N163" s="153">
        <v>1.4200000000000001E-2</v>
      </c>
      <c r="O163" s="72" t="s">
        <v>843</v>
      </c>
      <c r="P163" s="181" t="s">
        <v>844</v>
      </c>
    </row>
    <row r="164" spans="1:16" x14ac:dyDescent="0.2">
      <c r="A164" s="72" t="s">
        <v>813</v>
      </c>
      <c r="B164" s="72" t="s">
        <v>44</v>
      </c>
      <c r="C164" s="72" t="s">
        <v>154</v>
      </c>
      <c r="D164" s="72" t="s">
        <v>155</v>
      </c>
      <c r="E164" s="72">
        <v>4</v>
      </c>
      <c r="F164" s="72" t="s">
        <v>834</v>
      </c>
      <c r="G164" s="70">
        <v>9200</v>
      </c>
      <c r="H164" s="70">
        <v>8990</v>
      </c>
      <c r="I164" s="70">
        <v>210</v>
      </c>
      <c r="J164" s="153">
        <v>2.3400000000000001E-2</v>
      </c>
      <c r="K164" s="70">
        <v>36800</v>
      </c>
      <c r="L164" s="70">
        <v>35960</v>
      </c>
      <c r="M164" s="70">
        <v>840</v>
      </c>
      <c r="N164" s="153">
        <v>2.2800000000000001E-2</v>
      </c>
      <c r="O164" s="72" t="s">
        <v>843</v>
      </c>
      <c r="P164" s="181" t="s">
        <v>844</v>
      </c>
    </row>
    <row r="165" spans="1:16" x14ac:dyDescent="0.2">
      <c r="A165" s="72" t="s">
        <v>813</v>
      </c>
      <c r="B165" s="72" t="s">
        <v>65</v>
      </c>
      <c r="C165" s="72" t="s">
        <v>154</v>
      </c>
      <c r="D165" s="72" t="s">
        <v>155</v>
      </c>
      <c r="E165" s="72">
        <v>2</v>
      </c>
      <c r="F165" s="72" t="s">
        <v>834</v>
      </c>
      <c r="G165" s="70">
        <v>11910</v>
      </c>
      <c r="H165" s="70">
        <v>11315</v>
      </c>
      <c r="I165" s="70">
        <v>595</v>
      </c>
      <c r="J165" s="153">
        <v>5.2600000000000001E-2</v>
      </c>
      <c r="K165" s="70">
        <v>23820</v>
      </c>
      <c r="L165" s="70">
        <v>22630</v>
      </c>
      <c r="M165" s="70">
        <v>1190</v>
      </c>
      <c r="N165" s="153">
        <v>0.05</v>
      </c>
      <c r="O165" s="72" t="s">
        <v>843</v>
      </c>
      <c r="P165" s="181" t="s">
        <v>844</v>
      </c>
    </row>
    <row r="166" spans="1:16" x14ac:dyDescent="0.2">
      <c r="A166" s="72" t="s">
        <v>813</v>
      </c>
      <c r="B166" s="72" t="s">
        <v>37</v>
      </c>
      <c r="C166" s="72" t="s">
        <v>154</v>
      </c>
      <c r="D166" s="72" t="s">
        <v>155</v>
      </c>
      <c r="E166" s="72">
        <v>4</v>
      </c>
      <c r="F166" s="72" t="s">
        <v>834</v>
      </c>
      <c r="G166" s="70">
        <v>9200</v>
      </c>
      <c r="H166" s="70">
        <v>8525</v>
      </c>
      <c r="I166" s="70">
        <v>675</v>
      </c>
      <c r="J166" s="153">
        <v>7.9200000000000007E-2</v>
      </c>
      <c r="K166" s="70">
        <v>36800</v>
      </c>
      <c r="L166" s="70">
        <v>34100</v>
      </c>
      <c r="M166" s="70">
        <v>2700</v>
      </c>
      <c r="N166" s="153">
        <v>7.3400000000000007E-2</v>
      </c>
      <c r="O166" s="72" t="s">
        <v>843</v>
      </c>
      <c r="P166" s="181" t="s">
        <v>844</v>
      </c>
    </row>
    <row r="167" spans="1:16" x14ac:dyDescent="0.2">
      <c r="A167" s="72" t="s">
        <v>813</v>
      </c>
      <c r="B167" s="72" t="s">
        <v>45</v>
      </c>
      <c r="C167" s="72" t="s">
        <v>154</v>
      </c>
      <c r="D167" s="72" t="s">
        <v>155</v>
      </c>
      <c r="E167" s="72">
        <v>2</v>
      </c>
      <c r="F167" s="72" t="s">
        <v>834</v>
      </c>
      <c r="G167" s="70">
        <v>13335</v>
      </c>
      <c r="H167" s="70">
        <v>12746</v>
      </c>
      <c r="I167" s="70">
        <v>589</v>
      </c>
      <c r="J167" s="153">
        <v>4.6199999999999998E-2</v>
      </c>
      <c r="K167" s="70">
        <v>26670</v>
      </c>
      <c r="L167" s="70">
        <v>25492</v>
      </c>
      <c r="M167" s="70">
        <v>1178</v>
      </c>
      <c r="N167" s="153">
        <v>4.4200000000000003E-2</v>
      </c>
      <c r="O167" s="72" t="s">
        <v>843</v>
      </c>
      <c r="P167" s="181" t="s">
        <v>844</v>
      </c>
    </row>
    <row r="168" spans="1:16" x14ac:dyDescent="0.2">
      <c r="A168" s="72" t="s">
        <v>813</v>
      </c>
      <c r="B168" s="72" t="s">
        <v>27</v>
      </c>
      <c r="C168" s="72" t="s">
        <v>154</v>
      </c>
      <c r="D168" s="72" t="s">
        <v>155</v>
      </c>
      <c r="E168" s="72">
        <v>10</v>
      </c>
      <c r="F168" s="72" t="s">
        <v>834</v>
      </c>
      <c r="G168" s="70">
        <v>8020</v>
      </c>
      <c r="H168" s="70">
        <v>7685</v>
      </c>
      <c r="I168" s="70">
        <v>335</v>
      </c>
      <c r="J168" s="153">
        <v>4.36E-2</v>
      </c>
      <c r="K168" s="70">
        <v>80200</v>
      </c>
      <c r="L168" s="70">
        <v>76850</v>
      </c>
      <c r="M168" s="70">
        <v>3350</v>
      </c>
      <c r="N168" s="153">
        <v>4.1799999999999997E-2</v>
      </c>
      <c r="O168" s="72" t="s">
        <v>843</v>
      </c>
      <c r="P168" s="181" t="s">
        <v>844</v>
      </c>
    </row>
    <row r="169" spans="1:16" x14ac:dyDescent="0.2">
      <c r="A169" s="72" t="s">
        <v>813</v>
      </c>
      <c r="B169" s="72" t="s">
        <v>22</v>
      </c>
      <c r="C169" s="72" t="s">
        <v>102</v>
      </c>
      <c r="D169" s="72" t="s">
        <v>156</v>
      </c>
      <c r="E169" s="72">
        <v>1</v>
      </c>
      <c r="F169" s="72" t="s">
        <v>834</v>
      </c>
      <c r="G169" s="70">
        <v>9500</v>
      </c>
      <c r="H169" s="70">
        <v>8657</v>
      </c>
      <c r="I169" s="70">
        <v>843</v>
      </c>
      <c r="J169" s="153">
        <v>9.74E-2</v>
      </c>
      <c r="K169" s="70">
        <v>9500</v>
      </c>
      <c r="L169" s="70">
        <v>8657</v>
      </c>
      <c r="M169" s="70">
        <v>843</v>
      </c>
      <c r="N169" s="153">
        <v>8.8700000000000001E-2</v>
      </c>
      <c r="O169" s="72" t="s">
        <v>843</v>
      </c>
      <c r="P169" s="181" t="s">
        <v>844</v>
      </c>
    </row>
    <row r="170" spans="1:16" x14ac:dyDescent="0.2">
      <c r="A170" s="72" t="s">
        <v>813</v>
      </c>
      <c r="B170" s="72" t="s">
        <v>24</v>
      </c>
      <c r="C170" s="72" t="s">
        <v>157</v>
      </c>
      <c r="D170" s="72" t="s">
        <v>158</v>
      </c>
      <c r="E170" s="72">
        <v>30</v>
      </c>
      <c r="F170" s="72" t="s">
        <v>834</v>
      </c>
      <c r="G170" s="70">
        <v>5000</v>
      </c>
      <c r="H170" s="70">
        <v>5200</v>
      </c>
      <c r="I170" s="70">
        <v>-200</v>
      </c>
      <c r="J170" s="153">
        <v>-3.85E-2</v>
      </c>
      <c r="K170" s="70">
        <v>150000</v>
      </c>
      <c r="L170" s="70">
        <v>156000</v>
      </c>
      <c r="M170" s="70">
        <v>-6000</v>
      </c>
      <c r="N170" s="153">
        <v>-0.04</v>
      </c>
      <c r="O170" s="72" t="s">
        <v>843</v>
      </c>
      <c r="P170" s="182" t="s">
        <v>845</v>
      </c>
    </row>
    <row r="171" spans="1:16" x14ac:dyDescent="0.2">
      <c r="A171" s="72" t="s">
        <v>813</v>
      </c>
      <c r="B171" s="72" t="s">
        <v>27</v>
      </c>
      <c r="C171" s="72" t="s">
        <v>157</v>
      </c>
      <c r="D171" s="72" t="s">
        <v>158</v>
      </c>
      <c r="E171" s="72">
        <v>10</v>
      </c>
      <c r="F171" s="72" t="s">
        <v>834</v>
      </c>
      <c r="G171" s="70">
        <v>8020</v>
      </c>
      <c r="H171" s="70">
        <v>7685</v>
      </c>
      <c r="I171" s="70">
        <v>335</v>
      </c>
      <c r="J171" s="153">
        <v>4.36E-2</v>
      </c>
      <c r="K171" s="70">
        <v>80200</v>
      </c>
      <c r="L171" s="70">
        <v>76850</v>
      </c>
      <c r="M171" s="70">
        <v>3350</v>
      </c>
      <c r="N171" s="153">
        <v>4.1799999999999997E-2</v>
      </c>
      <c r="O171" s="72" t="s">
        <v>843</v>
      </c>
      <c r="P171" s="181" t="s">
        <v>844</v>
      </c>
    </row>
    <row r="172" spans="1:16" x14ac:dyDescent="0.2">
      <c r="A172" s="72" t="s">
        <v>813</v>
      </c>
      <c r="B172" s="72" t="s">
        <v>22</v>
      </c>
      <c r="C172" s="72" t="s">
        <v>15</v>
      </c>
      <c r="D172" s="72" t="s">
        <v>159</v>
      </c>
      <c r="E172" s="72">
        <v>4</v>
      </c>
      <c r="F172" s="72" t="s">
        <v>834</v>
      </c>
      <c r="G172" s="70">
        <v>9200</v>
      </c>
      <c r="H172" s="70">
        <v>8657</v>
      </c>
      <c r="I172" s="70">
        <v>543</v>
      </c>
      <c r="J172" s="153">
        <v>6.2700000000000006E-2</v>
      </c>
      <c r="K172" s="70">
        <v>36800</v>
      </c>
      <c r="L172" s="70">
        <v>34628</v>
      </c>
      <c r="M172" s="70">
        <v>2172</v>
      </c>
      <c r="N172" s="153">
        <v>5.8999999999999997E-2</v>
      </c>
      <c r="O172" s="72" t="s">
        <v>843</v>
      </c>
      <c r="P172" s="181" t="s">
        <v>844</v>
      </c>
    </row>
    <row r="173" spans="1:16" x14ac:dyDescent="0.2">
      <c r="A173" s="72" t="s">
        <v>813</v>
      </c>
      <c r="B173" s="72" t="s">
        <v>37</v>
      </c>
      <c r="C173" s="72" t="s">
        <v>15</v>
      </c>
      <c r="D173" s="72" t="s">
        <v>159</v>
      </c>
      <c r="E173" s="72">
        <v>1</v>
      </c>
      <c r="F173" s="72" t="s">
        <v>834</v>
      </c>
      <c r="G173" s="70">
        <v>9200</v>
      </c>
      <c r="H173" s="70">
        <v>8525</v>
      </c>
      <c r="I173" s="70">
        <v>675</v>
      </c>
      <c r="J173" s="153">
        <v>7.9200000000000007E-2</v>
      </c>
      <c r="K173" s="70">
        <v>9200</v>
      </c>
      <c r="L173" s="70">
        <v>8525</v>
      </c>
      <c r="M173" s="70">
        <v>675</v>
      </c>
      <c r="N173" s="153">
        <v>7.3400000000000007E-2</v>
      </c>
      <c r="O173" s="72" t="s">
        <v>843</v>
      </c>
      <c r="P173" s="181" t="s">
        <v>844</v>
      </c>
    </row>
    <row r="174" spans="1:16" x14ac:dyDescent="0.2">
      <c r="A174" s="72" t="s">
        <v>813</v>
      </c>
      <c r="B174" s="72" t="s">
        <v>119</v>
      </c>
      <c r="C174" s="72" t="s">
        <v>104</v>
      </c>
      <c r="D174" s="72" t="s">
        <v>160</v>
      </c>
      <c r="E174" s="72">
        <v>1</v>
      </c>
      <c r="F174" s="72" t="s">
        <v>834</v>
      </c>
      <c r="G174" s="70">
        <v>13125</v>
      </c>
      <c r="H174" s="70">
        <v>12390</v>
      </c>
      <c r="I174" s="70">
        <v>735</v>
      </c>
      <c r="J174" s="153">
        <v>5.9299999999999999E-2</v>
      </c>
      <c r="K174" s="70">
        <v>13125</v>
      </c>
      <c r="L174" s="70">
        <v>12390</v>
      </c>
      <c r="M174" s="70">
        <v>735</v>
      </c>
      <c r="N174" s="153">
        <v>5.6000000000000001E-2</v>
      </c>
      <c r="O174" s="72" t="s">
        <v>843</v>
      </c>
      <c r="P174" s="181" t="s">
        <v>844</v>
      </c>
    </row>
    <row r="175" spans="1:16" x14ac:dyDescent="0.2">
      <c r="A175" s="72" t="s">
        <v>813</v>
      </c>
      <c r="B175" s="72" t="s">
        <v>45</v>
      </c>
      <c r="C175" s="72" t="s">
        <v>78</v>
      </c>
      <c r="D175" s="72" t="s">
        <v>161</v>
      </c>
      <c r="E175" s="72">
        <v>60</v>
      </c>
      <c r="F175" s="72" t="s">
        <v>835</v>
      </c>
      <c r="G175" s="70">
        <v>12930</v>
      </c>
      <c r="H175" s="70">
        <v>12746</v>
      </c>
      <c r="I175" s="70">
        <v>184</v>
      </c>
      <c r="J175" s="153">
        <v>1.44E-2</v>
      </c>
      <c r="K175" s="70">
        <v>775800</v>
      </c>
      <c r="L175" s="70">
        <v>764760</v>
      </c>
      <c r="M175" s="70">
        <v>11040</v>
      </c>
      <c r="N175" s="153">
        <v>1.4200000000000001E-2</v>
      </c>
      <c r="O175" s="72" t="s">
        <v>843</v>
      </c>
      <c r="P175" s="181" t="s">
        <v>844</v>
      </c>
    </row>
    <row r="176" spans="1:16" x14ac:dyDescent="0.2">
      <c r="A176" s="72" t="s">
        <v>813</v>
      </c>
      <c r="B176" s="72" t="s">
        <v>65</v>
      </c>
      <c r="C176" s="72" t="s">
        <v>78</v>
      </c>
      <c r="D176" s="72" t="s">
        <v>161</v>
      </c>
      <c r="E176" s="72">
        <v>2</v>
      </c>
      <c r="F176" s="72" t="s">
        <v>834</v>
      </c>
      <c r="G176" s="70">
        <v>11910</v>
      </c>
      <c r="H176" s="70">
        <v>11315</v>
      </c>
      <c r="I176" s="70">
        <v>595</v>
      </c>
      <c r="J176" s="153">
        <v>5.2600000000000001E-2</v>
      </c>
      <c r="K176" s="70">
        <v>23820</v>
      </c>
      <c r="L176" s="70">
        <v>22630</v>
      </c>
      <c r="M176" s="70">
        <v>1190</v>
      </c>
      <c r="N176" s="153">
        <v>0.05</v>
      </c>
      <c r="O176" s="72" t="s">
        <v>843</v>
      </c>
      <c r="P176" s="181" t="s">
        <v>844</v>
      </c>
    </row>
    <row r="177" spans="1:16" x14ac:dyDescent="0.2">
      <c r="A177" s="72" t="s">
        <v>813</v>
      </c>
      <c r="B177" s="72" t="s">
        <v>69</v>
      </c>
      <c r="C177" s="72" t="s">
        <v>78</v>
      </c>
      <c r="D177" s="72" t="s">
        <v>161</v>
      </c>
      <c r="E177" s="72">
        <v>3</v>
      </c>
      <c r="F177" s="72" t="s">
        <v>834</v>
      </c>
      <c r="G177" s="70">
        <v>14450</v>
      </c>
      <c r="H177" s="70">
        <v>13780</v>
      </c>
      <c r="I177" s="70">
        <v>670</v>
      </c>
      <c r="J177" s="153">
        <v>4.8599999999999997E-2</v>
      </c>
      <c r="K177" s="70">
        <v>43350</v>
      </c>
      <c r="L177" s="70">
        <v>41340</v>
      </c>
      <c r="M177" s="70">
        <v>2010</v>
      </c>
      <c r="N177" s="153">
        <v>4.6399999999999997E-2</v>
      </c>
      <c r="O177" s="72" t="s">
        <v>843</v>
      </c>
      <c r="P177" s="181" t="s">
        <v>844</v>
      </c>
    </row>
    <row r="178" spans="1:16" x14ac:dyDescent="0.2">
      <c r="A178" s="72" t="s">
        <v>813</v>
      </c>
      <c r="B178" s="72" t="s">
        <v>101</v>
      </c>
      <c r="C178" s="72" t="s">
        <v>78</v>
      </c>
      <c r="D178" s="72" t="s">
        <v>161</v>
      </c>
      <c r="E178" s="72">
        <v>5</v>
      </c>
      <c r="F178" s="72" t="s">
        <v>834</v>
      </c>
      <c r="G178" s="70">
        <v>13550</v>
      </c>
      <c r="H178" s="70">
        <v>12920</v>
      </c>
      <c r="I178" s="70">
        <v>630</v>
      </c>
      <c r="J178" s="153">
        <v>4.8800000000000003E-2</v>
      </c>
      <c r="K178" s="70">
        <v>67750</v>
      </c>
      <c r="L178" s="70">
        <v>64600</v>
      </c>
      <c r="M178" s="70">
        <v>3150</v>
      </c>
      <c r="N178" s="153">
        <v>4.65E-2</v>
      </c>
      <c r="O178" s="72" t="s">
        <v>843</v>
      </c>
      <c r="P178" s="181" t="s">
        <v>844</v>
      </c>
    </row>
    <row r="179" spans="1:16" x14ac:dyDescent="0.2">
      <c r="A179" s="72" t="s">
        <v>813</v>
      </c>
      <c r="B179" s="72" t="s">
        <v>24</v>
      </c>
      <c r="C179" s="72" t="s">
        <v>25</v>
      </c>
      <c r="D179" s="72" t="s">
        <v>162</v>
      </c>
      <c r="E179" s="72">
        <v>150</v>
      </c>
      <c r="F179" s="72" t="s">
        <v>835</v>
      </c>
      <c r="G179" s="70">
        <v>5000</v>
      </c>
      <c r="H179" s="70">
        <v>5200</v>
      </c>
      <c r="I179" s="70">
        <v>-200</v>
      </c>
      <c r="J179" s="153">
        <v>-3.85E-2</v>
      </c>
      <c r="K179" s="70">
        <v>750000</v>
      </c>
      <c r="L179" s="70">
        <v>780000</v>
      </c>
      <c r="M179" s="70">
        <v>-30000</v>
      </c>
      <c r="N179" s="153">
        <v>-0.04</v>
      </c>
      <c r="O179" s="72" t="s">
        <v>843</v>
      </c>
      <c r="P179" s="182" t="s">
        <v>845</v>
      </c>
    </row>
    <row r="180" spans="1:16" x14ac:dyDescent="0.2">
      <c r="A180" s="72" t="s">
        <v>813</v>
      </c>
      <c r="B180" s="72" t="s">
        <v>31</v>
      </c>
      <c r="C180" s="72" t="s">
        <v>25</v>
      </c>
      <c r="D180" s="72" t="s">
        <v>162</v>
      </c>
      <c r="E180" s="72">
        <v>5</v>
      </c>
      <c r="F180" s="72" t="s">
        <v>834</v>
      </c>
      <c r="G180" s="70">
        <v>17845</v>
      </c>
      <c r="H180" s="70">
        <v>17100</v>
      </c>
      <c r="I180" s="70">
        <v>745</v>
      </c>
      <c r="J180" s="153">
        <v>4.36E-2</v>
      </c>
      <c r="K180" s="70">
        <v>89225</v>
      </c>
      <c r="L180" s="70">
        <v>85500</v>
      </c>
      <c r="M180" s="70">
        <v>3725</v>
      </c>
      <c r="N180" s="153">
        <v>4.1700000000000001E-2</v>
      </c>
      <c r="O180" s="72" t="s">
        <v>843</v>
      </c>
      <c r="P180" s="181" t="s">
        <v>844</v>
      </c>
    </row>
    <row r="181" spans="1:16" x14ac:dyDescent="0.2">
      <c r="A181" s="72" t="s">
        <v>813</v>
      </c>
      <c r="B181" s="72" t="s">
        <v>22</v>
      </c>
      <c r="C181" s="72" t="s">
        <v>163</v>
      </c>
      <c r="D181" s="72" t="s">
        <v>164</v>
      </c>
      <c r="E181" s="72">
        <v>5</v>
      </c>
      <c r="F181" s="72" t="s">
        <v>834</v>
      </c>
      <c r="G181" s="70">
        <v>9200</v>
      </c>
      <c r="H181" s="70">
        <v>8657</v>
      </c>
      <c r="I181" s="70">
        <v>543</v>
      </c>
      <c r="J181" s="153">
        <v>6.2700000000000006E-2</v>
      </c>
      <c r="K181" s="70">
        <v>46000</v>
      </c>
      <c r="L181" s="70">
        <v>43285</v>
      </c>
      <c r="M181" s="70">
        <v>2715</v>
      </c>
      <c r="N181" s="153">
        <v>5.8999999999999997E-2</v>
      </c>
      <c r="O181" s="72" t="s">
        <v>843</v>
      </c>
      <c r="P181" s="181" t="s">
        <v>844</v>
      </c>
    </row>
    <row r="182" spans="1:16" x14ac:dyDescent="0.2">
      <c r="A182" s="72" t="s">
        <v>813</v>
      </c>
      <c r="B182" s="72" t="s">
        <v>150</v>
      </c>
      <c r="C182" s="72" t="s">
        <v>163</v>
      </c>
      <c r="D182" s="72" t="s">
        <v>164</v>
      </c>
      <c r="E182" s="72">
        <v>2</v>
      </c>
      <c r="F182" s="72" t="s">
        <v>834</v>
      </c>
      <c r="G182" s="70">
        <v>10315</v>
      </c>
      <c r="H182" s="70">
        <v>9925</v>
      </c>
      <c r="I182" s="70">
        <v>390</v>
      </c>
      <c r="J182" s="153">
        <v>3.9300000000000002E-2</v>
      </c>
      <c r="K182" s="70">
        <v>20630</v>
      </c>
      <c r="L182" s="70">
        <v>19850</v>
      </c>
      <c r="M182" s="70">
        <v>780</v>
      </c>
      <c r="N182" s="153">
        <v>3.78E-2</v>
      </c>
      <c r="O182" s="72" t="s">
        <v>843</v>
      </c>
      <c r="P182" s="181" t="s">
        <v>844</v>
      </c>
    </row>
    <row r="183" spans="1:16" x14ac:dyDescent="0.2">
      <c r="A183" s="72" t="s">
        <v>813</v>
      </c>
      <c r="B183" s="72" t="s">
        <v>93</v>
      </c>
      <c r="C183" s="72" t="s">
        <v>163</v>
      </c>
      <c r="D183" s="72" t="s">
        <v>164</v>
      </c>
      <c r="E183" s="72">
        <v>3</v>
      </c>
      <c r="F183" s="72" t="s">
        <v>834</v>
      </c>
      <c r="G183" s="70">
        <v>11600</v>
      </c>
      <c r="H183" s="70">
        <v>11130</v>
      </c>
      <c r="I183" s="70">
        <v>470</v>
      </c>
      <c r="J183" s="153">
        <v>4.2200000000000001E-2</v>
      </c>
      <c r="K183" s="70">
        <v>34800</v>
      </c>
      <c r="L183" s="70">
        <v>33390</v>
      </c>
      <c r="M183" s="70">
        <v>1410</v>
      </c>
      <c r="N183" s="153">
        <v>4.0500000000000001E-2</v>
      </c>
      <c r="O183" s="72" t="s">
        <v>843</v>
      </c>
      <c r="P183" s="181" t="s">
        <v>844</v>
      </c>
    </row>
    <row r="184" spans="1:16" x14ac:dyDescent="0.2">
      <c r="A184" s="72" t="s">
        <v>813</v>
      </c>
      <c r="B184" s="72" t="s">
        <v>141</v>
      </c>
      <c r="C184" s="72" t="s">
        <v>163</v>
      </c>
      <c r="D184" s="72" t="s">
        <v>164</v>
      </c>
      <c r="E184" s="72">
        <v>2</v>
      </c>
      <c r="F184" s="72" t="s">
        <v>834</v>
      </c>
      <c r="G184" s="70">
        <v>14145</v>
      </c>
      <c r="H184" s="70">
        <v>13520</v>
      </c>
      <c r="I184" s="70">
        <v>625</v>
      </c>
      <c r="J184" s="153">
        <v>4.6199999999999998E-2</v>
      </c>
      <c r="K184" s="70">
        <v>28290</v>
      </c>
      <c r="L184" s="70">
        <v>27040</v>
      </c>
      <c r="M184" s="70">
        <v>1250</v>
      </c>
      <c r="N184" s="153">
        <v>4.4200000000000003E-2</v>
      </c>
      <c r="O184" s="72" t="s">
        <v>843</v>
      </c>
      <c r="P184" s="181" t="s">
        <v>844</v>
      </c>
    </row>
    <row r="185" spans="1:16" x14ac:dyDescent="0.2">
      <c r="A185" s="72" t="s">
        <v>813</v>
      </c>
      <c r="B185" s="72" t="s">
        <v>69</v>
      </c>
      <c r="C185" s="72" t="s">
        <v>163</v>
      </c>
      <c r="D185" s="72" t="s">
        <v>164</v>
      </c>
      <c r="E185" s="72">
        <v>1</v>
      </c>
      <c r="F185" s="72" t="s">
        <v>834</v>
      </c>
      <c r="G185" s="70">
        <v>14450</v>
      </c>
      <c r="H185" s="70">
        <v>13780</v>
      </c>
      <c r="I185" s="70">
        <v>670</v>
      </c>
      <c r="J185" s="153">
        <v>4.8599999999999997E-2</v>
      </c>
      <c r="K185" s="70">
        <v>14450</v>
      </c>
      <c r="L185" s="70">
        <v>13780</v>
      </c>
      <c r="M185" s="70">
        <v>670</v>
      </c>
      <c r="N185" s="153">
        <v>4.6399999999999997E-2</v>
      </c>
      <c r="O185" s="72" t="s">
        <v>843</v>
      </c>
      <c r="P185" s="181" t="s">
        <v>844</v>
      </c>
    </row>
    <row r="186" spans="1:16" x14ac:dyDescent="0.2">
      <c r="A186" s="72" t="s">
        <v>813</v>
      </c>
      <c r="B186" s="72" t="s">
        <v>22</v>
      </c>
      <c r="C186" s="72" t="s">
        <v>165</v>
      </c>
      <c r="D186" s="72" t="s">
        <v>166</v>
      </c>
      <c r="E186" s="72">
        <v>300</v>
      </c>
      <c r="F186" s="72" t="s">
        <v>836</v>
      </c>
      <c r="G186" s="70">
        <v>8600</v>
      </c>
      <c r="H186" s="70">
        <v>8657</v>
      </c>
      <c r="I186" s="70">
        <v>-57</v>
      </c>
      <c r="J186" s="153">
        <v>-6.6E-3</v>
      </c>
      <c r="K186" s="70">
        <v>2580000</v>
      </c>
      <c r="L186" s="70">
        <v>2597100</v>
      </c>
      <c r="M186" s="70">
        <v>-17100</v>
      </c>
      <c r="N186" s="153">
        <v>-6.6E-3</v>
      </c>
      <c r="O186" s="72" t="s">
        <v>843</v>
      </c>
      <c r="P186" s="182" t="s">
        <v>845</v>
      </c>
    </row>
    <row r="187" spans="1:16" x14ac:dyDescent="0.2">
      <c r="A187" s="72" t="s">
        <v>813</v>
      </c>
      <c r="B187" s="72" t="s">
        <v>37</v>
      </c>
      <c r="C187" s="72" t="s">
        <v>165</v>
      </c>
      <c r="D187" s="72" t="s">
        <v>166</v>
      </c>
      <c r="E187" s="72">
        <v>50</v>
      </c>
      <c r="F187" s="72" t="s">
        <v>835</v>
      </c>
      <c r="G187" s="70">
        <v>8880</v>
      </c>
      <c r="H187" s="70">
        <v>8525</v>
      </c>
      <c r="I187" s="70">
        <v>355</v>
      </c>
      <c r="J187" s="153">
        <v>4.1599999999999998E-2</v>
      </c>
      <c r="K187" s="70">
        <v>444000</v>
      </c>
      <c r="L187" s="70">
        <v>426250</v>
      </c>
      <c r="M187" s="70">
        <v>17750</v>
      </c>
      <c r="N187" s="153">
        <v>0.04</v>
      </c>
      <c r="O187" s="72" t="s">
        <v>843</v>
      </c>
      <c r="P187" s="181" t="s">
        <v>844</v>
      </c>
    </row>
    <row r="188" spans="1:16" x14ac:dyDescent="0.2">
      <c r="A188" s="72" t="s">
        <v>813</v>
      </c>
      <c r="B188" s="72" t="s">
        <v>45</v>
      </c>
      <c r="C188" s="72" t="s">
        <v>168</v>
      </c>
      <c r="D188" s="72" t="s">
        <v>169</v>
      </c>
      <c r="E188" s="72">
        <v>60</v>
      </c>
      <c r="F188" s="72" t="s">
        <v>835</v>
      </c>
      <c r="G188" s="70">
        <v>12930</v>
      </c>
      <c r="H188" s="70">
        <v>12746</v>
      </c>
      <c r="I188" s="70">
        <v>184</v>
      </c>
      <c r="J188" s="153">
        <v>1.44E-2</v>
      </c>
      <c r="K188" s="70">
        <v>775800</v>
      </c>
      <c r="L188" s="70">
        <v>764760</v>
      </c>
      <c r="M188" s="70">
        <v>11040</v>
      </c>
      <c r="N188" s="153">
        <v>1.4200000000000001E-2</v>
      </c>
      <c r="O188" s="72" t="s">
        <v>843</v>
      </c>
      <c r="P188" s="181" t="s">
        <v>844</v>
      </c>
    </row>
    <row r="189" spans="1:16" x14ac:dyDescent="0.2">
      <c r="A189" s="72" t="s">
        <v>813</v>
      </c>
      <c r="B189" s="72" t="s">
        <v>65</v>
      </c>
      <c r="C189" s="72" t="s">
        <v>59</v>
      </c>
      <c r="D189" s="72" t="s">
        <v>171</v>
      </c>
      <c r="E189" s="72">
        <v>10</v>
      </c>
      <c r="F189" s="72" t="s">
        <v>834</v>
      </c>
      <c r="G189" s="70">
        <v>11910</v>
      </c>
      <c r="H189" s="70">
        <v>11315</v>
      </c>
      <c r="I189" s="70">
        <v>595</v>
      </c>
      <c r="J189" s="153">
        <v>5.2600000000000001E-2</v>
      </c>
      <c r="K189" s="70">
        <v>119100</v>
      </c>
      <c r="L189" s="70">
        <v>113150</v>
      </c>
      <c r="M189" s="70">
        <v>5950</v>
      </c>
      <c r="N189" s="153">
        <v>0.05</v>
      </c>
      <c r="O189" s="72" t="s">
        <v>843</v>
      </c>
      <c r="P189" s="181" t="s">
        <v>844</v>
      </c>
    </row>
    <row r="190" spans="1:16" x14ac:dyDescent="0.2">
      <c r="A190" s="72" t="s">
        <v>813</v>
      </c>
      <c r="B190" s="72" t="s">
        <v>80</v>
      </c>
      <c r="C190" s="72" t="s">
        <v>59</v>
      </c>
      <c r="D190" s="72" t="s">
        <v>171</v>
      </c>
      <c r="E190" s="72">
        <v>10</v>
      </c>
      <c r="F190" s="72" t="s">
        <v>834</v>
      </c>
      <c r="G190" s="70">
        <v>9345</v>
      </c>
      <c r="H190" s="70">
        <v>8970</v>
      </c>
      <c r="I190" s="70">
        <v>375</v>
      </c>
      <c r="J190" s="153">
        <v>4.1799999999999997E-2</v>
      </c>
      <c r="K190" s="70">
        <v>93450</v>
      </c>
      <c r="L190" s="70">
        <v>89700</v>
      </c>
      <c r="M190" s="70">
        <v>3750</v>
      </c>
      <c r="N190" s="153">
        <v>4.0099999999999997E-2</v>
      </c>
      <c r="O190" s="72" t="s">
        <v>843</v>
      </c>
      <c r="P190" s="181" t="s">
        <v>844</v>
      </c>
    </row>
    <row r="191" spans="1:16" x14ac:dyDescent="0.2">
      <c r="A191" s="72" t="s">
        <v>813</v>
      </c>
      <c r="B191" s="72" t="s">
        <v>141</v>
      </c>
      <c r="C191" s="72" t="s">
        <v>59</v>
      </c>
      <c r="D191" s="72" t="s">
        <v>171</v>
      </c>
      <c r="E191" s="72">
        <v>5</v>
      </c>
      <c r="F191" s="72" t="s">
        <v>834</v>
      </c>
      <c r="G191" s="70">
        <v>14145</v>
      </c>
      <c r="H191" s="70">
        <v>13520</v>
      </c>
      <c r="I191" s="70">
        <v>625</v>
      </c>
      <c r="J191" s="153">
        <v>4.6199999999999998E-2</v>
      </c>
      <c r="K191" s="70">
        <v>70725</v>
      </c>
      <c r="L191" s="70">
        <v>67600</v>
      </c>
      <c r="M191" s="70">
        <v>3125</v>
      </c>
      <c r="N191" s="153">
        <v>4.4200000000000003E-2</v>
      </c>
      <c r="O191" s="72" t="s">
        <v>843</v>
      </c>
      <c r="P191" s="181" t="s">
        <v>844</v>
      </c>
    </row>
    <row r="192" spans="1:16" x14ac:dyDescent="0.2">
      <c r="A192" s="72" t="s">
        <v>813</v>
      </c>
      <c r="B192" s="72" t="s">
        <v>36</v>
      </c>
      <c r="C192" s="72" t="s">
        <v>59</v>
      </c>
      <c r="D192" s="72" t="s">
        <v>171</v>
      </c>
      <c r="E192" s="72">
        <v>6</v>
      </c>
      <c r="F192" s="72" t="s">
        <v>834</v>
      </c>
      <c r="G192" s="70">
        <v>15525</v>
      </c>
      <c r="H192" s="70">
        <v>14900</v>
      </c>
      <c r="I192" s="70">
        <v>625</v>
      </c>
      <c r="J192" s="153">
        <v>4.19E-2</v>
      </c>
      <c r="K192" s="70">
        <v>93150</v>
      </c>
      <c r="L192" s="70">
        <v>89400</v>
      </c>
      <c r="M192" s="70">
        <v>3750</v>
      </c>
      <c r="N192" s="153">
        <v>4.0300000000000002E-2</v>
      </c>
      <c r="O192" s="72" t="s">
        <v>843</v>
      </c>
      <c r="P192" s="181" t="s">
        <v>844</v>
      </c>
    </row>
    <row r="193" spans="1:16" x14ac:dyDescent="0.2">
      <c r="A193" s="72" t="s">
        <v>813</v>
      </c>
      <c r="B193" s="72" t="s">
        <v>62</v>
      </c>
      <c r="C193" s="72" t="s">
        <v>59</v>
      </c>
      <c r="D193" s="72" t="s">
        <v>171</v>
      </c>
      <c r="E193" s="72">
        <v>5</v>
      </c>
      <c r="F193" s="72" t="s">
        <v>834</v>
      </c>
      <c r="G193" s="70">
        <v>20655</v>
      </c>
      <c r="H193" s="70">
        <v>19305</v>
      </c>
      <c r="I193" s="70">
        <v>1350</v>
      </c>
      <c r="J193" s="153">
        <v>6.9900000000000004E-2</v>
      </c>
      <c r="K193" s="70">
        <v>103275</v>
      </c>
      <c r="L193" s="70">
        <v>96525</v>
      </c>
      <c r="M193" s="70">
        <v>6750</v>
      </c>
      <c r="N193" s="153">
        <v>6.54E-2</v>
      </c>
      <c r="O193" s="72" t="s">
        <v>843</v>
      </c>
      <c r="P193" s="181" t="s">
        <v>844</v>
      </c>
    </row>
    <row r="194" spans="1:16" x14ac:dyDescent="0.2">
      <c r="A194" s="72" t="s">
        <v>813</v>
      </c>
      <c r="B194" s="72" t="s">
        <v>24</v>
      </c>
      <c r="C194" s="72" t="s">
        <v>157</v>
      </c>
      <c r="D194" s="72" t="s">
        <v>172</v>
      </c>
      <c r="E194" s="72">
        <v>10</v>
      </c>
      <c r="F194" s="72" t="s">
        <v>834</v>
      </c>
      <c r="G194" s="70">
        <v>5000</v>
      </c>
      <c r="H194" s="70">
        <v>5200</v>
      </c>
      <c r="I194" s="70">
        <v>-200</v>
      </c>
      <c r="J194" s="153">
        <v>-3.85E-2</v>
      </c>
      <c r="K194" s="70">
        <v>50000</v>
      </c>
      <c r="L194" s="70">
        <v>52000</v>
      </c>
      <c r="M194" s="70">
        <v>-2000</v>
      </c>
      <c r="N194" s="153">
        <v>-0.04</v>
      </c>
      <c r="O194" s="72" t="s">
        <v>843</v>
      </c>
      <c r="P194" s="182" t="s">
        <v>845</v>
      </c>
    </row>
    <row r="195" spans="1:16" x14ac:dyDescent="0.2">
      <c r="A195" s="72" t="s">
        <v>837</v>
      </c>
      <c r="B195" s="72" t="s">
        <v>45</v>
      </c>
      <c r="C195" s="72" t="s">
        <v>152</v>
      </c>
      <c r="D195" s="72" t="s">
        <v>175</v>
      </c>
      <c r="E195" s="72">
        <v>60</v>
      </c>
      <c r="F195" s="72" t="s">
        <v>835</v>
      </c>
      <c r="G195" s="70">
        <v>12930</v>
      </c>
      <c r="H195" s="70">
        <v>12746</v>
      </c>
      <c r="I195" s="70">
        <v>184</v>
      </c>
      <c r="J195" s="153">
        <v>1.44E-2</v>
      </c>
      <c r="K195" s="70">
        <v>775800</v>
      </c>
      <c r="L195" s="70">
        <v>764760</v>
      </c>
      <c r="M195" s="70">
        <v>11040</v>
      </c>
      <c r="N195" s="153">
        <v>1.4200000000000001E-2</v>
      </c>
      <c r="O195" s="72" t="s">
        <v>843</v>
      </c>
      <c r="P195" s="181" t="s">
        <v>844</v>
      </c>
    </row>
    <row r="196" spans="1:16" x14ac:dyDescent="0.2">
      <c r="A196" s="72" t="s">
        <v>837</v>
      </c>
      <c r="B196" s="72" t="s">
        <v>34</v>
      </c>
      <c r="C196" s="72" t="s">
        <v>29</v>
      </c>
      <c r="D196" s="72" t="s">
        <v>176</v>
      </c>
      <c r="E196" s="72">
        <v>10</v>
      </c>
      <c r="F196" s="72" t="s">
        <v>834</v>
      </c>
      <c r="G196" s="70">
        <v>21695</v>
      </c>
      <c r="H196" s="70">
        <v>21595</v>
      </c>
      <c r="I196" s="70">
        <v>100</v>
      </c>
      <c r="J196" s="153">
        <v>4.5999999999999999E-3</v>
      </c>
      <c r="K196" s="70">
        <v>216950</v>
      </c>
      <c r="L196" s="70">
        <v>215950</v>
      </c>
      <c r="M196" s="70">
        <v>1000</v>
      </c>
      <c r="N196" s="153">
        <v>4.5999999999999999E-3</v>
      </c>
      <c r="O196" s="72" t="s">
        <v>843</v>
      </c>
      <c r="P196" s="181" t="s">
        <v>844</v>
      </c>
    </row>
    <row r="197" spans="1:16" x14ac:dyDescent="0.2">
      <c r="A197" s="72" t="s">
        <v>837</v>
      </c>
      <c r="B197" s="72" t="s">
        <v>69</v>
      </c>
      <c r="C197" s="72" t="s">
        <v>50</v>
      </c>
      <c r="D197" s="72" t="s">
        <v>177</v>
      </c>
      <c r="E197" s="72">
        <v>2</v>
      </c>
      <c r="F197" s="72" t="s">
        <v>834</v>
      </c>
      <c r="G197" s="70">
        <v>14450</v>
      </c>
      <c r="H197" s="70">
        <v>13780</v>
      </c>
      <c r="I197" s="70">
        <v>670</v>
      </c>
      <c r="J197" s="153">
        <v>4.8599999999999997E-2</v>
      </c>
      <c r="K197" s="70">
        <v>28900</v>
      </c>
      <c r="L197" s="70">
        <v>27560</v>
      </c>
      <c r="M197" s="70">
        <v>1340</v>
      </c>
      <c r="N197" s="153">
        <v>4.6399999999999997E-2</v>
      </c>
      <c r="O197" s="72" t="s">
        <v>843</v>
      </c>
      <c r="P197" s="181" t="s">
        <v>844</v>
      </c>
    </row>
    <row r="198" spans="1:16" x14ac:dyDescent="0.2">
      <c r="A198" s="72" t="s">
        <v>837</v>
      </c>
      <c r="B198" s="72" t="s">
        <v>150</v>
      </c>
      <c r="C198" s="72" t="s">
        <v>50</v>
      </c>
      <c r="D198" s="72" t="s">
        <v>177</v>
      </c>
      <c r="E198" s="72">
        <v>2</v>
      </c>
      <c r="F198" s="72" t="s">
        <v>834</v>
      </c>
      <c r="G198" s="70">
        <v>10315</v>
      </c>
      <c r="H198" s="70">
        <v>9925</v>
      </c>
      <c r="I198" s="70">
        <v>390</v>
      </c>
      <c r="J198" s="153">
        <v>3.9300000000000002E-2</v>
      </c>
      <c r="K198" s="70">
        <v>20630</v>
      </c>
      <c r="L198" s="70">
        <v>19850</v>
      </c>
      <c r="M198" s="70">
        <v>780</v>
      </c>
      <c r="N198" s="153">
        <v>3.78E-2</v>
      </c>
      <c r="O198" s="72" t="s">
        <v>843</v>
      </c>
      <c r="P198" s="181" t="s">
        <v>844</v>
      </c>
    </row>
    <row r="199" spans="1:16" x14ac:dyDescent="0.2">
      <c r="A199" s="72" t="s">
        <v>837</v>
      </c>
      <c r="B199" s="72" t="s">
        <v>70</v>
      </c>
      <c r="C199" s="72" t="s">
        <v>50</v>
      </c>
      <c r="D199" s="72" t="s">
        <v>177</v>
      </c>
      <c r="E199" s="72">
        <v>3</v>
      </c>
      <c r="F199" s="72" t="s">
        <v>834</v>
      </c>
      <c r="G199" s="70">
        <v>13350</v>
      </c>
      <c r="H199" s="70">
        <v>12855</v>
      </c>
      <c r="I199" s="70">
        <v>495</v>
      </c>
      <c r="J199" s="153">
        <v>3.85E-2</v>
      </c>
      <c r="K199" s="70">
        <v>40050</v>
      </c>
      <c r="L199" s="70">
        <v>38565</v>
      </c>
      <c r="M199" s="70">
        <v>1485</v>
      </c>
      <c r="N199" s="153">
        <v>3.7100000000000001E-2</v>
      </c>
      <c r="O199" s="72" t="s">
        <v>843</v>
      </c>
      <c r="P199" s="181" t="s">
        <v>844</v>
      </c>
    </row>
    <row r="200" spans="1:16" x14ac:dyDescent="0.2">
      <c r="A200" s="72" t="s">
        <v>837</v>
      </c>
      <c r="B200" s="72" t="s">
        <v>62</v>
      </c>
      <c r="C200" s="72" t="s">
        <v>50</v>
      </c>
      <c r="D200" s="72" t="s">
        <v>177</v>
      </c>
      <c r="E200" s="72">
        <v>3</v>
      </c>
      <c r="F200" s="72" t="s">
        <v>834</v>
      </c>
      <c r="G200" s="70">
        <v>20655</v>
      </c>
      <c r="H200" s="70">
        <v>19305</v>
      </c>
      <c r="I200" s="70">
        <v>1350</v>
      </c>
      <c r="J200" s="153">
        <v>6.9900000000000004E-2</v>
      </c>
      <c r="K200" s="70">
        <v>61965</v>
      </c>
      <c r="L200" s="70">
        <v>57915</v>
      </c>
      <c r="M200" s="70">
        <v>4050</v>
      </c>
      <c r="N200" s="153">
        <v>6.54E-2</v>
      </c>
      <c r="O200" s="72" t="s">
        <v>843</v>
      </c>
      <c r="P200" s="181" t="s">
        <v>844</v>
      </c>
    </row>
    <row r="201" spans="1:16" x14ac:dyDescent="0.2">
      <c r="A201" s="72" t="s">
        <v>837</v>
      </c>
      <c r="B201" s="72" t="s">
        <v>65</v>
      </c>
      <c r="C201" s="72" t="s">
        <v>50</v>
      </c>
      <c r="D201" s="72" t="s">
        <v>177</v>
      </c>
      <c r="E201" s="72">
        <v>10</v>
      </c>
      <c r="F201" s="72" t="s">
        <v>834</v>
      </c>
      <c r="G201" s="70">
        <v>11910</v>
      </c>
      <c r="H201" s="70">
        <v>11315</v>
      </c>
      <c r="I201" s="70">
        <v>595</v>
      </c>
      <c r="J201" s="153">
        <v>5.2600000000000001E-2</v>
      </c>
      <c r="K201" s="70">
        <v>119100</v>
      </c>
      <c r="L201" s="70">
        <v>113150</v>
      </c>
      <c r="M201" s="70">
        <v>5950</v>
      </c>
      <c r="N201" s="153">
        <v>0.05</v>
      </c>
      <c r="O201" s="72" t="s">
        <v>843</v>
      </c>
      <c r="P201" s="181" t="s">
        <v>844</v>
      </c>
    </row>
    <row r="202" spans="1:16" x14ac:dyDescent="0.2">
      <c r="A202" s="72" t="s">
        <v>837</v>
      </c>
      <c r="B202" s="72" t="s">
        <v>36</v>
      </c>
      <c r="C202" s="72" t="s">
        <v>50</v>
      </c>
      <c r="D202" s="72" t="s">
        <v>177</v>
      </c>
      <c r="E202" s="72">
        <v>4</v>
      </c>
      <c r="F202" s="72" t="s">
        <v>834</v>
      </c>
      <c r="G202" s="70">
        <v>15525</v>
      </c>
      <c r="H202" s="70">
        <v>14900</v>
      </c>
      <c r="I202" s="70">
        <v>625</v>
      </c>
      <c r="J202" s="153">
        <v>4.19E-2</v>
      </c>
      <c r="K202" s="70">
        <v>62100</v>
      </c>
      <c r="L202" s="70">
        <v>59600</v>
      </c>
      <c r="M202" s="70">
        <v>2500</v>
      </c>
      <c r="N202" s="153">
        <v>4.0300000000000002E-2</v>
      </c>
      <c r="O202" s="72" t="s">
        <v>843</v>
      </c>
      <c r="P202" s="181" t="s">
        <v>844</v>
      </c>
    </row>
    <row r="203" spans="1:16" x14ac:dyDescent="0.2">
      <c r="A203" s="72" t="s">
        <v>837</v>
      </c>
      <c r="B203" s="72" t="s">
        <v>44</v>
      </c>
      <c r="C203" s="72" t="s">
        <v>50</v>
      </c>
      <c r="D203" s="72" t="s">
        <v>177</v>
      </c>
      <c r="E203" s="72">
        <v>2</v>
      </c>
      <c r="F203" s="72" t="s">
        <v>834</v>
      </c>
      <c r="G203" s="70">
        <v>9200</v>
      </c>
      <c r="H203" s="70">
        <v>8990</v>
      </c>
      <c r="I203" s="70">
        <v>210</v>
      </c>
      <c r="J203" s="153">
        <v>2.3400000000000001E-2</v>
      </c>
      <c r="K203" s="70">
        <v>18400</v>
      </c>
      <c r="L203" s="70">
        <v>17980</v>
      </c>
      <c r="M203" s="70">
        <v>420</v>
      </c>
      <c r="N203" s="153">
        <v>2.2800000000000001E-2</v>
      </c>
      <c r="O203" s="72" t="s">
        <v>843</v>
      </c>
      <c r="P203" s="181" t="s">
        <v>844</v>
      </c>
    </row>
    <row r="204" spans="1:16" x14ac:dyDescent="0.2">
      <c r="A204" s="72" t="s">
        <v>837</v>
      </c>
      <c r="B204" s="72" t="s">
        <v>27</v>
      </c>
      <c r="C204" s="72" t="s">
        <v>50</v>
      </c>
      <c r="D204" s="72" t="s">
        <v>177</v>
      </c>
      <c r="E204" s="72">
        <v>30</v>
      </c>
      <c r="F204" s="72" t="s">
        <v>834</v>
      </c>
      <c r="G204" s="70">
        <v>8020</v>
      </c>
      <c r="H204" s="70">
        <v>7685</v>
      </c>
      <c r="I204" s="70">
        <v>335</v>
      </c>
      <c r="J204" s="153">
        <v>4.36E-2</v>
      </c>
      <c r="K204" s="70">
        <v>240600</v>
      </c>
      <c r="L204" s="70">
        <v>230550</v>
      </c>
      <c r="M204" s="70">
        <v>10050</v>
      </c>
      <c r="N204" s="153">
        <v>4.1799999999999997E-2</v>
      </c>
      <c r="O204" s="72" t="s">
        <v>843</v>
      </c>
      <c r="P204" s="181" t="s">
        <v>844</v>
      </c>
    </row>
    <row r="205" spans="1:16" x14ac:dyDescent="0.2">
      <c r="A205" s="72" t="s">
        <v>837</v>
      </c>
      <c r="B205" s="72" t="s">
        <v>178</v>
      </c>
      <c r="C205" s="72" t="s">
        <v>50</v>
      </c>
      <c r="D205" s="72" t="s">
        <v>177</v>
      </c>
      <c r="E205" s="72">
        <v>20</v>
      </c>
      <c r="F205" s="72" t="s">
        <v>834</v>
      </c>
      <c r="G205" s="70">
        <v>23770</v>
      </c>
      <c r="H205" s="70">
        <v>22775</v>
      </c>
      <c r="I205" s="70">
        <v>995</v>
      </c>
      <c r="J205" s="153">
        <v>4.3700000000000003E-2</v>
      </c>
      <c r="K205" s="70">
        <v>475400</v>
      </c>
      <c r="L205" s="70">
        <v>455500</v>
      </c>
      <c r="M205" s="70">
        <v>19900</v>
      </c>
      <c r="N205" s="153">
        <v>4.19E-2</v>
      </c>
      <c r="O205" s="72" t="s">
        <v>843</v>
      </c>
      <c r="P205" s="181" t="s">
        <v>844</v>
      </c>
    </row>
    <row r="206" spans="1:16" x14ac:dyDescent="0.2">
      <c r="A206" s="72" t="s">
        <v>837</v>
      </c>
      <c r="B206" s="72" t="s">
        <v>80</v>
      </c>
      <c r="C206" s="72" t="s">
        <v>50</v>
      </c>
      <c r="D206" s="72" t="s">
        <v>177</v>
      </c>
      <c r="E206" s="72">
        <v>2</v>
      </c>
      <c r="F206" s="72" t="s">
        <v>834</v>
      </c>
      <c r="G206" s="70">
        <v>9345</v>
      </c>
      <c r="H206" s="70">
        <v>8970</v>
      </c>
      <c r="I206" s="70">
        <v>375</v>
      </c>
      <c r="J206" s="153">
        <v>4.1799999999999997E-2</v>
      </c>
      <c r="K206" s="70">
        <v>18690</v>
      </c>
      <c r="L206" s="70">
        <v>17940</v>
      </c>
      <c r="M206" s="70">
        <v>750</v>
      </c>
      <c r="N206" s="153">
        <v>4.0099999999999997E-2</v>
      </c>
      <c r="O206" s="72" t="s">
        <v>843</v>
      </c>
      <c r="P206" s="181" t="s">
        <v>844</v>
      </c>
    </row>
    <row r="207" spans="1:16" x14ac:dyDescent="0.2">
      <c r="A207" s="72" t="s">
        <v>837</v>
      </c>
      <c r="B207" s="72" t="s">
        <v>35</v>
      </c>
      <c r="C207" s="72" t="s">
        <v>50</v>
      </c>
      <c r="D207" s="72" t="s">
        <v>177</v>
      </c>
      <c r="E207" s="72">
        <v>5</v>
      </c>
      <c r="F207" s="72" t="s">
        <v>834</v>
      </c>
      <c r="G207" s="70">
        <v>21170</v>
      </c>
      <c r="H207" s="70">
        <v>20405</v>
      </c>
      <c r="I207" s="70">
        <v>765</v>
      </c>
      <c r="J207" s="153">
        <v>3.7499999999999999E-2</v>
      </c>
      <c r="K207" s="70">
        <v>105850</v>
      </c>
      <c r="L207" s="70">
        <v>102025</v>
      </c>
      <c r="M207" s="70">
        <v>3825</v>
      </c>
      <c r="N207" s="153">
        <v>3.61E-2</v>
      </c>
      <c r="O207" s="72" t="s">
        <v>843</v>
      </c>
      <c r="P207" s="181" t="s">
        <v>844</v>
      </c>
    </row>
    <row r="208" spans="1:16" x14ac:dyDescent="0.2">
      <c r="A208" s="72" t="s">
        <v>837</v>
      </c>
      <c r="B208" s="72" t="s">
        <v>65</v>
      </c>
      <c r="C208" s="72" t="s">
        <v>157</v>
      </c>
      <c r="D208" s="72" t="s">
        <v>179</v>
      </c>
      <c r="E208" s="72">
        <v>3</v>
      </c>
      <c r="F208" s="72" t="s">
        <v>834</v>
      </c>
      <c r="G208" s="70">
        <v>11910</v>
      </c>
      <c r="H208" s="70">
        <v>11315</v>
      </c>
      <c r="I208" s="70">
        <v>595</v>
      </c>
      <c r="J208" s="153">
        <v>5.2600000000000001E-2</v>
      </c>
      <c r="K208" s="70">
        <v>35730</v>
      </c>
      <c r="L208" s="70">
        <v>33945</v>
      </c>
      <c r="M208" s="70">
        <v>1785</v>
      </c>
      <c r="N208" s="153">
        <v>0.05</v>
      </c>
      <c r="O208" s="72" t="s">
        <v>843</v>
      </c>
      <c r="P208" s="181" t="s">
        <v>844</v>
      </c>
    </row>
    <row r="209" spans="1:16" x14ac:dyDescent="0.2">
      <c r="A209" s="72" t="s">
        <v>837</v>
      </c>
      <c r="B209" s="72" t="s">
        <v>80</v>
      </c>
      <c r="C209" s="72" t="s">
        <v>157</v>
      </c>
      <c r="D209" s="72" t="s">
        <v>179</v>
      </c>
      <c r="E209" s="72">
        <v>3</v>
      </c>
      <c r="F209" s="72" t="s">
        <v>834</v>
      </c>
      <c r="G209" s="70">
        <v>9345</v>
      </c>
      <c r="H209" s="70">
        <v>8970</v>
      </c>
      <c r="I209" s="70">
        <v>375</v>
      </c>
      <c r="J209" s="153">
        <v>4.1799999999999997E-2</v>
      </c>
      <c r="K209" s="70">
        <v>28035</v>
      </c>
      <c r="L209" s="70">
        <v>26910</v>
      </c>
      <c r="M209" s="70">
        <v>1125</v>
      </c>
      <c r="N209" s="153">
        <v>4.0099999999999997E-2</v>
      </c>
      <c r="O209" s="72" t="s">
        <v>843</v>
      </c>
      <c r="P209" s="181" t="s">
        <v>844</v>
      </c>
    </row>
    <row r="210" spans="1:16" x14ac:dyDescent="0.2">
      <c r="A210" s="72" t="s">
        <v>837</v>
      </c>
      <c r="B210" s="72" t="s">
        <v>36</v>
      </c>
      <c r="C210" s="72" t="s">
        <v>157</v>
      </c>
      <c r="D210" s="72" t="s">
        <v>179</v>
      </c>
      <c r="E210" s="72">
        <v>2</v>
      </c>
      <c r="F210" s="72" t="s">
        <v>834</v>
      </c>
      <c r="G210" s="70">
        <v>15525</v>
      </c>
      <c r="H210" s="70">
        <v>14900</v>
      </c>
      <c r="I210" s="70">
        <v>625</v>
      </c>
      <c r="J210" s="153">
        <v>4.19E-2</v>
      </c>
      <c r="K210" s="70">
        <v>31050</v>
      </c>
      <c r="L210" s="70">
        <v>29800</v>
      </c>
      <c r="M210" s="70">
        <v>1250</v>
      </c>
      <c r="N210" s="153">
        <v>4.0300000000000002E-2</v>
      </c>
      <c r="O210" s="72" t="s">
        <v>843</v>
      </c>
      <c r="P210" s="181" t="s">
        <v>844</v>
      </c>
    </row>
    <row r="211" spans="1:16" x14ac:dyDescent="0.2">
      <c r="A211" s="72" t="s">
        <v>837</v>
      </c>
      <c r="B211" s="72" t="s">
        <v>37</v>
      </c>
      <c r="C211" s="72" t="s">
        <v>157</v>
      </c>
      <c r="D211" s="72" t="s">
        <v>179</v>
      </c>
      <c r="E211" s="72">
        <v>3</v>
      </c>
      <c r="F211" s="72" t="s">
        <v>834</v>
      </c>
      <c r="G211" s="70">
        <v>8880</v>
      </c>
      <c r="H211" s="70">
        <v>8525</v>
      </c>
      <c r="I211" s="70">
        <v>355</v>
      </c>
      <c r="J211" s="153">
        <v>4.1599999999999998E-2</v>
      </c>
      <c r="K211" s="70">
        <v>26640</v>
      </c>
      <c r="L211" s="70">
        <v>25575</v>
      </c>
      <c r="M211" s="70">
        <v>1065</v>
      </c>
      <c r="N211" s="153">
        <v>0.04</v>
      </c>
      <c r="O211" s="72" t="s">
        <v>843</v>
      </c>
      <c r="P211" s="181" t="s">
        <v>844</v>
      </c>
    </row>
    <row r="212" spans="1:16" x14ac:dyDescent="0.2">
      <c r="A212" s="72" t="s">
        <v>837</v>
      </c>
      <c r="B212" s="72" t="s">
        <v>21</v>
      </c>
      <c r="C212" s="72" t="s">
        <v>81</v>
      </c>
      <c r="D212" s="72" t="s">
        <v>180</v>
      </c>
      <c r="E212" s="72">
        <v>4</v>
      </c>
      <c r="F212" s="72" t="s">
        <v>834</v>
      </c>
      <c r="G212" s="70">
        <v>8500</v>
      </c>
      <c r="H212" s="70">
        <v>8118</v>
      </c>
      <c r="I212" s="70">
        <v>382</v>
      </c>
      <c r="J212" s="153">
        <v>4.7100000000000003E-2</v>
      </c>
      <c r="K212" s="70">
        <v>34000</v>
      </c>
      <c r="L212" s="70">
        <v>32472</v>
      </c>
      <c r="M212" s="70">
        <v>1528</v>
      </c>
      <c r="N212" s="153">
        <v>4.4900000000000002E-2</v>
      </c>
      <c r="O212" s="72" t="s">
        <v>843</v>
      </c>
      <c r="P212" s="181" t="s">
        <v>844</v>
      </c>
    </row>
    <row r="213" spans="1:16" x14ac:dyDescent="0.2">
      <c r="A213" s="72" t="s">
        <v>837</v>
      </c>
      <c r="B213" s="72" t="s">
        <v>22</v>
      </c>
      <c r="C213" s="72" t="s">
        <v>81</v>
      </c>
      <c r="D213" s="72" t="s">
        <v>180</v>
      </c>
      <c r="E213" s="72">
        <v>2</v>
      </c>
      <c r="F213" s="72" t="s">
        <v>834</v>
      </c>
      <c r="G213" s="70">
        <v>9200</v>
      </c>
      <c r="H213" s="70">
        <v>8657</v>
      </c>
      <c r="I213" s="70">
        <v>543</v>
      </c>
      <c r="J213" s="153">
        <v>6.2700000000000006E-2</v>
      </c>
      <c r="K213" s="70">
        <v>18400</v>
      </c>
      <c r="L213" s="70">
        <v>17314</v>
      </c>
      <c r="M213" s="70">
        <v>1086</v>
      </c>
      <c r="N213" s="153">
        <v>5.8999999999999997E-2</v>
      </c>
      <c r="O213" s="72" t="s">
        <v>843</v>
      </c>
      <c r="P213" s="181" t="s">
        <v>844</v>
      </c>
    </row>
    <row r="214" spans="1:16" x14ac:dyDescent="0.2">
      <c r="A214" s="72" t="s">
        <v>837</v>
      </c>
      <c r="B214" s="72" t="s">
        <v>181</v>
      </c>
      <c r="C214" s="72" t="s">
        <v>81</v>
      </c>
      <c r="D214" s="72" t="s">
        <v>180</v>
      </c>
      <c r="E214" s="72">
        <v>1</v>
      </c>
      <c r="F214" s="72" t="s">
        <v>834</v>
      </c>
      <c r="G214" s="70">
        <v>17000</v>
      </c>
      <c r="H214" s="70">
        <v>16350</v>
      </c>
      <c r="I214" s="70">
        <v>650</v>
      </c>
      <c r="J214" s="153">
        <v>3.9800000000000002E-2</v>
      </c>
      <c r="K214" s="70">
        <v>17000</v>
      </c>
      <c r="L214" s="70">
        <v>16350</v>
      </c>
      <c r="M214" s="70">
        <v>650</v>
      </c>
      <c r="N214" s="153">
        <v>3.8199999999999998E-2</v>
      </c>
      <c r="O214" s="72" t="s">
        <v>843</v>
      </c>
      <c r="P214" s="181" t="s">
        <v>844</v>
      </c>
    </row>
    <row r="215" spans="1:16" x14ac:dyDescent="0.2">
      <c r="A215" s="72" t="s">
        <v>837</v>
      </c>
      <c r="B215" s="72" t="s">
        <v>43</v>
      </c>
      <c r="C215" s="72" t="s">
        <v>81</v>
      </c>
      <c r="D215" s="72" t="s">
        <v>180</v>
      </c>
      <c r="E215" s="72">
        <v>1</v>
      </c>
      <c r="F215" s="72" t="s">
        <v>834</v>
      </c>
      <c r="G215" s="70">
        <v>18300</v>
      </c>
      <c r="H215" s="70">
        <v>17150</v>
      </c>
      <c r="I215" s="70">
        <v>1150</v>
      </c>
      <c r="J215" s="153">
        <v>6.7100000000000007E-2</v>
      </c>
      <c r="K215" s="70">
        <v>18300</v>
      </c>
      <c r="L215" s="70">
        <v>17150</v>
      </c>
      <c r="M215" s="70">
        <v>1150</v>
      </c>
      <c r="N215" s="153">
        <v>6.2799999999999995E-2</v>
      </c>
      <c r="O215" s="72" t="s">
        <v>843</v>
      </c>
      <c r="P215" s="181" t="s">
        <v>844</v>
      </c>
    </row>
    <row r="216" spans="1:16" x14ac:dyDescent="0.2">
      <c r="A216" s="72" t="s">
        <v>837</v>
      </c>
      <c r="B216" s="72" t="s">
        <v>65</v>
      </c>
      <c r="C216" s="72" t="s">
        <v>154</v>
      </c>
      <c r="D216" s="72" t="s">
        <v>182</v>
      </c>
      <c r="E216" s="72">
        <v>4</v>
      </c>
      <c r="F216" s="72" t="s">
        <v>834</v>
      </c>
      <c r="G216" s="70">
        <v>11910</v>
      </c>
      <c r="H216" s="70">
        <v>11315</v>
      </c>
      <c r="I216" s="70">
        <v>595</v>
      </c>
      <c r="J216" s="153">
        <v>5.2600000000000001E-2</v>
      </c>
      <c r="K216" s="70">
        <v>47640</v>
      </c>
      <c r="L216" s="70">
        <v>45260</v>
      </c>
      <c r="M216" s="70">
        <v>2380</v>
      </c>
      <c r="N216" s="153">
        <v>0.05</v>
      </c>
      <c r="O216" s="72" t="s">
        <v>843</v>
      </c>
      <c r="P216" s="181" t="s">
        <v>844</v>
      </c>
    </row>
    <row r="217" spans="1:16" x14ac:dyDescent="0.2">
      <c r="A217" s="72" t="s">
        <v>837</v>
      </c>
      <c r="B217" s="72" t="s">
        <v>80</v>
      </c>
      <c r="C217" s="72" t="s">
        <v>154</v>
      </c>
      <c r="D217" s="72" t="s">
        <v>182</v>
      </c>
      <c r="E217" s="72">
        <v>2</v>
      </c>
      <c r="F217" s="72" t="s">
        <v>834</v>
      </c>
      <c r="G217" s="70">
        <v>9345</v>
      </c>
      <c r="H217" s="70">
        <v>8970</v>
      </c>
      <c r="I217" s="70">
        <v>375</v>
      </c>
      <c r="J217" s="153">
        <v>4.1799999999999997E-2</v>
      </c>
      <c r="K217" s="70">
        <v>18690</v>
      </c>
      <c r="L217" s="70">
        <v>17940</v>
      </c>
      <c r="M217" s="70">
        <v>750</v>
      </c>
      <c r="N217" s="153">
        <v>4.0099999999999997E-2</v>
      </c>
      <c r="O217" s="72" t="s">
        <v>843</v>
      </c>
      <c r="P217" s="181" t="s">
        <v>844</v>
      </c>
    </row>
    <row r="218" spans="1:16" x14ac:dyDescent="0.2">
      <c r="A218" s="72" t="s">
        <v>837</v>
      </c>
      <c r="B218" s="72" t="s">
        <v>36</v>
      </c>
      <c r="C218" s="72" t="s">
        <v>154</v>
      </c>
      <c r="D218" s="72" t="s">
        <v>182</v>
      </c>
      <c r="E218" s="72">
        <v>1</v>
      </c>
      <c r="F218" s="72" t="s">
        <v>834</v>
      </c>
      <c r="G218" s="70">
        <v>15525</v>
      </c>
      <c r="H218" s="70">
        <v>14900</v>
      </c>
      <c r="I218" s="70">
        <v>625</v>
      </c>
      <c r="J218" s="153">
        <v>4.19E-2</v>
      </c>
      <c r="K218" s="70">
        <v>15525</v>
      </c>
      <c r="L218" s="70">
        <v>14900</v>
      </c>
      <c r="M218" s="70">
        <v>625</v>
      </c>
      <c r="N218" s="153">
        <v>4.0300000000000002E-2</v>
      </c>
      <c r="O218" s="72" t="s">
        <v>843</v>
      </c>
      <c r="P218" s="181" t="s">
        <v>844</v>
      </c>
    </row>
    <row r="219" spans="1:16" x14ac:dyDescent="0.2">
      <c r="A219" s="72" t="s">
        <v>837</v>
      </c>
      <c r="B219" s="72" t="s">
        <v>44</v>
      </c>
      <c r="C219" s="72" t="s">
        <v>15</v>
      </c>
      <c r="D219" s="72" t="s">
        <v>183</v>
      </c>
      <c r="E219" s="72">
        <v>1</v>
      </c>
      <c r="F219" s="72" t="s">
        <v>834</v>
      </c>
      <c r="G219" s="70">
        <v>9200</v>
      </c>
      <c r="H219" s="70">
        <v>8990</v>
      </c>
      <c r="I219" s="70">
        <v>210</v>
      </c>
      <c r="J219" s="153">
        <v>2.3400000000000001E-2</v>
      </c>
      <c r="K219" s="70">
        <v>9200</v>
      </c>
      <c r="L219" s="70">
        <v>8990</v>
      </c>
      <c r="M219" s="70">
        <v>210</v>
      </c>
      <c r="N219" s="153">
        <v>2.2800000000000001E-2</v>
      </c>
      <c r="O219" s="72" t="s">
        <v>843</v>
      </c>
      <c r="P219" s="181" t="s">
        <v>844</v>
      </c>
    </row>
    <row r="220" spans="1:16" x14ac:dyDescent="0.2">
      <c r="A220" s="72" t="s">
        <v>837</v>
      </c>
      <c r="B220" s="72" t="s">
        <v>22</v>
      </c>
      <c r="C220" s="72" t="s">
        <v>15</v>
      </c>
      <c r="D220" s="72" t="s">
        <v>183</v>
      </c>
      <c r="E220" s="72">
        <v>1</v>
      </c>
      <c r="F220" s="72" t="s">
        <v>834</v>
      </c>
      <c r="G220" s="70">
        <v>9200</v>
      </c>
      <c r="H220" s="70">
        <v>8657</v>
      </c>
      <c r="I220" s="70">
        <v>543</v>
      </c>
      <c r="J220" s="153">
        <v>6.2700000000000006E-2</v>
      </c>
      <c r="K220" s="70">
        <v>9200</v>
      </c>
      <c r="L220" s="70">
        <v>8657</v>
      </c>
      <c r="M220" s="70">
        <v>543</v>
      </c>
      <c r="N220" s="153">
        <v>5.8999999999999997E-2</v>
      </c>
      <c r="O220" s="72" t="s">
        <v>843</v>
      </c>
      <c r="P220" s="181" t="s">
        <v>844</v>
      </c>
    </row>
    <row r="221" spans="1:16" x14ac:dyDescent="0.2">
      <c r="A221" s="72" t="s">
        <v>837</v>
      </c>
      <c r="B221" s="72" t="s">
        <v>80</v>
      </c>
      <c r="C221" s="72" t="s">
        <v>95</v>
      </c>
      <c r="D221" s="72" t="s">
        <v>184</v>
      </c>
      <c r="E221" s="72">
        <v>2</v>
      </c>
      <c r="F221" s="72" t="s">
        <v>834</v>
      </c>
      <c r="G221" s="70">
        <v>9345</v>
      </c>
      <c r="H221" s="70">
        <v>8970</v>
      </c>
      <c r="I221" s="70">
        <v>375</v>
      </c>
      <c r="J221" s="153">
        <v>4.1799999999999997E-2</v>
      </c>
      <c r="K221" s="70">
        <v>18690</v>
      </c>
      <c r="L221" s="70">
        <v>17940</v>
      </c>
      <c r="M221" s="70">
        <v>750</v>
      </c>
      <c r="N221" s="153">
        <v>4.0099999999999997E-2</v>
      </c>
      <c r="O221" s="72" t="s">
        <v>843</v>
      </c>
      <c r="P221" s="181" t="s">
        <v>844</v>
      </c>
    </row>
    <row r="222" spans="1:16" x14ac:dyDescent="0.2">
      <c r="A222" s="72" t="s">
        <v>837</v>
      </c>
      <c r="B222" s="72" t="s">
        <v>65</v>
      </c>
      <c r="C222" s="72" t="s">
        <v>95</v>
      </c>
      <c r="D222" s="72" t="s">
        <v>184</v>
      </c>
      <c r="E222" s="72">
        <v>3</v>
      </c>
      <c r="F222" s="72" t="s">
        <v>834</v>
      </c>
      <c r="G222" s="70">
        <v>11910</v>
      </c>
      <c r="H222" s="70">
        <v>11315</v>
      </c>
      <c r="I222" s="70">
        <v>595</v>
      </c>
      <c r="J222" s="153">
        <v>5.2600000000000001E-2</v>
      </c>
      <c r="K222" s="70">
        <v>35730</v>
      </c>
      <c r="L222" s="70">
        <v>33945</v>
      </c>
      <c r="M222" s="70">
        <v>1785</v>
      </c>
      <c r="N222" s="153">
        <v>0.05</v>
      </c>
      <c r="O222" s="72" t="s">
        <v>843</v>
      </c>
      <c r="P222" s="181" t="s">
        <v>844</v>
      </c>
    </row>
    <row r="223" spans="1:16" x14ac:dyDescent="0.2">
      <c r="A223" s="72" t="s">
        <v>837</v>
      </c>
      <c r="B223" s="72" t="s">
        <v>36</v>
      </c>
      <c r="C223" s="72" t="s">
        <v>95</v>
      </c>
      <c r="D223" s="72" t="s">
        <v>184</v>
      </c>
      <c r="E223" s="72">
        <v>2</v>
      </c>
      <c r="F223" s="72" t="s">
        <v>834</v>
      </c>
      <c r="G223" s="70">
        <v>15525</v>
      </c>
      <c r="H223" s="70">
        <v>14900</v>
      </c>
      <c r="I223" s="70">
        <v>625</v>
      </c>
      <c r="J223" s="153">
        <v>4.19E-2</v>
      </c>
      <c r="K223" s="70">
        <v>31050</v>
      </c>
      <c r="L223" s="70">
        <v>29800</v>
      </c>
      <c r="M223" s="70">
        <v>1250</v>
      </c>
      <c r="N223" s="153">
        <v>4.0300000000000002E-2</v>
      </c>
      <c r="O223" s="72" t="s">
        <v>843</v>
      </c>
      <c r="P223" s="181" t="s">
        <v>844</v>
      </c>
    </row>
    <row r="224" spans="1:16" x14ac:dyDescent="0.2">
      <c r="A224" s="72" t="s">
        <v>837</v>
      </c>
      <c r="B224" s="72" t="s">
        <v>22</v>
      </c>
      <c r="C224" s="72" t="s">
        <v>29</v>
      </c>
      <c r="D224" s="72" t="s">
        <v>185</v>
      </c>
      <c r="E224" s="72">
        <v>5</v>
      </c>
      <c r="F224" s="72" t="s">
        <v>834</v>
      </c>
      <c r="G224" s="70">
        <v>8800</v>
      </c>
      <c r="H224" s="70">
        <v>8657</v>
      </c>
      <c r="I224" s="70">
        <v>143</v>
      </c>
      <c r="J224" s="153">
        <v>1.6500000000000001E-2</v>
      </c>
      <c r="K224" s="70">
        <v>44000</v>
      </c>
      <c r="L224" s="70">
        <v>43285</v>
      </c>
      <c r="M224" s="70">
        <v>715</v>
      </c>
      <c r="N224" s="153">
        <v>1.6299999999999999E-2</v>
      </c>
      <c r="O224" s="72" t="s">
        <v>843</v>
      </c>
      <c r="P224" s="181" t="s">
        <v>844</v>
      </c>
    </row>
    <row r="225" spans="1:16" x14ac:dyDescent="0.2">
      <c r="A225" s="72" t="s">
        <v>837</v>
      </c>
      <c r="B225" s="72" t="s">
        <v>44</v>
      </c>
      <c r="C225" s="72" t="s">
        <v>29</v>
      </c>
      <c r="D225" s="72" t="s">
        <v>185</v>
      </c>
      <c r="E225" s="72">
        <v>10</v>
      </c>
      <c r="F225" s="72" t="s">
        <v>834</v>
      </c>
      <c r="G225" s="70">
        <v>9200</v>
      </c>
      <c r="H225" s="70">
        <v>8990</v>
      </c>
      <c r="I225" s="70">
        <v>210</v>
      </c>
      <c r="J225" s="153">
        <v>2.3400000000000001E-2</v>
      </c>
      <c r="K225" s="70">
        <v>92000</v>
      </c>
      <c r="L225" s="70">
        <v>89900</v>
      </c>
      <c r="M225" s="70">
        <v>2100</v>
      </c>
      <c r="N225" s="153">
        <v>2.2800000000000001E-2</v>
      </c>
      <c r="O225" s="72" t="s">
        <v>843</v>
      </c>
      <c r="P225" s="181" t="s">
        <v>844</v>
      </c>
    </row>
    <row r="226" spans="1:16" x14ac:dyDescent="0.2">
      <c r="A226" s="72" t="s">
        <v>837</v>
      </c>
      <c r="B226" s="72" t="s">
        <v>87</v>
      </c>
      <c r="C226" s="72" t="s">
        <v>29</v>
      </c>
      <c r="D226" s="72" t="s">
        <v>185</v>
      </c>
      <c r="E226" s="72">
        <v>2</v>
      </c>
      <c r="F226" s="72" t="s">
        <v>834</v>
      </c>
      <c r="G226" s="70">
        <v>21400</v>
      </c>
      <c r="H226" s="70">
        <v>20440</v>
      </c>
      <c r="I226" s="70">
        <v>960</v>
      </c>
      <c r="J226" s="153">
        <v>4.7E-2</v>
      </c>
      <c r="K226" s="70">
        <v>42800</v>
      </c>
      <c r="L226" s="70">
        <v>40880</v>
      </c>
      <c r="M226" s="70">
        <v>1920</v>
      </c>
      <c r="N226" s="153">
        <v>4.4900000000000002E-2</v>
      </c>
      <c r="O226" s="72" t="s">
        <v>843</v>
      </c>
      <c r="P226" s="181" t="s">
        <v>844</v>
      </c>
    </row>
    <row r="227" spans="1:16" x14ac:dyDescent="0.2">
      <c r="A227" s="72" t="s">
        <v>837</v>
      </c>
      <c r="B227" s="72" t="s">
        <v>36</v>
      </c>
      <c r="C227" s="72" t="s">
        <v>29</v>
      </c>
      <c r="D227" s="72" t="s">
        <v>185</v>
      </c>
      <c r="E227" s="72">
        <v>2</v>
      </c>
      <c r="F227" s="72" t="s">
        <v>834</v>
      </c>
      <c r="G227" s="70">
        <v>15525</v>
      </c>
      <c r="H227" s="70">
        <v>14900</v>
      </c>
      <c r="I227" s="70">
        <v>625</v>
      </c>
      <c r="J227" s="153">
        <v>4.19E-2</v>
      </c>
      <c r="K227" s="70">
        <v>31050</v>
      </c>
      <c r="L227" s="70">
        <v>29800</v>
      </c>
      <c r="M227" s="70">
        <v>1250</v>
      </c>
      <c r="N227" s="153">
        <v>4.0300000000000002E-2</v>
      </c>
      <c r="O227" s="72" t="s">
        <v>843</v>
      </c>
      <c r="P227" s="181" t="s">
        <v>844</v>
      </c>
    </row>
    <row r="228" spans="1:16" x14ac:dyDescent="0.2">
      <c r="A228" s="72" t="s">
        <v>837</v>
      </c>
      <c r="B228" s="72" t="s">
        <v>65</v>
      </c>
      <c r="C228" s="72" t="s">
        <v>29</v>
      </c>
      <c r="D228" s="72" t="s">
        <v>185</v>
      </c>
      <c r="E228" s="72">
        <v>2</v>
      </c>
      <c r="F228" s="72" t="s">
        <v>834</v>
      </c>
      <c r="G228" s="70">
        <v>11910</v>
      </c>
      <c r="H228" s="70">
        <v>11315</v>
      </c>
      <c r="I228" s="70">
        <v>595</v>
      </c>
      <c r="J228" s="153">
        <v>5.2600000000000001E-2</v>
      </c>
      <c r="K228" s="70">
        <v>23820</v>
      </c>
      <c r="L228" s="70">
        <v>22630</v>
      </c>
      <c r="M228" s="70">
        <v>1190</v>
      </c>
      <c r="N228" s="153">
        <v>0.05</v>
      </c>
      <c r="O228" s="72" t="s">
        <v>843</v>
      </c>
      <c r="P228" s="181" t="s">
        <v>844</v>
      </c>
    </row>
    <row r="229" spans="1:16" x14ac:dyDescent="0.2">
      <c r="A229" s="72" t="s">
        <v>837</v>
      </c>
      <c r="B229" s="72" t="s">
        <v>45</v>
      </c>
      <c r="C229" s="72" t="s">
        <v>29</v>
      </c>
      <c r="D229" s="72" t="s">
        <v>185</v>
      </c>
      <c r="E229" s="72">
        <v>3</v>
      </c>
      <c r="F229" s="72" t="s">
        <v>834</v>
      </c>
      <c r="G229" s="70">
        <v>13335</v>
      </c>
      <c r="H229" s="70">
        <v>12746</v>
      </c>
      <c r="I229" s="70">
        <v>589</v>
      </c>
      <c r="J229" s="153">
        <v>4.6199999999999998E-2</v>
      </c>
      <c r="K229" s="70">
        <v>40005</v>
      </c>
      <c r="L229" s="70">
        <v>38238</v>
      </c>
      <c r="M229" s="70">
        <v>1767</v>
      </c>
      <c r="N229" s="153">
        <v>4.4200000000000003E-2</v>
      </c>
      <c r="O229" s="72" t="s">
        <v>843</v>
      </c>
      <c r="P229" s="181" t="s">
        <v>844</v>
      </c>
    </row>
    <row r="230" spans="1:16" x14ac:dyDescent="0.2">
      <c r="A230" s="72" t="s">
        <v>837</v>
      </c>
      <c r="B230" s="72" t="s">
        <v>37</v>
      </c>
      <c r="C230" s="72" t="s">
        <v>29</v>
      </c>
      <c r="D230" s="72" t="s">
        <v>185</v>
      </c>
      <c r="E230" s="72">
        <v>2</v>
      </c>
      <c r="F230" s="72" t="s">
        <v>834</v>
      </c>
      <c r="G230" s="70">
        <v>8880</v>
      </c>
      <c r="H230" s="70">
        <v>8525</v>
      </c>
      <c r="I230" s="70">
        <v>355</v>
      </c>
      <c r="J230" s="153">
        <v>4.1599999999999998E-2</v>
      </c>
      <c r="K230" s="70">
        <v>17760</v>
      </c>
      <c r="L230" s="70">
        <v>17050</v>
      </c>
      <c r="M230" s="70">
        <v>710</v>
      </c>
      <c r="N230" s="153">
        <v>0.04</v>
      </c>
      <c r="O230" s="72" t="s">
        <v>843</v>
      </c>
      <c r="P230" s="181" t="s">
        <v>844</v>
      </c>
    </row>
    <row r="231" spans="1:16" x14ac:dyDescent="0.2">
      <c r="A231" s="72" t="s">
        <v>837</v>
      </c>
      <c r="B231" s="72" t="s">
        <v>70</v>
      </c>
      <c r="C231" s="72" t="s">
        <v>29</v>
      </c>
      <c r="D231" s="72" t="s">
        <v>185</v>
      </c>
      <c r="E231" s="72">
        <v>1</v>
      </c>
      <c r="F231" s="72" t="s">
        <v>834</v>
      </c>
      <c r="G231" s="70">
        <v>13460</v>
      </c>
      <c r="H231" s="70">
        <v>12855</v>
      </c>
      <c r="I231" s="70">
        <v>605</v>
      </c>
      <c r="J231" s="153">
        <v>4.7100000000000003E-2</v>
      </c>
      <c r="K231" s="70">
        <v>13460</v>
      </c>
      <c r="L231" s="70">
        <v>12855</v>
      </c>
      <c r="M231" s="70">
        <v>605</v>
      </c>
      <c r="N231" s="153">
        <v>4.4900000000000002E-2</v>
      </c>
      <c r="O231" s="72" t="s">
        <v>843</v>
      </c>
      <c r="P231" s="181" t="s">
        <v>844</v>
      </c>
    </row>
    <row r="232" spans="1:16" x14ac:dyDescent="0.2">
      <c r="A232" s="72" t="s">
        <v>837</v>
      </c>
      <c r="B232" s="72" t="s">
        <v>93</v>
      </c>
      <c r="C232" s="72" t="s">
        <v>29</v>
      </c>
      <c r="D232" s="72" t="s">
        <v>185</v>
      </c>
      <c r="E232" s="72">
        <v>1</v>
      </c>
      <c r="F232" s="72" t="s">
        <v>834</v>
      </c>
      <c r="G232" s="70">
        <v>11415</v>
      </c>
      <c r="H232" s="70">
        <v>11130</v>
      </c>
      <c r="I232" s="70">
        <v>285</v>
      </c>
      <c r="J232" s="153">
        <v>2.5600000000000001E-2</v>
      </c>
      <c r="K232" s="70">
        <v>11415</v>
      </c>
      <c r="L232" s="70">
        <v>11130</v>
      </c>
      <c r="M232" s="70">
        <v>285</v>
      </c>
      <c r="N232" s="153">
        <v>2.5000000000000001E-2</v>
      </c>
      <c r="O232" s="72" t="s">
        <v>843</v>
      </c>
      <c r="P232" s="181" t="s">
        <v>844</v>
      </c>
    </row>
    <row r="233" spans="1:16" x14ac:dyDescent="0.2">
      <c r="A233" s="72" t="s">
        <v>837</v>
      </c>
      <c r="B233" s="72" t="s">
        <v>101</v>
      </c>
      <c r="C233" s="72" t="s">
        <v>29</v>
      </c>
      <c r="D233" s="72" t="s">
        <v>185</v>
      </c>
      <c r="E233" s="72">
        <v>2</v>
      </c>
      <c r="F233" s="72" t="s">
        <v>834</v>
      </c>
      <c r="G233" s="70">
        <v>13020</v>
      </c>
      <c r="H233" s="70">
        <v>12920</v>
      </c>
      <c r="I233" s="70">
        <v>100</v>
      </c>
      <c r="J233" s="153">
        <v>7.7000000000000002E-3</v>
      </c>
      <c r="K233" s="70">
        <v>26040</v>
      </c>
      <c r="L233" s="70">
        <v>25840</v>
      </c>
      <c r="M233" s="70">
        <v>200</v>
      </c>
      <c r="N233" s="153">
        <v>7.7000000000000002E-3</v>
      </c>
      <c r="O233" s="72" t="s">
        <v>843</v>
      </c>
      <c r="P233" s="181" t="s">
        <v>844</v>
      </c>
    </row>
    <row r="234" spans="1:16" x14ac:dyDescent="0.2">
      <c r="A234" s="72" t="s">
        <v>837</v>
      </c>
      <c r="B234" s="72" t="s">
        <v>69</v>
      </c>
      <c r="C234" s="72" t="s">
        <v>29</v>
      </c>
      <c r="D234" s="72" t="s">
        <v>185</v>
      </c>
      <c r="E234" s="72">
        <v>1</v>
      </c>
      <c r="F234" s="72" t="s">
        <v>834</v>
      </c>
      <c r="G234" s="70">
        <v>14450</v>
      </c>
      <c r="H234" s="70">
        <v>13780</v>
      </c>
      <c r="I234" s="70">
        <v>670</v>
      </c>
      <c r="J234" s="153">
        <v>4.8599999999999997E-2</v>
      </c>
      <c r="K234" s="70">
        <v>14450</v>
      </c>
      <c r="L234" s="70">
        <v>13780</v>
      </c>
      <c r="M234" s="70">
        <v>670</v>
      </c>
      <c r="N234" s="153">
        <v>4.6399999999999997E-2</v>
      </c>
      <c r="O234" s="72" t="s">
        <v>843</v>
      </c>
      <c r="P234" s="181" t="s">
        <v>844</v>
      </c>
    </row>
    <row r="235" spans="1:16" x14ac:dyDescent="0.2">
      <c r="A235" s="72" t="s">
        <v>837</v>
      </c>
      <c r="B235" s="72" t="s">
        <v>45</v>
      </c>
      <c r="C235" s="72" t="s">
        <v>29</v>
      </c>
      <c r="D235" s="72" t="s">
        <v>186</v>
      </c>
      <c r="E235" s="72">
        <v>5</v>
      </c>
      <c r="F235" s="72" t="s">
        <v>834</v>
      </c>
      <c r="G235" s="70">
        <v>13335</v>
      </c>
      <c r="H235" s="70">
        <v>12746</v>
      </c>
      <c r="I235" s="70">
        <v>589</v>
      </c>
      <c r="J235" s="153">
        <v>4.6199999999999998E-2</v>
      </c>
      <c r="K235" s="70">
        <v>66675</v>
      </c>
      <c r="L235" s="70">
        <v>63730</v>
      </c>
      <c r="M235" s="70">
        <v>2945</v>
      </c>
      <c r="N235" s="153">
        <v>4.4200000000000003E-2</v>
      </c>
      <c r="O235" s="72" t="s">
        <v>843</v>
      </c>
      <c r="P235" s="181" t="s">
        <v>844</v>
      </c>
    </row>
    <row r="236" spans="1:16" x14ac:dyDescent="0.2">
      <c r="A236" s="72" t="s">
        <v>837</v>
      </c>
      <c r="B236" s="72" t="s">
        <v>65</v>
      </c>
      <c r="C236" s="72" t="s">
        <v>29</v>
      </c>
      <c r="D236" s="72" t="s">
        <v>187</v>
      </c>
      <c r="E236" s="72">
        <v>2</v>
      </c>
      <c r="F236" s="72" t="s">
        <v>834</v>
      </c>
      <c r="G236" s="70">
        <v>11910</v>
      </c>
      <c r="H236" s="70">
        <v>11315</v>
      </c>
      <c r="I236" s="70">
        <v>595</v>
      </c>
      <c r="J236" s="153">
        <v>5.2600000000000001E-2</v>
      </c>
      <c r="K236" s="70">
        <v>23820</v>
      </c>
      <c r="L236" s="70">
        <v>22630</v>
      </c>
      <c r="M236" s="70">
        <v>1190</v>
      </c>
      <c r="N236" s="153">
        <v>0.05</v>
      </c>
      <c r="O236" s="72" t="s">
        <v>843</v>
      </c>
      <c r="P236" s="181" t="s">
        <v>844</v>
      </c>
    </row>
    <row r="237" spans="1:16" x14ac:dyDescent="0.2">
      <c r="A237" s="72" t="s">
        <v>837</v>
      </c>
      <c r="B237" s="72" t="s">
        <v>37</v>
      </c>
      <c r="C237" s="72" t="s">
        <v>29</v>
      </c>
      <c r="D237" s="72" t="s">
        <v>187</v>
      </c>
      <c r="E237" s="72">
        <v>1</v>
      </c>
      <c r="F237" s="72" t="s">
        <v>834</v>
      </c>
      <c r="G237" s="70">
        <v>8880</v>
      </c>
      <c r="H237" s="70">
        <v>8525</v>
      </c>
      <c r="I237" s="70">
        <v>355</v>
      </c>
      <c r="J237" s="153">
        <v>4.1599999999999998E-2</v>
      </c>
      <c r="K237" s="70">
        <v>8880</v>
      </c>
      <c r="L237" s="70">
        <v>8525</v>
      </c>
      <c r="M237" s="70">
        <v>355</v>
      </c>
      <c r="N237" s="153">
        <v>0.04</v>
      </c>
      <c r="O237" s="72" t="s">
        <v>843</v>
      </c>
      <c r="P237" s="181" t="s">
        <v>844</v>
      </c>
    </row>
    <row r="238" spans="1:16" x14ac:dyDescent="0.2">
      <c r="A238" s="72" t="s">
        <v>837</v>
      </c>
      <c r="B238" s="72" t="s">
        <v>44</v>
      </c>
      <c r="C238" s="72" t="s">
        <v>29</v>
      </c>
      <c r="D238" s="72" t="s">
        <v>187</v>
      </c>
      <c r="E238" s="72">
        <v>2</v>
      </c>
      <c r="F238" s="72" t="s">
        <v>834</v>
      </c>
      <c r="G238" s="70">
        <v>9200</v>
      </c>
      <c r="H238" s="70">
        <v>8990</v>
      </c>
      <c r="I238" s="70">
        <v>210</v>
      </c>
      <c r="J238" s="153">
        <v>2.3400000000000001E-2</v>
      </c>
      <c r="K238" s="70">
        <v>18400</v>
      </c>
      <c r="L238" s="70">
        <v>17980</v>
      </c>
      <c r="M238" s="70">
        <v>420</v>
      </c>
      <c r="N238" s="153">
        <v>2.2800000000000001E-2</v>
      </c>
      <c r="O238" s="72" t="s">
        <v>843</v>
      </c>
      <c r="P238" s="181" t="s">
        <v>844</v>
      </c>
    </row>
    <row r="239" spans="1:16" x14ac:dyDescent="0.2">
      <c r="A239" s="72" t="s">
        <v>837</v>
      </c>
      <c r="B239" s="72" t="s">
        <v>45</v>
      </c>
      <c r="C239" s="72" t="s">
        <v>29</v>
      </c>
      <c r="D239" s="72" t="s">
        <v>187</v>
      </c>
      <c r="E239" s="72">
        <v>1</v>
      </c>
      <c r="F239" s="72" t="s">
        <v>834</v>
      </c>
      <c r="G239" s="70">
        <v>13335</v>
      </c>
      <c r="H239" s="70">
        <v>12746</v>
      </c>
      <c r="I239" s="70">
        <v>589</v>
      </c>
      <c r="J239" s="153">
        <v>4.6199999999999998E-2</v>
      </c>
      <c r="K239" s="70">
        <v>13335</v>
      </c>
      <c r="L239" s="70">
        <v>12746</v>
      </c>
      <c r="M239" s="70">
        <v>589</v>
      </c>
      <c r="N239" s="153">
        <v>4.4200000000000003E-2</v>
      </c>
      <c r="O239" s="72" t="s">
        <v>843</v>
      </c>
      <c r="P239" s="181" t="s">
        <v>844</v>
      </c>
    </row>
    <row r="240" spans="1:16" x14ac:dyDescent="0.2">
      <c r="A240" s="72" t="s">
        <v>837</v>
      </c>
      <c r="B240" s="72" t="s">
        <v>22</v>
      </c>
      <c r="C240" s="72" t="s">
        <v>29</v>
      </c>
      <c r="D240" s="72" t="s">
        <v>187</v>
      </c>
      <c r="E240" s="72">
        <v>2</v>
      </c>
      <c r="F240" s="72" t="s">
        <v>834</v>
      </c>
      <c r="G240" s="70">
        <v>8800</v>
      </c>
      <c r="H240" s="70">
        <v>8657</v>
      </c>
      <c r="I240" s="70">
        <v>143</v>
      </c>
      <c r="J240" s="153">
        <v>1.6500000000000001E-2</v>
      </c>
      <c r="K240" s="70">
        <v>17600</v>
      </c>
      <c r="L240" s="70">
        <v>17314</v>
      </c>
      <c r="M240" s="70">
        <v>286</v>
      </c>
      <c r="N240" s="153">
        <v>1.6299999999999999E-2</v>
      </c>
      <c r="O240" s="72" t="s">
        <v>843</v>
      </c>
      <c r="P240" s="181" t="s">
        <v>844</v>
      </c>
    </row>
    <row r="241" spans="1:16" x14ac:dyDescent="0.2">
      <c r="A241" s="72" t="s">
        <v>837</v>
      </c>
      <c r="B241" s="72" t="s">
        <v>24</v>
      </c>
      <c r="C241" s="72" t="s">
        <v>29</v>
      </c>
      <c r="D241" s="72" t="s">
        <v>187</v>
      </c>
      <c r="E241" s="72">
        <v>1</v>
      </c>
      <c r="F241" s="72" t="s">
        <v>834</v>
      </c>
      <c r="G241" s="70">
        <v>5000</v>
      </c>
      <c r="H241" s="70">
        <v>5200</v>
      </c>
      <c r="I241" s="70">
        <v>-200</v>
      </c>
      <c r="J241" s="153">
        <v>-3.85E-2</v>
      </c>
      <c r="K241" s="70">
        <v>5000</v>
      </c>
      <c r="L241" s="70">
        <v>5200</v>
      </c>
      <c r="M241" s="70">
        <v>-200</v>
      </c>
      <c r="N241" s="153">
        <v>-0.04</v>
      </c>
      <c r="O241" s="72" t="s">
        <v>843</v>
      </c>
      <c r="P241" s="182" t="s">
        <v>845</v>
      </c>
    </row>
    <row r="242" spans="1:16" x14ac:dyDescent="0.2">
      <c r="A242" s="72" t="s">
        <v>837</v>
      </c>
      <c r="B242" s="72" t="s">
        <v>22</v>
      </c>
      <c r="C242" s="72" t="s">
        <v>122</v>
      </c>
      <c r="D242" s="72" t="s">
        <v>188</v>
      </c>
      <c r="E242" s="72">
        <v>1</v>
      </c>
      <c r="F242" s="72" t="s">
        <v>834</v>
      </c>
      <c r="G242" s="70">
        <v>9500</v>
      </c>
      <c r="H242" s="70">
        <v>8657</v>
      </c>
      <c r="I242" s="70">
        <v>843</v>
      </c>
      <c r="J242" s="153">
        <v>9.74E-2</v>
      </c>
      <c r="K242" s="70">
        <v>9500</v>
      </c>
      <c r="L242" s="70">
        <v>8657</v>
      </c>
      <c r="M242" s="70">
        <v>843</v>
      </c>
      <c r="N242" s="153">
        <v>8.8700000000000001E-2</v>
      </c>
      <c r="O242" s="72" t="s">
        <v>843</v>
      </c>
      <c r="P242" s="181" t="s">
        <v>844</v>
      </c>
    </row>
    <row r="243" spans="1:16" x14ac:dyDescent="0.2">
      <c r="A243" s="72" t="s">
        <v>837</v>
      </c>
      <c r="B243" s="72" t="s">
        <v>21</v>
      </c>
      <c r="C243" s="72" t="s">
        <v>122</v>
      </c>
      <c r="D243" s="72" t="s">
        <v>188</v>
      </c>
      <c r="E243" s="72">
        <v>1</v>
      </c>
      <c r="F243" s="72" t="s">
        <v>834</v>
      </c>
      <c r="G243" s="70">
        <v>9000</v>
      </c>
      <c r="H243" s="70">
        <v>8118</v>
      </c>
      <c r="I243" s="70">
        <v>882</v>
      </c>
      <c r="J243" s="153">
        <v>0.1086</v>
      </c>
      <c r="K243" s="70">
        <v>9000</v>
      </c>
      <c r="L243" s="70">
        <v>8118</v>
      </c>
      <c r="M243" s="70">
        <v>882</v>
      </c>
      <c r="N243" s="153">
        <v>9.8000000000000004E-2</v>
      </c>
      <c r="O243" s="72" t="s">
        <v>843</v>
      </c>
      <c r="P243" s="181" t="s">
        <v>844</v>
      </c>
    </row>
    <row r="244" spans="1:16" x14ac:dyDescent="0.2">
      <c r="A244" s="72" t="s">
        <v>837</v>
      </c>
      <c r="B244" s="72" t="s">
        <v>24</v>
      </c>
      <c r="C244" s="72" t="s">
        <v>122</v>
      </c>
      <c r="D244" s="72" t="s">
        <v>188</v>
      </c>
      <c r="E244" s="72">
        <v>1</v>
      </c>
      <c r="F244" s="72" t="s">
        <v>834</v>
      </c>
      <c r="G244" s="70">
        <v>5300</v>
      </c>
      <c r="H244" s="70">
        <v>5200</v>
      </c>
      <c r="I244" s="70">
        <v>100</v>
      </c>
      <c r="J244" s="153">
        <v>1.9199999999999998E-2</v>
      </c>
      <c r="K244" s="70">
        <v>5300</v>
      </c>
      <c r="L244" s="70">
        <v>5200</v>
      </c>
      <c r="M244" s="70">
        <v>100</v>
      </c>
      <c r="N244" s="153">
        <v>1.89E-2</v>
      </c>
      <c r="O244" s="72" t="s">
        <v>843</v>
      </c>
      <c r="P244" s="181" t="s">
        <v>844</v>
      </c>
    </row>
    <row r="245" spans="1:16" x14ac:dyDescent="0.2">
      <c r="A245" s="72" t="s">
        <v>814</v>
      </c>
      <c r="B245" s="72" t="s">
        <v>190</v>
      </c>
      <c r="C245" s="72" t="s">
        <v>104</v>
      </c>
      <c r="D245" s="72" t="s">
        <v>189</v>
      </c>
      <c r="E245" s="72">
        <v>10</v>
      </c>
      <c r="F245" s="72" t="s">
        <v>834</v>
      </c>
      <c r="G245" s="70">
        <v>28445</v>
      </c>
      <c r="H245" s="70">
        <v>25930</v>
      </c>
      <c r="I245" s="70">
        <v>2515</v>
      </c>
      <c r="J245" s="153">
        <v>9.7000000000000003E-2</v>
      </c>
      <c r="K245" s="70">
        <v>284450</v>
      </c>
      <c r="L245" s="70">
        <v>259300</v>
      </c>
      <c r="M245" s="70">
        <v>25150</v>
      </c>
      <c r="N245" s="153">
        <v>8.8400000000000006E-2</v>
      </c>
      <c r="O245" s="72" t="s">
        <v>843</v>
      </c>
      <c r="P245" s="181" t="s">
        <v>844</v>
      </c>
    </row>
    <row r="246" spans="1:16" x14ac:dyDescent="0.2">
      <c r="A246" s="72" t="s">
        <v>814</v>
      </c>
      <c r="B246" s="72" t="s">
        <v>24</v>
      </c>
      <c r="C246" s="72" t="s">
        <v>25</v>
      </c>
      <c r="D246" s="72" t="s">
        <v>191</v>
      </c>
      <c r="E246" s="72">
        <v>200</v>
      </c>
      <c r="F246" s="72" t="s">
        <v>835</v>
      </c>
      <c r="G246" s="70">
        <v>5000</v>
      </c>
      <c r="H246" s="70">
        <v>5200</v>
      </c>
      <c r="I246" s="70">
        <v>-200</v>
      </c>
      <c r="J246" s="153">
        <v>-3.85E-2</v>
      </c>
      <c r="K246" s="70">
        <v>1000000</v>
      </c>
      <c r="L246" s="70">
        <v>1040000</v>
      </c>
      <c r="M246" s="70">
        <v>-40000</v>
      </c>
      <c r="N246" s="153">
        <v>-0.04</v>
      </c>
      <c r="O246" s="72" t="s">
        <v>843</v>
      </c>
      <c r="P246" s="182" t="s">
        <v>845</v>
      </c>
    </row>
    <row r="247" spans="1:16" x14ac:dyDescent="0.2">
      <c r="A247" s="72" t="s">
        <v>814</v>
      </c>
      <c r="B247" s="72" t="s">
        <v>150</v>
      </c>
      <c r="C247" s="72" t="s">
        <v>29</v>
      </c>
      <c r="D247" s="72" t="s">
        <v>192</v>
      </c>
      <c r="E247" s="72">
        <v>5</v>
      </c>
      <c r="F247" s="72" t="s">
        <v>834</v>
      </c>
      <c r="G247" s="70">
        <v>10315</v>
      </c>
      <c r="H247" s="70">
        <v>9925</v>
      </c>
      <c r="I247" s="70">
        <v>390</v>
      </c>
      <c r="J247" s="153">
        <v>3.9300000000000002E-2</v>
      </c>
      <c r="K247" s="70">
        <v>51575</v>
      </c>
      <c r="L247" s="70">
        <v>49625</v>
      </c>
      <c r="M247" s="70">
        <v>1950</v>
      </c>
      <c r="N247" s="153">
        <v>3.78E-2</v>
      </c>
      <c r="O247" s="72" t="s">
        <v>843</v>
      </c>
      <c r="P247" s="181" t="s">
        <v>844</v>
      </c>
    </row>
    <row r="248" spans="1:16" x14ac:dyDescent="0.2">
      <c r="A248" s="72" t="s">
        <v>814</v>
      </c>
      <c r="B248" s="72" t="s">
        <v>65</v>
      </c>
      <c r="C248" s="72" t="s">
        <v>29</v>
      </c>
      <c r="D248" s="72" t="s">
        <v>192</v>
      </c>
      <c r="E248" s="72">
        <v>4</v>
      </c>
      <c r="F248" s="72" t="s">
        <v>834</v>
      </c>
      <c r="G248" s="70">
        <v>11910</v>
      </c>
      <c r="H248" s="70">
        <v>11315</v>
      </c>
      <c r="I248" s="70">
        <v>595</v>
      </c>
      <c r="J248" s="153">
        <v>5.2600000000000001E-2</v>
      </c>
      <c r="K248" s="70">
        <v>47640</v>
      </c>
      <c r="L248" s="70">
        <v>45260</v>
      </c>
      <c r="M248" s="70">
        <v>2380</v>
      </c>
      <c r="N248" s="153">
        <v>0.05</v>
      </c>
      <c r="O248" s="72" t="s">
        <v>843</v>
      </c>
      <c r="P248" s="181" t="s">
        <v>844</v>
      </c>
    </row>
    <row r="249" spans="1:16" x14ac:dyDescent="0.2">
      <c r="A249" s="72" t="s">
        <v>814</v>
      </c>
      <c r="B249" s="72" t="s">
        <v>45</v>
      </c>
      <c r="C249" s="72" t="s">
        <v>81</v>
      </c>
      <c r="D249" s="72" t="s">
        <v>193</v>
      </c>
      <c r="E249" s="72">
        <v>1</v>
      </c>
      <c r="F249" s="72" t="s">
        <v>834</v>
      </c>
      <c r="G249" s="70">
        <v>13335</v>
      </c>
      <c r="H249" s="70">
        <v>12746</v>
      </c>
      <c r="I249" s="70">
        <v>589</v>
      </c>
      <c r="J249" s="153">
        <v>4.6199999999999998E-2</v>
      </c>
      <c r="K249" s="70">
        <v>13335</v>
      </c>
      <c r="L249" s="70">
        <v>12746</v>
      </c>
      <c r="M249" s="70">
        <v>589</v>
      </c>
      <c r="N249" s="153">
        <v>4.4200000000000003E-2</v>
      </c>
      <c r="O249" s="72" t="s">
        <v>843</v>
      </c>
      <c r="P249" s="181" t="s">
        <v>844</v>
      </c>
    </row>
    <row r="250" spans="1:16" x14ac:dyDescent="0.2">
      <c r="A250" s="72" t="s">
        <v>814</v>
      </c>
      <c r="B250" s="72" t="s">
        <v>22</v>
      </c>
      <c r="C250" s="72" t="s">
        <v>81</v>
      </c>
      <c r="D250" s="72" t="s">
        <v>193</v>
      </c>
      <c r="E250" s="72">
        <v>1</v>
      </c>
      <c r="F250" s="72" t="s">
        <v>834</v>
      </c>
      <c r="G250" s="70">
        <v>9200</v>
      </c>
      <c r="H250" s="70">
        <v>8657</v>
      </c>
      <c r="I250" s="70">
        <v>543</v>
      </c>
      <c r="J250" s="153">
        <v>6.2700000000000006E-2</v>
      </c>
      <c r="K250" s="70">
        <v>9200</v>
      </c>
      <c r="L250" s="70">
        <v>8657</v>
      </c>
      <c r="M250" s="70">
        <v>543</v>
      </c>
      <c r="N250" s="153">
        <v>5.8999999999999997E-2</v>
      </c>
      <c r="O250" s="72" t="s">
        <v>843</v>
      </c>
      <c r="P250" s="181" t="s">
        <v>844</v>
      </c>
    </row>
    <row r="251" spans="1:16" x14ac:dyDescent="0.2">
      <c r="A251" s="72" t="s">
        <v>814</v>
      </c>
      <c r="B251" s="72" t="s">
        <v>43</v>
      </c>
      <c r="C251" s="72" t="s">
        <v>81</v>
      </c>
      <c r="D251" s="72" t="s">
        <v>193</v>
      </c>
      <c r="E251" s="72">
        <v>1</v>
      </c>
      <c r="F251" s="72" t="s">
        <v>834</v>
      </c>
      <c r="G251" s="70">
        <v>18300</v>
      </c>
      <c r="H251" s="70">
        <v>17150</v>
      </c>
      <c r="I251" s="70">
        <v>1150</v>
      </c>
      <c r="J251" s="153">
        <v>6.7100000000000007E-2</v>
      </c>
      <c r="K251" s="70">
        <v>18300</v>
      </c>
      <c r="L251" s="70">
        <v>17150</v>
      </c>
      <c r="M251" s="70">
        <v>1150</v>
      </c>
      <c r="N251" s="153">
        <v>6.2799999999999995E-2</v>
      </c>
      <c r="O251" s="72" t="s">
        <v>843</v>
      </c>
      <c r="P251" s="181" t="s">
        <v>844</v>
      </c>
    </row>
    <row r="252" spans="1:16" x14ac:dyDescent="0.2">
      <c r="A252" s="72" t="s">
        <v>814</v>
      </c>
      <c r="B252" s="72" t="s">
        <v>113</v>
      </c>
      <c r="C252" s="72" t="s">
        <v>81</v>
      </c>
      <c r="D252" s="72" t="s">
        <v>193</v>
      </c>
      <c r="E252" s="72">
        <v>1</v>
      </c>
      <c r="F252" s="72" t="s">
        <v>834</v>
      </c>
      <c r="G252" s="70">
        <v>15115</v>
      </c>
      <c r="H252" s="70">
        <v>14475</v>
      </c>
      <c r="I252" s="70">
        <v>640</v>
      </c>
      <c r="J252" s="153">
        <v>4.4200000000000003E-2</v>
      </c>
      <c r="K252" s="70">
        <v>15115</v>
      </c>
      <c r="L252" s="70">
        <v>14475</v>
      </c>
      <c r="M252" s="70">
        <v>640</v>
      </c>
      <c r="N252" s="153">
        <v>4.2299999999999997E-2</v>
      </c>
      <c r="O252" s="72" t="s">
        <v>843</v>
      </c>
      <c r="P252" s="181" t="s">
        <v>844</v>
      </c>
    </row>
    <row r="253" spans="1:16" x14ac:dyDescent="0.2">
      <c r="A253" s="72" t="s">
        <v>814</v>
      </c>
      <c r="B253" s="72" t="s">
        <v>141</v>
      </c>
      <c r="C253" s="72" t="s">
        <v>163</v>
      </c>
      <c r="D253" s="72" t="s">
        <v>194</v>
      </c>
      <c r="E253" s="72">
        <v>3</v>
      </c>
      <c r="F253" s="72" t="s">
        <v>834</v>
      </c>
      <c r="G253" s="70">
        <v>14145</v>
      </c>
      <c r="H253" s="70">
        <v>13520</v>
      </c>
      <c r="I253" s="70">
        <v>625</v>
      </c>
      <c r="J253" s="153">
        <v>4.6199999999999998E-2</v>
      </c>
      <c r="K253" s="70">
        <v>42435</v>
      </c>
      <c r="L253" s="70">
        <v>40560</v>
      </c>
      <c r="M253" s="70">
        <v>1875</v>
      </c>
      <c r="N253" s="153">
        <v>4.4200000000000003E-2</v>
      </c>
      <c r="O253" s="72" t="s">
        <v>843</v>
      </c>
      <c r="P253" s="181" t="s">
        <v>844</v>
      </c>
    </row>
    <row r="254" spans="1:16" x14ac:dyDescent="0.2">
      <c r="A254" s="72" t="s">
        <v>814</v>
      </c>
      <c r="B254" s="72" t="s">
        <v>80</v>
      </c>
      <c r="C254" s="72" t="s">
        <v>163</v>
      </c>
      <c r="D254" s="72" t="s">
        <v>194</v>
      </c>
      <c r="E254" s="72">
        <v>2</v>
      </c>
      <c r="F254" s="72" t="s">
        <v>834</v>
      </c>
      <c r="G254" s="70">
        <v>9345</v>
      </c>
      <c r="H254" s="70">
        <v>8970</v>
      </c>
      <c r="I254" s="70">
        <v>375</v>
      </c>
      <c r="J254" s="153">
        <v>4.1799999999999997E-2</v>
      </c>
      <c r="K254" s="70">
        <v>18690</v>
      </c>
      <c r="L254" s="70">
        <v>17940</v>
      </c>
      <c r="M254" s="70">
        <v>750</v>
      </c>
      <c r="N254" s="153">
        <v>4.0099999999999997E-2</v>
      </c>
      <c r="O254" s="72" t="s">
        <v>843</v>
      </c>
      <c r="P254" s="181" t="s">
        <v>844</v>
      </c>
    </row>
    <row r="255" spans="1:16" x14ac:dyDescent="0.2">
      <c r="A255" s="72" t="s">
        <v>814</v>
      </c>
      <c r="B255" s="72" t="s">
        <v>22</v>
      </c>
      <c r="C255" s="72" t="s">
        <v>15</v>
      </c>
      <c r="D255" s="72" t="s">
        <v>195</v>
      </c>
      <c r="E255" s="72">
        <v>2</v>
      </c>
      <c r="F255" s="72" t="s">
        <v>834</v>
      </c>
      <c r="G255" s="70">
        <v>9500</v>
      </c>
      <c r="H255" s="70">
        <v>8657</v>
      </c>
      <c r="I255" s="70">
        <v>843</v>
      </c>
      <c r="J255" s="153">
        <v>9.74E-2</v>
      </c>
      <c r="K255" s="70">
        <v>19000</v>
      </c>
      <c r="L255" s="70">
        <v>17314</v>
      </c>
      <c r="M255" s="70">
        <v>1686</v>
      </c>
      <c r="N255" s="153">
        <v>8.8700000000000001E-2</v>
      </c>
      <c r="O255" s="72" t="s">
        <v>843</v>
      </c>
      <c r="P255" s="181" t="s">
        <v>844</v>
      </c>
    </row>
    <row r="256" spans="1:16" x14ac:dyDescent="0.2">
      <c r="A256" s="72" t="s">
        <v>814</v>
      </c>
      <c r="B256" s="72" t="s">
        <v>22</v>
      </c>
      <c r="C256" s="72" t="s">
        <v>15</v>
      </c>
      <c r="D256" s="72" t="s">
        <v>197</v>
      </c>
      <c r="E256" s="72">
        <v>1</v>
      </c>
      <c r="F256" s="72" t="s">
        <v>834</v>
      </c>
      <c r="G256" s="70">
        <v>9500</v>
      </c>
      <c r="H256" s="70">
        <v>8657</v>
      </c>
      <c r="I256" s="70">
        <v>843</v>
      </c>
      <c r="J256" s="153">
        <v>9.74E-2</v>
      </c>
      <c r="K256" s="70">
        <v>9500</v>
      </c>
      <c r="L256" s="70">
        <v>8657</v>
      </c>
      <c r="M256" s="70">
        <v>843</v>
      </c>
      <c r="N256" s="153">
        <v>8.8700000000000001E-2</v>
      </c>
      <c r="O256" s="72" t="s">
        <v>843</v>
      </c>
      <c r="P256" s="181" t="s">
        <v>844</v>
      </c>
    </row>
    <row r="257" spans="1:16" x14ac:dyDescent="0.2">
      <c r="A257" s="72" t="s">
        <v>802</v>
      </c>
      <c r="B257" s="72" t="s">
        <v>21</v>
      </c>
      <c r="C257" s="72" t="s">
        <v>102</v>
      </c>
      <c r="D257" s="72" t="s">
        <v>198</v>
      </c>
      <c r="E257" s="72">
        <v>2</v>
      </c>
      <c r="F257" s="72" t="s">
        <v>834</v>
      </c>
      <c r="G257" s="70">
        <v>9000</v>
      </c>
      <c r="H257" s="70">
        <v>8118</v>
      </c>
      <c r="I257" s="70">
        <v>882</v>
      </c>
      <c r="J257" s="153">
        <v>0.1086</v>
      </c>
      <c r="K257" s="70">
        <v>18000</v>
      </c>
      <c r="L257" s="70">
        <v>16236</v>
      </c>
      <c r="M257" s="70">
        <v>1764</v>
      </c>
      <c r="N257" s="153">
        <v>9.8000000000000004E-2</v>
      </c>
      <c r="O257" s="72" t="s">
        <v>843</v>
      </c>
      <c r="P257" s="181" t="s">
        <v>844</v>
      </c>
    </row>
    <row r="258" spans="1:16" x14ac:dyDescent="0.2">
      <c r="A258" s="72" t="s">
        <v>802</v>
      </c>
      <c r="B258" s="72" t="s">
        <v>22</v>
      </c>
      <c r="C258" s="72" t="s">
        <v>102</v>
      </c>
      <c r="D258" s="72" t="s">
        <v>198</v>
      </c>
      <c r="E258" s="72">
        <v>3</v>
      </c>
      <c r="F258" s="72" t="s">
        <v>834</v>
      </c>
      <c r="G258" s="70">
        <v>9500</v>
      </c>
      <c r="H258" s="70">
        <v>8657</v>
      </c>
      <c r="I258" s="70">
        <v>843</v>
      </c>
      <c r="J258" s="153">
        <v>9.74E-2</v>
      </c>
      <c r="K258" s="70">
        <v>28500</v>
      </c>
      <c r="L258" s="70">
        <v>25971</v>
      </c>
      <c r="M258" s="70">
        <v>2529</v>
      </c>
      <c r="N258" s="153">
        <v>8.8700000000000001E-2</v>
      </c>
      <c r="O258" s="72" t="s">
        <v>843</v>
      </c>
      <c r="P258" s="181" t="s">
        <v>844</v>
      </c>
    </row>
    <row r="259" spans="1:16" x14ac:dyDescent="0.2">
      <c r="A259" s="72" t="s">
        <v>802</v>
      </c>
      <c r="B259" s="72" t="s">
        <v>44</v>
      </c>
      <c r="C259" s="72" t="s">
        <v>102</v>
      </c>
      <c r="D259" s="72" t="s">
        <v>198</v>
      </c>
      <c r="E259" s="72">
        <v>1</v>
      </c>
      <c r="F259" s="72" t="s">
        <v>834</v>
      </c>
      <c r="G259" s="70">
        <v>9500</v>
      </c>
      <c r="H259" s="70">
        <v>8990</v>
      </c>
      <c r="I259" s="70">
        <v>510</v>
      </c>
      <c r="J259" s="153">
        <v>5.67E-2</v>
      </c>
      <c r="K259" s="70">
        <v>9500</v>
      </c>
      <c r="L259" s="70">
        <v>8990</v>
      </c>
      <c r="M259" s="70">
        <v>510</v>
      </c>
      <c r="N259" s="153">
        <v>5.3699999999999998E-2</v>
      </c>
      <c r="O259" s="72" t="s">
        <v>843</v>
      </c>
      <c r="P259" s="181" t="s">
        <v>844</v>
      </c>
    </row>
    <row r="260" spans="1:16" x14ac:dyDescent="0.2">
      <c r="A260" s="72" t="s">
        <v>802</v>
      </c>
      <c r="B260" s="72" t="s">
        <v>36</v>
      </c>
      <c r="C260" s="72" t="s">
        <v>15</v>
      </c>
      <c r="D260" s="72" t="s">
        <v>199</v>
      </c>
      <c r="E260" s="72">
        <v>1</v>
      </c>
      <c r="F260" s="72" t="s">
        <v>834</v>
      </c>
      <c r="G260" s="70">
        <v>16140</v>
      </c>
      <c r="H260" s="70">
        <v>14900</v>
      </c>
      <c r="I260" s="70">
        <v>1240</v>
      </c>
      <c r="J260" s="153">
        <v>8.3199999999999996E-2</v>
      </c>
      <c r="K260" s="70">
        <v>16140</v>
      </c>
      <c r="L260" s="70">
        <v>14900</v>
      </c>
      <c r="M260" s="70">
        <v>1240</v>
      </c>
      <c r="N260" s="153">
        <v>7.6799999999999993E-2</v>
      </c>
      <c r="O260" s="72" t="s">
        <v>843</v>
      </c>
      <c r="P260" s="181" t="s">
        <v>844</v>
      </c>
    </row>
    <row r="261" spans="1:16" x14ac:dyDescent="0.2">
      <c r="A261" s="72" t="s">
        <v>802</v>
      </c>
      <c r="B261" s="72" t="s">
        <v>24</v>
      </c>
      <c r="C261" s="72" t="s">
        <v>95</v>
      </c>
      <c r="D261" s="72" t="s">
        <v>200</v>
      </c>
      <c r="E261" s="72">
        <v>30</v>
      </c>
      <c r="F261" s="72" t="s">
        <v>834</v>
      </c>
      <c r="G261" s="70">
        <v>5000</v>
      </c>
      <c r="H261" s="70">
        <v>5200</v>
      </c>
      <c r="I261" s="70">
        <v>-200</v>
      </c>
      <c r="J261" s="153">
        <v>-3.85E-2</v>
      </c>
      <c r="K261" s="70">
        <v>150000</v>
      </c>
      <c r="L261" s="70">
        <v>156000</v>
      </c>
      <c r="M261" s="70">
        <v>-6000</v>
      </c>
      <c r="N261" s="153">
        <v>-0.04</v>
      </c>
      <c r="O261" s="72" t="s">
        <v>843</v>
      </c>
      <c r="P261" s="182" t="s">
        <v>845</v>
      </c>
    </row>
    <row r="262" spans="1:16" x14ac:dyDescent="0.2">
      <c r="A262" s="72" t="s">
        <v>802</v>
      </c>
      <c r="B262" s="72" t="s">
        <v>45</v>
      </c>
      <c r="C262" s="72" t="s">
        <v>15</v>
      </c>
      <c r="D262" s="72" t="s">
        <v>201</v>
      </c>
      <c r="E262" s="72">
        <v>1</v>
      </c>
      <c r="F262" s="72" t="s">
        <v>834</v>
      </c>
      <c r="G262" s="70">
        <v>13950</v>
      </c>
      <c r="H262" s="70">
        <v>12746</v>
      </c>
      <c r="I262" s="70">
        <v>1204</v>
      </c>
      <c r="J262" s="153">
        <v>9.4500000000000001E-2</v>
      </c>
      <c r="K262" s="70">
        <v>13950</v>
      </c>
      <c r="L262" s="70">
        <v>12746</v>
      </c>
      <c r="M262" s="70">
        <v>1204</v>
      </c>
      <c r="N262" s="153">
        <v>8.6300000000000002E-2</v>
      </c>
      <c r="O262" s="72" t="s">
        <v>843</v>
      </c>
      <c r="P262" s="181" t="s">
        <v>844</v>
      </c>
    </row>
    <row r="263" spans="1:16" x14ac:dyDescent="0.2">
      <c r="A263" s="72" t="s">
        <v>802</v>
      </c>
      <c r="B263" s="72" t="s">
        <v>24</v>
      </c>
      <c r="C263" s="72" t="s">
        <v>106</v>
      </c>
      <c r="D263" s="72" t="s">
        <v>202</v>
      </c>
      <c r="E263" s="72">
        <v>100</v>
      </c>
      <c r="F263" s="72" t="s">
        <v>835</v>
      </c>
      <c r="G263" s="70">
        <v>5000</v>
      </c>
      <c r="H263" s="70">
        <v>5200</v>
      </c>
      <c r="I263" s="70">
        <v>-200</v>
      </c>
      <c r="J263" s="153">
        <v>-3.85E-2</v>
      </c>
      <c r="K263" s="70">
        <v>500000</v>
      </c>
      <c r="L263" s="70">
        <v>520000</v>
      </c>
      <c r="M263" s="70">
        <v>-20000</v>
      </c>
      <c r="N263" s="153">
        <v>-0.04</v>
      </c>
      <c r="O263" s="72" t="s">
        <v>843</v>
      </c>
      <c r="P263" s="182" t="s">
        <v>845</v>
      </c>
    </row>
    <row r="264" spans="1:16" x14ac:dyDescent="0.2">
      <c r="A264" s="72" t="s">
        <v>802</v>
      </c>
      <c r="B264" s="72" t="s">
        <v>45</v>
      </c>
      <c r="C264" s="72" t="s">
        <v>85</v>
      </c>
      <c r="D264" s="72" t="s">
        <v>203</v>
      </c>
      <c r="E264" s="72">
        <v>10</v>
      </c>
      <c r="F264" s="72" t="s">
        <v>834</v>
      </c>
      <c r="G264" s="70">
        <v>13950</v>
      </c>
      <c r="H264" s="70">
        <v>12746</v>
      </c>
      <c r="I264" s="70">
        <v>1204</v>
      </c>
      <c r="J264" s="153">
        <v>9.4500000000000001E-2</v>
      </c>
      <c r="K264" s="70">
        <v>139500</v>
      </c>
      <c r="L264" s="70">
        <v>127460</v>
      </c>
      <c r="M264" s="70">
        <v>12040</v>
      </c>
      <c r="N264" s="153">
        <v>8.6300000000000002E-2</v>
      </c>
      <c r="O264" s="72" t="s">
        <v>843</v>
      </c>
      <c r="P264" s="181" t="s">
        <v>844</v>
      </c>
    </row>
    <row r="265" spans="1:16" x14ac:dyDescent="0.2">
      <c r="A265" s="72" t="s">
        <v>802</v>
      </c>
      <c r="B265" s="72" t="s">
        <v>87</v>
      </c>
      <c r="C265" s="72" t="s">
        <v>85</v>
      </c>
      <c r="D265" s="72" t="s">
        <v>203</v>
      </c>
      <c r="E265" s="72">
        <v>5</v>
      </c>
      <c r="F265" s="72" t="s">
        <v>834</v>
      </c>
      <c r="G265" s="70">
        <v>22565</v>
      </c>
      <c r="H265" s="70">
        <v>20440</v>
      </c>
      <c r="I265" s="70">
        <v>2125</v>
      </c>
      <c r="J265" s="153">
        <v>0.104</v>
      </c>
      <c r="K265" s="70">
        <v>112825</v>
      </c>
      <c r="L265" s="70">
        <v>102200</v>
      </c>
      <c r="M265" s="70">
        <v>10625</v>
      </c>
      <c r="N265" s="153">
        <v>9.4200000000000006E-2</v>
      </c>
      <c r="O265" s="72" t="s">
        <v>843</v>
      </c>
      <c r="P265" s="181" t="s">
        <v>844</v>
      </c>
    </row>
    <row r="266" spans="1:16" x14ac:dyDescent="0.2">
      <c r="A266" s="72" t="s">
        <v>802</v>
      </c>
      <c r="B266" s="72" t="s">
        <v>22</v>
      </c>
      <c r="C266" s="72" t="s">
        <v>85</v>
      </c>
      <c r="D266" s="72" t="s">
        <v>203</v>
      </c>
      <c r="E266" s="72">
        <v>5</v>
      </c>
      <c r="F266" s="72" t="s">
        <v>834</v>
      </c>
      <c r="G266" s="70">
        <v>9300</v>
      </c>
      <c r="H266" s="70">
        <v>8657</v>
      </c>
      <c r="I266" s="70">
        <v>643</v>
      </c>
      <c r="J266" s="153">
        <v>7.4300000000000005E-2</v>
      </c>
      <c r="K266" s="70">
        <v>46500</v>
      </c>
      <c r="L266" s="70">
        <v>43285</v>
      </c>
      <c r="M266" s="70">
        <v>3215</v>
      </c>
      <c r="N266" s="153">
        <v>6.9099999999999995E-2</v>
      </c>
      <c r="O266" s="72" t="s">
        <v>843</v>
      </c>
      <c r="P266" s="181" t="s">
        <v>844</v>
      </c>
    </row>
    <row r="267" spans="1:16" x14ac:dyDescent="0.2">
      <c r="A267" s="72" t="s">
        <v>802</v>
      </c>
      <c r="B267" s="72" t="s">
        <v>44</v>
      </c>
      <c r="C267" s="72" t="s">
        <v>29</v>
      </c>
      <c r="D267" s="72" t="s">
        <v>204</v>
      </c>
      <c r="E267" s="72">
        <v>10</v>
      </c>
      <c r="F267" s="72" t="s">
        <v>834</v>
      </c>
      <c r="G267" s="70">
        <v>9200</v>
      </c>
      <c r="H267" s="70">
        <v>8990</v>
      </c>
      <c r="I267" s="70">
        <v>210</v>
      </c>
      <c r="J267" s="153">
        <v>2.3400000000000001E-2</v>
      </c>
      <c r="K267" s="70">
        <v>92000</v>
      </c>
      <c r="L267" s="70">
        <v>89900</v>
      </c>
      <c r="M267" s="70">
        <v>2100</v>
      </c>
      <c r="N267" s="153">
        <v>2.2800000000000001E-2</v>
      </c>
      <c r="O267" s="72" t="s">
        <v>843</v>
      </c>
      <c r="P267" s="181" t="s">
        <v>844</v>
      </c>
    </row>
    <row r="268" spans="1:16" x14ac:dyDescent="0.2">
      <c r="A268" s="72" t="s">
        <v>802</v>
      </c>
      <c r="B268" s="72" t="s">
        <v>65</v>
      </c>
      <c r="C268" s="72" t="s">
        <v>29</v>
      </c>
      <c r="D268" s="72" t="s">
        <v>204</v>
      </c>
      <c r="E268" s="72">
        <v>5</v>
      </c>
      <c r="F268" s="72" t="s">
        <v>834</v>
      </c>
      <c r="G268" s="70">
        <v>11910</v>
      </c>
      <c r="H268" s="70">
        <v>11315</v>
      </c>
      <c r="I268" s="70">
        <v>595</v>
      </c>
      <c r="J268" s="153">
        <v>5.2600000000000001E-2</v>
      </c>
      <c r="K268" s="70">
        <v>59550</v>
      </c>
      <c r="L268" s="70">
        <v>56575</v>
      </c>
      <c r="M268" s="70">
        <v>2975</v>
      </c>
      <c r="N268" s="153">
        <v>0.05</v>
      </c>
      <c r="O268" s="72" t="s">
        <v>843</v>
      </c>
      <c r="P268" s="181" t="s">
        <v>844</v>
      </c>
    </row>
    <row r="269" spans="1:16" x14ac:dyDescent="0.2">
      <c r="A269" s="72" t="s">
        <v>802</v>
      </c>
      <c r="B269" s="72" t="s">
        <v>22</v>
      </c>
      <c r="C269" s="72" t="s">
        <v>29</v>
      </c>
      <c r="D269" s="72" t="s">
        <v>204</v>
      </c>
      <c r="E269" s="72">
        <v>5</v>
      </c>
      <c r="F269" s="72" t="s">
        <v>834</v>
      </c>
      <c r="G269" s="70">
        <v>8800</v>
      </c>
      <c r="H269" s="70">
        <v>8657</v>
      </c>
      <c r="I269" s="70">
        <v>143</v>
      </c>
      <c r="J269" s="153">
        <v>1.6500000000000001E-2</v>
      </c>
      <c r="K269" s="70">
        <v>44000</v>
      </c>
      <c r="L269" s="70">
        <v>43285</v>
      </c>
      <c r="M269" s="70">
        <v>715</v>
      </c>
      <c r="N269" s="153">
        <v>1.6299999999999999E-2</v>
      </c>
      <c r="O269" s="72" t="s">
        <v>843</v>
      </c>
      <c r="P269" s="181" t="s">
        <v>844</v>
      </c>
    </row>
    <row r="270" spans="1:16" x14ac:dyDescent="0.2">
      <c r="A270" s="72" t="s">
        <v>802</v>
      </c>
      <c r="B270" s="72" t="s">
        <v>45</v>
      </c>
      <c r="C270" s="72" t="s">
        <v>29</v>
      </c>
      <c r="D270" s="72" t="s">
        <v>204</v>
      </c>
      <c r="E270" s="72">
        <v>5</v>
      </c>
      <c r="F270" s="72" t="s">
        <v>834</v>
      </c>
      <c r="G270" s="70">
        <v>13335</v>
      </c>
      <c r="H270" s="70">
        <v>12746</v>
      </c>
      <c r="I270" s="70">
        <v>589</v>
      </c>
      <c r="J270" s="153">
        <v>4.6199999999999998E-2</v>
      </c>
      <c r="K270" s="70">
        <v>66675</v>
      </c>
      <c r="L270" s="70">
        <v>63730</v>
      </c>
      <c r="M270" s="70">
        <v>2945</v>
      </c>
      <c r="N270" s="153">
        <v>4.4200000000000003E-2</v>
      </c>
      <c r="O270" s="72" t="s">
        <v>843</v>
      </c>
      <c r="P270" s="181" t="s">
        <v>844</v>
      </c>
    </row>
    <row r="271" spans="1:16" x14ac:dyDescent="0.2">
      <c r="A271" s="72" t="s">
        <v>802</v>
      </c>
      <c r="B271" s="72" t="s">
        <v>36</v>
      </c>
      <c r="C271" s="72" t="s">
        <v>29</v>
      </c>
      <c r="D271" s="72" t="s">
        <v>204</v>
      </c>
      <c r="E271" s="72">
        <v>3</v>
      </c>
      <c r="F271" s="72" t="s">
        <v>834</v>
      </c>
      <c r="G271" s="70">
        <v>15525</v>
      </c>
      <c r="H271" s="70">
        <v>14900</v>
      </c>
      <c r="I271" s="70">
        <v>625</v>
      </c>
      <c r="J271" s="153">
        <v>4.19E-2</v>
      </c>
      <c r="K271" s="70">
        <v>46575</v>
      </c>
      <c r="L271" s="70">
        <v>44700</v>
      </c>
      <c r="M271" s="70">
        <v>1875</v>
      </c>
      <c r="N271" s="153">
        <v>4.0300000000000002E-2</v>
      </c>
      <c r="O271" s="72" t="s">
        <v>843</v>
      </c>
      <c r="P271" s="181" t="s">
        <v>844</v>
      </c>
    </row>
    <row r="272" spans="1:16" x14ac:dyDescent="0.2">
      <c r="A272" s="72" t="s">
        <v>802</v>
      </c>
      <c r="B272" s="72" t="s">
        <v>93</v>
      </c>
      <c r="C272" s="72" t="s">
        <v>29</v>
      </c>
      <c r="D272" s="72" t="s">
        <v>204</v>
      </c>
      <c r="E272" s="72">
        <v>2</v>
      </c>
      <c r="F272" s="72" t="s">
        <v>834</v>
      </c>
      <c r="G272" s="70">
        <v>11415</v>
      </c>
      <c r="H272" s="70">
        <v>11130</v>
      </c>
      <c r="I272" s="70">
        <v>285</v>
      </c>
      <c r="J272" s="153">
        <v>2.5600000000000001E-2</v>
      </c>
      <c r="K272" s="70">
        <v>22830</v>
      </c>
      <c r="L272" s="70">
        <v>22260</v>
      </c>
      <c r="M272" s="70">
        <v>570</v>
      </c>
      <c r="N272" s="153">
        <v>2.5000000000000001E-2</v>
      </c>
      <c r="O272" s="72" t="s">
        <v>843</v>
      </c>
      <c r="P272" s="181" t="s">
        <v>844</v>
      </c>
    </row>
    <row r="273" spans="1:16" x14ac:dyDescent="0.2">
      <c r="A273" s="72" t="s">
        <v>802</v>
      </c>
      <c r="B273" s="72" t="s">
        <v>32</v>
      </c>
      <c r="C273" s="72" t="s">
        <v>29</v>
      </c>
      <c r="D273" s="72" t="s">
        <v>204</v>
      </c>
      <c r="E273" s="72">
        <v>1</v>
      </c>
      <c r="F273" s="72" t="s">
        <v>834</v>
      </c>
      <c r="G273" s="70">
        <v>16145</v>
      </c>
      <c r="H273" s="70">
        <v>15247</v>
      </c>
      <c r="I273" s="70">
        <v>898</v>
      </c>
      <c r="J273" s="153">
        <v>5.8900000000000001E-2</v>
      </c>
      <c r="K273" s="70">
        <v>16145</v>
      </c>
      <c r="L273" s="70">
        <v>15247</v>
      </c>
      <c r="M273" s="70">
        <v>898</v>
      </c>
      <c r="N273" s="153">
        <v>5.5599999999999997E-2</v>
      </c>
      <c r="O273" s="72" t="s">
        <v>843</v>
      </c>
      <c r="P273" s="181" t="s">
        <v>844</v>
      </c>
    </row>
    <row r="274" spans="1:16" x14ac:dyDescent="0.2">
      <c r="A274" s="72" t="s">
        <v>802</v>
      </c>
      <c r="B274" s="72" t="s">
        <v>113</v>
      </c>
      <c r="C274" s="72" t="s">
        <v>29</v>
      </c>
      <c r="D274" s="72" t="s">
        <v>204</v>
      </c>
      <c r="E274" s="72">
        <v>1</v>
      </c>
      <c r="F274" s="72" t="s">
        <v>834</v>
      </c>
      <c r="G274" s="70">
        <v>14575</v>
      </c>
      <c r="H274" s="70">
        <v>14475</v>
      </c>
      <c r="I274" s="70">
        <v>100</v>
      </c>
      <c r="J274" s="153">
        <v>6.8999999999999999E-3</v>
      </c>
      <c r="K274" s="70">
        <v>14575</v>
      </c>
      <c r="L274" s="70">
        <v>14475</v>
      </c>
      <c r="M274" s="70">
        <v>100</v>
      </c>
      <c r="N274" s="153">
        <v>6.8999999999999999E-3</v>
      </c>
      <c r="O274" s="72" t="s">
        <v>843</v>
      </c>
      <c r="P274" s="181" t="s">
        <v>844</v>
      </c>
    </row>
    <row r="275" spans="1:16" x14ac:dyDescent="0.2">
      <c r="A275" s="72" t="s">
        <v>802</v>
      </c>
      <c r="B275" s="72" t="s">
        <v>77</v>
      </c>
      <c r="C275" s="72" t="s">
        <v>29</v>
      </c>
      <c r="D275" s="72" t="s">
        <v>204</v>
      </c>
      <c r="E275" s="72">
        <v>1</v>
      </c>
      <c r="F275" s="72" t="s">
        <v>834</v>
      </c>
      <c r="G275" s="70">
        <v>17840</v>
      </c>
      <c r="H275" s="70">
        <v>17265</v>
      </c>
      <c r="I275" s="70">
        <v>575</v>
      </c>
      <c r="J275" s="153">
        <v>3.3300000000000003E-2</v>
      </c>
      <c r="K275" s="70">
        <v>17840</v>
      </c>
      <c r="L275" s="70">
        <v>17265</v>
      </c>
      <c r="M275" s="70">
        <v>575</v>
      </c>
      <c r="N275" s="153">
        <v>3.2199999999999999E-2</v>
      </c>
      <c r="O275" s="72" t="s">
        <v>843</v>
      </c>
      <c r="P275" s="181" t="s">
        <v>844</v>
      </c>
    </row>
    <row r="276" spans="1:16" x14ac:dyDescent="0.2">
      <c r="A276" s="72" t="s">
        <v>802</v>
      </c>
      <c r="B276" s="72" t="s">
        <v>24</v>
      </c>
      <c r="C276" s="72" t="s">
        <v>25</v>
      </c>
      <c r="D276" s="72" t="s">
        <v>205</v>
      </c>
      <c r="E276" s="72">
        <v>100</v>
      </c>
      <c r="F276" s="72" t="s">
        <v>835</v>
      </c>
      <c r="G276" s="70">
        <v>5000</v>
      </c>
      <c r="H276" s="70">
        <v>5200</v>
      </c>
      <c r="I276" s="70">
        <v>-200</v>
      </c>
      <c r="J276" s="153">
        <v>-3.85E-2</v>
      </c>
      <c r="K276" s="70">
        <v>500000</v>
      </c>
      <c r="L276" s="70">
        <v>520000</v>
      </c>
      <c r="M276" s="70">
        <v>-20000</v>
      </c>
      <c r="N276" s="153">
        <v>-0.04</v>
      </c>
      <c r="O276" s="72" t="s">
        <v>843</v>
      </c>
      <c r="P276" s="182" t="s">
        <v>845</v>
      </c>
    </row>
    <row r="277" spans="1:16" x14ac:dyDescent="0.2">
      <c r="A277" s="72" t="s">
        <v>802</v>
      </c>
      <c r="B277" s="72" t="s">
        <v>27</v>
      </c>
      <c r="C277" s="72" t="s">
        <v>25</v>
      </c>
      <c r="D277" s="72" t="s">
        <v>205</v>
      </c>
      <c r="E277" s="72">
        <v>20</v>
      </c>
      <c r="F277" s="72" t="s">
        <v>834</v>
      </c>
      <c r="G277" s="70">
        <v>8020</v>
      </c>
      <c r="H277" s="70">
        <v>7685</v>
      </c>
      <c r="I277" s="70">
        <v>335</v>
      </c>
      <c r="J277" s="153">
        <v>4.36E-2</v>
      </c>
      <c r="K277" s="70">
        <v>160400</v>
      </c>
      <c r="L277" s="70">
        <v>153700</v>
      </c>
      <c r="M277" s="70">
        <v>6700</v>
      </c>
      <c r="N277" s="153">
        <v>4.1799999999999997E-2</v>
      </c>
      <c r="O277" s="72" t="s">
        <v>843</v>
      </c>
      <c r="P277" s="181" t="s">
        <v>844</v>
      </c>
    </row>
    <row r="278" spans="1:16" x14ac:dyDescent="0.2">
      <c r="A278" s="72" t="s">
        <v>802</v>
      </c>
      <c r="B278" s="72" t="s">
        <v>22</v>
      </c>
      <c r="C278" s="72" t="s">
        <v>75</v>
      </c>
      <c r="D278" s="72" t="s">
        <v>206</v>
      </c>
      <c r="E278" s="72">
        <v>28</v>
      </c>
      <c r="F278" s="72" t="s">
        <v>834</v>
      </c>
      <c r="G278" s="70">
        <v>9200</v>
      </c>
      <c r="H278" s="70">
        <v>8657</v>
      </c>
      <c r="I278" s="70">
        <v>543</v>
      </c>
      <c r="J278" s="153">
        <v>6.2700000000000006E-2</v>
      </c>
      <c r="K278" s="70">
        <v>257600</v>
      </c>
      <c r="L278" s="70">
        <v>242396</v>
      </c>
      <c r="M278" s="70">
        <v>15204</v>
      </c>
      <c r="N278" s="153">
        <v>5.8999999999999997E-2</v>
      </c>
      <c r="O278" s="72" t="s">
        <v>843</v>
      </c>
      <c r="P278" s="181" t="s">
        <v>844</v>
      </c>
    </row>
    <row r="279" spans="1:16" x14ac:dyDescent="0.2">
      <c r="A279" s="72" t="s">
        <v>802</v>
      </c>
      <c r="B279" s="72" t="s">
        <v>44</v>
      </c>
      <c r="C279" s="72" t="s">
        <v>50</v>
      </c>
      <c r="D279" s="72" t="s">
        <v>207</v>
      </c>
      <c r="E279" s="72">
        <v>10</v>
      </c>
      <c r="F279" s="72" t="s">
        <v>834</v>
      </c>
      <c r="G279" s="70">
        <v>9200</v>
      </c>
      <c r="H279" s="70">
        <v>8990</v>
      </c>
      <c r="I279" s="70">
        <v>210</v>
      </c>
      <c r="J279" s="153">
        <v>2.3400000000000001E-2</v>
      </c>
      <c r="K279" s="70">
        <v>92000</v>
      </c>
      <c r="L279" s="70">
        <v>89900</v>
      </c>
      <c r="M279" s="70">
        <v>2100</v>
      </c>
      <c r="N279" s="153">
        <v>2.2800000000000001E-2</v>
      </c>
      <c r="O279" s="72" t="s">
        <v>843</v>
      </c>
      <c r="P279" s="181" t="s">
        <v>844</v>
      </c>
    </row>
    <row r="280" spans="1:16" x14ac:dyDescent="0.2">
      <c r="A280" s="72" t="s">
        <v>802</v>
      </c>
      <c r="B280" s="72" t="s">
        <v>45</v>
      </c>
      <c r="C280" s="72" t="s">
        <v>50</v>
      </c>
      <c r="D280" s="72" t="s">
        <v>207</v>
      </c>
      <c r="E280" s="72">
        <v>20</v>
      </c>
      <c r="F280" s="72" t="s">
        <v>834</v>
      </c>
      <c r="G280" s="70">
        <v>13335</v>
      </c>
      <c r="H280" s="70">
        <v>12746</v>
      </c>
      <c r="I280" s="70">
        <v>589</v>
      </c>
      <c r="J280" s="153">
        <v>4.6199999999999998E-2</v>
      </c>
      <c r="K280" s="70">
        <v>266700</v>
      </c>
      <c r="L280" s="70">
        <v>254920</v>
      </c>
      <c r="M280" s="70">
        <v>11780</v>
      </c>
      <c r="N280" s="153">
        <v>4.4200000000000003E-2</v>
      </c>
      <c r="O280" s="72" t="s">
        <v>843</v>
      </c>
      <c r="P280" s="181" t="s">
        <v>844</v>
      </c>
    </row>
    <row r="281" spans="1:16" x14ac:dyDescent="0.2">
      <c r="A281" s="72" t="s">
        <v>802</v>
      </c>
      <c r="B281" s="72" t="s">
        <v>65</v>
      </c>
      <c r="C281" s="72" t="s">
        <v>50</v>
      </c>
      <c r="D281" s="72" t="s">
        <v>207</v>
      </c>
      <c r="E281" s="72">
        <v>9</v>
      </c>
      <c r="F281" s="72" t="s">
        <v>834</v>
      </c>
      <c r="G281" s="70">
        <v>11910</v>
      </c>
      <c r="H281" s="70">
        <v>11315</v>
      </c>
      <c r="I281" s="70">
        <v>595</v>
      </c>
      <c r="J281" s="153">
        <v>5.2600000000000001E-2</v>
      </c>
      <c r="K281" s="70">
        <v>107190</v>
      </c>
      <c r="L281" s="70">
        <v>101835</v>
      </c>
      <c r="M281" s="70">
        <v>5355</v>
      </c>
      <c r="N281" s="153">
        <v>0.05</v>
      </c>
      <c r="O281" s="72" t="s">
        <v>843</v>
      </c>
      <c r="P281" s="181" t="s">
        <v>844</v>
      </c>
    </row>
    <row r="282" spans="1:16" x14ac:dyDescent="0.2">
      <c r="A282" s="72" t="s">
        <v>802</v>
      </c>
      <c r="B282" s="72" t="s">
        <v>113</v>
      </c>
      <c r="C282" s="72" t="s">
        <v>50</v>
      </c>
      <c r="D282" s="72" t="s">
        <v>207</v>
      </c>
      <c r="E282" s="72">
        <v>10</v>
      </c>
      <c r="F282" s="72" t="s">
        <v>834</v>
      </c>
      <c r="G282" s="70">
        <v>14475</v>
      </c>
      <c r="H282" s="70">
        <v>14475</v>
      </c>
      <c r="I282" s="70">
        <v>0</v>
      </c>
      <c r="J282" s="153">
        <v>0</v>
      </c>
      <c r="K282" s="70">
        <v>144750</v>
      </c>
      <c r="L282" s="70">
        <v>144750</v>
      </c>
      <c r="M282" s="70">
        <v>0</v>
      </c>
      <c r="N282" s="153">
        <v>0</v>
      </c>
      <c r="O282" s="72" t="s">
        <v>843</v>
      </c>
      <c r="P282" s="72" t="s">
        <v>846</v>
      </c>
    </row>
    <row r="283" spans="1:16" x14ac:dyDescent="0.2">
      <c r="A283" s="72" t="s">
        <v>802</v>
      </c>
      <c r="B283" s="72" t="s">
        <v>87</v>
      </c>
      <c r="C283" s="72" t="s">
        <v>50</v>
      </c>
      <c r="D283" s="72" t="s">
        <v>207</v>
      </c>
      <c r="E283" s="72">
        <v>10</v>
      </c>
      <c r="F283" s="72" t="s">
        <v>834</v>
      </c>
      <c r="G283" s="70">
        <v>21400</v>
      </c>
      <c r="H283" s="70">
        <v>20440</v>
      </c>
      <c r="I283" s="70">
        <v>960</v>
      </c>
      <c r="J283" s="153">
        <v>4.7E-2</v>
      </c>
      <c r="K283" s="70">
        <v>214000</v>
      </c>
      <c r="L283" s="70">
        <v>204400</v>
      </c>
      <c r="M283" s="70">
        <v>9600</v>
      </c>
      <c r="N283" s="153">
        <v>4.4900000000000002E-2</v>
      </c>
      <c r="O283" s="72" t="s">
        <v>843</v>
      </c>
      <c r="P283" s="181" t="s">
        <v>844</v>
      </c>
    </row>
    <row r="284" spans="1:16" x14ac:dyDescent="0.2">
      <c r="A284" s="72" t="s">
        <v>802</v>
      </c>
      <c r="B284" s="72" t="s">
        <v>22</v>
      </c>
      <c r="C284" s="72" t="s">
        <v>122</v>
      </c>
      <c r="D284" s="72" t="s">
        <v>208</v>
      </c>
      <c r="E284" s="72">
        <v>2</v>
      </c>
      <c r="F284" s="72" t="s">
        <v>834</v>
      </c>
      <c r="G284" s="70">
        <v>9200</v>
      </c>
      <c r="H284" s="70">
        <v>8657</v>
      </c>
      <c r="I284" s="70">
        <v>543</v>
      </c>
      <c r="J284" s="153">
        <v>6.2700000000000006E-2</v>
      </c>
      <c r="K284" s="70">
        <v>18400</v>
      </c>
      <c r="L284" s="70">
        <v>17314</v>
      </c>
      <c r="M284" s="70">
        <v>1086</v>
      </c>
      <c r="N284" s="153">
        <v>5.8999999999999997E-2</v>
      </c>
      <c r="O284" s="72" t="s">
        <v>843</v>
      </c>
      <c r="P284" s="181" t="s">
        <v>844</v>
      </c>
    </row>
    <row r="285" spans="1:16" x14ac:dyDescent="0.2">
      <c r="A285" s="72" t="s">
        <v>802</v>
      </c>
      <c r="B285" s="72" t="s">
        <v>21</v>
      </c>
      <c r="C285" s="72" t="s">
        <v>122</v>
      </c>
      <c r="D285" s="72" t="s">
        <v>208</v>
      </c>
      <c r="E285" s="72">
        <v>1</v>
      </c>
      <c r="F285" s="72" t="s">
        <v>834</v>
      </c>
      <c r="G285" s="70">
        <v>9000</v>
      </c>
      <c r="H285" s="70">
        <v>8118</v>
      </c>
      <c r="I285" s="70">
        <v>882</v>
      </c>
      <c r="J285" s="153">
        <v>0.1086</v>
      </c>
      <c r="K285" s="70">
        <v>9000</v>
      </c>
      <c r="L285" s="70">
        <v>8118</v>
      </c>
      <c r="M285" s="70">
        <v>882</v>
      </c>
      <c r="N285" s="153">
        <v>9.8000000000000004E-2</v>
      </c>
      <c r="O285" s="72" t="s">
        <v>843</v>
      </c>
      <c r="P285" s="181" t="s">
        <v>844</v>
      </c>
    </row>
    <row r="286" spans="1:16" x14ac:dyDescent="0.2">
      <c r="A286" s="72" t="s">
        <v>802</v>
      </c>
      <c r="B286" s="72" t="s">
        <v>44</v>
      </c>
      <c r="C286" s="72" t="s">
        <v>122</v>
      </c>
      <c r="D286" s="72" t="s">
        <v>208</v>
      </c>
      <c r="E286" s="72">
        <v>1</v>
      </c>
      <c r="F286" s="72" t="s">
        <v>834</v>
      </c>
      <c r="G286" s="70">
        <v>9200</v>
      </c>
      <c r="H286" s="70">
        <v>8990</v>
      </c>
      <c r="I286" s="70">
        <v>210</v>
      </c>
      <c r="J286" s="153">
        <v>2.3400000000000001E-2</v>
      </c>
      <c r="K286" s="70">
        <v>9200</v>
      </c>
      <c r="L286" s="70">
        <v>8990</v>
      </c>
      <c r="M286" s="70">
        <v>210</v>
      </c>
      <c r="N286" s="153">
        <v>2.2800000000000001E-2</v>
      </c>
      <c r="O286" s="72" t="s">
        <v>843</v>
      </c>
      <c r="P286" s="181" t="s">
        <v>844</v>
      </c>
    </row>
    <row r="287" spans="1:16" x14ac:dyDescent="0.2">
      <c r="A287" s="72" t="s">
        <v>802</v>
      </c>
      <c r="B287" s="72" t="s">
        <v>37</v>
      </c>
      <c r="C287" s="72" t="s">
        <v>122</v>
      </c>
      <c r="D287" s="72" t="s">
        <v>208</v>
      </c>
      <c r="E287" s="72">
        <v>1</v>
      </c>
      <c r="F287" s="72" t="s">
        <v>834</v>
      </c>
      <c r="G287" s="70">
        <v>9200</v>
      </c>
      <c r="H287" s="70">
        <v>8525</v>
      </c>
      <c r="I287" s="70">
        <v>675</v>
      </c>
      <c r="J287" s="153">
        <v>7.9200000000000007E-2</v>
      </c>
      <c r="K287" s="70">
        <v>9200</v>
      </c>
      <c r="L287" s="70">
        <v>8525</v>
      </c>
      <c r="M287" s="70">
        <v>675</v>
      </c>
      <c r="N287" s="153">
        <v>7.3400000000000007E-2</v>
      </c>
      <c r="O287" s="72" t="s">
        <v>843</v>
      </c>
      <c r="P287" s="181" t="s">
        <v>844</v>
      </c>
    </row>
    <row r="288" spans="1:16" x14ac:dyDescent="0.2">
      <c r="A288" s="72" t="s">
        <v>802</v>
      </c>
      <c r="B288" s="72" t="s">
        <v>65</v>
      </c>
      <c r="C288" s="72" t="s">
        <v>122</v>
      </c>
      <c r="D288" s="72" t="s">
        <v>208</v>
      </c>
      <c r="E288" s="72">
        <v>1</v>
      </c>
      <c r="F288" s="72" t="s">
        <v>834</v>
      </c>
      <c r="G288" s="70">
        <v>11910</v>
      </c>
      <c r="H288" s="70">
        <v>11315</v>
      </c>
      <c r="I288" s="70">
        <v>595</v>
      </c>
      <c r="J288" s="153">
        <v>5.2600000000000001E-2</v>
      </c>
      <c r="K288" s="70">
        <v>11910</v>
      </c>
      <c r="L288" s="70">
        <v>11315</v>
      </c>
      <c r="M288" s="70">
        <v>595</v>
      </c>
      <c r="N288" s="153">
        <v>0.05</v>
      </c>
      <c r="O288" s="72" t="s">
        <v>843</v>
      </c>
      <c r="P288" s="181" t="s">
        <v>844</v>
      </c>
    </row>
    <row r="289" spans="1:16" x14ac:dyDescent="0.2">
      <c r="A289" s="72" t="s">
        <v>802</v>
      </c>
      <c r="B289" s="72" t="s">
        <v>45</v>
      </c>
      <c r="C289" s="72" t="s">
        <v>122</v>
      </c>
      <c r="D289" s="72" t="s">
        <v>208</v>
      </c>
      <c r="E289" s="72">
        <v>1</v>
      </c>
      <c r="F289" s="72" t="s">
        <v>834</v>
      </c>
      <c r="G289" s="70">
        <v>13950</v>
      </c>
      <c r="H289" s="70">
        <v>12746</v>
      </c>
      <c r="I289" s="70">
        <v>1204</v>
      </c>
      <c r="J289" s="153">
        <v>9.4500000000000001E-2</v>
      </c>
      <c r="K289" s="70">
        <v>13950</v>
      </c>
      <c r="L289" s="70">
        <v>12746</v>
      </c>
      <c r="M289" s="70">
        <v>1204</v>
      </c>
      <c r="N289" s="153">
        <v>8.6300000000000002E-2</v>
      </c>
      <c r="O289" s="72" t="s">
        <v>843</v>
      </c>
      <c r="P289" s="181" t="s">
        <v>844</v>
      </c>
    </row>
    <row r="290" spans="1:16" x14ac:dyDescent="0.2">
      <c r="A290" s="72" t="s">
        <v>802</v>
      </c>
      <c r="B290" s="72" t="s">
        <v>93</v>
      </c>
      <c r="C290" s="72" t="s">
        <v>122</v>
      </c>
      <c r="D290" s="72" t="s">
        <v>208</v>
      </c>
      <c r="E290" s="72">
        <v>1</v>
      </c>
      <c r="F290" s="72" t="s">
        <v>834</v>
      </c>
      <c r="G290" s="70">
        <v>11600</v>
      </c>
      <c r="H290" s="70">
        <v>11130</v>
      </c>
      <c r="I290" s="70">
        <v>470</v>
      </c>
      <c r="J290" s="153">
        <v>4.2200000000000001E-2</v>
      </c>
      <c r="K290" s="70">
        <v>11600</v>
      </c>
      <c r="L290" s="70">
        <v>11130</v>
      </c>
      <c r="M290" s="70">
        <v>470</v>
      </c>
      <c r="N290" s="153">
        <v>4.0500000000000001E-2</v>
      </c>
      <c r="O290" s="72" t="s">
        <v>843</v>
      </c>
      <c r="P290" s="181" t="s">
        <v>844</v>
      </c>
    </row>
    <row r="291" spans="1:16" x14ac:dyDescent="0.2">
      <c r="A291" s="72" t="s">
        <v>802</v>
      </c>
      <c r="B291" s="72" t="s">
        <v>43</v>
      </c>
      <c r="C291" s="72" t="s">
        <v>122</v>
      </c>
      <c r="D291" s="72" t="s">
        <v>208</v>
      </c>
      <c r="E291" s="72">
        <v>1</v>
      </c>
      <c r="F291" s="72" t="s">
        <v>834</v>
      </c>
      <c r="G291" s="70">
        <v>18300</v>
      </c>
      <c r="H291" s="70">
        <v>17150</v>
      </c>
      <c r="I291" s="70">
        <v>1150</v>
      </c>
      <c r="J291" s="153">
        <v>6.7100000000000007E-2</v>
      </c>
      <c r="K291" s="70">
        <v>18300</v>
      </c>
      <c r="L291" s="70">
        <v>17150</v>
      </c>
      <c r="M291" s="70">
        <v>1150</v>
      </c>
      <c r="N291" s="153">
        <v>6.2799999999999995E-2</v>
      </c>
      <c r="O291" s="72" t="s">
        <v>843</v>
      </c>
      <c r="P291" s="181" t="s">
        <v>844</v>
      </c>
    </row>
    <row r="292" spans="1:16" x14ac:dyDescent="0.2">
      <c r="A292" s="72" t="s">
        <v>802</v>
      </c>
      <c r="B292" s="72" t="s">
        <v>87</v>
      </c>
      <c r="C292" s="72" t="s">
        <v>122</v>
      </c>
      <c r="D292" s="72" t="s">
        <v>208</v>
      </c>
      <c r="E292" s="72">
        <v>1</v>
      </c>
      <c r="F292" s="72" t="s">
        <v>834</v>
      </c>
      <c r="G292" s="70">
        <v>21400</v>
      </c>
      <c r="H292" s="70">
        <v>20440</v>
      </c>
      <c r="I292" s="70">
        <v>960</v>
      </c>
      <c r="J292" s="153">
        <v>4.7E-2</v>
      </c>
      <c r="K292" s="70">
        <v>21400</v>
      </c>
      <c r="L292" s="70">
        <v>20440</v>
      </c>
      <c r="M292" s="70">
        <v>960</v>
      </c>
      <c r="N292" s="153">
        <v>4.4900000000000002E-2</v>
      </c>
      <c r="O292" s="72" t="s">
        <v>843</v>
      </c>
      <c r="P292" s="181" t="s">
        <v>844</v>
      </c>
    </row>
    <row r="293" spans="1:16" x14ac:dyDescent="0.2">
      <c r="A293" s="72" t="s">
        <v>802</v>
      </c>
      <c r="B293" s="72" t="s">
        <v>70</v>
      </c>
      <c r="C293" s="72" t="s">
        <v>122</v>
      </c>
      <c r="D293" s="72" t="s">
        <v>208</v>
      </c>
      <c r="E293" s="72">
        <v>1</v>
      </c>
      <c r="F293" s="72" t="s">
        <v>834</v>
      </c>
      <c r="G293" s="70">
        <v>13460</v>
      </c>
      <c r="H293" s="70">
        <v>12855</v>
      </c>
      <c r="I293" s="70">
        <v>605</v>
      </c>
      <c r="J293" s="153">
        <v>4.7100000000000003E-2</v>
      </c>
      <c r="K293" s="70">
        <v>13460</v>
      </c>
      <c r="L293" s="70">
        <v>12855</v>
      </c>
      <c r="M293" s="70">
        <v>605</v>
      </c>
      <c r="N293" s="153">
        <v>4.4900000000000002E-2</v>
      </c>
      <c r="O293" s="72" t="s">
        <v>843</v>
      </c>
      <c r="P293" s="181" t="s">
        <v>844</v>
      </c>
    </row>
    <row r="294" spans="1:16" x14ac:dyDescent="0.2">
      <c r="A294" s="72" t="s">
        <v>802</v>
      </c>
      <c r="B294" s="72" t="s">
        <v>37</v>
      </c>
      <c r="C294" s="72" t="s">
        <v>102</v>
      </c>
      <c r="D294" s="72" t="s">
        <v>209</v>
      </c>
      <c r="E294" s="72">
        <v>1</v>
      </c>
      <c r="F294" s="72" t="s">
        <v>834</v>
      </c>
      <c r="G294" s="70">
        <v>9500</v>
      </c>
      <c r="H294" s="70">
        <v>8525</v>
      </c>
      <c r="I294" s="70">
        <v>975</v>
      </c>
      <c r="J294" s="153">
        <v>0.1144</v>
      </c>
      <c r="K294" s="70">
        <v>9500</v>
      </c>
      <c r="L294" s="70">
        <v>8525</v>
      </c>
      <c r="M294" s="70">
        <v>975</v>
      </c>
      <c r="N294" s="153">
        <v>0.1026</v>
      </c>
      <c r="O294" s="72" t="s">
        <v>843</v>
      </c>
      <c r="P294" s="181" t="s">
        <v>844</v>
      </c>
    </row>
    <row r="295" spans="1:16" x14ac:dyDescent="0.2">
      <c r="A295" s="72" t="s">
        <v>815</v>
      </c>
      <c r="B295" s="72" t="s">
        <v>24</v>
      </c>
      <c r="C295" s="72" t="s">
        <v>210</v>
      </c>
      <c r="D295" s="72" t="s">
        <v>211</v>
      </c>
      <c r="E295" s="72">
        <v>1240</v>
      </c>
      <c r="F295" s="72" t="s">
        <v>836</v>
      </c>
      <c r="G295" s="70">
        <v>4950</v>
      </c>
      <c r="H295" s="70">
        <v>5200</v>
      </c>
      <c r="I295" s="70">
        <v>-250</v>
      </c>
      <c r="J295" s="153">
        <v>-4.8099999999999997E-2</v>
      </c>
      <c r="K295" s="70">
        <v>6138000</v>
      </c>
      <c r="L295" s="70">
        <v>6448000</v>
      </c>
      <c r="M295" s="70">
        <v>-310000</v>
      </c>
      <c r="N295" s="153">
        <v>-5.0500000000000003E-2</v>
      </c>
      <c r="O295" s="72" t="s">
        <v>843</v>
      </c>
      <c r="P295" s="182" t="s">
        <v>845</v>
      </c>
    </row>
    <row r="296" spans="1:16" x14ac:dyDescent="0.2">
      <c r="A296" s="72" t="s">
        <v>815</v>
      </c>
      <c r="B296" s="72" t="s">
        <v>22</v>
      </c>
      <c r="C296" s="72" t="s">
        <v>212</v>
      </c>
      <c r="D296" s="72" t="s">
        <v>213</v>
      </c>
      <c r="E296" s="72">
        <v>5</v>
      </c>
      <c r="F296" s="72" t="s">
        <v>834</v>
      </c>
      <c r="G296" s="70">
        <v>9200</v>
      </c>
      <c r="H296" s="70">
        <v>8657</v>
      </c>
      <c r="I296" s="70">
        <v>543</v>
      </c>
      <c r="J296" s="153">
        <v>6.2700000000000006E-2</v>
      </c>
      <c r="K296" s="70">
        <v>46000</v>
      </c>
      <c r="L296" s="70">
        <v>43285</v>
      </c>
      <c r="M296" s="70">
        <v>2715</v>
      </c>
      <c r="N296" s="153">
        <v>5.8999999999999997E-2</v>
      </c>
      <c r="O296" s="72" t="s">
        <v>843</v>
      </c>
      <c r="P296" s="181" t="s">
        <v>844</v>
      </c>
    </row>
    <row r="297" spans="1:16" x14ac:dyDescent="0.2">
      <c r="A297" s="72" t="s">
        <v>815</v>
      </c>
      <c r="B297" s="72" t="s">
        <v>22</v>
      </c>
      <c r="C297" s="72" t="s">
        <v>29</v>
      </c>
      <c r="D297" s="72" t="s">
        <v>214</v>
      </c>
      <c r="E297" s="72">
        <v>17</v>
      </c>
      <c r="F297" s="72" t="s">
        <v>834</v>
      </c>
      <c r="G297" s="70">
        <v>8800</v>
      </c>
      <c r="H297" s="70">
        <v>8657</v>
      </c>
      <c r="I297" s="70">
        <v>143</v>
      </c>
      <c r="J297" s="153">
        <v>1.6500000000000001E-2</v>
      </c>
      <c r="K297" s="70">
        <v>149600</v>
      </c>
      <c r="L297" s="70">
        <v>147169</v>
      </c>
      <c r="M297" s="70">
        <v>2431</v>
      </c>
      <c r="N297" s="153">
        <v>1.6299999999999999E-2</v>
      </c>
      <c r="O297" s="72" t="s">
        <v>843</v>
      </c>
      <c r="P297" s="181" t="s">
        <v>844</v>
      </c>
    </row>
    <row r="298" spans="1:16" x14ac:dyDescent="0.2">
      <c r="A298" s="72" t="s">
        <v>815</v>
      </c>
      <c r="B298" s="72" t="s">
        <v>45</v>
      </c>
      <c r="C298" s="72" t="s">
        <v>29</v>
      </c>
      <c r="D298" s="72" t="s">
        <v>214</v>
      </c>
      <c r="E298" s="72">
        <v>7</v>
      </c>
      <c r="F298" s="72" t="s">
        <v>834</v>
      </c>
      <c r="G298" s="70">
        <v>13335</v>
      </c>
      <c r="H298" s="70">
        <v>12746</v>
      </c>
      <c r="I298" s="70">
        <v>589</v>
      </c>
      <c r="J298" s="153">
        <v>4.6199999999999998E-2</v>
      </c>
      <c r="K298" s="70">
        <v>93345</v>
      </c>
      <c r="L298" s="70">
        <v>89222</v>
      </c>
      <c r="M298" s="70">
        <v>4123</v>
      </c>
      <c r="N298" s="153">
        <v>4.4200000000000003E-2</v>
      </c>
      <c r="O298" s="72" t="s">
        <v>843</v>
      </c>
      <c r="P298" s="181" t="s">
        <v>844</v>
      </c>
    </row>
    <row r="299" spans="1:16" x14ac:dyDescent="0.2">
      <c r="A299" s="72" t="s">
        <v>815</v>
      </c>
      <c r="B299" s="72" t="s">
        <v>65</v>
      </c>
      <c r="C299" s="72" t="s">
        <v>29</v>
      </c>
      <c r="D299" s="72" t="s">
        <v>214</v>
      </c>
      <c r="E299" s="72">
        <v>3</v>
      </c>
      <c r="F299" s="72" t="s">
        <v>834</v>
      </c>
      <c r="G299" s="70">
        <v>11910</v>
      </c>
      <c r="H299" s="70">
        <v>11315</v>
      </c>
      <c r="I299" s="70">
        <v>595</v>
      </c>
      <c r="J299" s="153">
        <v>5.2600000000000001E-2</v>
      </c>
      <c r="K299" s="70">
        <v>35730</v>
      </c>
      <c r="L299" s="70">
        <v>33945</v>
      </c>
      <c r="M299" s="70">
        <v>1785</v>
      </c>
      <c r="N299" s="153">
        <v>0.05</v>
      </c>
      <c r="O299" s="72" t="s">
        <v>843</v>
      </c>
      <c r="P299" s="181" t="s">
        <v>844</v>
      </c>
    </row>
    <row r="300" spans="1:16" x14ac:dyDescent="0.2">
      <c r="A300" s="72" t="s">
        <v>815</v>
      </c>
      <c r="B300" s="72" t="s">
        <v>113</v>
      </c>
      <c r="C300" s="72" t="s">
        <v>29</v>
      </c>
      <c r="D300" s="72" t="s">
        <v>214</v>
      </c>
      <c r="E300" s="72">
        <v>2</v>
      </c>
      <c r="F300" s="72" t="s">
        <v>834</v>
      </c>
      <c r="G300" s="70">
        <v>14575</v>
      </c>
      <c r="H300" s="70">
        <v>14475</v>
      </c>
      <c r="I300" s="70">
        <v>100</v>
      </c>
      <c r="J300" s="153">
        <v>6.8999999999999999E-3</v>
      </c>
      <c r="K300" s="70">
        <v>29150</v>
      </c>
      <c r="L300" s="70">
        <v>28950</v>
      </c>
      <c r="M300" s="70">
        <v>200</v>
      </c>
      <c r="N300" s="153">
        <v>6.8999999999999999E-3</v>
      </c>
      <c r="O300" s="72" t="s">
        <v>843</v>
      </c>
      <c r="P300" s="181" t="s">
        <v>844</v>
      </c>
    </row>
    <row r="301" spans="1:16" x14ac:dyDescent="0.2">
      <c r="A301" s="72" t="s">
        <v>815</v>
      </c>
      <c r="B301" s="72" t="s">
        <v>37</v>
      </c>
      <c r="C301" s="72" t="s">
        <v>29</v>
      </c>
      <c r="D301" s="72" t="s">
        <v>214</v>
      </c>
      <c r="E301" s="72">
        <v>3</v>
      </c>
      <c r="F301" s="72" t="s">
        <v>834</v>
      </c>
      <c r="G301" s="70">
        <v>8880</v>
      </c>
      <c r="H301" s="70">
        <v>8525</v>
      </c>
      <c r="I301" s="70">
        <v>355</v>
      </c>
      <c r="J301" s="153">
        <v>4.1599999999999998E-2</v>
      </c>
      <c r="K301" s="70">
        <v>26640</v>
      </c>
      <c r="L301" s="70">
        <v>25575</v>
      </c>
      <c r="M301" s="70">
        <v>1065</v>
      </c>
      <c r="N301" s="153">
        <v>0.04</v>
      </c>
      <c r="O301" s="72" t="s">
        <v>843</v>
      </c>
      <c r="P301" s="181" t="s">
        <v>844</v>
      </c>
    </row>
    <row r="302" spans="1:16" x14ac:dyDescent="0.2">
      <c r="A302" s="72" t="s">
        <v>815</v>
      </c>
      <c r="B302" s="72" t="s">
        <v>36</v>
      </c>
      <c r="C302" s="72" t="s">
        <v>29</v>
      </c>
      <c r="D302" s="72" t="s">
        <v>214</v>
      </c>
      <c r="E302" s="72">
        <v>2</v>
      </c>
      <c r="F302" s="72" t="s">
        <v>834</v>
      </c>
      <c r="G302" s="70">
        <v>15525</v>
      </c>
      <c r="H302" s="70">
        <v>14900</v>
      </c>
      <c r="I302" s="70">
        <v>625</v>
      </c>
      <c r="J302" s="153">
        <v>4.19E-2</v>
      </c>
      <c r="K302" s="70">
        <v>31050</v>
      </c>
      <c r="L302" s="70">
        <v>29800</v>
      </c>
      <c r="M302" s="70">
        <v>1250</v>
      </c>
      <c r="N302" s="153">
        <v>4.0300000000000002E-2</v>
      </c>
      <c r="O302" s="72" t="s">
        <v>843</v>
      </c>
      <c r="P302" s="181" t="s">
        <v>844</v>
      </c>
    </row>
    <row r="303" spans="1:16" x14ac:dyDescent="0.2">
      <c r="A303" s="72" t="s">
        <v>815</v>
      </c>
      <c r="B303" s="72" t="s">
        <v>87</v>
      </c>
      <c r="C303" s="72" t="s">
        <v>29</v>
      </c>
      <c r="D303" s="72" t="s">
        <v>214</v>
      </c>
      <c r="E303" s="72">
        <v>1</v>
      </c>
      <c r="F303" s="72" t="s">
        <v>834</v>
      </c>
      <c r="G303" s="70">
        <v>21400</v>
      </c>
      <c r="H303" s="70">
        <v>20440</v>
      </c>
      <c r="I303" s="70">
        <v>960</v>
      </c>
      <c r="J303" s="153">
        <v>4.7E-2</v>
      </c>
      <c r="K303" s="70">
        <v>21400</v>
      </c>
      <c r="L303" s="70">
        <v>20440</v>
      </c>
      <c r="M303" s="70">
        <v>960</v>
      </c>
      <c r="N303" s="153">
        <v>4.4900000000000002E-2</v>
      </c>
      <c r="O303" s="72" t="s">
        <v>843</v>
      </c>
      <c r="P303" s="181" t="s">
        <v>844</v>
      </c>
    </row>
    <row r="304" spans="1:16" x14ac:dyDescent="0.2">
      <c r="A304" s="72" t="s">
        <v>815</v>
      </c>
      <c r="B304" s="72" t="s">
        <v>150</v>
      </c>
      <c r="C304" s="72" t="s">
        <v>29</v>
      </c>
      <c r="D304" s="72" t="s">
        <v>214</v>
      </c>
      <c r="E304" s="72">
        <v>1</v>
      </c>
      <c r="F304" s="72" t="s">
        <v>834</v>
      </c>
      <c r="G304" s="70">
        <v>10315</v>
      </c>
      <c r="H304" s="70">
        <v>9925</v>
      </c>
      <c r="I304" s="70">
        <v>390</v>
      </c>
      <c r="J304" s="153">
        <v>3.9300000000000002E-2</v>
      </c>
      <c r="K304" s="70">
        <v>10315</v>
      </c>
      <c r="L304" s="70">
        <v>9925</v>
      </c>
      <c r="M304" s="70">
        <v>390</v>
      </c>
      <c r="N304" s="153">
        <v>3.78E-2</v>
      </c>
      <c r="O304" s="72" t="s">
        <v>843</v>
      </c>
      <c r="P304" s="181" t="s">
        <v>844</v>
      </c>
    </row>
    <row r="305" spans="1:16" x14ac:dyDescent="0.2">
      <c r="A305" s="72" t="s">
        <v>815</v>
      </c>
      <c r="B305" s="72" t="s">
        <v>93</v>
      </c>
      <c r="C305" s="72" t="s">
        <v>29</v>
      </c>
      <c r="D305" s="72" t="s">
        <v>214</v>
      </c>
      <c r="E305" s="72">
        <v>1</v>
      </c>
      <c r="F305" s="72" t="s">
        <v>834</v>
      </c>
      <c r="G305" s="70">
        <v>11415</v>
      </c>
      <c r="H305" s="70">
        <v>11130</v>
      </c>
      <c r="I305" s="70">
        <v>285</v>
      </c>
      <c r="J305" s="153">
        <v>2.5600000000000001E-2</v>
      </c>
      <c r="K305" s="70">
        <v>11415</v>
      </c>
      <c r="L305" s="70">
        <v>11130</v>
      </c>
      <c r="M305" s="70">
        <v>285</v>
      </c>
      <c r="N305" s="153">
        <v>2.5000000000000001E-2</v>
      </c>
      <c r="O305" s="72" t="s">
        <v>843</v>
      </c>
      <c r="P305" s="181" t="s">
        <v>844</v>
      </c>
    </row>
    <row r="306" spans="1:16" x14ac:dyDescent="0.2">
      <c r="A306" s="72" t="s">
        <v>815</v>
      </c>
      <c r="B306" s="72" t="s">
        <v>44</v>
      </c>
      <c r="C306" s="72" t="s">
        <v>29</v>
      </c>
      <c r="D306" s="72" t="s">
        <v>214</v>
      </c>
      <c r="E306" s="72">
        <v>21</v>
      </c>
      <c r="F306" s="72" t="s">
        <v>834</v>
      </c>
      <c r="G306" s="70">
        <v>9200</v>
      </c>
      <c r="H306" s="70">
        <v>8990</v>
      </c>
      <c r="I306" s="70">
        <v>210</v>
      </c>
      <c r="J306" s="153">
        <v>2.3400000000000001E-2</v>
      </c>
      <c r="K306" s="70">
        <v>193200</v>
      </c>
      <c r="L306" s="70">
        <v>188790</v>
      </c>
      <c r="M306" s="70">
        <v>4410</v>
      </c>
      <c r="N306" s="153">
        <v>2.2800000000000001E-2</v>
      </c>
      <c r="O306" s="72" t="s">
        <v>843</v>
      </c>
      <c r="P306" s="181" t="s">
        <v>844</v>
      </c>
    </row>
    <row r="307" spans="1:16" x14ac:dyDescent="0.2">
      <c r="A307" s="72" t="s">
        <v>815</v>
      </c>
      <c r="B307" s="72" t="s">
        <v>80</v>
      </c>
      <c r="C307" s="72" t="s">
        <v>29</v>
      </c>
      <c r="D307" s="72" t="s">
        <v>215</v>
      </c>
      <c r="E307" s="72">
        <v>1</v>
      </c>
      <c r="F307" s="72" t="s">
        <v>834</v>
      </c>
      <c r="G307" s="70">
        <v>9345</v>
      </c>
      <c r="H307" s="70">
        <v>8970</v>
      </c>
      <c r="I307" s="70">
        <v>375</v>
      </c>
      <c r="J307" s="153">
        <v>4.1799999999999997E-2</v>
      </c>
      <c r="K307" s="70">
        <v>9345</v>
      </c>
      <c r="L307" s="70">
        <v>8970</v>
      </c>
      <c r="M307" s="70">
        <v>375</v>
      </c>
      <c r="N307" s="153">
        <v>4.0099999999999997E-2</v>
      </c>
      <c r="O307" s="72" t="s">
        <v>843</v>
      </c>
      <c r="P307" s="181" t="s">
        <v>844</v>
      </c>
    </row>
    <row r="308" spans="1:16" x14ac:dyDescent="0.2">
      <c r="A308" s="72" t="s">
        <v>815</v>
      </c>
      <c r="B308" s="72" t="s">
        <v>24</v>
      </c>
      <c r="C308" s="72" t="s">
        <v>25</v>
      </c>
      <c r="D308" s="72" t="s">
        <v>216</v>
      </c>
      <c r="E308" s="72">
        <v>150</v>
      </c>
      <c r="F308" s="72" t="s">
        <v>835</v>
      </c>
      <c r="G308" s="70">
        <v>5000</v>
      </c>
      <c r="H308" s="70">
        <v>5200</v>
      </c>
      <c r="I308" s="70">
        <v>-200</v>
      </c>
      <c r="J308" s="153">
        <v>-3.85E-2</v>
      </c>
      <c r="K308" s="70">
        <v>750000</v>
      </c>
      <c r="L308" s="70">
        <v>780000</v>
      </c>
      <c r="M308" s="70">
        <v>-30000</v>
      </c>
      <c r="N308" s="153">
        <v>-0.04</v>
      </c>
      <c r="O308" s="72" t="s">
        <v>843</v>
      </c>
      <c r="P308" s="182" t="s">
        <v>845</v>
      </c>
    </row>
    <row r="309" spans="1:16" x14ac:dyDescent="0.2">
      <c r="A309" s="72" t="s">
        <v>815</v>
      </c>
      <c r="B309" s="72" t="s">
        <v>28</v>
      </c>
      <c r="C309" s="72" t="s">
        <v>25</v>
      </c>
      <c r="D309" s="72" t="s">
        <v>216</v>
      </c>
      <c r="E309" s="72">
        <v>5</v>
      </c>
      <c r="F309" s="72" t="s">
        <v>834</v>
      </c>
      <c r="G309" s="70">
        <v>13150</v>
      </c>
      <c r="H309" s="70">
        <v>13501</v>
      </c>
      <c r="I309" s="70">
        <v>-351</v>
      </c>
      <c r="J309" s="153">
        <v>-2.5999999999999999E-2</v>
      </c>
      <c r="K309" s="70">
        <v>65750</v>
      </c>
      <c r="L309" s="70">
        <v>67505</v>
      </c>
      <c r="M309" s="70">
        <v>-1755</v>
      </c>
      <c r="N309" s="153">
        <v>-2.6700000000000002E-2</v>
      </c>
      <c r="O309" s="72" t="s">
        <v>843</v>
      </c>
      <c r="P309" s="182" t="s">
        <v>845</v>
      </c>
    </row>
    <row r="310" spans="1:16" x14ac:dyDescent="0.2">
      <c r="A310" s="72" t="s">
        <v>815</v>
      </c>
      <c r="B310" s="72" t="s">
        <v>45</v>
      </c>
      <c r="C310" s="72" t="s">
        <v>85</v>
      </c>
      <c r="D310" s="72" t="s">
        <v>217</v>
      </c>
      <c r="E310" s="72">
        <v>10</v>
      </c>
      <c r="F310" s="72" t="s">
        <v>834</v>
      </c>
      <c r="G310" s="70">
        <v>13950</v>
      </c>
      <c r="H310" s="70">
        <v>12746</v>
      </c>
      <c r="I310" s="70">
        <v>1204</v>
      </c>
      <c r="J310" s="153">
        <v>9.4500000000000001E-2</v>
      </c>
      <c r="K310" s="70">
        <v>139500</v>
      </c>
      <c r="L310" s="70">
        <v>127460</v>
      </c>
      <c r="M310" s="70">
        <v>12040</v>
      </c>
      <c r="N310" s="153">
        <v>8.6300000000000002E-2</v>
      </c>
      <c r="O310" s="72" t="s">
        <v>843</v>
      </c>
      <c r="P310" s="181" t="s">
        <v>844</v>
      </c>
    </row>
    <row r="311" spans="1:16" x14ac:dyDescent="0.2">
      <c r="A311" s="72" t="s">
        <v>815</v>
      </c>
      <c r="B311" s="72" t="s">
        <v>101</v>
      </c>
      <c r="C311" s="72" t="s">
        <v>85</v>
      </c>
      <c r="D311" s="72" t="s">
        <v>217</v>
      </c>
      <c r="E311" s="72">
        <v>3</v>
      </c>
      <c r="F311" s="72" t="s">
        <v>834</v>
      </c>
      <c r="G311" s="70">
        <v>14455</v>
      </c>
      <c r="H311" s="70">
        <v>12920</v>
      </c>
      <c r="I311" s="70">
        <v>1535</v>
      </c>
      <c r="J311" s="153">
        <v>0.1188</v>
      </c>
      <c r="K311" s="70">
        <v>43365</v>
      </c>
      <c r="L311" s="70">
        <v>38760</v>
      </c>
      <c r="M311" s="70">
        <v>4605</v>
      </c>
      <c r="N311" s="153">
        <v>0.1062</v>
      </c>
      <c r="O311" s="72" t="s">
        <v>843</v>
      </c>
      <c r="P311" s="181" t="s">
        <v>844</v>
      </c>
    </row>
    <row r="312" spans="1:16" x14ac:dyDescent="0.2">
      <c r="A312" s="72" t="s">
        <v>815</v>
      </c>
      <c r="B312" s="72" t="s">
        <v>150</v>
      </c>
      <c r="C312" s="72" t="s">
        <v>85</v>
      </c>
      <c r="D312" s="72" t="s">
        <v>217</v>
      </c>
      <c r="E312" s="72">
        <v>5</v>
      </c>
      <c r="F312" s="72" t="s">
        <v>834</v>
      </c>
      <c r="G312" s="70">
        <v>10315</v>
      </c>
      <c r="H312" s="70">
        <v>9925</v>
      </c>
      <c r="I312" s="70">
        <v>390</v>
      </c>
      <c r="J312" s="153">
        <v>3.9300000000000002E-2</v>
      </c>
      <c r="K312" s="70">
        <v>51575</v>
      </c>
      <c r="L312" s="70">
        <v>49625</v>
      </c>
      <c r="M312" s="70">
        <v>1950</v>
      </c>
      <c r="N312" s="153">
        <v>3.78E-2</v>
      </c>
      <c r="O312" s="72" t="s">
        <v>843</v>
      </c>
      <c r="P312" s="181" t="s">
        <v>844</v>
      </c>
    </row>
    <row r="313" spans="1:16" x14ac:dyDescent="0.2">
      <c r="A313" s="72" t="s">
        <v>815</v>
      </c>
      <c r="B313" s="72" t="s">
        <v>190</v>
      </c>
      <c r="C313" s="72" t="s">
        <v>85</v>
      </c>
      <c r="D313" s="72" t="s">
        <v>217</v>
      </c>
      <c r="E313" s="72">
        <v>6</v>
      </c>
      <c r="F313" s="72" t="s">
        <v>834</v>
      </c>
      <c r="G313" s="70">
        <v>39000</v>
      </c>
      <c r="H313" s="70">
        <v>25930</v>
      </c>
      <c r="I313" s="70">
        <v>13070</v>
      </c>
      <c r="J313" s="153">
        <v>0.504</v>
      </c>
      <c r="K313" s="70">
        <v>234000</v>
      </c>
      <c r="L313" s="70">
        <v>155580</v>
      </c>
      <c r="M313" s="70">
        <v>78420</v>
      </c>
      <c r="N313" s="153">
        <v>0.33510000000000001</v>
      </c>
      <c r="O313" s="72" t="s">
        <v>843</v>
      </c>
      <c r="P313" s="181" t="s">
        <v>844</v>
      </c>
    </row>
    <row r="314" spans="1:16" x14ac:dyDescent="0.2">
      <c r="A314" s="72" t="s">
        <v>815</v>
      </c>
      <c r="B314" s="72" t="s">
        <v>27</v>
      </c>
      <c r="C314" s="72" t="s">
        <v>127</v>
      </c>
      <c r="D314" s="72" t="s">
        <v>218</v>
      </c>
      <c r="E314" s="72">
        <v>192</v>
      </c>
      <c r="F314" s="72" t="s">
        <v>835</v>
      </c>
      <c r="G314" s="70">
        <v>7750</v>
      </c>
      <c r="H314" s="70">
        <v>7685</v>
      </c>
      <c r="I314" s="70">
        <v>65</v>
      </c>
      <c r="J314" s="153">
        <v>8.5000000000000006E-3</v>
      </c>
      <c r="K314" s="70">
        <v>1488000</v>
      </c>
      <c r="L314" s="70">
        <v>1475520</v>
      </c>
      <c r="M314" s="70">
        <v>12480</v>
      </c>
      <c r="N314" s="153">
        <v>8.3999999999999995E-3</v>
      </c>
      <c r="O314" s="72" t="s">
        <v>843</v>
      </c>
      <c r="P314" s="181" t="s">
        <v>844</v>
      </c>
    </row>
    <row r="315" spans="1:16" x14ac:dyDescent="0.2">
      <c r="A315" s="72" t="s">
        <v>816</v>
      </c>
      <c r="B315" s="72" t="s">
        <v>22</v>
      </c>
      <c r="C315" s="72" t="s">
        <v>219</v>
      </c>
      <c r="D315" s="72" t="s">
        <v>220</v>
      </c>
      <c r="E315" s="72">
        <v>1</v>
      </c>
      <c r="F315" s="72" t="s">
        <v>834</v>
      </c>
      <c r="G315" s="70">
        <v>9200</v>
      </c>
      <c r="H315" s="70">
        <v>8657</v>
      </c>
      <c r="I315" s="70">
        <v>543</v>
      </c>
      <c r="J315" s="153">
        <v>6.2700000000000006E-2</v>
      </c>
      <c r="K315" s="70">
        <v>9200</v>
      </c>
      <c r="L315" s="70">
        <v>8657</v>
      </c>
      <c r="M315" s="70">
        <v>543</v>
      </c>
      <c r="N315" s="153">
        <v>5.8999999999999997E-2</v>
      </c>
      <c r="O315" s="72" t="s">
        <v>843</v>
      </c>
      <c r="P315" s="181" t="s">
        <v>844</v>
      </c>
    </row>
    <row r="316" spans="1:16" x14ac:dyDescent="0.2">
      <c r="A316" s="72" t="s">
        <v>816</v>
      </c>
      <c r="B316" s="72" t="s">
        <v>24</v>
      </c>
      <c r="C316" s="72" t="s">
        <v>50</v>
      </c>
      <c r="D316" s="72" t="s">
        <v>222</v>
      </c>
      <c r="E316" s="72">
        <v>253</v>
      </c>
      <c r="F316" s="72" t="s">
        <v>835</v>
      </c>
      <c r="G316" s="70">
        <v>5000</v>
      </c>
      <c r="H316" s="70">
        <v>5200</v>
      </c>
      <c r="I316" s="70">
        <v>-200</v>
      </c>
      <c r="J316" s="153">
        <v>-3.85E-2</v>
      </c>
      <c r="K316" s="70">
        <v>1265000</v>
      </c>
      <c r="L316" s="70">
        <v>1315600</v>
      </c>
      <c r="M316" s="70">
        <v>-50600</v>
      </c>
      <c r="N316" s="153">
        <v>-0.04</v>
      </c>
      <c r="O316" s="72" t="s">
        <v>843</v>
      </c>
      <c r="P316" s="182" t="s">
        <v>845</v>
      </c>
    </row>
    <row r="317" spans="1:16" x14ac:dyDescent="0.2">
      <c r="A317" s="72" t="s">
        <v>816</v>
      </c>
      <c r="B317" s="72" t="s">
        <v>31</v>
      </c>
      <c r="C317" s="72" t="s">
        <v>29</v>
      </c>
      <c r="D317" s="72" t="s">
        <v>223</v>
      </c>
      <c r="E317" s="72">
        <v>15</v>
      </c>
      <c r="F317" s="72" t="s">
        <v>834</v>
      </c>
      <c r="G317" s="70">
        <v>17100</v>
      </c>
      <c r="H317" s="70">
        <v>17100</v>
      </c>
      <c r="I317" s="70">
        <v>0</v>
      </c>
      <c r="J317" s="153">
        <v>0</v>
      </c>
      <c r="K317" s="70">
        <v>256500</v>
      </c>
      <c r="L317" s="70">
        <v>256500</v>
      </c>
      <c r="M317" s="70">
        <v>0</v>
      </c>
      <c r="N317" s="153">
        <v>0</v>
      </c>
      <c r="O317" s="72" t="s">
        <v>843</v>
      </c>
      <c r="P317" s="72" t="s">
        <v>846</v>
      </c>
    </row>
    <row r="318" spans="1:16" x14ac:dyDescent="0.2">
      <c r="A318" s="72" t="s">
        <v>816</v>
      </c>
      <c r="B318" s="72" t="s">
        <v>224</v>
      </c>
      <c r="C318" s="72" t="s">
        <v>29</v>
      </c>
      <c r="D318" s="72" t="s">
        <v>223</v>
      </c>
      <c r="E318" s="72">
        <v>2</v>
      </c>
      <c r="F318" s="72" t="s">
        <v>834</v>
      </c>
      <c r="G318" s="70">
        <v>14430</v>
      </c>
      <c r="H318" s="70">
        <v>13911</v>
      </c>
      <c r="I318" s="70">
        <v>519</v>
      </c>
      <c r="J318" s="153">
        <v>3.73E-2</v>
      </c>
      <c r="K318" s="70">
        <v>28860</v>
      </c>
      <c r="L318" s="70">
        <v>27822</v>
      </c>
      <c r="M318" s="70">
        <v>1038</v>
      </c>
      <c r="N318" s="153">
        <v>3.5999999999999997E-2</v>
      </c>
      <c r="O318" s="72" t="s">
        <v>843</v>
      </c>
      <c r="P318" s="181" t="s">
        <v>844</v>
      </c>
    </row>
    <row r="319" spans="1:16" x14ac:dyDescent="0.2">
      <c r="A319" s="72" t="s">
        <v>816</v>
      </c>
      <c r="B319" s="72" t="s">
        <v>62</v>
      </c>
      <c r="C319" s="72" t="s">
        <v>29</v>
      </c>
      <c r="D319" s="72" t="s">
        <v>223</v>
      </c>
      <c r="E319" s="72">
        <v>1</v>
      </c>
      <c r="F319" s="72" t="s">
        <v>834</v>
      </c>
      <c r="G319" s="70">
        <v>20655</v>
      </c>
      <c r="H319" s="70">
        <v>19305</v>
      </c>
      <c r="I319" s="70">
        <v>1350</v>
      </c>
      <c r="J319" s="153">
        <v>6.9900000000000004E-2</v>
      </c>
      <c r="K319" s="70">
        <v>20655</v>
      </c>
      <c r="L319" s="70">
        <v>19305</v>
      </c>
      <c r="M319" s="70">
        <v>1350</v>
      </c>
      <c r="N319" s="153">
        <v>6.54E-2</v>
      </c>
      <c r="O319" s="72" t="s">
        <v>843</v>
      </c>
      <c r="P319" s="181" t="s">
        <v>844</v>
      </c>
    </row>
    <row r="320" spans="1:16" x14ac:dyDescent="0.2">
      <c r="A320" s="72" t="s">
        <v>816</v>
      </c>
      <c r="B320" s="72" t="s">
        <v>28</v>
      </c>
      <c r="C320" s="72" t="s">
        <v>29</v>
      </c>
      <c r="D320" s="72" t="s">
        <v>223</v>
      </c>
      <c r="E320" s="72">
        <v>2</v>
      </c>
      <c r="F320" s="72" t="s">
        <v>834</v>
      </c>
      <c r="G320" s="70">
        <v>13200</v>
      </c>
      <c r="H320" s="70">
        <v>13501</v>
      </c>
      <c r="I320" s="70">
        <v>-301</v>
      </c>
      <c r="J320" s="153">
        <v>-2.23E-2</v>
      </c>
      <c r="K320" s="70">
        <v>26400</v>
      </c>
      <c r="L320" s="70">
        <v>27002</v>
      </c>
      <c r="M320" s="70">
        <v>-602</v>
      </c>
      <c r="N320" s="153">
        <v>-2.2800000000000001E-2</v>
      </c>
      <c r="O320" s="72" t="s">
        <v>843</v>
      </c>
      <c r="P320" s="182" t="s">
        <v>845</v>
      </c>
    </row>
    <row r="321" spans="1:16" x14ac:dyDescent="0.2">
      <c r="A321" s="72" t="s">
        <v>816</v>
      </c>
      <c r="B321" s="72" t="s">
        <v>44</v>
      </c>
      <c r="C321" s="72" t="s">
        <v>29</v>
      </c>
      <c r="D321" s="72" t="s">
        <v>223</v>
      </c>
      <c r="E321" s="72">
        <v>2</v>
      </c>
      <c r="F321" s="72" t="s">
        <v>834</v>
      </c>
      <c r="G321" s="70">
        <v>9200</v>
      </c>
      <c r="H321" s="70">
        <v>8990</v>
      </c>
      <c r="I321" s="70">
        <v>210</v>
      </c>
      <c r="J321" s="153">
        <v>2.3400000000000001E-2</v>
      </c>
      <c r="K321" s="70">
        <v>18400</v>
      </c>
      <c r="L321" s="70">
        <v>17980</v>
      </c>
      <c r="M321" s="70">
        <v>420</v>
      </c>
      <c r="N321" s="153">
        <v>2.2800000000000001E-2</v>
      </c>
      <c r="O321" s="72" t="s">
        <v>843</v>
      </c>
      <c r="P321" s="181" t="s">
        <v>844</v>
      </c>
    </row>
    <row r="322" spans="1:16" x14ac:dyDescent="0.2">
      <c r="A322" s="72" t="s">
        <v>816</v>
      </c>
      <c r="B322" s="72" t="s">
        <v>22</v>
      </c>
      <c r="C322" s="72" t="s">
        <v>29</v>
      </c>
      <c r="D322" s="72" t="s">
        <v>223</v>
      </c>
      <c r="E322" s="72">
        <v>5</v>
      </c>
      <c r="F322" s="72" t="s">
        <v>834</v>
      </c>
      <c r="G322" s="70">
        <v>8800</v>
      </c>
      <c r="H322" s="70">
        <v>8657</v>
      </c>
      <c r="I322" s="70">
        <v>143</v>
      </c>
      <c r="J322" s="153">
        <v>1.6500000000000001E-2</v>
      </c>
      <c r="K322" s="70">
        <v>44000</v>
      </c>
      <c r="L322" s="70">
        <v>43285</v>
      </c>
      <c r="M322" s="70">
        <v>715</v>
      </c>
      <c r="N322" s="153">
        <v>1.6299999999999999E-2</v>
      </c>
      <c r="O322" s="72" t="s">
        <v>843</v>
      </c>
      <c r="P322" s="181" t="s">
        <v>844</v>
      </c>
    </row>
    <row r="323" spans="1:16" x14ac:dyDescent="0.2">
      <c r="A323" s="72" t="s">
        <v>816</v>
      </c>
      <c r="B323" s="72" t="s">
        <v>44</v>
      </c>
      <c r="C323" s="72" t="s">
        <v>29</v>
      </c>
      <c r="D323" s="72" t="s">
        <v>225</v>
      </c>
      <c r="E323" s="72">
        <v>9</v>
      </c>
      <c r="F323" s="72" t="s">
        <v>834</v>
      </c>
      <c r="G323" s="70">
        <v>9200</v>
      </c>
      <c r="H323" s="70">
        <v>8990</v>
      </c>
      <c r="I323" s="70">
        <v>210</v>
      </c>
      <c r="J323" s="153">
        <v>2.3400000000000001E-2</v>
      </c>
      <c r="K323" s="70">
        <v>82800</v>
      </c>
      <c r="L323" s="70">
        <v>80910</v>
      </c>
      <c r="M323" s="70">
        <v>1890</v>
      </c>
      <c r="N323" s="153">
        <v>2.2800000000000001E-2</v>
      </c>
      <c r="O323" s="72" t="s">
        <v>843</v>
      </c>
      <c r="P323" s="181" t="s">
        <v>844</v>
      </c>
    </row>
    <row r="324" spans="1:16" x14ac:dyDescent="0.2">
      <c r="A324" s="72" t="s">
        <v>816</v>
      </c>
      <c r="B324" s="72" t="s">
        <v>45</v>
      </c>
      <c r="C324" s="72" t="s">
        <v>29</v>
      </c>
      <c r="D324" s="72" t="s">
        <v>225</v>
      </c>
      <c r="E324" s="72">
        <v>5</v>
      </c>
      <c r="F324" s="72" t="s">
        <v>834</v>
      </c>
      <c r="G324" s="70">
        <v>13335</v>
      </c>
      <c r="H324" s="70">
        <v>12746</v>
      </c>
      <c r="I324" s="70">
        <v>589</v>
      </c>
      <c r="J324" s="153">
        <v>4.6199999999999998E-2</v>
      </c>
      <c r="K324" s="70">
        <v>66675</v>
      </c>
      <c r="L324" s="70">
        <v>63730</v>
      </c>
      <c r="M324" s="70">
        <v>2945</v>
      </c>
      <c r="N324" s="153">
        <v>4.4200000000000003E-2</v>
      </c>
      <c r="O324" s="72" t="s">
        <v>843</v>
      </c>
      <c r="P324" s="181" t="s">
        <v>844</v>
      </c>
    </row>
    <row r="325" spans="1:16" x14ac:dyDescent="0.2">
      <c r="A325" s="72" t="s">
        <v>816</v>
      </c>
      <c r="B325" s="72" t="s">
        <v>37</v>
      </c>
      <c r="C325" s="72" t="s">
        <v>29</v>
      </c>
      <c r="D325" s="72" t="s">
        <v>225</v>
      </c>
      <c r="E325" s="72">
        <v>2</v>
      </c>
      <c r="F325" s="72" t="s">
        <v>834</v>
      </c>
      <c r="G325" s="70">
        <v>8880</v>
      </c>
      <c r="H325" s="70">
        <v>8525</v>
      </c>
      <c r="I325" s="70">
        <v>355</v>
      </c>
      <c r="J325" s="153">
        <v>4.1599999999999998E-2</v>
      </c>
      <c r="K325" s="70">
        <v>17760</v>
      </c>
      <c r="L325" s="70">
        <v>17050</v>
      </c>
      <c r="M325" s="70">
        <v>710</v>
      </c>
      <c r="N325" s="153">
        <v>0.04</v>
      </c>
      <c r="O325" s="72" t="s">
        <v>843</v>
      </c>
      <c r="P325" s="181" t="s">
        <v>844</v>
      </c>
    </row>
    <row r="326" spans="1:16" x14ac:dyDescent="0.2">
      <c r="A326" s="72" t="s">
        <v>816</v>
      </c>
      <c r="B326" s="72" t="s">
        <v>22</v>
      </c>
      <c r="C326" s="72" t="s">
        <v>29</v>
      </c>
      <c r="D326" s="72" t="s">
        <v>225</v>
      </c>
      <c r="E326" s="72">
        <v>10</v>
      </c>
      <c r="F326" s="72" t="s">
        <v>834</v>
      </c>
      <c r="G326" s="70">
        <v>8800</v>
      </c>
      <c r="H326" s="70">
        <v>8657</v>
      </c>
      <c r="I326" s="70">
        <v>143</v>
      </c>
      <c r="J326" s="153">
        <v>1.6500000000000001E-2</v>
      </c>
      <c r="K326" s="70">
        <v>88000</v>
      </c>
      <c r="L326" s="70">
        <v>86570</v>
      </c>
      <c r="M326" s="70">
        <v>1430</v>
      </c>
      <c r="N326" s="153">
        <v>1.6299999999999999E-2</v>
      </c>
      <c r="O326" s="72" t="s">
        <v>843</v>
      </c>
      <c r="P326" s="181" t="s">
        <v>844</v>
      </c>
    </row>
    <row r="327" spans="1:16" x14ac:dyDescent="0.2">
      <c r="A327" s="72" t="s">
        <v>816</v>
      </c>
      <c r="B327" s="72" t="s">
        <v>24</v>
      </c>
      <c r="C327" s="72" t="s">
        <v>29</v>
      </c>
      <c r="D327" s="72" t="s">
        <v>225</v>
      </c>
      <c r="E327" s="72">
        <v>15</v>
      </c>
      <c r="F327" s="72" t="s">
        <v>834</v>
      </c>
      <c r="G327" s="70">
        <v>5000</v>
      </c>
      <c r="H327" s="70">
        <v>5200</v>
      </c>
      <c r="I327" s="70">
        <v>-200</v>
      </c>
      <c r="J327" s="153">
        <v>-3.85E-2</v>
      </c>
      <c r="K327" s="70">
        <v>75000</v>
      </c>
      <c r="L327" s="70">
        <v>78000</v>
      </c>
      <c r="M327" s="70">
        <v>-3000</v>
      </c>
      <c r="N327" s="153">
        <v>-0.04</v>
      </c>
      <c r="O327" s="72" t="s">
        <v>843</v>
      </c>
      <c r="P327" s="182" t="s">
        <v>845</v>
      </c>
    </row>
    <row r="328" spans="1:16" x14ac:dyDescent="0.2">
      <c r="A328" s="72" t="s">
        <v>816</v>
      </c>
      <c r="B328" s="72" t="s">
        <v>27</v>
      </c>
      <c r="C328" s="72" t="s">
        <v>29</v>
      </c>
      <c r="D328" s="72" t="s">
        <v>225</v>
      </c>
      <c r="E328" s="72">
        <v>2</v>
      </c>
      <c r="F328" s="72" t="s">
        <v>834</v>
      </c>
      <c r="G328" s="70">
        <v>8020</v>
      </c>
      <c r="H328" s="70">
        <v>7685</v>
      </c>
      <c r="I328" s="70">
        <v>335</v>
      </c>
      <c r="J328" s="153">
        <v>4.36E-2</v>
      </c>
      <c r="K328" s="70">
        <v>16040</v>
      </c>
      <c r="L328" s="70">
        <v>15370</v>
      </c>
      <c r="M328" s="70">
        <v>670</v>
      </c>
      <c r="N328" s="153">
        <v>4.1799999999999997E-2</v>
      </c>
      <c r="O328" s="72" t="s">
        <v>843</v>
      </c>
      <c r="P328" s="181" t="s">
        <v>844</v>
      </c>
    </row>
    <row r="329" spans="1:16" x14ac:dyDescent="0.2">
      <c r="A329" s="72" t="s">
        <v>816</v>
      </c>
      <c r="B329" s="72" t="s">
        <v>24</v>
      </c>
      <c r="C329" s="72" t="s">
        <v>154</v>
      </c>
      <c r="D329" s="72" t="s">
        <v>226</v>
      </c>
      <c r="E329" s="72">
        <v>20</v>
      </c>
      <c r="F329" s="72" t="s">
        <v>834</v>
      </c>
      <c r="G329" s="70">
        <v>5000</v>
      </c>
      <c r="H329" s="70">
        <v>5200</v>
      </c>
      <c r="I329" s="70">
        <v>-200</v>
      </c>
      <c r="J329" s="153">
        <v>-3.85E-2</v>
      </c>
      <c r="K329" s="70">
        <v>100000</v>
      </c>
      <c r="L329" s="70">
        <v>104000</v>
      </c>
      <c r="M329" s="70">
        <v>-4000</v>
      </c>
      <c r="N329" s="153">
        <v>-0.04</v>
      </c>
      <c r="O329" s="72" t="s">
        <v>843</v>
      </c>
      <c r="P329" s="182" t="s">
        <v>845</v>
      </c>
    </row>
    <row r="330" spans="1:16" x14ac:dyDescent="0.2">
      <c r="A330" s="72" t="s">
        <v>816</v>
      </c>
      <c r="B330" s="72" t="s">
        <v>24</v>
      </c>
      <c r="C330" s="72" t="s">
        <v>104</v>
      </c>
      <c r="D330" s="72" t="s">
        <v>227</v>
      </c>
      <c r="E330" s="72">
        <v>20</v>
      </c>
      <c r="F330" s="72" t="s">
        <v>834</v>
      </c>
      <c r="G330" s="70">
        <v>5300</v>
      </c>
      <c r="H330" s="70">
        <v>5200</v>
      </c>
      <c r="I330" s="70">
        <v>100</v>
      </c>
      <c r="J330" s="153">
        <v>1.9199999999999998E-2</v>
      </c>
      <c r="K330" s="70">
        <v>106000</v>
      </c>
      <c r="L330" s="70">
        <v>104000</v>
      </c>
      <c r="M330" s="70">
        <v>2000</v>
      </c>
      <c r="N330" s="153">
        <v>1.89E-2</v>
      </c>
      <c r="O330" s="72" t="s">
        <v>843</v>
      </c>
      <c r="P330" s="181" t="s">
        <v>844</v>
      </c>
    </row>
    <row r="331" spans="1:16" x14ac:dyDescent="0.2">
      <c r="A331" s="72" t="s">
        <v>816</v>
      </c>
      <c r="B331" s="72" t="s">
        <v>32</v>
      </c>
      <c r="C331" s="72" t="s">
        <v>25</v>
      </c>
      <c r="D331" s="72" t="s">
        <v>228</v>
      </c>
      <c r="E331" s="72">
        <v>5</v>
      </c>
      <c r="F331" s="72" t="s">
        <v>834</v>
      </c>
      <c r="G331" s="70">
        <v>16145</v>
      </c>
      <c r="H331" s="70">
        <v>15247</v>
      </c>
      <c r="I331" s="70">
        <v>898</v>
      </c>
      <c r="J331" s="153">
        <v>5.8900000000000001E-2</v>
      </c>
      <c r="K331" s="70">
        <v>80725</v>
      </c>
      <c r="L331" s="70">
        <v>76235</v>
      </c>
      <c r="M331" s="70">
        <v>4490</v>
      </c>
      <c r="N331" s="153">
        <v>5.5599999999999997E-2</v>
      </c>
      <c r="O331" s="72" t="s">
        <v>843</v>
      </c>
      <c r="P331" s="181" t="s">
        <v>844</v>
      </c>
    </row>
    <row r="332" spans="1:16" x14ac:dyDescent="0.2">
      <c r="A332" s="72" t="s">
        <v>816</v>
      </c>
      <c r="B332" s="72" t="s">
        <v>35</v>
      </c>
      <c r="C332" s="72" t="s">
        <v>25</v>
      </c>
      <c r="D332" s="72" t="s">
        <v>228</v>
      </c>
      <c r="E332" s="72">
        <v>3</v>
      </c>
      <c r="F332" s="72" t="s">
        <v>834</v>
      </c>
      <c r="G332" s="70">
        <v>21170</v>
      </c>
      <c r="H332" s="70">
        <v>20405</v>
      </c>
      <c r="I332" s="70">
        <v>765</v>
      </c>
      <c r="J332" s="153">
        <v>3.7499999999999999E-2</v>
      </c>
      <c r="K332" s="70">
        <v>63510</v>
      </c>
      <c r="L332" s="70">
        <v>61215</v>
      </c>
      <c r="M332" s="70">
        <v>2295</v>
      </c>
      <c r="N332" s="153">
        <v>3.61E-2</v>
      </c>
      <c r="O332" s="72" t="s">
        <v>843</v>
      </c>
      <c r="P332" s="181" t="s">
        <v>844</v>
      </c>
    </row>
    <row r="333" spans="1:16" s="171" customFormat="1" x14ac:dyDescent="0.2">
      <c r="A333" s="172" t="s">
        <v>816</v>
      </c>
      <c r="B333" s="172" t="s">
        <v>229</v>
      </c>
      <c r="C333" s="172" t="s">
        <v>25</v>
      </c>
      <c r="D333" s="172" t="s">
        <v>228</v>
      </c>
      <c r="E333" s="172">
        <v>5</v>
      </c>
      <c r="F333" s="172" t="s">
        <v>834</v>
      </c>
      <c r="G333" s="173">
        <v>15490</v>
      </c>
      <c r="H333" s="174">
        <v>14000</v>
      </c>
      <c r="I333" s="174">
        <v>1490</v>
      </c>
      <c r="J333" s="175">
        <f>I333/H333</f>
        <v>0.10642857142857143</v>
      </c>
      <c r="K333" s="173">
        <v>77450</v>
      </c>
      <c r="L333" s="174">
        <v>70000</v>
      </c>
      <c r="M333" s="173">
        <f>K333-L333</f>
        <v>7450</v>
      </c>
      <c r="N333" s="175">
        <f>M333/K333</f>
        <v>9.6191091026468695E-2</v>
      </c>
      <c r="O333" s="172" t="s">
        <v>843</v>
      </c>
      <c r="P333" s="183" t="s">
        <v>844</v>
      </c>
    </row>
    <row r="334" spans="1:16" x14ac:dyDescent="0.2">
      <c r="A334" s="72" t="s">
        <v>816</v>
      </c>
      <c r="B334" s="72" t="s">
        <v>34</v>
      </c>
      <c r="C334" s="72" t="s">
        <v>25</v>
      </c>
      <c r="D334" s="72" t="s">
        <v>228</v>
      </c>
      <c r="E334" s="72">
        <v>5</v>
      </c>
      <c r="F334" s="72" t="s">
        <v>834</v>
      </c>
      <c r="G334" s="70">
        <v>22740</v>
      </c>
      <c r="H334" s="70">
        <v>21595</v>
      </c>
      <c r="I334" s="70">
        <v>1145</v>
      </c>
      <c r="J334" s="153">
        <v>5.2999999999999999E-2</v>
      </c>
      <c r="K334" s="70">
        <v>113700</v>
      </c>
      <c r="L334" s="70">
        <v>107975</v>
      </c>
      <c r="M334" s="70">
        <v>5725</v>
      </c>
      <c r="N334" s="153">
        <v>5.04E-2</v>
      </c>
      <c r="O334" s="72" t="s">
        <v>843</v>
      </c>
      <c r="P334" s="181" t="s">
        <v>844</v>
      </c>
    </row>
    <row r="335" spans="1:16" x14ac:dyDescent="0.2">
      <c r="A335" s="72" t="s">
        <v>816</v>
      </c>
      <c r="B335" s="72" t="s">
        <v>24</v>
      </c>
      <c r="C335" s="72" t="s">
        <v>25</v>
      </c>
      <c r="D335" s="72" t="s">
        <v>228</v>
      </c>
      <c r="E335" s="72">
        <v>100</v>
      </c>
      <c r="F335" s="72" t="s">
        <v>835</v>
      </c>
      <c r="G335" s="70">
        <v>5000</v>
      </c>
      <c r="H335" s="70">
        <v>5200</v>
      </c>
      <c r="I335" s="70">
        <v>-200</v>
      </c>
      <c r="J335" s="153">
        <v>-3.85E-2</v>
      </c>
      <c r="K335" s="70">
        <v>500000</v>
      </c>
      <c r="L335" s="70">
        <v>520000</v>
      </c>
      <c r="M335" s="70">
        <v>-20000</v>
      </c>
      <c r="N335" s="153">
        <v>-0.04</v>
      </c>
      <c r="O335" s="72" t="s">
        <v>843</v>
      </c>
      <c r="P335" s="182" t="s">
        <v>845</v>
      </c>
    </row>
    <row r="336" spans="1:16" x14ac:dyDescent="0.2">
      <c r="A336" s="72" t="s">
        <v>816</v>
      </c>
      <c r="B336" s="72" t="s">
        <v>24</v>
      </c>
      <c r="C336" s="72" t="s">
        <v>95</v>
      </c>
      <c r="D336" s="72" t="s">
        <v>230</v>
      </c>
      <c r="E336" s="72">
        <v>50</v>
      </c>
      <c r="F336" s="72" t="s">
        <v>835</v>
      </c>
      <c r="G336" s="70">
        <v>5000</v>
      </c>
      <c r="H336" s="70">
        <v>5200</v>
      </c>
      <c r="I336" s="70">
        <v>-200</v>
      </c>
      <c r="J336" s="153">
        <v>-3.85E-2</v>
      </c>
      <c r="K336" s="70">
        <v>250000</v>
      </c>
      <c r="L336" s="70">
        <v>260000</v>
      </c>
      <c r="M336" s="70">
        <v>-10000</v>
      </c>
      <c r="N336" s="153">
        <v>-0.04</v>
      </c>
      <c r="O336" s="72" t="s">
        <v>843</v>
      </c>
      <c r="P336" s="182" t="s">
        <v>845</v>
      </c>
    </row>
    <row r="337" spans="1:16" x14ac:dyDescent="0.2">
      <c r="A337" s="72" t="s">
        <v>816</v>
      </c>
      <c r="B337" s="72" t="s">
        <v>22</v>
      </c>
      <c r="C337" s="72" t="s">
        <v>231</v>
      </c>
      <c r="D337" s="72" t="s">
        <v>232</v>
      </c>
      <c r="E337" s="72">
        <v>140</v>
      </c>
      <c r="F337" s="72" t="s">
        <v>835</v>
      </c>
      <c r="G337" s="70">
        <v>8990</v>
      </c>
      <c r="H337" s="70">
        <v>8657</v>
      </c>
      <c r="I337" s="70">
        <v>333</v>
      </c>
      <c r="J337" s="153">
        <v>3.85E-2</v>
      </c>
      <c r="K337" s="70">
        <v>1258600</v>
      </c>
      <c r="L337" s="70">
        <v>1211980</v>
      </c>
      <c r="M337" s="70">
        <v>46620</v>
      </c>
      <c r="N337" s="153">
        <v>3.6999999999999998E-2</v>
      </c>
      <c r="O337" s="72" t="s">
        <v>843</v>
      </c>
      <c r="P337" s="181" t="s">
        <v>844</v>
      </c>
    </row>
    <row r="338" spans="1:16" x14ac:dyDescent="0.2">
      <c r="A338" s="72" t="s">
        <v>816</v>
      </c>
      <c r="B338" s="72" t="s">
        <v>44</v>
      </c>
      <c r="C338" s="72" t="s">
        <v>231</v>
      </c>
      <c r="D338" s="72" t="s">
        <v>232</v>
      </c>
      <c r="E338" s="72">
        <v>70</v>
      </c>
      <c r="F338" s="72" t="s">
        <v>835</v>
      </c>
      <c r="G338" s="70">
        <v>8990</v>
      </c>
      <c r="H338" s="70">
        <v>8990</v>
      </c>
      <c r="I338" s="70">
        <v>0</v>
      </c>
      <c r="J338" s="153">
        <v>0</v>
      </c>
      <c r="K338" s="70">
        <v>629300</v>
      </c>
      <c r="L338" s="70">
        <v>629300</v>
      </c>
      <c r="M338" s="70">
        <v>0</v>
      </c>
      <c r="N338" s="153">
        <v>0</v>
      </c>
      <c r="O338" s="72" t="s">
        <v>843</v>
      </c>
      <c r="P338" s="72" t="s">
        <v>846</v>
      </c>
    </row>
    <row r="339" spans="1:16" x14ac:dyDescent="0.2">
      <c r="A339" s="72" t="s">
        <v>816</v>
      </c>
      <c r="B339" s="72" t="s">
        <v>45</v>
      </c>
      <c r="C339" s="72" t="s">
        <v>231</v>
      </c>
      <c r="D339" s="72" t="s">
        <v>232</v>
      </c>
      <c r="E339" s="72">
        <v>70</v>
      </c>
      <c r="F339" s="72" t="s">
        <v>835</v>
      </c>
      <c r="G339" s="70">
        <v>13332</v>
      </c>
      <c r="H339" s="70">
        <v>12746</v>
      </c>
      <c r="I339" s="70">
        <v>586</v>
      </c>
      <c r="J339" s="153">
        <v>4.5999999999999999E-2</v>
      </c>
      <c r="K339" s="70">
        <v>933240</v>
      </c>
      <c r="L339" s="70">
        <v>892220</v>
      </c>
      <c r="M339" s="70">
        <v>41020</v>
      </c>
      <c r="N339" s="153">
        <v>4.3999999999999997E-2</v>
      </c>
      <c r="O339" s="72" t="s">
        <v>843</v>
      </c>
      <c r="P339" s="181" t="s">
        <v>844</v>
      </c>
    </row>
    <row r="340" spans="1:16" x14ac:dyDescent="0.2">
      <c r="A340" s="72" t="s">
        <v>816</v>
      </c>
      <c r="B340" s="72" t="s">
        <v>37</v>
      </c>
      <c r="C340" s="72" t="s">
        <v>231</v>
      </c>
      <c r="D340" s="72" t="s">
        <v>232</v>
      </c>
      <c r="E340" s="72">
        <v>70</v>
      </c>
      <c r="F340" s="72" t="s">
        <v>835</v>
      </c>
      <c r="G340" s="70">
        <v>8900</v>
      </c>
      <c r="H340" s="70">
        <v>8525</v>
      </c>
      <c r="I340" s="70">
        <v>375</v>
      </c>
      <c r="J340" s="153">
        <v>4.3999999999999997E-2</v>
      </c>
      <c r="K340" s="70">
        <v>623000</v>
      </c>
      <c r="L340" s="70">
        <v>596750</v>
      </c>
      <c r="M340" s="70">
        <v>26250</v>
      </c>
      <c r="N340" s="153">
        <v>4.2099999999999999E-2</v>
      </c>
      <c r="O340" s="72" t="s">
        <v>843</v>
      </c>
      <c r="P340" s="181" t="s">
        <v>844</v>
      </c>
    </row>
    <row r="341" spans="1:16" x14ac:dyDescent="0.2">
      <c r="A341" s="72" t="s">
        <v>816</v>
      </c>
      <c r="B341" s="72" t="s">
        <v>181</v>
      </c>
      <c r="C341" s="72" t="s">
        <v>231</v>
      </c>
      <c r="D341" s="72" t="s">
        <v>232</v>
      </c>
      <c r="E341" s="72">
        <v>60</v>
      </c>
      <c r="F341" s="72" t="s">
        <v>835</v>
      </c>
      <c r="G341" s="70">
        <v>16900</v>
      </c>
      <c r="H341" s="70">
        <v>16350</v>
      </c>
      <c r="I341" s="70">
        <v>550</v>
      </c>
      <c r="J341" s="153">
        <v>3.3599999999999998E-2</v>
      </c>
      <c r="K341" s="70">
        <v>1014000</v>
      </c>
      <c r="L341" s="70">
        <v>981000</v>
      </c>
      <c r="M341" s="70">
        <v>33000</v>
      </c>
      <c r="N341" s="153">
        <v>3.2500000000000001E-2</v>
      </c>
      <c r="O341" s="72" t="s">
        <v>843</v>
      </c>
      <c r="P341" s="181" t="s">
        <v>844</v>
      </c>
    </row>
    <row r="342" spans="1:16" x14ac:dyDescent="0.2">
      <c r="A342" s="72" t="s">
        <v>816</v>
      </c>
      <c r="B342" s="72" t="s">
        <v>21</v>
      </c>
      <c r="C342" s="72" t="s">
        <v>15</v>
      </c>
      <c r="D342" s="72" t="s">
        <v>234</v>
      </c>
      <c r="E342" s="72">
        <v>3</v>
      </c>
      <c r="F342" s="72" t="s">
        <v>834</v>
      </c>
      <c r="G342" s="70">
        <v>9000</v>
      </c>
      <c r="H342" s="70">
        <v>8118</v>
      </c>
      <c r="I342" s="70">
        <v>882</v>
      </c>
      <c r="J342" s="153">
        <v>0.1086</v>
      </c>
      <c r="K342" s="70">
        <v>27000</v>
      </c>
      <c r="L342" s="70">
        <v>24354</v>
      </c>
      <c r="M342" s="70">
        <v>2646</v>
      </c>
      <c r="N342" s="153">
        <v>9.8000000000000004E-2</v>
      </c>
      <c r="O342" s="72" t="s">
        <v>843</v>
      </c>
      <c r="P342" s="181" t="s">
        <v>844</v>
      </c>
    </row>
    <row r="343" spans="1:16" x14ac:dyDescent="0.2">
      <c r="A343" s="72" t="s">
        <v>816</v>
      </c>
      <c r="B343" s="72" t="s">
        <v>235</v>
      </c>
      <c r="C343" s="72" t="s">
        <v>15</v>
      </c>
      <c r="D343" s="72" t="s">
        <v>234</v>
      </c>
      <c r="E343" s="72">
        <v>8</v>
      </c>
      <c r="F343" s="72" t="s">
        <v>834</v>
      </c>
      <c r="G343" s="70">
        <v>9700</v>
      </c>
      <c r="H343" s="70">
        <v>9280</v>
      </c>
      <c r="I343" s="70">
        <v>420</v>
      </c>
      <c r="J343" s="153">
        <v>4.53E-2</v>
      </c>
      <c r="K343" s="70">
        <v>77600</v>
      </c>
      <c r="L343" s="70">
        <v>74240</v>
      </c>
      <c r="M343" s="70">
        <v>3360</v>
      </c>
      <c r="N343" s="153">
        <v>4.3299999999999998E-2</v>
      </c>
      <c r="O343" s="72" t="s">
        <v>843</v>
      </c>
      <c r="P343" s="181" t="s">
        <v>844</v>
      </c>
    </row>
    <row r="344" spans="1:16" x14ac:dyDescent="0.2">
      <c r="A344" s="72" t="s">
        <v>816</v>
      </c>
      <c r="B344" s="72" t="s">
        <v>37</v>
      </c>
      <c r="C344" s="72" t="s">
        <v>15</v>
      </c>
      <c r="D344" s="72" t="s">
        <v>234</v>
      </c>
      <c r="E344" s="72">
        <v>2</v>
      </c>
      <c r="F344" s="72" t="s">
        <v>834</v>
      </c>
      <c r="G344" s="70">
        <v>9200</v>
      </c>
      <c r="H344" s="70">
        <v>8525</v>
      </c>
      <c r="I344" s="70">
        <v>675</v>
      </c>
      <c r="J344" s="153">
        <v>7.9200000000000007E-2</v>
      </c>
      <c r="K344" s="70">
        <v>18400</v>
      </c>
      <c r="L344" s="70">
        <v>17050</v>
      </c>
      <c r="M344" s="70">
        <v>1350</v>
      </c>
      <c r="N344" s="153">
        <v>7.3400000000000007E-2</v>
      </c>
      <c r="O344" s="72" t="s">
        <v>843</v>
      </c>
      <c r="P344" s="181" t="s">
        <v>844</v>
      </c>
    </row>
    <row r="345" spans="1:16" x14ac:dyDescent="0.2">
      <c r="A345" s="72" t="s">
        <v>816</v>
      </c>
      <c r="B345" s="72" t="s">
        <v>22</v>
      </c>
      <c r="C345" s="72" t="s">
        <v>15</v>
      </c>
      <c r="D345" s="72" t="s">
        <v>234</v>
      </c>
      <c r="E345" s="72">
        <v>3</v>
      </c>
      <c r="F345" s="72" t="s">
        <v>834</v>
      </c>
      <c r="G345" s="70">
        <v>9200</v>
      </c>
      <c r="H345" s="70">
        <v>8657</v>
      </c>
      <c r="I345" s="70">
        <v>543</v>
      </c>
      <c r="J345" s="153">
        <v>6.2700000000000006E-2</v>
      </c>
      <c r="K345" s="70">
        <v>27600</v>
      </c>
      <c r="L345" s="70">
        <v>25971</v>
      </c>
      <c r="M345" s="70">
        <v>1629</v>
      </c>
      <c r="N345" s="153">
        <v>5.8999999999999997E-2</v>
      </c>
      <c r="O345" s="72" t="s">
        <v>843</v>
      </c>
      <c r="P345" s="181" t="s">
        <v>844</v>
      </c>
    </row>
    <row r="346" spans="1:16" x14ac:dyDescent="0.2">
      <c r="A346" s="72" t="s">
        <v>816</v>
      </c>
      <c r="B346" s="72" t="s">
        <v>45</v>
      </c>
      <c r="C346" s="72" t="s">
        <v>15</v>
      </c>
      <c r="D346" s="72" t="s">
        <v>234</v>
      </c>
      <c r="E346" s="72">
        <v>4</v>
      </c>
      <c r="F346" s="72" t="s">
        <v>834</v>
      </c>
      <c r="G346" s="70">
        <v>13350</v>
      </c>
      <c r="H346" s="70">
        <v>12746</v>
      </c>
      <c r="I346" s="70">
        <v>604</v>
      </c>
      <c r="J346" s="153">
        <v>4.7399999999999998E-2</v>
      </c>
      <c r="K346" s="70">
        <v>53400</v>
      </c>
      <c r="L346" s="70">
        <v>50984</v>
      </c>
      <c r="M346" s="70">
        <v>2416</v>
      </c>
      <c r="N346" s="153">
        <v>4.5199999999999997E-2</v>
      </c>
      <c r="O346" s="72" t="s">
        <v>843</v>
      </c>
      <c r="P346" s="181" t="s">
        <v>844</v>
      </c>
    </row>
    <row r="347" spans="1:16" x14ac:dyDescent="0.2">
      <c r="A347" s="72" t="s">
        <v>816</v>
      </c>
      <c r="B347" s="72" t="s">
        <v>36</v>
      </c>
      <c r="C347" s="72" t="s">
        <v>15</v>
      </c>
      <c r="D347" s="72" t="s">
        <v>234</v>
      </c>
      <c r="E347" s="72">
        <v>3</v>
      </c>
      <c r="F347" s="72" t="s">
        <v>834</v>
      </c>
      <c r="G347" s="70">
        <v>15500</v>
      </c>
      <c r="H347" s="70">
        <v>14900</v>
      </c>
      <c r="I347" s="70">
        <v>600</v>
      </c>
      <c r="J347" s="153">
        <v>4.0300000000000002E-2</v>
      </c>
      <c r="K347" s="70">
        <v>46500</v>
      </c>
      <c r="L347" s="70">
        <v>44700</v>
      </c>
      <c r="M347" s="70">
        <v>1800</v>
      </c>
      <c r="N347" s="153">
        <v>3.8699999999999998E-2</v>
      </c>
      <c r="O347" s="72" t="s">
        <v>843</v>
      </c>
      <c r="P347" s="181" t="s">
        <v>844</v>
      </c>
    </row>
    <row r="348" spans="1:16" x14ac:dyDescent="0.2">
      <c r="A348" s="72" t="s">
        <v>816</v>
      </c>
      <c r="B348" s="72" t="s">
        <v>43</v>
      </c>
      <c r="C348" s="72" t="s">
        <v>15</v>
      </c>
      <c r="D348" s="72" t="s">
        <v>234</v>
      </c>
      <c r="E348" s="72">
        <v>1</v>
      </c>
      <c r="F348" s="72" t="s">
        <v>834</v>
      </c>
      <c r="G348" s="70">
        <v>18100</v>
      </c>
      <c r="H348" s="70">
        <v>17150</v>
      </c>
      <c r="I348" s="70">
        <v>950</v>
      </c>
      <c r="J348" s="153">
        <v>5.5399999999999998E-2</v>
      </c>
      <c r="K348" s="70">
        <v>18100</v>
      </c>
      <c r="L348" s="70">
        <v>17150</v>
      </c>
      <c r="M348" s="70">
        <v>950</v>
      </c>
      <c r="N348" s="153">
        <v>5.2499999999999998E-2</v>
      </c>
      <c r="O348" s="72" t="s">
        <v>843</v>
      </c>
      <c r="P348" s="181" t="s">
        <v>844</v>
      </c>
    </row>
    <row r="349" spans="1:16" x14ac:dyDescent="0.2">
      <c r="A349" s="72" t="s">
        <v>816</v>
      </c>
      <c r="B349" s="72" t="s">
        <v>44</v>
      </c>
      <c r="C349" s="72" t="s">
        <v>15</v>
      </c>
      <c r="D349" s="72" t="s">
        <v>234</v>
      </c>
      <c r="E349" s="72">
        <v>5</v>
      </c>
      <c r="F349" s="72" t="s">
        <v>834</v>
      </c>
      <c r="G349" s="70">
        <v>9200</v>
      </c>
      <c r="H349" s="70">
        <v>8990</v>
      </c>
      <c r="I349" s="70">
        <v>210</v>
      </c>
      <c r="J349" s="153">
        <v>2.3400000000000001E-2</v>
      </c>
      <c r="K349" s="70">
        <v>46000</v>
      </c>
      <c r="L349" s="70">
        <v>44950</v>
      </c>
      <c r="M349" s="70">
        <v>1050</v>
      </c>
      <c r="N349" s="153">
        <v>2.2800000000000001E-2</v>
      </c>
      <c r="O349" s="72" t="s">
        <v>843</v>
      </c>
      <c r="P349" s="181" t="s">
        <v>844</v>
      </c>
    </row>
    <row r="350" spans="1:16" x14ac:dyDescent="0.2">
      <c r="A350" s="72" t="s">
        <v>816</v>
      </c>
      <c r="B350" s="72" t="s">
        <v>22</v>
      </c>
      <c r="C350" s="72" t="s">
        <v>29</v>
      </c>
      <c r="D350" s="72" t="s">
        <v>236</v>
      </c>
      <c r="E350" s="72">
        <v>30</v>
      </c>
      <c r="F350" s="72" t="s">
        <v>834</v>
      </c>
      <c r="G350" s="70">
        <v>8800</v>
      </c>
      <c r="H350" s="70">
        <v>8657</v>
      </c>
      <c r="I350" s="70">
        <v>143</v>
      </c>
      <c r="J350" s="153">
        <v>1.6500000000000001E-2</v>
      </c>
      <c r="K350" s="70">
        <v>264000</v>
      </c>
      <c r="L350" s="70">
        <v>259710</v>
      </c>
      <c r="M350" s="70">
        <v>4290</v>
      </c>
      <c r="N350" s="153">
        <v>1.6299999999999999E-2</v>
      </c>
      <c r="O350" s="72" t="s">
        <v>843</v>
      </c>
      <c r="P350" s="181" t="s">
        <v>844</v>
      </c>
    </row>
    <row r="351" spans="1:16" x14ac:dyDescent="0.2">
      <c r="A351" s="72" t="s">
        <v>816</v>
      </c>
      <c r="B351" s="72" t="s">
        <v>37</v>
      </c>
      <c r="C351" s="72" t="s">
        <v>29</v>
      </c>
      <c r="D351" s="72" t="s">
        <v>236</v>
      </c>
      <c r="E351" s="72">
        <v>5</v>
      </c>
      <c r="F351" s="72" t="s">
        <v>834</v>
      </c>
      <c r="G351" s="70">
        <v>8880</v>
      </c>
      <c r="H351" s="70">
        <v>8525</v>
      </c>
      <c r="I351" s="70">
        <v>355</v>
      </c>
      <c r="J351" s="153">
        <v>4.1599999999999998E-2</v>
      </c>
      <c r="K351" s="70">
        <v>44400</v>
      </c>
      <c r="L351" s="70">
        <v>42625</v>
      </c>
      <c r="M351" s="70">
        <v>1775</v>
      </c>
      <c r="N351" s="153">
        <v>0.04</v>
      </c>
      <c r="O351" s="72" t="s">
        <v>843</v>
      </c>
      <c r="P351" s="181" t="s">
        <v>844</v>
      </c>
    </row>
    <row r="352" spans="1:16" x14ac:dyDescent="0.2">
      <c r="A352" s="72" t="s">
        <v>816</v>
      </c>
      <c r="B352" s="72" t="s">
        <v>65</v>
      </c>
      <c r="C352" s="72" t="s">
        <v>29</v>
      </c>
      <c r="D352" s="72" t="s">
        <v>236</v>
      </c>
      <c r="E352" s="72">
        <v>5</v>
      </c>
      <c r="F352" s="72" t="s">
        <v>834</v>
      </c>
      <c r="G352" s="70">
        <v>11910</v>
      </c>
      <c r="H352" s="70">
        <v>11315</v>
      </c>
      <c r="I352" s="70">
        <v>595</v>
      </c>
      <c r="J352" s="153">
        <v>5.2600000000000001E-2</v>
      </c>
      <c r="K352" s="70">
        <v>59550</v>
      </c>
      <c r="L352" s="70">
        <v>56575</v>
      </c>
      <c r="M352" s="70">
        <v>2975</v>
      </c>
      <c r="N352" s="153">
        <v>0.05</v>
      </c>
      <c r="O352" s="72" t="s">
        <v>843</v>
      </c>
      <c r="P352" s="181" t="s">
        <v>844</v>
      </c>
    </row>
    <row r="353" spans="1:16" x14ac:dyDescent="0.2">
      <c r="A353" s="72" t="s">
        <v>816</v>
      </c>
      <c r="B353" s="72" t="s">
        <v>34</v>
      </c>
      <c r="C353" s="72" t="s">
        <v>237</v>
      </c>
      <c r="D353" s="72" t="s">
        <v>238</v>
      </c>
      <c r="E353" s="72">
        <v>1</v>
      </c>
      <c r="F353" s="72" t="s">
        <v>834</v>
      </c>
      <c r="G353" s="70">
        <v>22740</v>
      </c>
      <c r="H353" s="70">
        <v>21595</v>
      </c>
      <c r="I353" s="70">
        <v>1145</v>
      </c>
      <c r="J353" s="153">
        <v>5.2999999999999999E-2</v>
      </c>
      <c r="K353" s="70">
        <v>22740</v>
      </c>
      <c r="L353" s="70">
        <v>21595</v>
      </c>
      <c r="M353" s="70">
        <v>1145</v>
      </c>
      <c r="N353" s="153">
        <v>5.04E-2</v>
      </c>
      <c r="O353" s="72" t="s">
        <v>843</v>
      </c>
      <c r="P353" s="181" t="s">
        <v>844</v>
      </c>
    </row>
    <row r="354" spans="1:16" x14ac:dyDescent="0.2">
      <c r="A354" s="72" t="s">
        <v>816</v>
      </c>
      <c r="B354" s="72" t="s">
        <v>113</v>
      </c>
      <c r="C354" s="72" t="s">
        <v>237</v>
      </c>
      <c r="D354" s="72" t="s">
        <v>238</v>
      </c>
      <c r="E354" s="72">
        <v>2</v>
      </c>
      <c r="F354" s="72" t="s">
        <v>834</v>
      </c>
      <c r="G354" s="70">
        <v>15115</v>
      </c>
      <c r="H354" s="70">
        <v>14475</v>
      </c>
      <c r="I354" s="70">
        <v>640</v>
      </c>
      <c r="J354" s="153">
        <v>4.4200000000000003E-2</v>
      </c>
      <c r="K354" s="70">
        <v>30230</v>
      </c>
      <c r="L354" s="70">
        <v>28950</v>
      </c>
      <c r="M354" s="70">
        <v>1280</v>
      </c>
      <c r="N354" s="153">
        <v>4.2299999999999997E-2</v>
      </c>
      <c r="O354" s="72" t="s">
        <v>843</v>
      </c>
      <c r="P354" s="181" t="s">
        <v>844</v>
      </c>
    </row>
    <row r="355" spans="1:16" x14ac:dyDescent="0.2">
      <c r="A355" s="72" t="s">
        <v>816</v>
      </c>
      <c r="B355" s="72" t="s">
        <v>44</v>
      </c>
      <c r="C355" s="72" t="s">
        <v>237</v>
      </c>
      <c r="D355" s="72" t="s">
        <v>238</v>
      </c>
      <c r="E355" s="72">
        <v>2</v>
      </c>
      <c r="F355" s="72" t="s">
        <v>834</v>
      </c>
      <c r="G355" s="70">
        <v>9200</v>
      </c>
      <c r="H355" s="70">
        <v>8990</v>
      </c>
      <c r="I355" s="70">
        <v>210</v>
      </c>
      <c r="J355" s="153">
        <v>2.3400000000000001E-2</v>
      </c>
      <c r="K355" s="70">
        <v>18400</v>
      </c>
      <c r="L355" s="70">
        <v>17980</v>
      </c>
      <c r="M355" s="70">
        <v>420</v>
      </c>
      <c r="N355" s="153">
        <v>2.2800000000000001E-2</v>
      </c>
      <c r="O355" s="72" t="s">
        <v>843</v>
      </c>
      <c r="P355" s="181" t="s">
        <v>844</v>
      </c>
    </row>
    <row r="356" spans="1:16" x14ac:dyDescent="0.2">
      <c r="A356" s="72" t="s">
        <v>816</v>
      </c>
      <c r="B356" s="72" t="s">
        <v>45</v>
      </c>
      <c r="C356" s="72" t="s">
        <v>237</v>
      </c>
      <c r="D356" s="72" t="s">
        <v>238</v>
      </c>
      <c r="E356" s="72">
        <v>2</v>
      </c>
      <c r="F356" s="72" t="s">
        <v>834</v>
      </c>
      <c r="G356" s="70">
        <v>13335</v>
      </c>
      <c r="H356" s="70">
        <v>12746</v>
      </c>
      <c r="I356" s="70">
        <v>589</v>
      </c>
      <c r="J356" s="153">
        <v>4.6199999999999998E-2</v>
      </c>
      <c r="K356" s="70">
        <v>26670</v>
      </c>
      <c r="L356" s="70">
        <v>25492</v>
      </c>
      <c r="M356" s="70">
        <v>1178</v>
      </c>
      <c r="N356" s="153">
        <v>4.4200000000000003E-2</v>
      </c>
      <c r="O356" s="72" t="s">
        <v>843</v>
      </c>
      <c r="P356" s="181" t="s">
        <v>844</v>
      </c>
    </row>
    <row r="357" spans="1:16" x14ac:dyDescent="0.2">
      <c r="A357" s="72" t="s">
        <v>816</v>
      </c>
      <c r="B357" s="72" t="s">
        <v>24</v>
      </c>
      <c r="C357" s="72" t="s">
        <v>157</v>
      </c>
      <c r="D357" s="72" t="s">
        <v>239</v>
      </c>
      <c r="E357" s="72">
        <v>60</v>
      </c>
      <c r="F357" s="72" t="s">
        <v>835</v>
      </c>
      <c r="G357" s="70">
        <v>5000</v>
      </c>
      <c r="H357" s="70">
        <v>5200</v>
      </c>
      <c r="I357" s="70">
        <v>-200</v>
      </c>
      <c r="J357" s="153">
        <v>-3.85E-2</v>
      </c>
      <c r="K357" s="70">
        <v>300000</v>
      </c>
      <c r="L357" s="70">
        <v>312000</v>
      </c>
      <c r="M357" s="70">
        <v>-12000</v>
      </c>
      <c r="N357" s="153">
        <v>-0.04</v>
      </c>
      <c r="O357" s="72" t="s">
        <v>843</v>
      </c>
      <c r="P357" s="182" t="s">
        <v>845</v>
      </c>
    </row>
    <row r="358" spans="1:16" x14ac:dyDescent="0.2">
      <c r="A358" s="72" t="s">
        <v>816</v>
      </c>
      <c r="B358" s="72" t="s">
        <v>27</v>
      </c>
      <c r="C358" s="72" t="s">
        <v>157</v>
      </c>
      <c r="D358" s="72" t="s">
        <v>239</v>
      </c>
      <c r="E358" s="72">
        <v>10</v>
      </c>
      <c r="F358" s="72" t="s">
        <v>834</v>
      </c>
      <c r="G358" s="70">
        <v>8020</v>
      </c>
      <c r="H358" s="70">
        <v>7685</v>
      </c>
      <c r="I358" s="70">
        <v>335</v>
      </c>
      <c r="J358" s="153">
        <v>4.36E-2</v>
      </c>
      <c r="K358" s="70">
        <v>80200</v>
      </c>
      <c r="L358" s="70">
        <v>76850</v>
      </c>
      <c r="M358" s="70">
        <v>3350</v>
      </c>
      <c r="N358" s="153">
        <v>4.1799999999999997E-2</v>
      </c>
      <c r="O358" s="72" t="s">
        <v>843</v>
      </c>
      <c r="P358" s="181" t="s">
        <v>844</v>
      </c>
    </row>
    <row r="359" spans="1:16" x14ac:dyDescent="0.2">
      <c r="A359" s="72" t="s">
        <v>816</v>
      </c>
      <c r="B359" s="72" t="s">
        <v>70</v>
      </c>
      <c r="C359" s="72" t="s">
        <v>157</v>
      </c>
      <c r="D359" s="72" t="s">
        <v>239</v>
      </c>
      <c r="E359" s="72">
        <v>5</v>
      </c>
      <c r="F359" s="72" t="s">
        <v>834</v>
      </c>
      <c r="G359" s="70">
        <v>13460</v>
      </c>
      <c r="H359" s="70">
        <v>12855</v>
      </c>
      <c r="I359" s="70">
        <v>605</v>
      </c>
      <c r="J359" s="153">
        <v>4.7100000000000003E-2</v>
      </c>
      <c r="K359" s="70">
        <v>67300</v>
      </c>
      <c r="L359" s="70">
        <v>64275</v>
      </c>
      <c r="M359" s="70">
        <v>3025</v>
      </c>
      <c r="N359" s="153">
        <v>4.4900000000000002E-2</v>
      </c>
      <c r="O359" s="72" t="s">
        <v>843</v>
      </c>
      <c r="P359" s="181" t="s">
        <v>844</v>
      </c>
    </row>
    <row r="360" spans="1:16" x14ac:dyDescent="0.2">
      <c r="A360" s="72" t="s">
        <v>817</v>
      </c>
      <c r="B360" s="72" t="s">
        <v>87</v>
      </c>
      <c r="C360" s="72" t="s">
        <v>75</v>
      </c>
      <c r="D360" s="72" t="s">
        <v>240</v>
      </c>
      <c r="E360" s="72">
        <v>5</v>
      </c>
      <c r="F360" s="72" t="s">
        <v>834</v>
      </c>
      <c r="G360" s="70">
        <v>21485</v>
      </c>
      <c r="H360" s="70">
        <v>20440</v>
      </c>
      <c r="I360" s="70">
        <v>1045</v>
      </c>
      <c r="J360" s="153">
        <v>5.11E-2</v>
      </c>
      <c r="K360" s="70">
        <v>107425</v>
      </c>
      <c r="L360" s="70">
        <v>102200</v>
      </c>
      <c r="M360" s="70">
        <v>5225</v>
      </c>
      <c r="N360" s="153">
        <v>4.8599999999999997E-2</v>
      </c>
      <c r="O360" s="72" t="s">
        <v>843</v>
      </c>
      <c r="P360" s="181" t="s">
        <v>844</v>
      </c>
    </row>
    <row r="361" spans="1:16" x14ac:dyDescent="0.2">
      <c r="A361" s="72" t="s">
        <v>817</v>
      </c>
      <c r="B361" s="72" t="s">
        <v>77</v>
      </c>
      <c r="C361" s="72" t="s">
        <v>75</v>
      </c>
      <c r="D361" s="72" t="s">
        <v>240</v>
      </c>
      <c r="E361" s="72">
        <v>20</v>
      </c>
      <c r="F361" s="72" t="s">
        <v>834</v>
      </c>
      <c r="G361" s="70">
        <v>17840</v>
      </c>
      <c r="H361" s="70">
        <v>17265</v>
      </c>
      <c r="I361" s="70">
        <v>575</v>
      </c>
      <c r="J361" s="153">
        <v>3.3300000000000003E-2</v>
      </c>
      <c r="K361" s="70">
        <v>356800</v>
      </c>
      <c r="L361" s="70">
        <v>345300</v>
      </c>
      <c r="M361" s="70">
        <v>11500</v>
      </c>
      <c r="N361" s="153">
        <v>3.2199999999999999E-2</v>
      </c>
      <c r="O361" s="72" t="s">
        <v>843</v>
      </c>
      <c r="P361" s="181" t="s">
        <v>844</v>
      </c>
    </row>
    <row r="362" spans="1:16" x14ac:dyDescent="0.2">
      <c r="A362" s="72" t="s">
        <v>817</v>
      </c>
      <c r="B362" s="72" t="s">
        <v>45</v>
      </c>
      <c r="C362" s="72" t="s">
        <v>75</v>
      </c>
      <c r="D362" s="72" t="s">
        <v>240</v>
      </c>
      <c r="E362" s="72">
        <v>15</v>
      </c>
      <c r="F362" s="72" t="s">
        <v>834</v>
      </c>
      <c r="G362" s="70">
        <v>13332</v>
      </c>
      <c r="H362" s="70">
        <v>12746</v>
      </c>
      <c r="I362" s="70">
        <v>586</v>
      </c>
      <c r="J362" s="153">
        <v>4.5999999999999999E-2</v>
      </c>
      <c r="K362" s="70">
        <v>199980</v>
      </c>
      <c r="L362" s="70">
        <v>191190</v>
      </c>
      <c r="M362" s="70">
        <v>8790</v>
      </c>
      <c r="N362" s="153">
        <v>4.3999999999999997E-2</v>
      </c>
      <c r="O362" s="72" t="s">
        <v>843</v>
      </c>
      <c r="P362" s="181" t="s">
        <v>844</v>
      </c>
    </row>
    <row r="363" spans="1:16" x14ac:dyDescent="0.2">
      <c r="A363" s="72" t="s">
        <v>817</v>
      </c>
      <c r="B363" s="72" t="s">
        <v>93</v>
      </c>
      <c r="C363" s="72" t="s">
        <v>75</v>
      </c>
      <c r="D363" s="72" t="s">
        <v>240</v>
      </c>
      <c r="E363" s="72">
        <v>5</v>
      </c>
      <c r="F363" s="72" t="s">
        <v>834</v>
      </c>
      <c r="G363" s="70">
        <v>11600</v>
      </c>
      <c r="H363" s="70">
        <v>11130</v>
      </c>
      <c r="I363" s="70">
        <v>470</v>
      </c>
      <c r="J363" s="153">
        <v>4.2200000000000001E-2</v>
      </c>
      <c r="K363" s="70">
        <v>58000</v>
      </c>
      <c r="L363" s="70">
        <v>55650</v>
      </c>
      <c r="M363" s="70">
        <v>2350</v>
      </c>
      <c r="N363" s="153">
        <v>4.0500000000000001E-2</v>
      </c>
      <c r="O363" s="72" t="s">
        <v>843</v>
      </c>
      <c r="P363" s="181" t="s">
        <v>844</v>
      </c>
    </row>
    <row r="364" spans="1:16" x14ac:dyDescent="0.2">
      <c r="A364" s="72" t="s">
        <v>817</v>
      </c>
      <c r="B364" s="72" t="s">
        <v>24</v>
      </c>
      <c r="C364" s="72" t="s">
        <v>75</v>
      </c>
      <c r="D364" s="72" t="s">
        <v>240</v>
      </c>
      <c r="E364" s="72">
        <v>30</v>
      </c>
      <c r="F364" s="72" t="s">
        <v>834</v>
      </c>
      <c r="G364" s="70">
        <v>6195</v>
      </c>
      <c r="H364" s="70">
        <v>5200</v>
      </c>
      <c r="I364" s="70">
        <v>995</v>
      </c>
      <c r="J364" s="153">
        <v>0.1913</v>
      </c>
      <c r="K364" s="70">
        <v>185850</v>
      </c>
      <c r="L364" s="70">
        <v>156000</v>
      </c>
      <c r="M364" s="70">
        <v>29850</v>
      </c>
      <c r="N364" s="153">
        <v>0.16059999999999999</v>
      </c>
      <c r="O364" s="72" t="s">
        <v>843</v>
      </c>
      <c r="P364" s="181" t="s">
        <v>844</v>
      </c>
    </row>
    <row r="365" spans="1:16" x14ac:dyDescent="0.2">
      <c r="A365" s="72" t="s">
        <v>817</v>
      </c>
      <c r="B365" s="72" t="s">
        <v>27</v>
      </c>
      <c r="C365" s="72" t="s">
        <v>75</v>
      </c>
      <c r="D365" s="72" t="s">
        <v>240</v>
      </c>
      <c r="E365" s="72">
        <v>20</v>
      </c>
      <c r="F365" s="72" t="s">
        <v>834</v>
      </c>
      <c r="G365" s="70">
        <v>8020</v>
      </c>
      <c r="H365" s="70">
        <v>7685</v>
      </c>
      <c r="I365" s="70">
        <v>335</v>
      </c>
      <c r="J365" s="153">
        <v>4.36E-2</v>
      </c>
      <c r="K365" s="70">
        <v>160400</v>
      </c>
      <c r="L365" s="70">
        <v>153700</v>
      </c>
      <c r="M365" s="70">
        <v>6700</v>
      </c>
      <c r="N365" s="153">
        <v>4.1799999999999997E-2</v>
      </c>
      <c r="O365" s="72" t="s">
        <v>843</v>
      </c>
      <c r="P365" s="181" t="s">
        <v>844</v>
      </c>
    </row>
    <row r="366" spans="1:16" x14ac:dyDescent="0.2">
      <c r="A366" s="72" t="s">
        <v>817</v>
      </c>
      <c r="B366" s="72" t="s">
        <v>71</v>
      </c>
      <c r="C366" s="72" t="s">
        <v>75</v>
      </c>
      <c r="D366" s="72" t="s">
        <v>240</v>
      </c>
      <c r="E366" s="72">
        <v>10</v>
      </c>
      <c r="F366" s="72" t="s">
        <v>834</v>
      </c>
      <c r="G366" s="70">
        <v>15945</v>
      </c>
      <c r="H366" s="70">
        <v>15375</v>
      </c>
      <c r="I366" s="70">
        <v>570</v>
      </c>
      <c r="J366" s="153">
        <v>3.7100000000000001E-2</v>
      </c>
      <c r="K366" s="70">
        <v>159450</v>
      </c>
      <c r="L366" s="70">
        <v>153750</v>
      </c>
      <c r="M366" s="70">
        <v>5700</v>
      </c>
      <c r="N366" s="153">
        <v>3.5700000000000003E-2</v>
      </c>
      <c r="O366" s="72" t="s">
        <v>843</v>
      </c>
      <c r="P366" s="181" t="s">
        <v>844</v>
      </c>
    </row>
    <row r="367" spans="1:16" x14ac:dyDescent="0.2">
      <c r="A367" s="72" t="s">
        <v>817</v>
      </c>
      <c r="B367" s="72" t="s">
        <v>35</v>
      </c>
      <c r="C367" s="72" t="s">
        <v>75</v>
      </c>
      <c r="D367" s="72" t="s">
        <v>240</v>
      </c>
      <c r="E367" s="72">
        <v>10</v>
      </c>
      <c r="F367" s="72" t="s">
        <v>834</v>
      </c>
      <c r="G367" s="70">
        <v>21170</v>
      </c>
      <c r="H367" s="70">
        <v>20405</v>
      </c>
      <c r="I367" s="70">
        <v>765</v>
      </c>
      <c r="J367" s="153">
        <v>3.7499999999999999E-2</v>
      </c>
      <c r="K367" s="70">
        <v>211700</v>
      </c>
      <c r="L367" s="70">
        <v>204050</v>
      </c>
      <c r="M367" s="70">
        <v>7650</v>
      </c>
      <c r="N367" s="153">
        <v>3.61E-2</v>
      </c>
      <c r="O367" s="72" t="s">
        <v>843</v>
      </c>
      <c r="P367" s="181" t="s">
        <v>844</v>
      </c>
    </row>
    <row r="368" spans="1:16" x14ac:dyDescent="0.2">
      <c r="A368" s="72" t="s">
        <v>817</v>
      </c>
      <c r="B368" s="72" t="s">
        <v>32</v>
      </c>
      <c r="C368" s="72" t="s">
        <v>75</v>
      </c>
      <c r="D368" s="72" t="s">
        <v>240</v>
      </c>
      <c r="E368" s="72">
        <v>10</v>
      </c>
      <c r="F368" s="72" t="s">
        <v>834</v>
      </c>
      <c r="G368" s="70">
        <v>16145</v>
      </c>
      <c r="H368" s="70">
        <v>15247</v>
      </c>
      <c r="I368" s="70">
        <v>898</v>
      </c>
      <c r="J368" s="153">
        <v>5.8900000000000001E-2</v>
      </c>
      <c r="K368" s="70">
        <v>161450</v>
      </c>
      <c r="L368" s="70">
        <v>152470</v>
      </c>
      <c r="M368" s="70">
        <v>8980</v>
      </c>
      <c r="N368" s="153">
        <v>5.5599999999999997E-2</v>
      </c>
      <c r="O368" s="72" t="s">
        <v>843</v>
      </c>
      <c r="P368" s="181" t="s">
        <v>844</v>
      </c>
    </row>
    <row r="369" spans="1:16" x14ac:dyDescent="0.2">
      <c r="A369" s="72" t="s">
        <v>817</v>
      </c>
      <c r="B369" s="72" t="s">
        <v>141</v>
      </c>
      <c r="C369" s="72" t="s">
        <v>75</v>
      </c>
      <c r="D369" s="72" t="s">
        <v>240</v>
      </c>
      <c r="E369" s="72">
        <v>10</v>
      </c>
      <c r="F369" s="72" t="s">
        <v>834</v>
      </c>
      <c r="G369" s="70">
        <v>14145</v>
      </c>
      <c r="H369" s="70">
        <v>13520</v>
      </c>
      <c r="I369" s="70">
        <v>625</v>
      </c>
      <c r="J369" s="153">
        <v>4.6199999999999998E-2</v>
      </c>
      <c r="K369" s="70">
        <v>141450</v>
      </c>
      <c r="L369" s="70">
        <v>135200</v>
      </c>
      <c r="M369" s="70">
        <v>6250</v>
      </c>
      <c r="N369" s="153">
        <v>4.4200000000000003E-2</v>
      </c>
      <c r="O369" s="72" t="s">
        <v>843</v>
      </c>
      <c r="P369" s="181" t="s">
        <v>844</v>
      </c>
    </row>
    <row r="370" spans="1:16" x14ac:dyDescent="0.2">
      <c r="A370" s="72" t="s">
        <v>817</v>
      </c>
      <c r="B370" s="72" t="s">
        <v>34</v>
      </c>
      <c r="C370" s="72" t="s">
        <v>75</v>
      </c>
      <c r="D370" s="72" t="s">
        <v>240</v>
      </c>
      <c r="E370" s="72">
        <v>5</v>
      </c>
      <c r="F370" s="72" t="s">
        <v>834</v>
      </c>
      <c r="G370" s="70">
        <v>22740</v>
      </c>
      <c r="H370" s="70">
        <v>21595</v>
      </c>
      <c r="I370" s="70">
        <v>1145</v>
      </c>
      <c r="J370" s="153">
        <v>5.2999999999999999E-2</v>
      </c>
      <c r="K370" s="70">
        <v>113700</v>
      </c>
      <c r="L370" s="70">
        <v>107975</v>
      </c>
      <c r="M370" s="70">
        <v>5725</v>
      </c>
      <c r="N370" s="153">
        <v>5.04E-2</v>
      </c>
      <c r="O370" s="72" t="s">
        <v>843</v>
      </c>
      <c r="P370" s="181" t="s">
        <v>844</v>
      </c>
    </row>
    <row r="371" spans="1:16" x14ac:dyDescent="0.2">
      <c r="A371" s="72" t="s">
        <v>817</v>
      </c>
      <c r="B371" s="72" t="s">
        <v>70</v>
      </c>
      <c r="C371" s="72" t="s">
        <v>75</v>
      </c>
      <c r="D371" s="72" t="s">
        <v>240</v>
      </c>
      <c r="E371" s="72">
        <v>50</v>
      </c>
      <c r="F371" s="72" t="s">
        <v>835</v>
      </c>
      <c r="G371" s="70">
        <v>13460</v>
      </c>
      <c r="H371" s="70">
        <v>12855</v>
      </c>
      <c r="I371" s="70">
        <v>605</v>
      </c>
      <c r="J371" s="153">
        <v>4.7100000000000003E-2</v>
      </c>
      <c r="K371" s="70">
        <v>673000</v>
      </c>
      <c r="L371" s="70">
        <v>642750</v>
      </c>
      <c r="M371" s="70">
        <v>30250</v>
      </c>
      <c r="N371" s="153">
        <v>4.4900000000000002E-2</v>
      </c>
      <c r="O371" s="72" t="s">
        <v>843</v>
      </c>
      <c r="P371" s="181" t="s">
        <v>844</v>
      </c>
    </row>
    <row r="372" spans="1:16" x14ac:dyDescent="0.2">
      <c r="A372" s="72" t="s">
        <v>817</v>
      </c>
      <c r="B372" s="72" t="s">
        <v>224</v>
      </c>
      <c r="C372" s="72" t="s">
        <v>75</v>
      </c>
      <c r="D372" s="72" t="s">
        <v>240</v>
      </c>
      <c r="E372" s="72">
        <v>11</v>
      </c>
      <c r="F372" s="72" t="s">
        <v>834</v>
      </c>
      <c r="G372" s="70">
        <v>14430</v>
      </c>
      <c r="H372" s="70">
        <v>13911</v>
      </c>
      <c r="I372" s="70">
        <v>519</v>
      </c>
      <c r="J372" s="153">
        <v>3.73E-2</v>
      </c>
      <c r="K372" s="70">
        <v>158730</v>
      </c>
      <c r="L372" s="70">
        <v>153021</v>
      </c>
      <c r="M372" s="70">
        <v>5709</v>
      </c>
      <c r="N372" s="153">
        <v>3.5999999999999997E-2</v>
      </c>
      <c r="O372" s="72" t="s">
        <v>843</v>
      </c>
      <c r="P372" s="181" t="s">
        <v>844</v>
      </c>
    </row>
    <row r="373" spans="1:16" x14ac:dyDescent="0.2">
      <c r="A373" s="72" t="s">
        <v>817</v>
      </c>
      <c r="B373" s="72" t="s">
        <v>28</v>
      </c>
      <c r="C373" s="72" t="s">
        <v>75</v>
      </c>
      <c r="D373" s="72" t="s">
        <v>240</v>
      </c>
      <c r="E373" s="72">
        <v>31</v>
      </c>
      <c r="F373" s="72" t="s">
        <v>834</v>
      </c>
      <c r="G373" s="70">
        <v>14400</v>
      </c>
      <c r="H373" s="70">
        <v>13501</v>
      </c>
      <c r="I373" s="70">
        <v>899</v>
      </c>
      <c r="J373" s="153">
        <v>6.6600000000000006E-2</v>
      </c>
      <c r="K373" s="70">
        <v>446400</v>
      </c>
      <c r="L373" s="70">
        <v>418531</v>
      </c>
      <c r="M373" s="70">
        <v>27869</v>
      </c>
      <c r="N373" s="153">
        <v>6.2399999999999997E-2</v>
      </c>
      <c r="O373" s="72" t="s">
        <v>843</v>
      </c>
      <c r="P373" s="181" t="s">
        <v>844</v>
      </c>
    </row>
    <row r="374" spans="1:16" x14ac:dyDescent="0.2">
      <c r="A374" s="72" t="s">
        <v>817</v>
      </c>
      <c r="B374" s="72" t="s">
        <v>178</v>
      </c>
      <c r="C374" s="72" t="s">
        <v>75</v>
      </c>
      <c r="D374" s="72" t="s">
        <v>240</v>
      </c>
      <c r="E374" s="72">
        <v>10</v>
      </c>
      <c r="F374" s="72" t="s">
        <v>834</v>
      </c>
      <c r="G374" s="70">
        <v>23770</v>
      </c>
      <c r="H374" s="70">
        <v>22775</v>
      </c>
      <c r="I374" s="70">
        <v>995</v>
      </c>
      <c r="J374" s="153">
        <v>4.3700000000000003E-2</v>
      </c>
      <c r="K374" s="70">
        <v>237700</v>
      </c>
      <c r="L374" s="70">
        <v>227750</v>
      </c>
      <c r="M374" s="70">
        <v>9950</v>
      </c>
      <c r="N374" s="153">
        <v>4.19E-2</v>
      </c>
      <c r="O374" s="72" t="s">
        <v>843</v>
      </c>
      <c r="P374" s="181" t="s">
        <v>844</v>
      </c>
    </row>
    <row r="375" spans="1:16" x14ac:dyDescent="0.2">
      <c r="A375" s="72" t="s">
        <v>817</v>
      </c>
      <c r="B375" s="72" t="s">
        <v>31</v>
      </c>
      <c r="C375" s="72" t="s">
        <v>75</v>
      </c>
      <c r="D375" s="72" t="s">
        <v>240</v>
      </c>
      <c r="E375" s="72">
        <v>10</v>
      </c>
      <c r="F375" s="72" t="s">
        <v>834</v>
      </c>
      <c r="G375" s="70">
        <v>17845</v>
      </c>
      <c r="H375" s="70">
        <v>17100</v>
      </c>
      <c r="I375" s="70">
        <v>745</v>
      </c>
      <c r="J375" s="153">
        <v>4.36E-2</v>
      </c>
      <c r="K375" s="70">
        <v>178450</v>
      </c>
      <c r="L375" s="70">
        <v>171000</v>
      </c>
      <c r="M375" s="70">
        <v>7450</v>
      </c>
      <c r="N375" s="153">
        <v>4.1700000000000001E-2</v>
      </c>
      <c r="O375" s="72" t="s">
        <v>843</v>
      </c>
      <c r="P375" s="181" t="s">
        <v>844</v>
      </c>
    </row>
    <row r="376" spans="1:16" x14ac:dyDescent="0.2">
      <c r="A376" s="72" t="s">
        <v>817</v>
      </c>
      <c r="B376" s="72" t="s">
        <v>190</v>
      </c>
      <c r="C376" s="72" t="s">
        <v>75</v>
      </c>
      <c r="D376" s="72" t="s">
        <v>240</v>
      </c>
      <c r="E376" s="72">
        <v>2</v>
      </c>
      <c r="F376" s="72" t="s">
        <v>834</v>
      </c>
      <c r="G376" s="70">
        <v>28445</v>
      </c>
      <c r="H376" s="70">
        <v>25930</v>
      </c>
      <c r="I376" s="70">
        <v>2515</v>
      </c>
      <c r="J376" s="153">
        <v>9.7000000000000003E-2</v>
      </c>
      <c r="K376" s="70">
        <v>56890</v>
      </c>
      <c r="L376" s="70">
        <v>51860</v>
      </c>
      <c r="M376" s="70">
        <v>5030</v>
      </c>
      <c r="N376" s="153">
        <v>8.8400000000000006E-2</v>
      </c>
      <c r="O376" s="72" t="s">
        <v>843</v>
      </c>
      <c r="P376" s="181" t="s">
        <v>844</v>
      </c>
    </row>
    <row r="377" spans="1:16" x14ac:dyDescent="0.2">
      <c r="A377" s="72" t="s">
        <v>817</v>
      </c>
      <c r="B377" s="72" t="s">
        <v>56</v>
      </c>
      <c r="C377" s="72" t="s">
        <v>75</v>
      </c>
      <c r="D377" s="72" t="s">
        <v>240</v>
      </c>
      <c r="E377" s="72">
        <v>2</v>
      </c>
      <c r="F377" s="72" t="s">
        <v>834</v>
      </c>
      <c r="G377" s="70">
        <v>24185</v>
      </c>
      <c r="H377" s="70">
        <v>22250</v>
      </c>
      <c r="I377" s="70">
        <v>1935</v>
      </c>
      <c r="J377" s="153">
        <v>8.6999999999999994E-2</v>
      </c>
      <c r="K377" s="70">
        <v>48370</v>
      </c>
      <c r="L377" s="70">
        <v>44500</v>
      </c>
      <c r="M377" s="70">
        <v>3870</v>
      </c>
      <c r="N377" s="153">
        <v>0.08</v>
      </c>
      <c r="O377" s="72" t="s">
        <v>843</v>
      </c>
      <c r="P377" s="181" t="s">
        <v>844</v>
      </c>
    </row>
    <row r="378" spans="1:16" x14ac:dyDescent="0.2">
      <c r="A378" s="72" t="s">
        <v>817</v>
      </c>
      <c r="B378" s="72" t="s">
        <v>113</v>
      </c>
      <c r="C378" s="72" t="s">
        <v>75</v>
      </c>
      <c r="D378" s="72" t="s">
        <v>240</v>
      </c>
      <c r="E378" s="72">
        <v>5</v>
      </c>
      <c r="F378" s="72" t="s">
        <v>834</v>
      </c>
      <c r="G378" s="70">
        <v>15115</v>
      </c>
      <c r="H378" s="70">
        <v>14475</v>
      </c>
      <c r="I378" s="70">
        <v>640</v>
      </c>
      <c r="J378" s="153">
        <v>4.4200000000000003E-2</v>
      </c>
      <c r="K378" s="70">
        <v>75575</v>
      </c>
      <c r="L378" s="70">
        <v>72375</v>
      </c>
      <c r="M378" s="70">
        <v>3200</v>
      </c>
      <c r="N378" s="153">
        <v>4.2299999999999997E-2</v>
      </c>
      <c r="O378" s="72" t="s">
        <v>843</v>
      </c>
      <c r="P378" s="181" t="s">
        <v>844</v>
      </c>
    </row>
    <row r="379" spans="1:16" x14ac:dyDescent="0.2">
      <c r="A379" s="72" t="s">
        <v>817</v>
      </c>
      <c r="B379" s="72" t="s">
        <v>62</v>
      </c>
      <c r="C379" s="72" t="s">
        <v>104</v>
      </c>
      <c r="D379" s="72" t="s">
        <v>242</v>
      </c>
      <c r="E379" s="72">
        <v>1</v>
      </c>
      <c r="F379" s="72" t="s">
        <v>834</v>
      </c>
      <c r="G379" s="70">
        <v>20655</v>
      </c>
      <c r="H379" s="70">
        <v>19305</v>
      </c>
      <c r="I379" s="70">
        <v>1350</v>
      </c>
      <c r="J379" s="153">
        <v>6.9900000000000004E-2</v>
      </c>
      <c r="K379" s="70">
        <v>20655</v>
      </c>
      <c r="L379" s="70">
        <v>19305</v>
      </c>
      <c r="M379" s="70">
        <v>1350</v>
      </c>
      <c r="N379" s="153">
        <v>6.54E-2</v>
      </c>
      <c r="O379" s="72" t="s">
        <v>843</v>
      </c>
      <c r="P379" s="181" t="s">
        <v>844</v>
      </c>
    </row>
    <row r="380" spans="1:16" x14ac:dyDescent="0.2">
      <c r="A380" s="72" t="s">
        <v>817</v>
      </c>
      <c r="B380" s="72" t="s">
        <v>69</v>
      </c>
      <c r="C380" s="72" t="s">
        <v>95</v>
      </c>
      <c r="D380" s="72" t="s">
        <v>243</v>
      </c>
      <c r="E380" s="72">
        <v>1</v>
      </c>
      <c r="F380" s="72" t="s">
        <v>834</v>
      </c>
      <c r="G380" s="70">
        <v>14450</v>
      </c>
      <c r="H380" s="70">
        <v>13780</v>
      </c>
      <c r="I380" s="70">
        <v>670</v>
      </c>
      <c r="J380" s="153">
        <v>4.8599999999999997E-2</v>
      </c>
      <c r="K380" s="70">
        <v>14450</v>
      </c>
      <c r="L380" s="70">
        <v>13780</v>
      </c>
      <c r="M380" s="70">
        <v>670</v>
      </c>
      <c r="N380" s="153">
        <v>4.6399999999999997E-2</v>
      </c>
      <c r="O380" s="72" t="s">
        <v>843</v>
      </c>
      <c r="P380" s="181" t="s">
        <v>844</v>
      </c>
    </row>
    <row r="381" spans="1:16" x14ac:dyDescent="0.2">
      <c r="A381" s="72" t="s">
        <v>817</v>
      </c>
      <c r="B381" s="72" t="s">
        <v>22</v>
      </c>
      <c r="C381" s="72" t="s">
        <v>95</v>
      </c>
      <c r="D381" s="72" t="s">
        <v>243</v>
      </c>
      <c r="E381" s="72">
        <v>2</v>
      </c>
      <c r="F381" s="72" t="s">
        <v>834</v>
      </c>
      <c r="G381" s="70">
        <v>9200</v>
      </c>
      <c r="H381" s="70">
        <v>8657</v>
      </c>
      <c r="I381" s="70">
        <v>543</v>
      </c>
      <c r="J381" s="153">
        <v>6.2700000000000006E-2</v>
      </c>
      <c r="K381" s="70">
        <v>18400</v>
      </c>
      <c r="L381" s="70">
        <v>17314</v>
      </c>
      <c r="M381" s="70">
        <v>1086</v>
      </c>
      <c r="N381" s="153">
        <v>5.8999999999999997E-2</v>
      </c>
      <c r="O381" s="72" t="s">
        <v>843</v>
      </c>
      <c r="P381" s="181" t="s">
        <v>844</v>
      </c>
    </row>
    <row r="382" spans="1:16" x14ac:dyDescent="0.2">
      <c r="A382" s="72" t="s">
        <v>817</v>
      </c>
      <c r="B382" s="72" t="s">
        <v>44</v>
      </c>
      <c r="C382" s="72" t="s">
        <v>95</v>
      </c>
      <c r="D382" s="72" t="s">
        <v>243</v>
      </c>
      <c r="E382" s="72">
        <v>2</v>
      </c>
      <c r="F382" s="72" t="s">
        <v>834</v>
      </c>
      <c r="G382" s="70">
        <v>9200</v>
      </c>
      <c r="H382" s="70">
        <v>8990</v>
      </c>
      <c r="I382" s="70">
        <v>210</v>
      </c>
      <c r="J382" s="153">
        <v>2.3400000000000001E-2</v>
      </c>
      <c r="K382" s="70">
        <v>18400</v>
      </c>
      <c r="L382" s="70">
        <v>17980</v>
      </c>
      <c r="M382" s="70">
        <v>420</v>
      </c>
      <c r="N382" s="153">
        <v>2.2800000000000001E-2</v>
      </c>
      <c r="O382" s="72" t="s">
        <v>843</v>
      </c>
      <c r="P382" s="181" t="s">
        <v>844</v>
      </c>
    </row>
    <row r="383" spans="1:16" x14ac:dyDescent="0.2">
      <c r="A383" s="72" t="s">
        <v>817</v>
      </c>
      <c r="B383" s="72" t="s">
        <v>37</v>
      </c>
      <c r="C383" s="72" t="s">
        <v>95</v>
      </c>
      <c r="D383" s="72" t="s">
        <v>243</v>
      </c>
      <c r="E383" s="72">
        <v>1</v>
      </c>
      <c r="F383" s="72" t="s">
        <v>834</v>
      </c>
      <c r="G383" s="70">
        <v>9200</v>
      </c>
      <c r="H383" s="70">
        <v>8525</v>
      </c>
      <c r="I383" s="70">
        <v>675</v>
      </c>
      <c r="J383" s="153">
        <v>7.9200000000000007E-2</v>
      </c>
      <c r="K383" s="70">
        <v>9200</v>
      </c>
      <c r="L383" s="70">
        <v>8525</v>
      </c>
      <c r="M383" s="70">
        <v>675</v>
      </c>
      <c r="N383" s="153">
        <v>7.3400000000000007E-2</v>
      </c>
      <c r="O383" s="72" t="s">
        <v>843</v>
      </c>
      <c r="P383" s="181" t="s">
        <v>844</v>
      </c>
    </row>
    <row r="384" spans="1:16" x14ac:dyDescent="0.2">
      <c r="A384" s="72" t="s">
        <v>817</v>
      </c>
      <c r="B384" s="72" t="s">
        <v>45</v>
      </c>
      <c r="C384" s="72" t="s">
        <v>95</v>
      </c>
      <c r="D384" s="72" t="s">
        <v>243</v>
      </c>
      <c r="E384" s="72">
        <v>2</v>
      </c>
      <c r="F384" s="72" t="s">
        <v>834</v>
      </c>
      <c r="G384" s="70">
        <v>13335</v>
      </c>
      <c r="H384" s="70">
        <v>12746</v>
      </c>
      <c r="I384" s="70">
        <v>589</v>
      </c>
      <c r="J384" s="153">
        <v>4.6199999999999998E-2</v>
      </c>
      <c r="K384" s="70">
        <v>26670</v>
      </c>
      <c r="L384" s="70">
        <v>25492</v>
      </c>
      <c r="M384" s="70">
        <v>1178</v>
      </c>
      <c r="N384" s="153">
        <v>4.4200000000000003E-2</v>
      </c>
      <c r="O384" s="72" t="s">
        <v>843</v>
      </c>
      <c r="P384" s="181" t="s">
        <v>844</v>
      </c>
    </row>
    <row r="385" spans="1:16" x14ac:dyDescent="0.2">
      <c r="A385" s="72" t="s">
        <v>817</v>
      </c>
      <c r="B385" s="72" t="s">
        <v>24</v>
      </c>
      <c r="C385" s="72" t="s">
        <v>25</v>
      </c>
      <c r="D385" s="72" t="s">
        <v>244</v>
      </c>
      <c r="E385" s="72">
        <v>70</v>
      </c>
      <c r="F385" s="72" t="s">
        <v>835</v>
      </c>
      <c r="G385" s="70">
        <v>5000</v>
      </c>
      <c r="H385" s="70">
        <v>5200</v>
      </c>
      <c r="I385" s="70">
        <v>-200</v>
      </c>
      <c r="J385" s="153">
        <v>-3.85E-2</v>
      </c>
      <c r="K385" s="70">
        <v>350000</v>
      </c>
      <c r="L385" s="70">
        <v>364000</v>
      </c>
      <c r="M385" s="70">
        <v>-14000</v>
      </c>
      <c r="N385" s="153">
        <v>-0.04</v>
      </c>
      <c r="O385" s="72" t="s">
        <v>843</v>
      </c>
      <c r="P385" s="182" t="s">
        <v>845</v>
      </c>
    </row>
    <row r="386" spans="1:16" x14ac:dyDescent="0.2">
      <c r="A386" s="72" t="s">
        <v>817</v>
      </c>
      <c r="B386" s="72" t="s">
        <v>28</v>
      </c>
      <c r="C386" s="72" t="s">
        <v>25</v>
      </c>
      <c r="D386" s="72" t="s">
        <v>244</v>
      </c>
      <c r="E386" s="72">
        <v>20</v>
      </c>
      <c r="F386" s="72" t="s">
        <v>834</v>
      </c>
      <c r="G386" s="70">
        <v>13150</v>
      </c>
      <c r="H386" s="70">
        <v>13501</v>
      </c>
      <c r="I386" s="70">
        <v>-351</v>
      </c>
      <c r="J386" s="153">
        <v>-2.5999999999999999E-2</v>
      </c>
      <c r="K386" s="70">
        <v>263000</v>
      </c>
      <c r="L386" s="70">
        <v>270020</v>
      </c>
      <c r="M386" s="70">
        <v>-7020</v>
      </c>
      <c r="N386" s="153">
        <v>-2.6700000000000002E-2</v>
      </c>
      <c r="O386" s="72" t="s">
        <v>843</v>
      </c>
      <c r="P386" s="182" t="s">
        <v>845</v>
      </c>
    </row>
    <row r="387" spans="1:16" x14ac:dyDescent="0.2">
      <c r="A387" s="72" t="s">
        <v>817</v>
      </c>
      <c r="B387" s="72" t="s">
        <v>45</v>
      </c>
      <c r="C387" s="72" t="s">
        <v>15</v>
      </c>
      <c r="D387" s="72" t="s">
        <v>245</v>
      </c>
      <c r="E387" s="72">
        <v>1</v>
      </c>
      <c r="F387" s="72" t="s">
        <v>834</v>
      </c>
      <c r="G387" s="70">
        <v>13350</v>
      </c>
      <c r="H387" s="70">
        <v>12746</v>
      </c>
      <c r="I387" s="70">
        <v>604</v>
      </c>
      <c r="J387" s="153">
        <v>4.7399999999999998E-2</v>
      </c>
      <c r="K387" s="70">
        <v>13350</v>
      </c>
      <c r="L387" s="70">
        <v>12746</v>
      </c>
      <c r="M387" s="70">
        <v>604</v>
      </c>
      <c r="N387" s="153">
        <v>4.5199999999999997E-2</v>
      </c>
      <c r="O387" s="72" t="s">
        <v>843</v>
      </c>
      <c r="P387" s="181" t="s">
        <v>844</v>
      </c>
    </row>
    <row r="388" spans="1:16" x14ac:dyDescent="0.2">
      <c r="A388" s="72" t="s">
        <v>817</v>
      </c>
      <c r="B388" s="72" t="s">
        <v>22</v>
      </c>
      <c r="C388" s="72" t="s">
        <v>15</v>
      </c>
      <c r="D388" s="72" t="s">
        <v>245</v>
      </c>
      <c r="E388" s="72">
        <v>1</v>
      </c>
      <c r="F388" s="72" t="s">
        <v>834</v>
      </c>
      <c r="G388" s="70">
        <v>9200</v>
      </c>
      <c r="H388" s="70">
        <v>8657</v>
      </c>
      <c r="I388" s="70">
        <v>543</v>
      </c>
      <c r="J388" s="153">
        <v>6.2700000000000006E-2</v>
      </c>
      <c r="K388" s="70">
        <v>9200</v>
      </c>
      <c r="L388" s="70">
        <v>8657</v>
      </c>
      <c r="M388" s="70">
        <v>543</v>
      </c>
      <c r="N388" s="153">
        <v>5.8999999999999997E-2</v>
      </c>
      <c r="O388" s="72" t="s">
        <v>843</v>
      </c>
      <c r="P388" s="181" t="s">
        <v>844</v>
      </c>
    </row>
    <row r="389" spans="1:16" x14ac:dyDescent="0.2">
      <c r="A389" s="72" t="s">
        <v>817</v>
      </c>
      <c r="B389" s="72" t="s">
        <v>44</v>
      </c>
      <c r="C389" s="72" t="s">
        <v>15</v>
      </c>
      <c r="D389" s="72" t="s">
        <v>245</v>
      </c>
      <c r="E389" s="72">
        <v>1</v>
      </c>
      <c r="F389" s="72" t="s">
        <v>834</v>
      </c>
      <c r="G389" s="70">
        <v>9200</v>
      </c>
      <c r="H389" s="70">
        <v>8990</v>
      </c>
      <c r="I389" s="70">
        <v>210</v>
      </c>
      <c r="J389" s="153">
        <v>2.3400000000000001E-2</v>
      </c>
      <c r="K389" s="70">
        <v>9200</v>
      </c>
      <c r="L389" s="70">
        <v>8990</v>
      </c>
      <c r="M389" s="70">
        <v>210</v>
      </c>
      <c r="N389" s="153">
        <v>2.2800000000000001E-2</v>
      </c>
      <c r="O389" s="72" t="s">
        <v>843</v>
      </c>
      <c r="P389" s="181" t="s">
        <v>844</v>
      </c>
    </row>
    <row r="390" spans="1:16" x14ac:dyDescent="0.2">
      <c r="A390" s="72" t="s">
        <v>817</v>
      </c>
      <c r="B390" s="72" t="s">
        <v>21</v>
      </c>
      <c r="C390" s="72" t="s">
        <v>15</v>
      </c>
      <c r="D390" s="72" t="s">
        <v>245</v>
      </c>
      <c r="E390" s="72">
        <v>1</v>
      </c>
      <c r="F390" s="72" t="s">
        <v>834</v>
      </c>
      <c r="G390" s="70">
        <v>9000</v>
      </c>
      <c r="H390" s="70">
        <v>8118</v>
      </c>
      <c r="I390" s="70">
        <v>882</v>
      </c>
      <c r="J390" s="153">
        <v>0.1086</v>
      </c>
      <c r="K390" s="70">
        <v>9000</v>
      </c>
      <c r="L390" s="70">
        <v>8118</v>
      </c>
      <c r="M390" s="70">
        <v>882</v>
      </c>
      <c r="N390" s="153">
        <v>9.8000000000000004E-2</v>
      </c>
      <c r="O390" s="72" t="s">
        <v>843</v>
      </c>
      <c r="P390" s="181" t="s">
        <v>844</v>
      </c>
    </row>
    <row r="391" spans="1:16" x14ac:dyDescent="0.2">
      <c r="A391" s="72" t="s">
        <v>818</v>
      </c>
      <c r="B391" s="72" t="s">
        <v>34</v>
      </c>
      <c r="C391" s="72" t="s">
        <v>253</v>
      </c>
      <c r="D391" s="72" t="s">
        <v>254</v>
      </c>
      <c r="E391" s="72">
        <v>5</v>
      </c>
      <c r="F391" s="72" t="s">
        <v>834</v>
      </c>
      <c r="G391" s="70">
        <v>22740</v>
      </c>
      <c r="H391" s="70">
        <v>21595</v>
      </c>
      <c r="I391" s="70">
        <v>1145</v>
      </c>
      <c r="J391" s="153">
        <v>5.2999999999999999E-2</v>
      </c>
      <c r="K391" s="70">
        <v>113700</v>
      </c>
      <c r="L391" s="70">
        <v>107975</v>
      </c>
      <c r="M391" s="70">
        <v>5725</v>
      </c>
      <c r="N391" s="153">
        <v>5.04E-2</v>
      </c>
      <c r="O391" s="72" t="s">
        <v>843</v>
      </c>
      <c r="P391" s="181" t="s">
        <v>844</v>
      </c>
    </row>
    <row r="392" spans="1:16" x14ac:dyDescent="0.2">
      <c r="A392" s="72" t="s">
        <v>818</v>
      </c>
      <c r="B392" s="72" t="s">
        <v>61</v>
      </c>
      <c r="C392" s="72" t="s">
        <v>253</v>
      </c>
      <c r="D392" s="72" t="s">
        <v>254</v>
      </c>
      <c r="E392" s="72">
        <v>5</v>
      </c>
      <c r="F392" s="72" t="s">
        <v>834</v>
      </c>
      <c r="G392" s="70">
        <v>12885</v>
      </c>
      <c r="H392" s="70">
        <v>12120</v>
      </c>
      <c r="I392" s="70">
        <v>765</v>
      </c>
      <c r="J392" s="153">
        <v>6.3100000000000003E-2</v>
      </c>
      <c r="K392" s="70">
        <v>64425</v>
      </c>
      <c r="L392" s="70">
        <v>60600</v>
      </c>
      <c r="M392" s="70">
        <v>3825</v>
      </c>
      <c r="N392" s="153">
        <v>5.9400000000000001E-2</v>
      </c>
      <c r="O392" s="72" t="s">
        <v>843</v>
      </c>
      <c r="P392" s="181" t="s">
        <v>844</v>
      </c>
    </row>
    <row r="393" spans="1:16" x14ac:dyDescent="0.2">
      <c r="A393" s="72" t="s">
        <v>818</v>
      </c>
      <c r="B393" s="72" t="s">
        <v>24</v>
      </c>
      <c r="C393" s="72" t="s">
        <v>15</v>
      </c>
      <c r="D393" s="72" t="s">
        <v>256</v>
      </c>
      <c r="E393" s="72">
        <v>1</v>
      </c>
      <c r="F393" s="72" t="s">
        <v>834</v>
      </c>
      <c r="G393" s="70">
        <v>5300</v>
      </c>
      <c r="H393" s="70">
        <v>5200</v>
      </c>
      <c r="I393" s="70">
        <v>100</v>
      </c>
      <c r="J393" s="153">
        <v>1.9199999999999998E-2</v>
      </c>
      <c r="K393" s="70">
        <v>5300</v>
      </c>
      <c r="L393" s="70">
        <v>5200</v>
      </c>
      <c r="M393" s="70">
        <v>100</v>
      </c>
      <c r="N393" s="153">
        <v>1.89E-2</v>
      </c>
      <c r="O393" s="72" t="s">
        <v>843</v>
      </c>
      <c r="P393" s="181" t="s">
        <v>844</v>
      </c>
    </row>
    <row r="394" spans="1:16" x14ac:dyDescent="0.2">
      <c r="A394" s="72" t="s">
        <v>818</v>
      </c>
      <c r="B394" s="72" t="s">
        <v>24</v>
      </c>
      <c r="C394" s="72" t="s">
        <v>50</v>
      </c>
      <c r="D394" s="72" t="s">
        <v>258</v>
      </c>
      <c r="E394" s="72">
        <v>100</v>
      </c>
      <c r="F394" s="72" t="s">
        <v>835</v>
      </c>
      <c r="G394" s="70">
        <v>5000</v>
      </c>
      <c r="H394" s="70">
        <v>5200</v>
      </c>
      <c r="I394" s="70">
        <v>-200</v>
      </c>
      <c r="J394" s="153">
        <v>-3.85E-2</v>
      </c>
      <c r="K394" s="70">
        <v>500000</v>
      </c>
      <c r="L394" s="70">
        <v>520000</v>
      </c>
      <c r="M394" s="70">
        <v>-20000</v>
      </c>
      <c r="N394" s="153">
        <v>-0.04</v>
      </c>
      <c r="O394" s="72" t="s">
        <v>843</v>
      </c>
      <c r="P394" s="182" t="s">
        <v>845</v>
      </c>
    </row>
    <row r="395" spans="1:16" x14ac:dyDescent="0.2">
      <c r="A395" s="72" t="s">
        <v>818</v>
      </c>
      <c r="B395" s="72" t="s">
        <v>32</v>
      </c>
      <c r="C395" s="72" t="s">
        <v>50</v>
      </c>
      <c r="D395" s="72" t="s">
        <v>258</v>
      </c>
      <c r="E395" s="72">
        <v>30</v>
      </c>
      <c r="F395" s="72" t="s">
        <v>834</v>
      </c>
      <c r="G395" s="70">
        <v>15655</v>
      </c>
      <c r="H395" s="70">
        <v>15247</v>
      </c>
      <c r="I395" s="70">
        <v>408</v>
      </c>
      <c r="J395" s="153">
        <v>2.6800000000000001E-2</v>
      </c>
      <c r="K395" s="70">
        <v>469650</v>
      </c>
      <c r="L395" s="70">
        <v>457410</v>
      </c>
      <c r="M395" s="70">
        <v>12240</v>
      </c>
      <c r="N395" s="153">
        <v>2.6100000000000002E-2</v>
      </c>
      <c r="O395" s="72" t="s">
        <v>843</v>
      </c>
      <c r="P395" s="181" t="s">
        <v>844</v>
      </c>
    </row>
    <row r="396" spans="1:16" x14ac:dyDescent="0.2">
      <c r="A396" s="72" t="s">
        <v>818</v>
      </c>
      <c r="B396" s="72" t="s">
        <v>31</v>
      </c>
      <c r="C396" s="72" t="s">
        <v>50</v>
      </c>
      <c r="D396" s="72" t="s">
        <v>258</v>
      </c>
      <c r="E396" s="72">
        <v>15</v>
      </c>
      <c r="F396" s="72" t="s">
        <v>834</v>
      </c>
      <c r="G396" s="70">
        <v>17200</v>
      </c>
      <c r="H396" s="70">
        <v>17100</v>
      </c>
      <c r="I396" s="70">
        <v>100</v>
      </c>
      <c r="J396" s="153">
        <v>5.7999999999999996E-3</v>
      </c>
      <c r="K396" s="70">
        <v>258000</v>
      </c>
      <c r="L396" s="70">
        <v>256500</v>
      </c>
      <c r="M396" s="70">
        <v>1500</v>
      </c>
      <c r="N396" s="153">
        <v>5.7999999999999996E-3</v>
      </c>
      <c r="O396" s="72" t="s">
        <v>843</v>
      </c>
      <c r="P396" s="181" t="s">
        <v>844</v>
      </c>
    </row>
    <row r="397" spans="1:16" x14ac:dyDescent="0.2">
      <c r="A397" s="72" t="s">
        <v>818</v>
      </c>
      <c r="B397" s="72" t="s">
        <v>33</v>
      </c>
      <c r="C397" s="72" t="s">
        <v>50</v>
      </c>
      <c r="D397" s="72" t="s">
        <v>258</v>
      </c>
      <c r="E397" s="72">
        <v>25</v>
      </c>
      <c r="F397" s="72" t="s">
        <v>834</v>
      </c>
      <c r="G397" s="70">
        <v>15655</v>
      </c>
      <c r="H397" s="70">
        <v>15555</v>
      </c>
      <c r="I397" s="70">
        <v>100</v>
      </c>
      <c r="J397" s="153">
        <v>6.4000000000000003E-3</v>
      </c>
      <c r="K397" s="70">
        <v>391375</v>
      </c>
      <c r="L397" s="70">
        <v>388875</v>
      </c>
      <c r="M397" s="70">
        <v>2500</v>
      </c>
      <c r="N397" s="153">
        <v>6.4000000000000003E-3</v>
      </c>
      <c r="O397" s="72" t="s">
        <v>843</v>
      </c>
      <c r="P397" s="181" t="s">
        <v>844</v>
      </c>
    </row>
    <row r="398" spans="1:16" x14ac:dyDescent="0.2">
      <c r="A398" s="72" t="s">
        <v>818</v>
      </c>
      <c r="B398" s="72" t="s">
        <v>28</v>
      </c>
      <c r="C398" s="72" t="s">
        <v>50</v>
      </c>
      <c r="D398" s="72" t="s">
        <v>258</v>
      </c>
      <c r="E398" s="72">
        <v>20</v>
      </c>
      <c r="F398" s="72" t="s">
        <v>834</v>
      </c>
      <c r="G398" s="70">
        <v>12900</v>
      </c>
      <c r="H398" s="70">
        <v>13501</v>
      </c>
      <c r="I398" s="70">
        <v>-601</v>
      </c>
      <c r="J398" s="153">
        <v>-4.4499999999999998E-2</v>
      </c>
      <c r="K398" s="70">
        <v>258000</v>
      </c>
      <c r="L398" s="70">
        <v>270020</v>
      </c>
      <c r="M398" s="70">
        <v>-12020</v>
      </c>
      <c r="N398" s="153">
        <v>-4.6600000000000003E-2</v>
      </c>
      <c r="O398" s="72" t="s">
        <v>843</v>
      </c>
      <c r="P398" s="182" t="s">
        <v>845</v>
      </c>
    </row>
    <row r="399" spans="1:16" x14ac:dyDescent="0.2">
      <c r="A399" s="72" t="s">
        <v>818</v>
      </c>
      <c r="B399" s="72" t="s">
        <v>24</v>
      </c>
      <c r="C399" s="72" t="s">
        <v>15</v>
      </c>
      <c r="D399" s="72" t="s">
        <v>264</v>
      </c>
      <c r="E399" s="72">
        <v>2</v>
      </c>
      <c r="F399" s="72" t="s">
        <v>834</v>
      </c>
      <c r="G399" s="70">
        <v>5300</v>
      </c>
      <c r="H399" s="70">
        <v>5200</v>
      </c>
      <c r="I399" s="70">
        <v>100</v>
      </c>
      <c r="J399" s="153">
        <v>1.9199999999999998E-2</v>
      </c>
      <c r="K399" s="70">
        <v>10600</v>
      </c>
      <c r="L399" s="70">
        <v>10400</v>
      </c>
      <c r="M399" s="70">
        <v>200</v>
      </c>
      <c r="N399" s="153">
        <v>1.89E-2</v>
      </c>
      <c r="O399" s="72" t="s">
        <v>843</v>
      </c>
      <c r="P399" s="181" t="s">
        <v>844</v>
      </c>
    </row>
    <row r="400" spans="1:16" x14ac:dyDescent="0.2">
      <c r="A400" s="72" t="s">
        <v>818</v>
      </c>
      <c r="B400" s="72" t="s">
        <v>70</v>
      </c>
      <c r="C400" s="72" t="s">
        <v>15</v>
      </c>
      <c r="D400" s="72" t="s">
        <v>264</v>
      </c>
      <c r="E400" s="72">
        <v>1</v>
      </c>
      <c r="F400" s="72" t="s">
        <v>834</v>
      </c>
      <c r="G400" s="70">
        <v>13460</v>
      </c>
      <c r="H400" s="70">
        <v>12855</v>
      </c>
      <c r="I400" s="70">
        <v>605</v>
      </c>
      <c r="J400" s="153">
        <v>4.7100000000000003E-2</v>
      </c>
      <c r="K400" s="70">
        <v>13460</v>
      </c>
      <c r="L400" s="70">
        <v>12855</v>
      </c>
      <c r="M400" s="70">
        <v>605</v>
      </c>
      <c r="N400" s="153">
        <v>4.4900000000000002E-2</v>
      </c>
      <c r="O400" s="72" t="s">
        <v>843</v>
      </c>
      <c r="P400" s="181" t="s">
        <v>844</v>
      </c>
    </row>
    <row r="401" spans="1:16" x14ac:dyDescent="0.2">
      <c r="A401" s="72" t="s">
        <v>818</v>
      </c>
      <c r="B401" s="72" t="s">
        <v>24</v>
      </c>
      <c r="C401" s="72" t="s">
        <v>15</v>
      </c>
      <c r="D401" s="72" t="s">
        <v>267</v>
      </c>
      <c r="E401" s="72">
        <v>1</v>
      </c>
      <c r="F401" s="72" t="s">
        <v>834</v>
      </c>
      <c r="G401" s="70">
        <v>5300</v>
      </c>
      <c r="H401" s="70">
        <v>5200</v>
      </c>
      <c r="I401" s="70">
        <v>100</v>
      </c>
      <c r="J401" s="153">
        <v>1.9199999999999998E-2</v>
      </c>
      <c r="K401" s="70">
        <v>5300</v>
      </c>
      <c r="L401" s="70">
        <v>5200</v>
      </c>
      <c r="M401" s="70">
        <v>100</v>
      </c>
      <c r="N401" s="153">
        <v>1.89E-2</v>
      </c>
      <c r="O401" s="72" t="s">
        <v>843</v>
      </c>
      <c r="P401" s="181" t="s">
        <v>844</v>
      </c>
    </row>
    <row r="402" spans="1:16" x14ac:dyDescent="0.2">
      <c r="A402" s="72" t="s">
        <v>818</v>
      </c>
      <c r="B402" s="72" t="s">
        <v>22</v>
      </c>
      <c r="C402" s="72" t="s">
        <v>25</v>
      </c>
      <c r="D402" s="72" t="s">
        <v>268</v>
      </c>
      <c r="E402" s="72">
        <v>25</v>
      </c>
      <c r="F402" s="72" t="s">
        <v>834</v>
      </c>
      <c r="G402" s="70">
        <v>9200</v>
      </c>
      <c r="H402" s="70">
        <v>8657</v>
      </c>
      <c r="I402" s="70">
        <v>543</v>
      </c>
      <c r="J402" s="153">
        <v>6.2700000000000006E-2</v>
      </c>
      <c r="K402" s="70">
        <v>230000</v>
      </c>
      <c r="L402" s="70">
        <v>216425</v>
      </c>
      <c r="M402" s="70">
        <v>13575</v>
      </c>
      <c r="N402" s="153">
        <v>5.8999999999999997E-2</v>
      </c>
      <c r="O402" s="72" t="s">
        <v>843</v>
      </c>
      <c r="P402" s="181" t="s">
        <v>844</v>
      </c>
    </row>
    <row r="403" spans="1:16" x14ac:dyDescent="0.2">
      <c r="A403" s="72" t="s">
        <v>818</v>
      </c>
      <c r="B403" s="72" t="s">
        <v>21</v>
      </c>
      <c r="C403" s="72" t="s">
        <v>25</v>
      </c>
      <c r="D403" s="72" t="s">
        <v>268</v>
      </c>
      <c r="E403" s="72">
        <v>25</v>
      </c>
      <c r="F403" s="72" t="s">
        <v>834</v>
      </c>
      <c r="G403" s="70">
        <v>8200</v>
      </c>
      <c r="H403" s="70">
        <v>8118</v>
      </c>
      <c r="I403" s="70">
        <v>82</v>
      </c>
      <c r="J403" s="153">
        <v>1.01E-2</v>
      </c>
      <c r="K403" s="70">
        <v>205000</v>
      </c>
      <c r="L403" s="70">
        <v>202950</v>
      </c>
      <c r="M403" s="70">
        <v>2050</v>
      </c>
      <c r="N403" s="153">
        <v>0.01</v>
      </c>
      <c r="O403" s="72" t="s">
        <v>843</v>
      </c>
      <c r="P403" s="181" t="s">
        <v>844</v>
      </c>
    </row>
    <row r="404" spans="1:16" x14ac:dyDescent="0.2">
      <c r="A404" s="72" t="s">
        <v>818</v>
      </c>
      <c r="B404" s="72" t="s">
        <v>44</v>
      </c>
      <c r="C404" s="72" t="s">
        <v>25</v>
      </c>
      <c r="D404" s="72" t="s">
        <v>268</v>
      </c>
      <c r="E404" s="72">
        <v>5</v>
      </c>
      <c r="F404" s="72" t="s">
        <v>834</v>
      </c>
      <c r="G404" s="70">
        <v>9200</v>
      </c>
      <c r="H404" s="70">
        <v>8990</v>
      </c>
      <c r="I404" s="70">
        <v>210</v>
      </c>
      <c r="J404" s="153">
        <v>2.3400000000000001E-2</v>
      </c>
      <c r="K404" s="70">
        <v>46000</v>
      </c>
      <c r="L404" s="70">
        <v>44950</v>
      </c>
      <c r="M404" s="70">
        <v>1050</v>
      </c>
      <c r="N404" s="153">
        <v>2.2800000000000001E-2</v>
      </c>
      <c r="O404" s="72" t="s">
        <v>843</v>
      </c>
      <c r="P404" s="181" t="s">
        <v>844</v>
      </c>
    </row>
    <row r="405" spans="1:16" x14ac:dyDescent="0.2">
      <c r="A405" s="72" t="s">
        <v>818</v>
      </c>
      <c r="B405" s="72" t="s">
        <v>22</v>
      </c>
      <c r="C405" s="72" t="s">
        <v>122</v>
      </c>
      <c r="D405" s="72" t="s">
        <v>273</v>
      </c>
      <c r="E405" s="72">
        <v>2</v>
      </c>
      <c r="F405" s="72" t="s">
        <v>834</v>
      </c>
      <c r="G405" s="70">
        <v>9200</v>
      </c>
      <c r="H405" s="70">
        <v>8657</v>
      </c>
      <c r="I405" s="70">
        <v>543</v>
      </c>
      <c r="J405" s="153">
        <v>6.2700000000000006E-2</v>
      </c>
      <c r="K405" s="70">
        <v>18400</v>
      </c>
      <c r="L405" s="70">
        <v>17314</v>
      </c>
      <c r="M405" s="70">
        <v>1086</v>
      </c>
      <c r="N405" s="153">
        <v>5.8999999999999997E-2</v>
      </c>
      <c r="O405" s="72" t="s">
        <v>843</v>
      </c>
      <c r="P405" s="181" t="s">
        <v>844</v>
      </c>
    </row>
    <row r="406" spans="1:16" x14ac:dyDescent="0.2">
      <c r="A406" s="72" t="s">
        <v>818</v>
      </c>
      <c r="B406" s="72" t="s">
        <v>21</v>
      </c>
      <c r="C406" s="72" t="s">
        <v>122</v>
      </c>
      <c r="D406" s="72" t="s">
        <v>273</v>
      </c>
      <c r="E406" s="72">
        <v>1</v>
      </c>
      <c r="F406" s="72" t="s">
        <v>834</v>
      </c>
      <c r="G406" s="70">
        <v>9000</v>
      </c>
      <c r="H406" s="70">
        <v>8118</v>
      </c>
      <c r="I406" s="70">
        <v>882</v>
      </c>
      <c r="J406" s="153">
        <v>0.1086</v>
      </c>
      <c r="K406" s="70">
        <v>9000</v>
      </c>
      <c r="L406" s="70">
        <v>8118</v>
      </c>
      <c r="M406" s="70">
        <v>882</v>
      </c>
      <c r="N406" s="153">
        <v>9.8000000000000004E-2</v>
      </c>
      <c r="O406" s="72" t="s">
        <v>843</v>
      </c>
      <c r="P406" s="181" t="s">
        <v>844</v>
      </c>
    </row>
    <row r="407" spans="1:16" x14ac:dyDescent="0.2">
      <c r="A407" s="72" t="s">
        <v>818</v>
      </c>
      <c r="B407" s="72" t="s">
        <v>45</v>
      </c>
      <c r="C407" s="72" t="s">
        <v>15</v>
      </c>
      <c r="D407" s="72" t="s">
        <v>276</v>
      </c>
      <c r="E407" s="72">
        <v>1</v>
      </c>
      <c r="F407" s="72" t="s">
        <v>834</v>
      </c>
      <c r="G407" s="70">
        <v>13350</v>
      </c>
      <c r="H407" s="70">
        <v>12746</v>
      </c>
      <c r="I407" s="70">
        <v>604</v>
      </c>
      <c r="J407" s="153">
        <v>4.7399999999999998E-2</v>
      </c>
      <c r="K407" s="70">
        <v>13350</v>
      </c>
      <c r="L407" s="70">
        <v>12746</v>
      </c>
      <c r="M407" s="70">
        <v>604</v>
      </c>
      <c r="N407" s="153">
        <v>4.5199999999999997E-2</v>
      </c>
      <c r="O407" s="72" t="s">
        <v>843</v>
      </c>
      <c r="P407" s="181" t="s">
        <v>844</v>
      </c>
    </row>
    <row r="408" spans="1:16" x14ac:dyDescent="0.2">
      <c r="A408" s="72" t="s">
        <v>818</v>
      </c>
      <c r="B408" s="72" t="s">
        <v>93</v>
      </c>
      <c r="C408" s="72" t="s">
        <v>15</v>
      </c>
      <c r="D408" s="72" t="s">
        <v>276</v>
      </c>
      <c r="E408" s="72">
        <v>1</v>
      </c>
      <c r="F408" s="72" t="s">
        <v>834</v>
      </c>
      <c r="G408" s="70">
        <v>11600</v>
      </c>
      <c r="H408" s="70">
        <v>11130</v>
      </c>
      <c r="I408" s="70">
        <v>470</v>
      </c>
      <c r="J408" s="153">
        <v>4.2200000000000001E-2</v>
      </c>
      <c r="K408" s="70">
        <v>11600</v>
      </c>
      <c r="L408" s="70">
        <v>11130</v>
      </c>
      <c r="M408" s="70">
        <v>470</v>
      </c>
      <c r="N408" s="153">
        <v>4.0500000000000001E-2</v>
      </c>
      <c r="O408" s="72" t="s">
        <v>843</v>
      </c>
      <c r="P408" s="181" t="s">
        <v>844</v>
      </c>
    </row>
    <row r="409" spans="1:16" x14ac:dyDescent="0.2">
      <c r="A409" s="72" t="s">
        <v>818</v>
      </c>
      <c r="B409" s="72" t="s">
        <v>22</v>
      </c>
      <c r="C409" s="72" t="s">
        <v>15</v>
      </c>
      <c r="D409" s="72" t="s">
        <v>277</v>
      </c>
      <c r="E409" s="72">
        <v>1</v>
      </c>
      <c r="F409" s="72" t="s">
        <v>834</v>
      </c>
      <c r="G409" s="70">
        <v>9200</v>
      </c>
      <c r="H409" s="70">
        <v>8657</v>
      </c>
      <c r="I409" s="70">
        <v>543</v>
      </c>
      <c r="J409" s="153">
        <v>6.2700000000000006E-2</v>
      </c>
      <c r="K409" s="70">
        <v>9200</v>
      </c>
      <c r="L409" s="70">
        <v>8657</v>
      </c>
      <c r="M409" s="70">
        <v>543</v>
      </c>
      <c r="N409" s="153">
        <v>5.8999999999999997E-2</v>
      </c>
      <c r="O409" s="72" t="s">
        <v>843</v>
      </c>
      <c r="P409" s="181" t="s">
        <v>844</v>
      </c>
    </row>
    <row r="410" spans="1:16" x14ac:dyDescent="0.2">
      <c r="A410" s="72" t="s">
        <v>818</v>
      </c>
      <c r="B410" s="72" t="s">
        <v>44</v>
      </c>
      <c r="C410" s="72" t="s">
        <v>102</v>
      </c>
      <c r="D410" s="72" t="s">
        <v>278</v>
      </c>
      <c r="E410" s="72">
        <v>1</v>
      </c>
      <c r="F410" s="72" t="s">
        <v>834</v>
      </c>
      <c r="G410" s="70">
        <v>9500</v>
      </c>
      <c r="H410" s="70">
        <v>8990</v>
      </c>
      <c r="I410" s="70">
        <v>510</v>
      </c>
      <c r="J410" s="153">
        <v>5.67E-2</v>
      </c>
      <c r="K410" s="70">
        <v>9500</v>
      </c>
      <c r="L410" s="70">
        <v>8990</v>
      </c>
      <c r="M410" s="70">
        <v>510</v>
      </c>
      <c r="N410" s="153">
        <v>5.3699999999999998E-2</v>
      </c>
      <c r="O410" s="72" t="s">
        <v>843</v>
      </c>
      <c r="P410" s="181" t="s">
        <v>844</v>
      </c>
    </row>
    <row r="411" spans="1:16" x14ac:dyDescent="0.2">
      <c r="A411" s="72" t="s">
        <v>819</v>
      </c>
      <c r="B411" s="72" t="s">
        <v>28</v>
      </c>
      <c r="C411" s="72" t="s">
        <v>50</v>
      </c>
      <c r="D411" s="72" t="s">
        <v>279</v>
      </c>
      <c r="E411" s="72">
        <v>30</v>
      </c>
      <c r="F411" s="72" t="s">
        <v>834</v>
      </c>
      <c r="G411" s="70">
        <v>12900</v>
      </c>
      <c r="H411" s="70">
        <v>13501</v>
      </c>
      <c r="I411" s="70">
        <v>-601</v>
      </c>
      <c r="J411" s="153">
        <v>-4.4499999999999998E-2</v>
      </c>
      <c r="K411" s="70">
        <v>387000</v>
      </c>
      <c r="L411" s="70">
        <v>405030</v>
      </c>
      <c r="M411" s="70">
        <v>-18030</v>
      </c>
      <c r="N411" s="153">
        <v>-4.6600000000000003E-2</v>
      </c>
      <c r="O411" s="72" t="s">
        <v>843</v>
      </c>
      <c r="P411" s="182" t="s">
        <v>845</v>
      </c>
    </row>
    <row r="412" spans="1:16" x14ac:dyDescent="0.2">
      <c r="A412" s="72" t="s">
        <v>819</v>
      </c>
      <c r="B412" s="72" t="s">
        <v>70</v>
      </c>
      <c r="C412" s="72" t="s">
        <v>50</v>
      </c>
      <c r="D412" s="72" t="s">
        <v>279</v>
      </c>
      <c r="E412" s="72">
        <v>30</v>
      </c>
      <c r="F412" s="72" t="s">
        <v>834</v>
      </c>
      <c r="G412" s="70">
        <v>13100</v>
      </c>
      <c r="H412" s="70">
        <v>12855</v>
      </c>
      <c r="I412" s="70">
        <v>245</v>
      </c>
      <c r="J412" s="153">
        <v>1.9099999999999999E-2</v>
      </c>
      <c r="K412" s="70">
        <v>393000</v>
      </c>
      <c r="L412" s="70">
        <v>385650</v>
      </c>
      <c r="M412" s="70">
        <v>7350</v>
      </c>
      <c r="N412" s="153">
        <v>1.8700000000000001E-2</v>
      </c>
      <c r="O412" s="72" t="s">
        <v>843</v>
      </c>
      <c r="P412" s="181" t="s">
        <v>844</v>
      </c>
    </row>
    <row r="413" spans="1:16" x14ac:dyDescent="0.2">
      <c r="A413" s="72" t="s">
        <v>819</v>
      </c>
      <c r="B413" s="72" t="s">
        <v>28</v>
      </c>
      <c r="C413" s="72" t="s">
        <v>50</v>
      </c>
      <c r="D413" s="72" t="s">
        <v>280</v>
      </c>
      <c r="E413" s="72">
        <v>25</v>
      </c>
      <c r="F413" s="72" t="s">
        <v>834</v>
      </c>
      <c r="G413" s="70">
        <v>12900</v>
      </c>
      <c r="H413" s="70">
        <v>13501</v>
      </c>
      <c r="I413" s="70">
        <v>-601</v>
      </c>
      <c r="J413" s="153">
        <v>-4.4499999999999998E-2</v>
      </c>
      <c r="K413" s="70">
        <v>322500</v>
      </c>
      <c r="L413" s="70">
        <v>337525</v>
      </c>
      <c r="M413" s="70">
        <v>-15025</v>
      </c>
      <c r="N413" s="153">
        <v>-4.6600000000000003E-2</v>
      </c>
      <c r="O413" s="72" t="s">
        <v>843</v>
      </c>
      <c r="P413" s="182" t="s">
        <v>845</v>
      </c>
    </row>
    <row r="414" spans="1:16" x14ac:dyDescent="0.2">
      <c r="A414" s="72" t="s">
        <v>819</v>
      </c>
      <c r="B414" s="72" t="s">
        <v>70</v>
      </c>
      <c r="C414" s="72" t="s">
        <v>104</v>
      </c>
      <c r="D414" s="72" t="s">
        <v>281</v>
      </c>
      <c r="E414" s="72">
        <v>1</v>
      </c>
      <c r="F414" s="72" t="s">
        <v>834</v>
      </c>
      <c r="G414" s="70">
        <v>13460</v>
      </c>
      <c r="H414" s="70">
        <v>12855</v>
      </c>
      <c r="I414" s="70">
        <v>605</v>
      </c>
      <c r="J414" s="153">
        <v>4.7100000000000003E-2</v>
      </c>
      <c r="K414" s="70">
        <v>13460</v>
      </c>
      <c r="L414" s="70">
        <v>12855</v>
      </c>
      <c r="M414" s="70">
        <v>605</v>
      </c>
      <c r="N414" s="153">
        <v>4.4900000000000002E-2</v>
      </c>
      <c r="O414" s="72" t="s">
        <v>843</v>
      </c>
      <c r="P414" s="181" t="s">
        <v>844</v>
      </c>
    </row>
    <row r="415" spans="1:16" x14ac:dyDescent="0.2">
      <c r="A415" s="72" t="s">
        <v>819</v>
      </c>
      <c r="B415" s="72" t="s">
        <v>22</v>
      </c>
      <c r="C415" s="72" t="s">
        <v>29</v>
      </c>
      <c r="D415" s="72" t="s">
        <v>282</v>
      </c>
      <c r="E415" s="72">
        <v>22</v>
      </c>
      <c r="F415" s="72" t="s">
        <v>834</v>
      </c>
      <c r="G415" s="70">
        <v>8800</v>
      </c>
      <c r="H415" s="70">
        <v>8657</v>
      </c>
      <c r="I415" s="70">
        <v>143</v>
      </c>
      <c r="J415" s="153">
        <v>1.6500000000000001E-2</v>
      </c>
      <c r="K415" s="70">
        <v>193600</v>
      </c>
      <c r="L415" s="70">
        <v>190454</v>
      </c>
      <c r="M415" s="70">
        <v>3146</v>
      </c>
      <c r="N415" s="153">
        <v>1.6299999999999999E-2</v>
      </c>
      <c r="O415" s="72" t="s">
        <v>843</v>
      </c>
      <c r="P415" s="181" t="s">
        <v>844</v>
      </c>
    </row>
    <row r="416" spans="1:16" x14ac:dyDescent="0.2">
      <c r="A416" s="72" t="s">
        <v>819</v>
      </c>
      <c r="B416" s="72" t="s">
        <v>45</v>
      </c>
      <c r="C416" s="72" t="s">
        <v>29</v>
      </c>
      <c r="D416" s="72" t="s">
        <v>282</v>
      </c>
      <c r="E416" s="72">
        <v>6</v>
      </c>
      <c r="F416" s="72" t="s">
        <v>834</v>
      </c>
      <c r="G416" s="70">
        <v>13335</v>
      </c>
      <c r="H416" s="70">
        <v>12746</v>
      </c>
      <c r="I416" s="70">
        <v>589</v>
      </c>
      <c r="J416" s="153">
        <v>4.6199999999999998E-2</v>
      </c>
      <c r="K416" s="70">
        <v>80010</v>
      </c>
      <c r="L416" s="70">
        <v>76476</v>
      </c>
      <c r="M416" s="70">
        <v>3534</v>
      </c>
      <c r="N416" s="153">
        <v>4.4200000000000003E-2</v>
      </c>
      <c r="O416" s="72" t="s">
        <v>843</v>
      </c>
      <c r="P416" s="181" t="s">
        <v>844</v>
      </c>
    </row>
    <row r="417" spans="1:16" x14ac:dyDescent="0.2">
      <c r="A417" s="72" t="s">
        <v>819</v>
      </c>
      <c r="B417" s="72" t="s">
        <v>37</v>
      </c>
      <c r="C417" s="72" t="s">
        <v>29</v>
      </c>
      <c r="D417" s="72" t="s">
        <v>282</v>
      </c>
      <c r="E417" s="72">
        <v>9</v>
      </c>
      <c r="F417" s="72" t="s">
        <v>834</v>
      </c>
      <c r="G417" s="70">
        <v>8880</v>
      </c>
      <c r="H417" s="70">
        <v>8525</v>
      </c>
      <c r="I417" s="70">
        <v>355</v>
      </c>
      <c r="J417" s="153">
        <v>4.1599999999999998E-2</v>
      </c>
      <c r="K417" s="70">
        <v>79920</v>
      </c>
      <c r="L417" s="70">
        <v>76725</v>
      </c>
      <c r="M417" s="70">
        <v>3195</v>
      </c>
      <c r="N417" s="153">
        <v>0.04</v>
      </c>
      <c r="O417" s="72" t="s">
        <v>843</v>
      </c>
      <c r="P417" s="181" t="s">
        <v>844</v>
      </c>
    </row>
    <row r="418" spans="1:16" x14ac:dyDescent="0.2">
      <c r="A418" s="72" t="s">
        <v>819</v>
      </c>
      <c r="B418" s="72" t="s">
        <v>44</v>
      </c>
      <c r="C418" s="72" t="s">
        <v>29</v>
      </c>
      <c r="D418" s="72" t="s">
        <v>282</v>
      </c>
      <c r="E418" s="72">
        <v>14</v>
      </c>
      <c r="F418" s="72" t="s">
        <v>834</v>
      </c>
      <c r="G418" s="70">
        <v>9200</v>
      </c>
      <c r="H418" s="70">
        <v>8990</v>
      </c>
      <c r="I418" s="70">
        <v>210</v>
      </c>
      <c r="J418" s="153">
        <v>2.3400000000000001E-2</v>
      </c>
      <c r="K418" s="70">
        <v>128800</v>
      </c>
      <c r="L418" s="70">
        <v>125860</v>
      </c>
      <c r="M418" s="70">
        <v>2940</v>
      </c>
      <c r="N418" s="153">
        <v>2.2800000000000001E-2</v>
      </c>
      <c r="O418" s="72" t="s">
        <v>843</v>
      </c>
      <c r="P418" s="181" t="s">
        <v>844</v>
      </c>
    </row>
    <row r="419" spans="1:16" x14ac:dyDescent="0.2">
      <c r="A419" s="72" t="s">
        <v>819</v>
      </c>
      <c r="B419" s="72" t="s">
        <v>24</v>
      </c>
      <c r="C419" s="72" t="s">
        <v>29</v>
      </c>
      <c r="D419" s="72" t="s">
        <v>282</v>
      </c>
      <c r="E419" s="72">
        <v>50</v>
      </c>
      <c r="F419" s="72" t="s">
        <v>835</v>
      </c>
      <c r="G419" s="70">
        <v>5000</v>
      </c>
      <c r="H419" s="70">
        <v>5200</v>
      </c>
      <c r="I419" s="70">
        <v>-200</v>
      </c>
      <c r="J419" s="153">
        <v>-3.85E-2</v>
      </c>
      <c r="K419" s="70">
        <v>250000</v>
      </c>
      <c r="L419" s="70">
        <v>260000</v>
      </c>
      <c r="M419" s="70">
        <v>-10000</v>
      </c>
      <c r="N419" s="153">
        <v>-0.04</v>
      </c>
      <c r="O419" s="72" t="s">
        <v>843</v>
      </c>
      <c r="P419" s="182" t="s">
        <v>845</v>
      </c>
    </row>
    <row r="420" spans="1:16" x14ac:dyDescent="0.2">
      <c r="A420" s="72" t="s">
        <v>819</v>
      </c>
      <c r="B420" s="72" t="s">
        <v>70</v>
      </c>
      <c r="C420" s="72" t="s">
        <v>29</v>
      </c>
      <c r="D420" s="72" t="s">
        <v>282</v>
      </c>
      <c r="E420" s="72">
        <v>1</v>
      </c>
      <c r="F420" s="72" t="s">
        <v>834</v>
      </c>
      <c r="G420" s="70">
        <v>13460</v>
      </c>
      <c r="H420" s="70">
        <v>12855</v>
      </c>
      <c r="I420" s="70">
        <v>605</v>
      </c>
      <c r="J420" s="153">
        <v>4.7100000000000003E-2</v>
      </c>
      <c r="K420" s="70">
        <v>13460</v>
      </c>
      <c r="L420" s="70">
        <v>12855</v>
      </c>
      <c r="M420" s="70">
        <v>605</v>
      </c>
      <c r="N420" s="153">
        <v>4.4900000000000002E-2</v>
      </c>
      <c r="O420" s="72" t="s">
        <v>843</v>
      </c>
      <c r="P420" s="181" t="s">
        <v>844</v>
      </c>
    </row>
    <row r="421" spans="1:16" x14ac:dyDescent="0.2">
      <c r="A421" s="72" t="s">
        <v>819</v>
      </c>
      <c r="B421" s="72" t="s">
        <v>65</v>
      </c>
      <c r="C421" s="72" t="s">
        <v>29</v>
      </c>
      <c r="D421" s="72" t="s">
        <v>282</v>
      </c>
      <c r="E421" s="72">
        <v>2</v>
      </c>
      <c r="F421" s="72" t="s">
        <v>834</v>
      </c>
      <c r="G421" s="70">
        <v>11910</v>
      </c>
      <c r="H421" s="70">
        <v>11315</v>
      </c>
      <c r="I421" s="70">
        <v>595</v>
      </c>
      <c r="J421" s="153">
        <v>5.2600000000000001E-2</v>
      </c>
      <c r="K421" s="70">
        <v>23820</v>
      </c>
      <c r="L421" s="70">
        <v>22630</v>
      </c>
      <c r="M421" s="70">
        <v>1190</v>
      </c>
      <c r="N421" s="153">
        <v>0.05</v>
      </c>
      <c r="O421" s="72" t="s">
        <v>843</v>
      </c>
      <c r="P421" s="181" t="s">
        <v>844</v>
      </c>
    </row>
    <row r="422" spans="1:16" x14ac:dyDescent="0.2">
      <c r="A422" s="72" t="s">
        <v>819</v>
      </c>
      <c r="B422" s="72" t="s">
        <v>291</v>
      </c>
      <c r="C422" s="72" t="s">
        <v>15</v>
      </c>
      <c r="D422" s="72" t="s">
        <v>290</v>
      </c>
      <c r="E422" s="72">
        <v>1</v>
      </c>
      <c r="F422" s="72" t="s">
        <v>834</v>
      </c>
      <c r="G422" s="70">
        <v>11320</v>
      </c>
      <c r="H422" s="70">
        <v>10410</v>
      </c>
      <c r="I422" s="70">
        <v>910</v>
      </c>
      <c r="J422" s="153">
        <v>8.7400000000000005E-2</v>
      </c>
      <c r="K422" s="70">
        <v>11320</v>
      </c>
      <c r="L422" s="70">
        <v>10410</v>
      </c>
      <c r="M422" s="70">
        <v>910</v>
      </c>
      <c r="N422" s="153">
        <v>8.0399999999999999E-2</v>
      </c>
      <c r="O422" s="72" t="s">
        <v>843</v>
      </c>
      <c r="P422" s="181" t="s">
        <v>844</v>
      </c>
    </row>
    <row r="423" spans="1:16" x14ac:dyDescent="0.2">
      <c r="A423" s="72" t="s">
        <v>819</v>
      </c>
      <c r="B423" s="72" t="s">
        <v>45</v>
      </c>
      <c r="C423" s="72" t="s">
        <v>15</v>
      </c>
      <c r="D423" s="72" t="s">
        <v>290</v>
      </c>
      <c r="E423" s="72">
        <v>2</v>
      </c>
      <c r="F423" s="72" t="s">
        <v>834</v>
      </c>
      <c r="G423" s="70">
        <v>13950</v>
      </c>
      <c r="H423" s="70">
        <v>12746</v>
      </c>
      <c r="I423" s="70">
        <v>1204</v>
      </c>
      <c r="J423" s="153">
        <v>9.4500000000000001E-2</v>
      </c>
      <c r="K423" s="70">
        <v>27900</v>
      </c>
      <c r="L423" s="70">
        <v>25492</v>
      </c>
      <c r="M423" s="70">
        <v>2408</v>
      </c>
      <c r="N423" s="153">
        <v>8.6300000000000002E-2</v>
      </c>
      <c r="O423" s="72" t="s">
        <v>843</v>
      </c>
      <c r="P423" s="181" t="s">
        <v>844</v>
      </c>
    </row>
    <row r="424" spans="1:16" x14ac:dyDescent="0.2">
      <c r="A424" s="72" t="s">
        <v>819</v>
      </c>
      <c r="B424" s="72" t="s">
        <v>44</v>
      </c>
      <c r="C424" s="72" t="s">
        <v>15</v>
      </c>
      <c r="D424" s="72" t="s">
        <v>290</v>
      </c>
      <c r="E424" s="72">
        <v>1</v>
      </c>
      <c r="F424" s="72" t="s">
        <v>834</v>
      </c>
      <c r="G424" s="70">
        <v>9500</v>
      </c>
      <c r="H424" s="70">
        <v>8990</v>
      </c>
      <c r="I424" s="70">
        <v>510</v>
      </c>
      <c r="J424" s="153">
        <v>5.67E-2</v>
      </c>
      <c r="K424" s="70">
        <v>9500</v>
      </c>
      <c r="L424" s="70">
        <v>8990</v>
      </c>
      <c r="M424" s="70">
        <v>510</v>
      </c>
      <c r="N424" s="153">
        <v>5.3699999999999998E-2</v>
      </c>
      <c r="O424" s="72" t="s">
        <v>843</v>
      </c>
      <c r="P424" s="181" t="s">
        <v>844</v>
      </c>
    </row>
    <row r="425" spans="1:16" x14ac:dyDescent="0.2">
      <c r="A425" s="72" t="s">
        <v>819</v>
      </c>
      <c r="B425" s="72" t="s">
        <v>22</v>
      </c>
      <c r="C425" s="72" t="s">
        <v>122</v>
      </c>
      <c r="D425" s="72" t="s">
        <v>292</v>
      </c>
      <c r="E425" s="72">
        <v>1</v>
      </c>
      <c r="F425" s="72" t="s">
        <v>834</v>
      </c>
      <c r="G425" s="70">
        <v>9200</v>
      </c>
      <c r="H425" s="70">
        <v>8657</v>
      </c>
      <c r="I425" s="70">
        <v>543</v>
      </c>
      <c r="J425" s="153">
        <v>6.2700000000000006E-2</v>
      </c>
      <c r="K425" s="70">
        <v>9200</v>
      </c>
      <c r="L425" s="70">
        <v>8657</v>
      </c>
      <c r="M425" s="70">
        <v>543</v>
      </c>
      <c r="N425" s="153">
        <v>5.8999999999999997E-2</v>
      </c>
      <c r="O425" s="72" t="s">
        <v>843</v>
      </c>
      <c r="P425" s="181" t="s">
        <v>844</v>
      </c>
    </row>
    <row r="426" spans="1:16" x14ac:dyDescent="0.2">
      <c r="A426" s="72" t="s">
        <v>819</v>
      </c>
      <c r="B426" s="72" t="s">
        <v>44</v>
      </c>
      <c r="C426" s="72" t="s">
        <v>122</v>
      </c>
      <c r="D426" s="72" t="s">
        <v>292</v>
      </c>
      <c r="E426" s="72">
        <v>1</v>
      </c>
      <c r="F426" s="72" t="s">
        <v>834</v>
      </c>
      <c r="G426" s="70">
        <v>9200</v>
      </c>
      <c r="H426" s="70">
        <v>8990</v>
      </c>
      <c r="I426" s="70">
        <v>210</v>
      </c>
      <c r="J426" s="153">
        <v>2.3400000000000001E-2</v>
      </c>
      <c r="K426" s="70">
        <v>9200</v>
      </c>
      <c r="L426" s="70">
        <v>8990</v>
      </c>
      <c r="M426" s="70">
        <v>210</v>
      </c>
      <c r="N426" s="153">
        <v>2.2800000000000001E-2</v>
      </c>
      <c r="O426" s="72" t="s">
        <v>843</v>
      </c>
      <c r="P426" s="181" t="s">
        <v>844</v>
      </c>
    </row>
    <row r="427" spans="1:16" x14ac:dyDescent="0.2">
      <c r="A427" s="72" t="s">
        <v>819</v>
      </c>
      <c r="B427" s="72" t="s">
        <v>37</v>
      </c>
      <c r="C427" s="72" t="s">
        <v>122</v>
      </c>
      <c r="D427" s="72" t="s">
        <v>292</v>
      </c>
      <c r="E427" s="72">
        <v>1</v>
      </c>
      <c r="F427" s="72" t="s">
        <v>834</v>
      </c>
      <c r="G427" s="70">
        <v>9200</v>
      </c>
      <c r="H427" s="70">
        <v>8525</v>
      </c>
      <c r="I427" s="70">
        <v>675</v>
      </c>
      <c r="J427" s="153">
        <v>7.9200000000000007E-2</v>
      </c>
      <c r="K427" s="70">
        <v>9200</v>
      </c>
      <c r="L427" s="70">
        <v>8525</v>
      </c>
      <c r="M427" s="70">
        <v>675</v>
      </c>
      <c r="N427" s="153">
        <v>7.3400000000000007E-2</v>
      </c>
      <c r="O427" s="72" t="s">
        <v>843</v>
      </c>
      <c r="P427" s="181" t="s">
        <v>844</v>
      </c>
    </row>
    <row r="428" spans="1:16" x14ac:dyDescent="0.2">
      <c r="A428" s="72" t="s">
        <v>819</v>
      </c>
      <c r="B428" s="72" t="s">
        <v>21</v>
      </c>
      <c r="C428" s="72" t="s">
        <v>122</v>
      </c>
      <c r="D428" s="72" t="s">
        <v>292</v>
      </c>
      <c r="E428" s="72">
        <v>1</v>
      </c>
      <c r="F428" s="72" t="s">
        <v>834</v>
      </c>
      <c r="G428" s="70">
        <v>9000</v>
      </c>
      <c r="H428" s="70">
        <v>8118</v>
      </c>
      <c r="I428" s="70">
        <v>882</v>
      </c>
      <c r="J428" s="153">
        <v>0.1086</v>
      </c>
      <c r="K428" s="70">
        <v>9000</v>
      </c>
      <c r="L428" s="70">
        <v>8118</v>
      </c>
      <c r="M428" s="70">
        <v>882</v>
      </c>
      <c r="N428" s="153">
        <v>9.8000000000000004E-2</v>
      </c>
      <c r="O428" s="72" t="s">
        <v>843</v>
      </c>
      <c r="P428" s="181" t="s">
        <v>844</v>
      </c>
    </row>
    <row r="429" spans="1:16" x14ac:dyDescent="0.2">
      <c r="A429" s="72" t="s">
        <v>819</v>
      </c>
      <c r="B429" s="72" t="s">
        <v>43</v>
      </c>
      <c r="C429" s="72" t="s">
        <v>122</v>
      </c>
      <c r="D429" s="72" t="s">
        <v>292</v>
      </c>
      <c r="E429" s="72">
        <v>1</v>
      </c>
      <c r="F429" s="72" t="s">
        <v>834</v>
      </c>
      <c r="G429" s="70">
        <v>18300</v>
      </c>
      <c r="H429" s="70">
        <v>17150</v>
      </c>
      <c r="I429" s="70">
        <v>1150</v>
      </c>
      <c r="J429" s="153">
        <v>6.7100000000000007E-2</v>
      </c>
      <c r="K429" s="70">
        <v>18300</v>
      </c>
      <c r="L429" s="70">
        <v>17150</v>
      </c>
      <c r="M429" s="70">
        <v>1150</v>
      </c>
      <c r="N429" s="153">
        <v>6.2799999999999995E-2</v>
      </c>
      <c r="O429" s="72" t="s">
        <v>843</v>
      </c>
      <c r="P429" s="181" t="s">
        <v>844</v>
      </c>
    </row>
    <row r="430" spans="1:16" x14ac:dyDescent="0.2">
      <c r="A430" s="72" t="s">
        <v>819</v>
      </c>
      <c r="B430" s="72" t="s">
        <v>45</v>
      </c>
      <c r="C430" s="72" t="s">
        <v>122</v>
      </c>
      <c r="D430" s="72" t="s">
        <v>292</v>
      </c>
      <c r="E430" s="72">
        <v>1</v>
      </c>
      <c r="F430" s="72" t="s">
        <v>834</v>
      </c>
      <c r="G430" s="70">
        <v>13950</v>
      </c>
      <c r="H430" s="70">
        <v>12746</v>
      </c>
      <c r="I430" s="70">
        <v>1204</v>
      </c>
      <c r="J430" s="153">
        <v>9.4500000000000001E-2</v>
      </c>
      <c r="K430" s="70">
        <v>13950</v>
      </c>
      <c r="L430" s="70">
        <v>12746</v>
      </c>
      <c r="M430" s="70">
        <v>1204</v>
      </c>
      <c r="N430" s="153">
        <v>8.6300000000000002E-2</v>
      </c>
      <c r="O430" s="72" t="s">
        <v>843</v>
      </c>
      <c r="P430" s="181" t="s">
        <v>844</v>
      </c>
    </row>
    <row r="431" spans="1:16" x14ac:dyDescent="0.2">
      <c r="A431" s="72" t="s">
        <v>819</v>
      </c>
      <c r="B431" s="72" t="s">
        <v>65</v>
      </c>
      <c r="C431" s="72" t="s">
        <v>122</v>
      </c>
      <c r="D431" s="72" t="s">
        <v>292</v>
      </c>
      <c r="E431" s="72">
        <v>1</v>
      </c>
      <c r="F431" s="72" t="s">
        <v>834</v>
      </c>
      <c r="G431" s="70">
        <v>11910</v>
      </c>
      <c r="H431" s="70">
        <v>11315</v>
      </c>
      <c r="I431" s="70">
        <v>595</v>
      </c>
      <c r="J431" s="153">
        <v>5.2600000000000001E-2</v>
      </c>
      <c r="K431" s="70">
        <v>11910</v>
      </c>
      <c r="L431" s="70">
        <v>11315</v>
      </c>
      <c r="M431" s="70">
        <v>595</v>
      </c>
      <c r="N431" s="153">
        <v>0.05</v>
      </c>
      <c r="O431" s="72" t="s">
        <v>843</v>
      </c>
      <c r="P431" s="181" t="s">
        <v>844</v>
      </c>
    </row>
    <row r="432" spans="1:16" x14ac:dyDescent="0.2">
      <c r="A432" s="72" t="s">
        <v>819</v>
      </c>
      <c r="B432" s="72" t="s">
        <v>87</v>
      </c>
      <c r="C432" s="72" t="s">
        <v>122</v>
      </c>
      <c r="D432" s="72" t="s">
        <v>292</v>
      </c>
      <c r="E432" s="72">
        <v>1</v>
      </c>
      <c r="F432" s="72" t="s">
        <v>834</v>
      </c>
      <c r="G432" s="70">
        <v>21400</v>
      </c>
      <c r="H432" s="70">
        <v>20440</v>
      </c>
      <c r="I432" s="70">
        <v>960</v>
      </c>
      <c r="J432" s="153">
        <v>4.7E-2</v>
      </c>
      <c r="K432" s="70">
        <v>21400</v>
      </c>
      <c r="L432" s="70">
        <v>20440</v>
      </c>
      <c r="M432" s="70">
        <v>960</v>
      </c>
      <c r="N432" s="153">
        <v>4.4900000000000002E-2</v>
      </c>
      <c r="O432" s="72" t="s">
        <v>843</v>
      </c>
      <c r="P432" s="181" t="s">
        <v>844</v>
      </c>
    </row>
    <row r="433" spans="1:16" x14ac:dyDescent="0.2">
      <c r="A433" s="72" t="s">
        <v>819</v>
      </c>
      <c r="B433" s="72" t="s">
        <v>93</v>
      </c>
      <c r="C433" s="72" t="s">
        <v>122</v>
      </c>
      <c r="D433" s="72" t="s">
        <v>292</v>
      </c>
      <c r="E433" s="72">
        <v>2</v>
      </c>
      <c r="F433" s="72" t="s">
        <v>834</v>
      </c>
      <c r="G433" s="70">
        <v>11600</v>
      </c>
      <c r="H433" s="70">
        <v>11130</v>
      </c>
      <c r="I433" s="70">
        <v>470</v>
      </c>
      <c r="J433" s="153">
        <v>4.2200000000000001E-2</v>
      </c>
      <c r="K433" s="70">
        <v>23200</v>
      </c>
      <c r="L433" s="70">
        <v>22260</v>
      </c>
      <c r="M433" s="70">
        <v>940</v>
      </c>
      <c r="N433" s="153">
        <v>4.0500000000000001E-2</v>
      </c>
      <c r="O433" s="72" t="s">
        <v>843</v>
      </c>
      <c r="P433" s="181" t="s">
        <v>844</v>
      </c>
    </row>
    <row r="434" spans="1:16" x14ac:dyDescent="0.2">
      <c r="A434" s="72" t="s">
        <v>819</v>
      </c>
      <c r="B434" s="72" t="s">
        <v>24</v>
      </c>
      <c r="C434" s="72" t="s">
        <v>122</v>
      </c>
      <c r="D434" s="72" t="s">
        <v>292</v>
      </c>
      <c r="E434" s="72">
        <v>1</v>
      </c>
      <c r="F434" s="72" t="s">
        <v>834</v>
      </c>
      <c r="G434" s="70">
        <v>5300</v>
      </c>
      <c r="H434" s="70">
        <v>5200</v>
      </c>
      <c r="I434" s="70">
        <v>100</v>
      </c>
      <c r="J434" s="153">
        <v>1.9199999999999998E-2</v>
      </c>
      <c r="K434" s="70">
        <v>5300</v>
      </c>
      <c r="L434" s="70">
        <v>5200</v>
      </c>
      <c r="M434" s="70">
        <v>100</v>
      </c>
      <c r="N434" s="153">
        <v>1.89E-2</v>
      </c>
      <c r="O434" s="72" t="s">
        <v>843</v>
      </c>
      <c r="P434" s="181" t="s">
        <v>844</v>
      </c>
    </row>
    <row r="435" spans="1:16" x14ac:dyDescent="0.2">
      <c r="A435" s="72" t="s">
        <v>819</v>
      </c>
      <c r="B435" s="72" t="s">
        <v>27</v>
      </c>
      <c r="C435" s="72" t="s">
        <v>294</v>
      </c>
      <c r="D435" s="72" t="s">
        <v>295</v>
      </c>
      <c r="E435" s="72">
        <v>384</v>
      </c>
      <c r="F435" s="72" t="s">
        <v>836</v>
      </c>
      <c r="G435" s="70">
        <v>7750</v>
      </c>
      <c r="H435" s="70">
        <v>7685</v>
      </c>
      <c r="I435" s="70">
        <v>65</v>
      </c>
      <c r="J435" s="153">
        <v>8.5000000000000006E-3</v>
      </c>
      <c r="K435" s="70">
        <v>2976000</v>
      </c>
      <c r="L435" s="70">
        <v>2951040</v>
      </c>
      <c r="M435" s="70">
        <v>24960</v>
      </c>
      <c r="N435" s="153">
        <v>8.3999999999999995E-3</v>
      </c>
      <c r="O435" s="72" t="s">
        <v>843</v>
      </c>
      <c r="P435" s="181" t="s">
        <v>844</v>
      </c>
    </row>
    <row r="436" spans="1:16" x14ac:dyDescent="0.2">
      <c r="A436" s="72" t="s">
        <v>819</v>
      </c>
      <c r="B436" s="72" t="s">
        <v>28</v>
      </c>
      <c r="C436" s="72" t="s">
        <v>163</v>
      </c>
      <c r="D436" s="72" t="s">
        <v>297</v>
      </c>
      <c r="E436" s="72">
        <v>1</v>
      </c>
      <c r="F436" s="72" t="s">
        <v>834</v>
      </c>
      <c r="G436" s="70">
        <v>13200</v>
      </c>
      <c r="H436" s="70">
        <v>13501</v>
      </c>
      <c r="I436" s="70">
        <v>-301</v>
      </c>
      <c r="J436" s="153">
        <v>-2.23E-2</v>
      </c>
      <c r="K436" s="70">
        <v>13200</v>
      </c>
      <c r="L436" s="70">
        <v>13501</v>
      </c>
      <c r="M436" s="70">
        <v>-301</v>
      </c>
      <c r="N436" s="153">
        <v>-2.2800000000000001E-2</v>
      </c>
      <c r="O436" s="72" t="s">
        <v>843</v>
      </c>
      <c r="P436" s="182" t="s">
        <v>845</v>
      </c>
    </row>
    <row r="437" spans="1:16" x14ac:dyDescent="0.2">
      <c r="A437" s="72" t="s">
        <v>819</v>
      </c>
      <c r="B437" s="72" t="s">
        <v>24</v>
      </c>
      <c r="C437" s="72" t="s">
        <v>25</v>
      </c>
      <c r="D437" s="72" t="s">
        <v>298</v>
      </c>
      <c r="E437" s="72">
        <v>200</v>
      </c>
      <c r="F437" s="72" t="s">
        <v>835</v>
      </c>
      <c r="G437" s="70">
        <v>5000</v>
      </c>
      <c r="H437" s="70">
        <v>5200</v>
      </c>
      <c r="I437" s="70">
        <v>-200</v>
      </c>
      <c r="J437" s="153">
        <v>-3.85E-2</v>
      </c>
      <c r="K437" s="70">
        <v>1000000</v>
      </c>
      <c r="L437" s="70">
        <v>1040000</v>
      </c>
      <c r="M437" s="70">
        <v>-40000</v>
      </c>
      <c r="N437" s="153">
        <v>-0.04</v>
      </c>
      <c r="O437" s="72" t="s">
        <v>843</v>
      </c>
      <c r="P437" s="182" t="s">
        <v>845</v>
      </c>
    </row>
    <row r="438" spans="1:16" x14ac:dyDescent="0.2">
      <c r="A438" s="72" t="s">
        <v>819</v>
      </c>
      <c r="B438" s="72" t="s">
        <v>93</v>
      </c>
      <c r="C438" s="72" t="s">
        <v>163</v>
      </c>
      <c r="D438" s="72" t="s">
        <v>300</v>
      </c>
      <c r="E438" s="72">
        <v>4</v>
      </c>
      <c r="F438" s="72" t="s">
        <v>834</v>
      </c>
      <c r="G438" s="70">
        <v>11600</v>
      </c>
      <c r="H438" s="70">
        <v>11130</v>
      </c>
      <c r="I438" s="70">
        <v>470</v>
      </c>
      <c r="J438" s="153">
        <v>4.2200000000000001E-2</v>
      </c>
      <c r="K438" s="70">
        <v>46400</v>
      </c>
      <c r="L438" s="70">
        <v>44520</v>
      </c>
      <c r="M438" s="70">
        <v>1880</v>
      </c>
      <c r="N438" s="153">
        <v>4.0500000000000001E-2</v>
      </c>
      <c r="O438" s="72" t="s">
        <v>843</v>
      </c>
      <c r="P438" s="181" t="s">
        <v>844</v>
      </c>
    </row>
    <row r="439" spans="1:16" x14ac:dyDescent="0.2">
      <c r="A439" s="72" t="s">
        <v>819</v>
      </c>
      <c r="B439" s="72" t="s">
        <v>100</v>
      </c>
      <c r="C439" s="72" t="s">
        <v>163</v>
      </c>
      <c r="D439" s="72" t="s">
        <v>300</v>
      </c>
      <c r="E439" s="72">
        <v>1</v>
      </c>
      <c r="F439" s="72" t="s">
        <v>834</v>
      </c>
      <c r="G439" s="70">
        <v>11480</v>
      </c>
      <c r="H439" s="70">
        <v>10915</v>
      </c>
      <c r="I439" s="70">
        <v>565</v>
      </c>
      <c r="J439" s="153">
        <v>5.1799999999999999E-2</v>
      </c>
      <c r="K439" s="70">
        <v>11480</v>
      </c>
      <c r="L439" s="70">
        <v>10915</v>
      </c>
      <c r="M439" s="70">
        <v>565</v>
      </c>
      <c r="N439" s="153">
        <v>4.9200000000000001E-2</v>
      </c>
      <c r="O439" s="72" t="s">
        <v>843</v>
      </c>
      <c r="P439" s="181" t="s">
        <v>844</v>
      </c>
    </row>
    <row r="440" spans="1:16" x14ac:dyDescent="0.2">
      <c r="A440" s="72" t="s">
        <v>819</v>
      </c>
      <c r="B440" s="72" t="s">
        <v>71</v>
      </c>
      <c r="C440" s="72" t="s">
        <v>163</v>
      </c>
      <c r="D440" s="72" t="s">
        <v>300</v>
      </c>
      <c r="E440" s="72">
        <v>1</v>
      </c>
      <c r="F440" s="72" t="s">
        <v>834</v>
      </c>
      <c r="G440" s="70">
        <v>15945</v>
      </c>
      <c r="H440" s="70">
        <v>15375</v>
      </c>
      <c r="I440" s="70">
        <v>570</v>
      </c>
      <c r="J440" s="153">
        <v>3.7100000000000001E-2</v>
      </c>
      <c r="K440" s="70">
        <v>15945</v>
      </c>
      <c r="L440" s="70">
        <v>15375</v>
      </c>
      <c r="M440" s="70">
        <v>570</v>
      </c>
      <c r="N440" s="153">
        <v>3.5700000000000003E-2</v>
      </c>
      <c r="O440" s="72" t="s">
        <v>843</v>
      </c>
      <c r="P440" s="181" t="s">
        <v>844</v>
      </c>
    </row>
    <row r="441" spans="1:16" x14ac:dyDescent="0.2">
      <c r="A441" s="72" t="s">
        <v>819</v>
      </c>
      <c r="B441" s="72" t="s">
        <v>77</v>
      </c>
      <c r="C441" s="72" t="s">
        <v>29</v>
      </c>
      <c r="D441" s="72" t="s">
        <v>302</v>
      </c>
      <c r="E441" s="72">
        <v>2</v>
      </c>
      <c r="F441" s="72" t="s">
        <v>834</v>
      </c>
      <c r="G441" s="70">
        <v>17840</v>
      </c>
      <c r="H441" s="70">
        <v>17265</v>
      </c>
      <c r="I441" s="70">
        <v>575</v>
      </c>
      <c r="J441" s="153">
        <v>3.3300000000000003E-2</v>
      </c>
      <c r="K441" s="70">
        <v>35680</v>
      </c>
      <c r="L441" s="70">
        <v>34530</v>
      </c>
      <c r="M441" s="70">
        <v>1150</v>
      </c>
      <c r="N441" s="153">
        <v>3.2199999999999999E-2</v>
      </c>
      <c r="O441" s="72" t="s">
        <v>843</v>
      </c>
      <c r="P441" s="181" t="s">
        <v>844</v>
      </c>
    </row>
    <row r="442" spans="1:16" x14ac:dyDescent="0.2">
      <c r="A442" s="72" t="s">
        <v>820</v>
      </c>
      <c r="B442" s="72" t="s">
        <v>45</v>
      </c>
      <c r="C442" s="72" t="s">
        <v>66</v>
      </c>
      <c r="D442" s="72" t="s">
        <v>304</v>
      </c>
      <c r="E442" s="72">
        <v>140</v>
      </c>
      <c r="F442" s="72" t="s">
        <v>835</v>
      </c>
      <c r="G442" s="70">
        <v>12730</v>
      </c>
      <c r="H442" s="70">
        <v>12746</v>
      </c>
      <c r="I442" s="70">
        <v>-16</v>
      </c>
      <c r="J442" s="153">
        <v>-1.2999999999999999E-3</v>
      </c>
      <c r="K442" s="70">
        <v>1782200</v>
      </c>
      <c r="L442" s="70">
        <v>1784440</v>
      </c>
      <c r="M442" s="70">
        <v>-2240</v>
      </c>
      <c r="N442" s="153">
        <v>-1.2999999999999999E-3</v>
      </c>
      <c r="O442" s="72" t="s">
        <v>843</v>
      </c>
      <c r="P442" s="182" t="s">
        <v>845</v>
      </c>
    </row>
    <row r="443" spans="1:16" x14ac:dyDescent="0.2">
      <c r="A443" s="72" t="s">
        <v>820</v>
      </c>
      <c r="B443" s="72" t="s">
        <v>44</v>
      </c>
      <c r="C443" s="72" t="s">
        <v>66</v>
      </c>
      <c r="D443" s="72" t="s">
        <v>304</v>
      </c>
      <c r="E443" s="72">
        <v>140</v>
      </c>
      <c r="F443" s="72" t="s">
        <v>835</v>
      </c>
      <c r="G443" s="70">
        <v>8990</v>
      </c>
      <c r="H443" s="70">
        <v>8990</v>
      </c>
      <c r="I443" s="70">
        <v>0</v>
      </c>
      <c r="J443" s="153">
        <v>0</v>
      </c>
      <c r="K443" s="70">
        <v>1258600</v>
      </c>
      <c r="L443" s="70">
        <v>1258600</v>
      </c>
      <c r="M443" s="70">
        <v>0</v>
      </c>
      <c r="N443" s="153">
        <v>0</v>
      </c>
      <c r="O443" s="72" t="s">
        <v>843</v>
      </c>
      <c r="P443" s="72" t="s">
        <v>846</v>
      </c>
    </row>
    <row r="444" spans="1:16" x14ac:dyDescent="0.2">
      <c r="A444" s="72" t="s">
        <v>820</v>
      </c>
      <c r="B444" s="72" t="s">
        <v>36</v>
      </c>
      <c r="C444" s="72" t="s">
        <v>66</v>
      </c>
      <c r="D444" s="72" t="s">
        <v>304</v>
      </c>
      <c r="E444" s="72">
        <v>60</v>
      </c>
      <c r="F444" s="72" t="s">
        <v>835</v>
      </c>
      <c r="G444" s="70">
        <v>14900</v>
      </c>
      <c r="H444" s="70">
        <v>14900</v>
      </c>
      <c r="I444" s="70">
        <v>0</v>
      </c>
      <c r="J444" s="153">
        <v>0</v>
      </c>
      <c r="K444" s="70">
        <v>894000</v>
      </c>
      <c r="L444" s="70">
        <v>894000</v>
      </c>
      <c r="M444" s="70">
        <v>0</v>
      </c>
      <c r="N444" s="153">
        <v>0</v>
      </c>
      <c r="O444" s="72" t="s">
        <v>843</v>
      </c>
      <c r="P444" s="72" t="s">
        <v>846</v>
      </c>
    </row>
    <row r="445" spans="1:16" x14ac:dyDescent="0.2">
      <c r="A445" s="72" t="s">
        <v>820</v>
      </c>
      <c r="B445" s="72" t="s">
        <v>113</v>
      </c>
      <c r="C445" s="72" t="s">
        <v>66</v>
      </c>
      <c r="D445" s="72" t="s">
        <v>304</v>
      </c>
      <c r="E445" s="72">
        <v>60</v>
      </c>
      <c r="F445" s="72" t="s">
        <v>835</v>
      </c>
      <c r="G445" s="70">
        <v>14475</v>
      </c>
      <c r="H445" s="70">
        <v>14475</v>
      </c>
      <c r="I445" s="70">
        <v>0</v>
      </c>
      <c r="J445" s="153">
        <v>0</v>
      </c>
      <c r="K445" s="70">
        <v>868500</v>
      </c>
      <c r="L445" s="70">
        <v>868500</v>
      </c>
      <c r="M445" s="70">
        <v>0</v>
      </c>
      <c r="N445" s="153">
        <v>0</v>
      </c>
      <c r="O445" s="72" t="s">
        <v>843</v>
      </c>
      <c r="P445" s="72" t="s">
        <v>846</v>
      </c>
    </row>
    <row r="446" spans="1:16" x14ac:dyDescent="0.2">
      <c r="A446" s="72" t="s">
        <v>820</v>
      </c>
      <c r="B446" s="72" t="s">
        <v>28</v>
      </c>
      <c r="C446" s="72" t="s">
        <v>25</v>
      </c>
      <c r="D446" s="72" t="s">
        <v>310</v>
      </c>
      <c r="E446" s="72">
        <v>45</v>
      </c>
      <c r="F446" s="72" t="s">
        <v>834</v>
      </c>
      <c r="G446" s="70">
        <v>13150</v>
      </c>
      <c r="H446" s="70">
        <v>13501</v>
      </c>
      <c r="I446" s="70">
        <v>-351</v>
      </c>
      <c r="J446" s="153">
        <v>-2.5999999999999999E-2</v>
      </c>
      <c r="K446" s="70">
        <v>591750</v>
      </c>
      <c r="L446" s="70">
        <v>607545</v>
      </c>
      <c r="M446" s="70">
        <v>-15795</v>
      </c>
      <c r="N446" s="153">
        <v>-2.6700000000000002E-2</v>
      </c>
      <c r="O446" s="72" t="s">
        <v>843</v>
      </c>
      <c r="P446" s="182" t="s">
        <v>845</v>
      </c>
    </row>
    <row r="447" spans="1:16" x14ac:dyDescent="0.2">
      <c r="A447" s="72" t="s">
        <v>820</v>
      </c>
      <c r="B447" s="72" t="s">
        <v>31</v>
      </c>
      <c r="C447" s="72" t="s">
        <v>25</v>
      </c>
      <c r="D447" s="72" t="s">
        <v>310</v>
      </c>
      <c r="E447" s="72">
        <v>10</v>
      </c>
      <c r="F447" s="72" t="s">
        <v>834</v>
      </c>
      <c r="G447" s="70">
        <v>17845</v>
      </c>
      <c r="H447" s="70">
        <v>17100</v>
      </c>
      <c r="I447" s="70">
        <v>745</v>
      </c>
      <c r="J447" s="153">
        <v>4.36E-2</v>
      </c>
      <c r="K447" s="70">
        <v>178450</v>
      </c>
      <c r="L447" s="70">
        <v>171000</v>
      </c>
      <c r="M447" s="70">
        <v>7450</v>
      </c>
      <c r="N447" s="153">
        <v>4.1700000000000001E-2</v>
      </c>
      <c r="O447" s="72" t="s">
        <v>843</v>
      </c>
      <c r="P447" s="181" t="s">
        <v>844</v>
      </c>
    </row>
    <row r="448" spans="1:16" x14ac:dyDescent="0.2">
      <c r="A448" s="72" t="s">
        <v>820</v>
      </c>
      <c r="B448" s="72" t="s">
        <v>32</v>
      </c>
      <c r="C448" s="72" t="s">
        <v>25</v>
      </c>
      <c r="D448" s="72" t="s">
        <v>310</v>
      </c>
      <c r="E448" s="72">
        <v>10</v>
      </c>
      <c r="F448" s="72" t="s">
        <v>834</v>
      </c>
      <c r="G448" s="70">
        <v>16145</v>
      </c>
      <c r="H448" s="70">
        <v>15247</v>
      </c>
      <c r="I448" s="70">
        <v>898</v>
      </c>
      <c r="J448" s="153">
        <v>5.8900000000000001E-2</v>
      </c>
      <c r="K448" s="70">
        <v>161450</v>
      </c>
      <c r="L448" s="70">
        <v>152470</v>
      </c>
      <c r="M448" s="70">
        <v>8980</v>
      </c>
      <c r="N448" s="153">
        <v>5.5599999999999997E-2</v>
      </c>
      <c r="O448" s="72" t="s">
        <v>843</v>
      </c>
      <c r="P448" s="181" t="s">
        <v>844</v>
      </c>
    </row>
    <row r="449" spans="1:16" x14ac:dyDescent="0.2">
      <c r="A449" s="72" t="s">
        <v>820</v>
      </c>
      <c r="B449" s="72" t="s">
        <v>70</v>
      </c>
      <c r="C449" s="72" t="s">
        <v>25</v>
      </c>
      <c r="D449" s="72" t="s">
        <v>313</v>
      </c>
      <c r="E449" s="72">
        <v>10</v>
      </c>
      <c r="F449" s="72" t="s">
        <v>834</v>
      </c>
      <c r="G449" s="70">
        <v>13460</v>
      </c>
      <c r="H449" s="70">
        <v>12855</v>
      </c>
      <c r="I449" s="70">
        <v>605</v>
      </c>
      <c r="J449" s="153">
        <v>4.7100000000000003E-2</v>
      </c>
      <c r="K449" s="70">
        <v>134600</v>
      </c>
      <c r="L449" s="70">
        <v>128550</v>
      </c>
      <c r="M449" s="70">
        <v>6050</v>
      </c>
      <c r="N449" s="153">
        <v>4.4900000000000002E-2</v>
      </c>
      <c r="O449" s="72" t="s">
        <v>843</v>
      </c>
      <c r="P449" s="181" t="s">
        <v>844</v>
      </c>
    </row>
    <row r="450" spans="1:16" x14ac:dyDescent="0.2">
      <c r="A450" s="72" t="s">
        <v>820</v>
      </c>
      <c r="B450" s="72" t="s">
        <v>43</v>
      </c>
      <c r="C450" s="72" t="s">
        <v>25</v>
      </c>
      <c r="D450" s="72" t="s">
        <v>313</v>
      </c>
      <c r="E450" s="72">
        <v>10</v>
      </c>
      <c r="F450" s="72" t="s">
        <v>834</v>
      </c>
      <c r="G450" s="70">
        <v>17700</v>
      </c>
      <c r="H450" s="70">
        <v>17150</v>
      </c>
      <c r="I450" s="70">
        <v>550</v>
      </c>
      <c r="J450" s="153">
        <v>3.2099999999999997E-2</v>
      </c>
      <c r="K450" s="70">
        <v>177000</v>
      </c>
      <c r="L450" s="70">
        <v>171500</v>
      </c>
      <c r="M450" s="70">
        <v>5500</v>
      </c>
      <c r="N450" s="153">
        <v>3.1099999999999999E-2</v>
      </c>
      <c r="O450" s="72" t="s">
        <v>843</v>
      </c>
      <c r="P450" s="181" t="s">
        <v>844</v>
      </c>
    </row>
    <row r="451" spans="1:16" x14ac:dyDescent="0.2">
      <c r="A451" s="72" t="s">
        <v>820</v>
      </c>
      <c r="B451" s="72" t="s">
        <v>22</v>
      </c>
      <c r="C451" s="72" t="s">
        <v>50</v>
      </c>
      <c r="D451" s="72" t="s">
        <v>317</v>
      </c>
      <c r="E451" s="72">
        <v>20</v>
      </c>
      <c r="F451" s="72" t="s">
        <v>834</v>
      </c>
      <c r="G451" s="70">
        <v>8800</v>
      </c>
      <c r="H451" s="70">
        <v>8657</v>
      </c>
      <c r="I451" s="70">
        <v>143</v>
      </c>
      <c r="J451" s="153">
        <v>1.6500000000000001E-2</v>
      </c>
      <c r="K451" s="70">
        <v>176000</v>
      </c>
      <c r="L451" s="70">
        <v>173140</v>
      </c>
      <c r="M451" s="70">
        <v>2860</v>
      </c>
      <c r="N451" s="153">
        <v>1.6299999999999999E-2</v>
      </c>
      <c r="O451" s="72" t="s">
        <v>843</v>
      </c>
      <c r="P451" s="181" t="s">
        <v>844</v>
      </c>
    </row>
    <row r="452" spans="1:16" x14ac:dyDescent="0.2">
      <c r="A452" s="72" t="s">
        <v>820</v>
      </c>
      <c r="B452" s="72" t="s">
        <v>93</v>
      </c>
      <c r="C452" s="72" t="s">
        <v>50</v>
      </c>
      <c r="D452" s="72" t="s">
        <v>320</v>
      </c>
      <c r="E452" s="72">
        <v>10</v>
      </c>
      <c r="F452" s="72" t="s">
        <v>834</v>
      </c>
      <c r="G452" s="70">
        <v>11600</v>
      </c>
      <c r="H452" s="70">
        <v>11130</v>
      </c>
      <c r="I452" s="70">
        <v>470</v>
      </c>
      <c r="J452" s="153">
        <v>4.2200000000000001E-2</v>
      </c>
      <c r="K452" s="70">
        <v>116000</v>
      </c>
      <c r="L452" s="70">
        <v>111300</v>
      </c>
      <c r="M452" s="70">
        <v>4700</v>
      </c>
      <c r="N452" s="153">
        <v>4.0500000000000001E-2</v>
      </c>
      <c r="O452" s="72" t="s">
        <v>843</v>
      </c>
      <c r="P452" s="181" t="s">
        <v>844</v>
      </c>
    </row>
    <row r="453" spans="1:16" x14ac:dyDescent="0.2">
      <c r="A453" s="72" t="s">
        <v>820</v>
      </c>
      <c r="B453" s="72" t="s">
        <v>45</v>
      </c>
      <c r="C453" s="72" t="s">
        <v>50</v>
      </c>
      <c r="D453" s="72" t="s">
        <v>320</v>
      </c>
      <c r="E453" s="72">
        <v>20</v>
      </c>
      <c r="F453" s="72" t="s">
        <v>834</v>
      </c>
      <c r="G453" s="70">
        <v>13335</v>
      </c>
      <c r="H453" s="70">
        <v>12746</v>
      </c>
      <c r="I453" s="70">
        <v>589</v>
      </c>
      <c r="J453" s="153">
        <v>4.6199999999999998E-2</v>
      </c>
      <c r="K453" s="70">
        <v>266700</v>
      </c>
      <c r="L453" s="70">
        <v>254920</v>
      </c>
      <c r="M453" s="70">
        <v>11780</v>
      </c>
      <c r="N453" s="153">
        <v>4.4200000000000003E-2</v>
      </c>
      <c r="O453" s="72" t="s">
        <v>843</v>
      </c>
      <c r="P453" s="181" t="s">
        <v>844</v>
      </c>
    </row>
    <row r="454" spans="1:16" x14ac:dyDescent="0.2">
      <c r="A454" s="72" t="s">
        <v>820</v>
      </c>
      <c r="B454" s="72" t="s">
        <v>37</v>
      </c>
      <c r="C454" s="72" t="s">
        <v>29</v>
      </c>
      <c r="D454" s="72" t="s">
        <v>321</v>
      </c>
      <c r="E454" s="72">
        <v>2</v>
      </c>
      <c r="F454" s="72" t="s">
        <v>834</v>
      </c>
      <c r="G454" s="70">
        <v>8880</v>
      </c>
      <c r="H454" s="70">
        <v>8525</v>
      </c>
      <c r="I454" s="70">
        <v>355</v>
      </c>
      <c r="J454" s="153">
        <v>4.1599999999999998E-2</v>
      </c>
      <c r="K454" s="70">
        <v>17760</v>
      </c>
      <c r="L454" s="70">
        <v>17050</v>
      </c>
      <c r="M454" s="70">
        <v>710</v>
      </c>
      <c r="N454" s="153">
        <v>0.04</v>
      </c>
      <c r="O454" s="72" t="s">
        <v>843</v>
      </c>
      <c r="P454" s="181" t="s">
        <v>844</v>
      </c>
    </row>
    <row r="455" spans="1:16" x14ac:dyDescent="0.2">
      <c r="A455" s="72" t="s">
        <v>820</v>
      </c>
      <c r="B455" s="72" t="s">
        <v>44</v>
      </c>
      <c r="C455" s="72" t="s">
        <v>29</v>
      </c>
      <c r="D455" s="72" t="s">
        <v>322</v>
      </c>
      <c r="E455" s="72">
        <v>5</v>
      </c>
      <c r="F455" s="72" t="s">
        <v>834</v>
      </c>
      <c r="G455" s="70">
        <v>9200</v>
      </c>
      <c r="H455" s="70">
        <v>8990</v>
      </c>
      <c r="I455" s="70">
        <v>210</v>
      </c>
      <c r="J455" s="153">
        <v>2.3400000000000001E-2</v>
      </c>
      <c r="K455" s="70">
        <v>46000</v>
      </c>
      <c r="L455" s="70">
        <v>44950</v>
      </c>
      <c r="M455" s="70">
        <v>1050</v>
      </c>
      <c r="N455" s="153">
        <v>2.2800000000000001E-2</v>
      </c>
      <c r="O455" s="72" t="s">
        <v>843</v>
      </c>
      <c r="P455" s="181" t="s">
        <v>844</v>
      </c>
    </row>
    <row r="456" spans="1:16" x14ac:dyDescent="0.2">
      <c r="A456" s="72" t="s">
        <v>820</v>
      </c>
      <c r="B456" s="72" t="s">
        <v>22</v>
      </c>
      <c r="C456" s="72" t="s">
        <v>29</v>
      </c>
      <c r="D456" s="72" t="s">
        <v>322</v>
      </c>
      <c r="E456" s="72">
        <v>10</v>
      </c>
      <c r="F456" s="72" t="s">
        <v>834</v>
      </c>
      <c r="G456" s="70">
        <v>8800</v>
      </c>
      <c r="H456" s="70">
        <v>8657</v>
      </c>
      <c r="I456" s="70">
        <v>143</v>
      </c>
      <c r="J456" s="153">
        <v>1.6500000000000001E-2</v>
      </c>
      <c r="K456" s="70">
        <v>88000</v>
      </c>
      <c r="L456" s="70">
        <v>86570</v>
      </c>
      <c r="M456" s="70">
        <v>1430</v>
      </c>
      <c r="N456" s="153">
        <v>1.6299999999999999E-2</v>
      </c>
      <c r="O456" s="72" t="s">
        <v>843</v>
      </c>
      <c r="P456" s="181" t="s">
        <v>844</v>
      </c>
    </row>
    <row r="457" spans="1:16" x14ac:dyDescent="0.2">
      <c r="A457" s="72" t="s">
        <v>820</v>
      </c>
      <c r="B457" s="72" t="s">
        <v>45</v>
      </c>
      <c r="C457" s="72" t="s">
        <v>29</v>
      </c>
      <c r="D457" s="72" t="s">
        <v>322</v>
      </c>
      <c r="E457" s="72">
        <v>3</v>
      </c>
      <c r="F457" s="72" t="s">
        <v>834</v>
      </c>
      <c r="G457" s="70">
        <v>13335</v>
      </c>
      <c r="H457" s="70">
        <v>12746</v>
      </c>
      <c r="I457" s="70">
        <v>589</v>
      </c>
      <c r="J457" s="153">
        <v>4.6199999999999998E-2</v>
      </c>
      <c r="K457" s="70">
        <v>40005</v>
      </c>
      <c r="L457" s="70">
        <v>38238</v>
      </c>
      <c r="M457" s="70">
        <v>1767</v>
      </c>
      <c r="N457" s="153">
        <v>4.4200000000000003E-2</v>
      </c>
      <c r="O457" s="72" t="s">
        <v>843</v>
      </c>
      <c r="P457" s="181" t="s">
        <v>844</v>
      </c>
    </row>
    <row r="458" spans="1:16" x14ac:dyDescent="0.2">
      <c r="A458" s="72" t="s">
        <v>820</v>
      </c>
      <c r="B458" s="72" t="s">
        <v>113</v>
      </c>
      <c r="C458" s="72" t="s">
        <v>29</v>
      </c>
      <c r="D458" s="72" t="s">
        <v>322</v>
      </c>
      <c r="E458" s="72">
        <v>1</v>
      </c>
      <c r="F458" s="72" t="s">
        <v>834</v>
      </c>
      <c r="G458" s="70">
        <v>14575</v>
      </c>
      <c r="H458" s="70">
        <v>14475</v>
      </c>
      <c r="I458" s="70">
        <v>100</v>
      </c>
      <c r="J458" s="153">
        <v>6.8999999999999999E-3</v>
      </c>
      <c r="K458" s="70">
        <v>14575</v>
      </c>
      <c r="L458" s="70">
        <v>14475</v>
      </c>
      <c r="M458" s="70">
        <v>100</v>
      </c>
      <c r="N458" s="153">
        <v>6.8999999999999999E-3</v>
      </c>
      <c r="O458" s="72" t="s">
        <v>843</v>
      </c>
      <c r="P458" s="181" t="s">
        <v>844</v>
      </c>
    </row>
    <row r="459" spans="1:16" x14ac:dyDescent="0.2">
      <c r="A459" s="72" t="s">
        <v>820</v>
      </c>
      <c r="B459" s="72" t="s">
        <v>37</v>
      </c>
      <c r="C459" s="72" t="s">
        <v>29</v>
      </c>
      <c r="D459" s="72" t="s">
        <v>322</v>
      </c>
      <c r="E459" s="72">
        <v>2</v>
      </c>
      <c r="F459" s="72" t="s">
        <v>834</v>
      </c>
      <c r="G459" s="70">
        <v>8880</v>
      </c>
      <c r="H459" s="70">
        <v>8525</v>
      </c>
      <c r="I459" s="70">
        <v>355</v>
      </c>
      <c r="J459" s="153">
        <v>4.1599999999999998E-2</v>
      </c>
      <c r="K459" s="70">
        <v>17760</v>
      </c>
      <c r="L459" s="70">
        <v>17050</v>
      </c>
      <c r="M459" s="70">
        <v>710</v>
      </c>
      <c r="N459" s="153">
        <v>0.04</v>
      </c>
      <c r="O459" s="72" t="s">
        <v>843</v>
      </c>
      <c r="P459" s="181" t="s">
        <v>844</v>
      </c>
    </row>
    <row r="460" spans="1:16" x14ac:dyDescent="0.2">
      <c r="A460" s="72" t="s">
        <v>820</v>
      </c>
      <c r="B460" s="72" t="s">
        <v>80</v>
      </c>
      <c r="C460" s="72" t="s">
        <v>29</v>
      </c>
      <c r="D460" s="72" t="s">
        <v>322</v>
      </c>
      <c r="E460" s="72">
        <v>1</v>
      </c>
      <c r="F460" s="72" t="s">
        <v>834</v>
      </c>
      <c r="G460" s="70">
        <v>9345</v>
      </c>
      <c r="H460" s="70">
        <v>8970</v>
      </c>
      <c r="I460" s="70">
        <v>375</v>
      </c>
      <c r="J460" s="153">
        <v>4.1799999999999997E-2</v>
      </c>
      <c r="K460" s="70">
        <v>9345</v>
      </c>
      <c r="L460" s="70">
        <v>8970</v>
      </c>
      <c r="M460" s="70">
        <v>375</v>
      </c>
      <c r="N460" s="153">
        <v>4.0099999999999997E-2</v>
      </c>
      <c r="O460" s="72" t="s">
        <v>843</v>
      </c>
      <c r="P460" s="181" t="s">
        <v>844</v>
      </c>
    </row>
    <row r="461" spans="1:16" x14ac:dyDescent="0.2">
      <c r="A461" s="72" t="s">
        <v>820</v>
      </c>
      <c r="B461" s="72" t="s">
        <v>87</v>
      </c>
      <c r="C461" s="72" t="s">
        <v>29</v>
      </c>
      <c r="D461" s="72" t="s">
        <v>322</v>
      </c>
      <c r="E461" s="72">
        <v>1</v>
      </c>
      <c r="F461" s="72" t="s">
        <v>834</v>
      </c>
      <c r="G461" s="70">
        <v>21400</v>
      </c>
      <c r="H461" s="70">
        <v>20440</v>
      </c>
      <c r="I461" s="70">
        <v>960</v>
      </c>
      <c r="J461" s="153">
        <v>4.7E-2</v>
      </c>
      <c r="K461" s="70">
        <v>21400</v>
      </c>
      <c r="L461" s="70">
        <v>20440</v>
      </c>
      <c r="M461" s="70">
        <v>960</v>
      </c>
      <c r="N461" s="153">
        <v>4.4900000000000002E-2</v>
      </c>
      <c r="O461" s="72" t="s">
        <v>843</v>
      </c>
      <c r="P461" s="181" t="s">
        <v>844</v>
      </c>
    </row>
    <row r="462" spans="1:16" x14ac:dyDescent="0.2">
      <c r="A462" s="72" t="s">
        <v>820</v>
      </c>
      <c r="B462" s="72" t="s">
        <v>36</v>
      </c>
      <c r="C462" s="72" t="s">
        <v>29</v>
      </c>
      <c r="D462" s="72" t="s">
        <v>322</v>
      </c>
      <c r="E462" s="72">
        <v>2</v>
      </c>
      <c r="F462" s="72" t="s">
        <v>834</v>
      </c>
      <c r="G462" s="70">
        <v>15525</v>
      </c>
      <c r="H462" s="70">
        <v>14900</v>
      </c>
      <c r="I462" s="70">
        <v>625</v>
      </c>
      <c r="J462" s="153">
        <v>4.19E-2</v>
      </c>
      <c r="K462" s="70">
        <v>31050</v>
      </c>
      <c r="L462" s="70">
        <v>29800</v>
      </c>
      <c r="M462" s="70">
        <v>1250</v>
      </c>
      <c r="N462" s="153">
        <v>4.0300000000000002E-2</v>
      </c>
      <c r="O462" s="72" t="s">
        <v>843</v>
      </c>
      <c r="P462" s="181" t="s">
        <v>844</v>
      </c>
    </row>
    <row r="463" spans="1:16" x14ac:dyDescent="0.2">
      <c r="A463" s="72" t="s">
        <v>820</v>
      </c>
      <c r="B463" s="72" t="s">
        <v>65</v>
      </c>
      <c r="C463" s="72" t="s">
        <v>29</v>
      </c>
      <c r="D463" s="72" t="s">
        <v>322</v>
      </c>
      <c r="E463" s="72">
        <v>2</v>
      </c>
      <c r="F463" s="72" t="s">
        <v>834</v>
      </c>
      <c r="G463" s="70">
        <v>11910</v>
      </c>
      <c r="H463" s="70">
        <v>11315</v>
      </c>
      <c r="I463" s="70">
        <v>595</v>
      </c>
      <c r="J463" s="153">
        <v>5.2600000000000001E-2</v>
      </c>
      <c r="K463" s="70">
        <v>23820</v>
      </c>
      <c r="L463" s="70">
        <v>22630</v>
      </c>
      <c r="M463" s="70">
        <v>1190</v>
      </c>
      <c r="N463" s="153">
        <v>0.05</v>
      </c>
      <c r="O463" s="72" t="s">
        <v>843</v>
      </c>
      <c r="P463" s="181" t="s">
        <v>844</v>
      </c>
    </row>
    <row r="464" spans="1:16" x14ac:dyDescent="0.2">
      <c r="A464" s="72" t="s">
        <v>820</v>
      </c>
      <c r="B464" s="72" t="s">
        <v>71</v>
      </c>
      <c r="C464" s="72" t="s">
        <v>29</v>
      </c>
      <c r="D464" s="72" t="s">
        <v>322</v>
      </c>
      <c r="E464" s="72">
        <v>1</v>
      </c>
      <c r="F464" s="72" t="s">
        <v>834</v>
      </c>
      <c r="G464" s="70">
        <v>15945</v>
      </c>
      <c r="H464" s="70">
        <v>15375</v>
      </c>
      <c r="I464" s="70">
        <v>570</v>
      </c>
      <c r="J464" s="153">
        <v>3.7100000000000001E-2</v>
      </c>
      <c r="K464" s="70">
        <v>15945</v>
      </c>
      <c r="L464" s="70">
        <v>15375</v>
      </c>
      <c r="M464" s="70">
        <v>570</v>
      </c>
      <c r="N464" s="153">
        <v>3.5700000000000003E-2</v>
      </c>
      <c r="O464" s="72" t="s">
        <v>843</v>
      </c>
      <c r="P464" s="181" t="s">
        <v>844</v>
      </c>
    </row>
    <row r="465" spans="1:16" x14ac:dyDescent="0.2">
      <c r="A465" s="72" t="s">
        <v>820</v>
      </c>
      <c r="B465" s="72" t="s">
        <v>24</v>
      </c>
      <c r="C465" s="72" t="s">
        <v>29</v>
      </c>
      <c r="D465" s="72" t="s">
        <v>322</v>
      </c>
      <c r="E465" s="72">
        <v>20</v>
      </c>
      <c r="F465" s="72" t="s">
        <v>834</v>
      </c>
      <c r="G465" s="70">
        <v>5000</v>
      </c>
      <c r="H465" s="70">
        <v>5200</v>
      </c>
      <c r="I465" s="70">
        <v>-200</v>
      </c>
      <c r="J465" s="153">
        <v>-3.85E-2</v>
      </c>
      <c r="K465" s="70">
        <v>100000</v>
      </c>
      <c r="L465" s="70">
        <v>104000</v>
      </c>
      <c r="M465" s="70">
        <v>-4000</v>
      </c>
      <c r="N465" s="153">
        <v>-0.04</v>
      </c>
      <c r="O465" s="72" t="s">
        <v>843</v>
      </c>
      <c r="P465" s="182" t="s">
        <v>845</v>
      </c>
    </row>
    <row r="466" spans="1:16" x14ac:dyDescent="0.2">
      <c r="A466" s="72" t="s">
        <v>820</v>
      </c>
      <c r="B466" s="72" t="s">
        <v>22</v>
      </c>
      <c r="C466" s="72" t="s">
        <v>326</v>
      </c>
      <c r="D466" s="72" t="s">
        <v>327</v>
      </c>
      <c r="E466" s="72">
        <v>140</v>
      </c>
      <c r="F466" s="72" t="s">
        <v>835</v>
      </c>
      <c r="G466" s="70">
        <v>8500</v>
      </c>
      <c r="H466" s="70">
        <v>8657</v>
      </c>
      <c r="I466" s="70">
        <v>-157</v>
      </c>
      <c r="J466" s="153">
        <v>-1.8100000000000002E-2</v>
      </c>
      <c r="K466" s="70">
        <v>1190000</v>
      </c>
      <c r="L466" s="70">
        <v>1211980</v>
      </c>
      <c r="M466" s="70">
        <v>-21980</v>
      </c>
      <c r="N466" s="153">
        <v>-1.8499999999999999E-2</v>
      </c>
      <c r="O466" s="72" t="s">
        <v>843</v>
      </c>
      <c r="P466" s="182" t="s">
        <v>845</v>
      </c>
    </row>
    <row r="467" spans="1:16" x14ac:dyDescent="0.2">
      <c r="A467" s="72" t="s">
        <v>820</v>
      </c>
      <c r="B467" s="72" t="s">
        <v>45</v>
      </c>
      <c r="C467" s="72" t="s">
        <v>326</v>
      </c>
      <c r="D467" s="72" t="s">
        <v>327</v>
      </c>
      <c r="E467" s="72">
        <v>140</v>
      </c>
      <c r="F467" s="72" t="s">
        <v>835</v>
      </c>
      <c r="G467" s="70">
        <v>12830</v>
      </c>
      <c r="H467" s="70">
        <v>12746</v>
      </c>
      <c r="I467" s="70">
        <v>84</v>
      </c>
      <c r="J467" s="153">
        <v>6.6E-3</v>
      </c>
      <c r="K467" s="70">
        <v>1796200</v>
      </c>
      <c r="L467" s="70">
        <v>1784440</v>
      </c>
      <c r="M467" s="70">
        <v>11760</v>
      </c>
      <c r="N467" s="153">
        <v>6.4999999999999997E-3</v>
      </c>
      <c r="O467" s="72" t="s">
        <v>843</v>
      </c>
      <c r="P467" s="181" t="s">
        <v>844</v>
      </c>
    </row>
    <row r="468" spans="1:16" x14ac:dyDescent="0.2">
      <c r="A468" s="72" t="s">
        <v>820</v>
      </c>
      <c r="B468" s="72" t="s">
        <v>37</v>
      </c>
      <c r="C468" s="72" t="s">
        <v>326</v>
      </c>
      <c r="D468" s="72" t="s">
        <v>327</v>
      </c>
      <c r="E468" s="72">
        <v>70</v>
      </c>
      <c r="F468" s="72" t="s">
        <v>835</v>
      </c>
      <c r="G468" s="70">
        <v>8880</v>
      </c>
      <c r="H468" s="70">
        <v>8525</v>
      </c>
      <c r="I468" s="70">
        <v>355</v>
      </c>
      <c r="J468" s="153">
        <v>4.1599999999999998E-2</v>
      </c>
      <c r="K468" s="70">
        <v>621600</v>
      </c>
      <c r="L468" s="70">
        <v>596750</v>
      </c>
      <c r="M468" s="70">
        <v>24850</v>
      </c>
      <c r="N468" s="153">
        <v>0.04</v>
      </c>
      <c r="O468" s="72" t="s">
        <v>843</v>
      </c>
      <c r="P468" s="181" t="s">
        <v>844</v>
      </c>
    </row>
    <row r="469" spans="1:16" x14ac:dyDescent="0.2">
      <c r="A469" s="72" t="s">
        <v>820</v>
      </c>
      <c r="B469" s="72" t="s">
        <v>113</v>
      </c>
      <c r="C469" s="72" t="s">
        <v>326</v>
      </c>
      <c r="D469" s="72" t="s">
        <v>327</v>
      </c>
      <c r="E469" s="72">
        <v>30</v>
      </c>
      <c r="F469" s="72" t="s">
        <v>834</v>
      </c>
      <c r="G469" s="70">
        <v>14575</v>
      </c>
      <c r="H469" s="70">
        <v>14475</v>
      </c>
      <c r="I469" s="70">
        <v>100</v>
      </c>
      <c r="J469" s="153">
        <v>6.8999999999999999E-3</v>
      </c>
      <c r="K469" s="70">
        <v>437250</v>
      </c>
      <c r="L469" s="70">
        <v>434250</v>
      </c>
      <c r="M469" s="70">
        <v>3000</v>
      </c>
      <c r="N469" s="153">
        <v>6.8999999999999999E-3</v>
      </c>
      <c r="O469" s="72" t="s">
        <v>843</v>
      </c>
      <c r="P469" s="181" t="s">
        <v>844</v>
      </c>
    </row>
    <row r="470" spans="1:16" x14ac:dyDescent="0.2">
      <c r="A470" s="72" t="s">
        <v>820</v>
      </c>
      <c r="B470" s="72" t="s">
        <v>101</v>
      </c>
      <c r="C470" s="72" t="s">
        <v>326</v>
      </c>
      <c r="D470" s="72" t="s">
        <v>327</v>
      </c>
      <c r="E470" s="72">
        <v>30</v>
      </c>
      <c r="F470" s="72" t="s">
        <v>834</v>
      </c>
      <c r="G470" s="70">
        <v>13020</v>
      </c>
      <c r="H470" s="70">
        <v>12920</v>
      </c>
      <c r="I470" s="70">
        <v>100</v>
      </c>
      <c r="J470" s="153">
        <v>7.7000000000000002E-3</v>
      </c>
      <c r="K470" s="70">
        <v>390600</v>
      </c>
      <c r="L470" s="70">
        <v>387600</v>
      </c>
      <c r="M470" s="70">
        <v>3000</v>
      </c>
      <c r="N470" s="153">
        <v>7.7000000000000002E-3</v>
      </c>
      <c r="O470" s="72" t="s">
        <v>843</v>
      </c>
      <c r="P470" s="181" t="s">
        <v>844</v>
      </c>
    </row>
    <row r="471" spans="1:16" x14ac:dyDescent="0.2">
      <c r="A471" s="72" t="s">
        <v>820</v>
      </c>
      <c r="B471" s="72" t="s">
        <v>24</v>
      </c>
      <c r="C471" s="72" t="s">
        <v>50</v>
      </c>
      <c r="D471" s="72" t="s">
        <v>332</v>
      </c>
      <c r="E471" s="72">
        <v>10</v>
      </c>
      <c r="F471" s="72" t="s">
        <v>834</v>
      </c>
      <c r="G471" s="70">
        <v>5000</v>
      </c>
      <c r="H471" s="70">
        <v>5200</v>
      </c>
      <c r="I471" s="70">
        <v>-200</v>
      </c>
      <c r="J471" s="153">
        <v>-3.85E-2</v>
      </c>
      <c r="K471" s="70">
        <v>50000</v>
      </c>
      <c r="L471" s="70">
        <v>52000</v>
      </c>
      <c r="M471" s="70">
        <v>-2000</v>
      </c>
      <c r="N471" s="153">
        <v>-0.04</v>
      </c>
      <c r="O471" s="72" t="s">
        <v>843</v>
      </c>
      <c r="P471" s="182" t="s">
        <v>845</v>
      </c>
    </row>
    <row r="472" spans="1:16" x14ac:dyDescent="0.2">
      <c r="A472" s="72" t="s">
        <v>820</v>
      </c>
      <c r="B472" s="72" t="s">
        <v>43</v>
      </c>
      <c r="C472" s="72" t="s">
        <v>334</v>
      </c>
      <c r="D472" s="72" t="s">
        <v>335</v>
      </c>
      <c r="E472" s="72">
        <v>20</v>
      </c>
      <c r="F472" s="72" t="s">
        <v>834</v>
      </c>
      <c r="G472" s="70">
        <v>17800</v>
      </c>
      <c r="H472" s="70">
        <v>17150</v>
      </c>
      <c r="I472" s="70">
        <v>650</v>
      </c>
      <c r="J472" s="153">
        <v>3.7900000000000003E-2</v>
      </c>
      <c r="K472" s="70">
        <v>356000</v>
      </c>
      <c r="L472" s="70">
        <v>343000</v>
      </c>
      <c r="M472" s="70">
        <v>13000</v>
      </c>
      <c r="N472" s="153">
        <v>3.6499999999999998E-2</v>
      </c>
      <c r="O472" s="72" t="s">
        <v>843</v>
      </c>
      <c r="P472" s="181" t="s">
        <v>844</v>
      </c>
    </row>
    <row r="473" spans="1:16" x14ac:dyDescent="0.2">
      <c r="A473" s="72" t="s">
        <v>820</v>
      </c>
      <c r="B473" s="72" t="s">
        <v>44</v>
      </c>
      <c r="C473" s="72" t="s">
        <v>334</v>
      </c>
      <c r="D473" s="72" t="s">
        <v>335</v>
      </c>
      <c r="E473" s="72">
        <v>10</v>
      </c>
      <c r="F473" s="72" t="s">
        <v>834</v>
      </c>
      <c r="G473" s="70">
        <v>9090</v>
      </c>
      <c r="H473" s="70">
        <v>8990</v>
      </c>
      <c r="I473" s="70">
        <v>100</v>
      </c>
      <c r="J473" s="153">
        <v>1.11E-2</v>
      </c>
      <c r="K473" s="70">
        <v>90900</v>
      </c>
      <c r="L473" s="70">
        <v>89900</v>
      </c>
      <c r="M473" s="70">
        <v>1000</v>
      </c>
      <c r="N473" s="153">
        <v>1.0999999999999999E-2</v>
      </c>
      <c r="O473" s="72" t="s">
        <v>843</v>
      </c>
      <c r="P473" s="181" t="s">
        <v>844</v>
      </c>
    </row>
    <row r="474" spans="1:16" x14ac:dyDescent="0.2">
      <c r="A474" s="72" t="s">
        <v>820</v>
      </c>
      <c r="B474" s="72" t="s">
        <v>43</v>
      </c>
      <c r="C474" s="72" t="s">
        <v>336</v>
      </c>
      <c r="D474" s="72" t="s">
        <v>337</v>
      </c>
      <c r="E474" s="72">
        <v>1</v>
      </c>
      <c r="F474" s="72" t="s">
        <v>834</v>
      </c>
      <c r="G474" s="70">
        <v>18300</v>
      </c>
      <c r="H474" s="70">
        <v>17150</v>
      </c>
      <c r="I474" s="70">
        <v>1150</v>
      </c>
      <c r="J474" s="153">
        <v>6.7100000000000007E-2</v>
      </c>
      <c r="K474" s="70">
        <v>18300</v>
      </c>
      <c r="L474" s="70">
        <v>17150</v>
      </c>
      <c r="M474" s="70">
        <v>1150</v>
      </c>
      <c r="N474" s="153">
        <v>6.2799999999999995E-2</v>
      </c>
      <c r="O474" s="72" t="s">
        <v>843</v>
      </c>
      <c r="P474" s="181" t="s">
        <v>844</v>
      </c>
    </row>
    <row r="475" spans="1:16" x14ac:dyDescent="0.2">
      <c r="A475" s="72" t="s">
        <v>820</v>
      </c>
      <c r="B475" s="72" t="s">
        <v>45</v>
      </c>
      <c r="C475" s="72" t="s">
        <v>336</v>
      </c>
      <c r="D475" s="72" t="s">
        <v>337</v>
      </c>
      <c r="E475" s="72">
        <v>1</v>
      </c>
      <c r="F475" s="72" t="s">
        <v>834</v>
      </c>
      <c r="G475" s="70">
        <v>13335</v>
      </c>
      <c r="H475" s="70">
        <v>12746</v>
      </c>
      <c r="I475" s="70">
        <v>589</v>
      </c>
      <c r="J475" s="153">
        <v>4.6199999999999998E-2</v>
      </c>
      <c r="K475" s="70">
        <v>13335</v>
      </c>
      <c r="L475" s="70">
        <v>12746</v>
      </c>
      <c r="M475" s="70">
        <v>589</v>
      </c>
      <c r="N475" s="153">
        <v>4.4200000000000003E-2</v>
      </c>
      <c r="O475" s="72" t="s">
        <v>843</v>
      </c>
      <c r="P475" s="181" t="s">
        <v>844</v>
      </c>
    </row>
    <row r="476" spans="1:16" x14ac:dyDescent="0.2">
      <c r="A476" s="72" t="s">
        <v>820</v>
      </c>
      <c r="B476" s="72" t="s">
        <v>22</v>
      </c>
      <c r="C476" s="72" t="s">
        <v>336</v>
      </c>
      <c r="D476" s="72" t="s">
        <v>337</v>
      </c>
      <c r="E476" s="72">
        <v>1</v>
      </c>
      <c r="F476" s="72" t="s">
        <v>834</v>
      </c>
      <c r="G476" s="70">
        <v>9200</v>
      </c>
      <c r="H476" s="70">
        <v>8657</v>
      </c>
      <c r="I476" s="70">
        <v>543</v>
      </c>
      <c r="J476" s="153">
        <v>6.2700000000000006E-2</v>
      </c>
      <c r="K476" s="70">
        <v>9200</v>
      </c>
      <c r="L476" s="70">
        <v>8657</v>
      </c>
      <c r="M476" s="70">
        <v>543</v>
      </c>
      <c r="N476" s="153">
        <v>5.8999999999999997E-2</v>
      </c>
      <c r="O476" s="72" t="s">
        <v>843</v>
      </c>
      <c r="P476" s="181" t="s">
        <v>844</v>
      </c>
    </row>
    <row r="477" spans="1:16" x14ac:dyDescent="0.2">
      <c r="A477" s="72" t="s">
        <v>820</v>
      </c>
      <c r="B477" s="72" t="s">
        <v>37</v>
      </c>
      <c r="C477" s="72" t="s">
        <v>102</v>
      </c>
      <c r="D477" s="72" t="s">
        <v>338</v>
      </c>
      <c r="E477" s="72">
        <v>1</v>
      </c>
      <c r="F477" s="72" t="s">
        <v>834</v>
      </c>
      <c r="G477" s="70">
        <v>9500</v>
      </c>
      <c r="H477" s="70">
        <v>8525</v>
      </c>
      <c r="I477" s="70">
        <v>975</v>
      </c>
      <c r="J477" s="153">
        <v>0.1144</v>
      </c>
      <c r="K477" s="70">
        <v>9500</v>
      </c>
      <c r="L477" s="70">
        <v>8525</v>
      </c>
      <c r="M477" s="70">
        <v>975</v>
      </c>
      <c r="N477" s="153">
        <v>0.1026</v>
      </c>
      <c r="O477" s="72" t="s">
        <v>843</v>
      </c>
      <c r="P477" s="181" t="s">
        <v>844</v>
      </c>
    </row>
    <row r="478" spans="1:16" x14ac:dyDescent="0.2">
      <c r="A478" s="72" t="s">
        <v>820</v>
      </c>
      <c r="B478" s="72" t="s">
        <v>21</v>
      </c>
      <c r="C478" s="72" t="s">
        <v>334</v>
      </c>
      <c r="D478" s="72" t="s">
        <v>339</v>
      </c>
      <c r="E478" s="72">
        <v>70</v>
      </c>
      <c r="F478" s="72" t="s">
        <v>835</v>
      </c>
      <c r="G478" s="70">
        <v>8100</v>
      </c>
      <c r="H478" s="70">
        <v>8118</v>
      </c>
      <c r="I478" s="70">
        <v>-18</v>
      </c>
      <c r="J478" s="153">
        <v>-2.2000000000000001E-3</v>
      </c>
      <c r="K478" s="70">
        <v>567000</v>
      </c>
      <c r="L478" s="70">
        <v>568260</v>
      </c>
      <c r="M478" s="70">
        <v>-1260</v>
      </c>
      <c r="N478" s="153">
        <v>-2.2000000000000001E-3</v>
      </c>
      <c r="O478" s="72" t="s">
        <v>843</v>
      </c>
      <c r="P478" s="182" t="s">
        <v>845</v>
      </c>
    </row>
    <row r="479" spans="1:16" x14ac:dyDescent="0.2">
      <c r="A479" s="72" t="s">
        <v>820</v>
      </c>
      <c r="B479" s="72" t="s">
        <v>22</v>
      </c>
      <c r="C479" s="72" t="s">
        <v>341</v>
      </c>
      <c r="D479" s="72" t="s">
        <v>342</v>
      </c>
      <c r="E479" s="72">
        <v>8</v>
      </c>
      <c r="F479" s="72" t="s">
        <v>834</v>
      </c>
      <c r="G479" s="70">
        <v>9335</v>
      </c>
      <c r="H479" s="70">
        <v>8657</v>
      </c>
      <c r="I479" s="70">
        <v>678</v>
      </c>
      <c r="J479" s="153">
        <v>7.8299999999999995E-2</v>
      </c>
      <c r="K479" s="70">
        <v>74680</v>
      </c>
      <c r="L479" s="70">
        <v>69256</v>
      </c>
      <c r="M479" s="70">
        <v>5424</v>
      </c>
      <c r="N479" s="153">
        <v>7.2599999999999998E-2</v>
      </c>
      <c r="O479" s="72" t="s">
        <v>843</v>
      </c>
      <c r="P479" s="181" t="s">
        <v>844</v>
      </c>
    </row>
    <row r="480" spans="1:16" x14ac:dyDescent="0.2">
      <c r="A480" s="72" t="s">
        <v>821</v>
      </c>
      <c r="B480" s="72" t="s">
        <v>22</v>
      </c>
      <c r="C480" s="72" t="s">
        <v>212</v>
      </c>
      <c r="D480" s="72" t="s">
        <v>344</v>
      </c>
      <c r="E480" s="72">
        <v>3</v>
      </c>
      <c r="F480" s="72" t="s">
        <v>834</v>
      </c>
      <c r="G480" s="70">
        <v>9200</v>
      </c>
      <c r="H480" s="70">
        <v>8657</v>
      </c>
      <c r="I480" s="70">
        <v>543</v>
      </c>
      <c r="J480" s="153">
        <v>6.2700000000000006E-2</v>
      </c>
      <c r="K480" s="70">
        <v>27600</v>
      </c>
      <c r="L480" s="70">
        <v>25971</v>
      </c>
      <c r="M480" s="70">
        <v>1629</v>
      </c>
      <c r="N480" s="153">
        <v>5.8999999999999997E-2</v>
      </c>
      <c r="O480" s="72" t="s">
        <v>843</v>
      </c>
      <c r="P480" s="181" t="s">
        <v>844</v>
      </c>
    </row>
    <row r="481" spans="1:16" x14ac:dyDescent="0.2">
      <c r="A481" s="72" t="s">
        <v>821</v>
      </c>
      <c r="B481" s="72" t="s">
        <v>21</v>
      </c>
      <c r="C481" s="72" t="s">
        <v>212</v>
      </c>
      <c r="D481" s="72" t="s">
        <v>344</v>
      </c>
      <c r="E481" s="72">
        <v>3</v>
      </c>
      <c r="F481" s="72" t="s">
        <v>834</v>
      </c>
      <c r="G481" s="70">
        <v>9000</v>
      </c>
      <c r="H481" s="70">
        <v>8118</v>
      </c>
      <c r="I481" s="70">
        <v>882</v>
      </c>
      <c r="J481" s="153">
        <v>0.1086</v>
      </c>
      <c r="K481" s="70">
        <v>27000</v>
      </c>
      <c r="L481" s="70">
        <v>24354</v>
      </c>
      <c r="M481" s="70">
        <v>2646</v>
      </c>
      <c r="N481" s="153">
        <v>9.8000000000000004E-2</v>
      </c>
      <c r="O481" s="72" t="s">
        <v>843</v>
      </c>
      <c r="P481" s="181" t="s">
        <v>844</v>
      </c>
    </row>
    <row r="482" spans="1:16" x14ac:dyDescent="0.2">
      <c r="A482" s="72" t="s">
        <v>821</v>
      </c>
      <c r="B482" s="72" t="s">
        <v>24</v>
      </c>
      <c r="C482" s="72" t="s">
        <v>50</v>
      </c>
      <c r="D482" s="72" t="s">
        <v>345</v>
      </c>
      <c r="E482" s="72">
        <v>248</v>
      </c>
      <c r="F482" s="72" t="s">
        <v>835</v>
      </c>
      <c r="G482" s="70">
        <v>5000</v>
      </c>
      <c r="H482" s="70">
        <v>5200</v>
      </c>
      <c r="I482" s="70">
        <v>-200</v>
      </c>
      <c r="J482" s="153">
        <v>-3.85E-2</v>
      </c>
      <c r="K482" s="70">
        <v>1240000</v>
      </c>
      <c r="L482" s="70">
        <v>1289600</v>
      </c>
      <c r="M482" s="70">
        <v>-49600</v>
      </c>
      <c r="N482" s="153">
        <v>-0.04</v>
      </c>
      <c r="O482" s="72" t="s">
        <v>843</v>
      </c>
      <c r="P482" s="182" t="s">
        <v>845</v>
      </c>
    </row>
    <row r="483" spans="1:16" x14ac:dyDescent="0.2">
      <c r="A483" s="72" t="s">
        <v>821</v>
      </c>
      <c r="B483" s="72" t="s">
        <v>22</v>
      </c>
      <c r="C483" s="72" t="s">
        <v>152</v>
      </c>
      <c r="D483" s="72" t="s">
        <v>347</v>
      </c>
      <c r="E483" s="72">
        <v>350</v>
      </c>
      <c r="F483" s="72" t="s">
        <v>836</v>
      </c>
      <c r="G483" s="70">
        <v>8500</v>
      </c>
      <c r="H483" s="70">
        <v>8657</v>
      </c>
      <c r="I483" s="70">
        <v>-157</v>
      </c>
      <c r="J483" s="153">
        <v>-1.8100000000000002E-2</v>
      </c>
      <c r="K483" s="70">
        <v>2975000</v>
      </c>
      <c r="L483" s="70">
        <v>3029950</v>
      </c>
      <c r="M483" s="70">
        <v>-54950</v>
      </c>
      <c r="N483" s="153">
        <v>-1.8499999999999999E-2</v>
      </c>
      <c r="O483" s="72" t="s">
        <v>843</v>
      </c>
      <c r="P483" s="182" t="s">
        <v>845</v>
      </c>
    </row>
    <row r="484" spans="1:16" x14ac:dyDescent="0.2">
      <c r="A484" s="72" t="s">
        <v>821</v>
      </c>
      <c r="B484" s="72" t="s">
        <v>44</v>
      </c>
      <c r="C484" s="72" t="s">
        <v>152</v>
      </c>
      <c r="D484" s="72" t="s">
        <v>347</v>
      </c>
      <c r="E484" s="72">
        <v>70</v>
      </c>
      <c r="F484" s="72" t="s">
        <v>835</v>
      </c>
      <c r="G484" s="70">
        <v>9090</v>
      </c>
      <c r="H484" s="70">
        <v>8990</v>
      </c>
      <c r="I484" s="70">
        <v>100</v>
      </c>
      <c r="J484" s="153">
        <v>1.11E-2</v>
      </c>
      <c r="K484" s="70">
        <v>636300</v>
      </c>
      <c r="L484" s="70">
        <v>629300</v>
      </c>
      <c r="M484" s="70">
        <v>7000</v>
      </c>
      <c r="N484" s="153">
        <v>1.0999999999999999E-2</v>
      </c>
      <c r="O484" s="72" t="s">
        <v>843</v>
      </c>
      <c r="P484" s="181" t="s">
        <v>844</v>
      </c>
    </row>
    <row r="485" spans="1:16" x14ac:dyDescent="0.2">
      <c r="A485" s="72" t="s">
        <v>821</v>
      </c>
      <c r="B485" s="72" t="s">
        <v>21</v>
      </c>
      <c r="C485" s="72" t="s">
        <v>25</v>
      </c>
      <c r="D485" s="72" t="s">
        <v>349</v>
      </c>
      <c r="E485" s="72">
        <v>30</v>
      </c>
      <c r="F485" s="72" t="s">
        <v>834</v>
      </c>
      <c r="G485" s="70">
        <v>8200</v>
      </c>
      <c r="H485" s="70">
        <v>8118</v>
      </c>
      <c r="I485" s="70">
        <v>82</v>
      </c>
      <c r="J485" s="153">
        <v>1.01E-2</v>
      </c>
      <c r="K485" s="70">
        <v>246000</v>
      </c>
      <c r="L485" s="70">
        <v>243540</v>
      </c>
      <c r="M485" s="70">
        <v>2460</v>
      </c>
      <c r="N485" s="153">
        <v>0.01</v>
      </c>
      <c r="O485" s="72" t="s">
        <v>843</v>
      </c>
      <c r="P485" s="181" t="s">
        <v>844</v>
      </c>
    </row>
    <row r="486" spans="1:16" x14ac:dyDescent="0.2">
      <c r="A486" s="72" t="s">
        <v>821</v>
      </c>
      <c r="B486" s="72" t="s">
        <v>22</v>
      </c>
      <c r="C486" s="72" t="s">
        <v>25</v>
      </c>
      <c r="D486" s="72" t="s">
        <v>349</v>
      </c>
      <c r="E486" s="72">
        <v>15</v>
      </c>
      <c r="F486" s="72" t="s">
        <v>834</v>
      </c>
      <c r="G486" s="70">
        <v>9200</v>
      </c>
      <c r="H486" s="70">
        <v>8657</v>
      </c>
      <c r="I486" s="70">
        <v>543</v>
      </c>
      <c r="J486" s="153">
        <v>6.2700000000000006E-2</v>
      </c>
      <c r="K486" s="70">
        <v>138000</v>
      </c>
      <c r="L486" s="70">
        <v>129855</v>
      </c>
      <c r="M486" s="70">
        <v>8145</v>
      </c>
      <c r="N486" s="153">
        <v>5.8999999999999997E-2</v>
      </c>
      <c r="O486" s="72" t="s">
        <v>843</v>
      </c>
      <c r="P486" s="181" t="s">
        <v>844</v>
      </c>
    </row>
    <row r="487" spans="1:16" x14ac:dyDescent="0.2">
      <c r="A487" s="72" t="s">
        <v>821</v>
      </c>
      <c r="B487" s="72" t="s">
        <v>45</v>
      </c>
      <c r="C487" s="72" t="s">
        <v>154</v>
      </c>
      <c r="D487" s="72" t="s">
        <v>352</v>
      </c>
      <c r="E487" s="72">
        <v>4</v>
      </c>
      <c r="F487" s="72" t="s">
        <v>834</v>
      </c>
      <c r="G487" s="70">
        <v>13335</v>
      </c>
      <c r="H487" s="70">
        <v>12746</v>
      </c>
      <c r="I487" s="70">
        <v>589</v>
      </c>
      <c r="J487" s="153">
        <v>4.6199999999999998E-2</v>
      </c>
      <c r="K487" s="70">
        <v>53340</v>
      </c>
      <c r="L487" s="70">
        <v>50984</v>
      </c>
      <c r="M487" s="70">
        <v>2356</v>
      </c>
      <c r="N487" s="153">
        <v>4.4200000000000003E-2</v>
      </c>
      <c r="O487" s="72" t="s">
        <v>843</v>
      </c>
      <c r="P487" s="181" t="s">
        <v>844</v>
      </c>
    </row>
    <row r="488" spans="1:16" x14ac:dyDescent="0.2">
      <c r="A488" s="72" t="s">
        <v>821</v>
      </c>
      <c r="B488" s="72" t="s">
        <v>150</v>
      </c>
      <c r="C488" s="72" t="s">
        <v>154</v>
      </c>
      <c r="D488" s="72" t="s">
        <v>352</v>
      </c>
      <c r="E488" s="72">
        <v>2</v>
      </c>
      <c r="F488" s="72" t="s">
        <v>834</v>
      </c>
      <c r="G488" s="70">
        <v>10315</v>
      </c>
      <c r="H488" s="70">
        <v>9925</v>
      </c>
      <c r="I488" s="70">
        <v>390</v>
      </c>
      <c r="J488" s="153">
        <v>3.9300000000000002E-2</v>
      </c>
      <c r="K488" s="70">
        <v>20630</v>
      </c>
      <c r="L488" s="70">
        <v>19850</v>
      </c>
      <c r="M488" s="70">
        <v>780</v>
      </c>
      <c r="N488" s="153">
        <v>3.78E-2</v>
      </c>
      <c r="O488" s="72" t="s">
        <v>843</v>
      </c>
      <c r="P488" s="181" t="s">
        <v>844</v>
      </c>
    </row>
    <row r="489" spans="1:16" x14ac:dyDescent="0.2">
      <c r="A489" s="72" t="s">
        <v>821</v>
      </c>
      <c r="B489" s="72" t="s">
        <v>87</v>
      </c>
      <c r="C489" s="72" t="s">
        <v>154</v>
      </c>
      <c r="D489" s="72" t="s">
        <v>352</v>
      </c>
      <c r="E489" s="72">
        <v>2</v>
      </c>
      <c r="F489" s="72" t="s">
        <v>834</v>
      </c>
      <c r="G489" s="70">
        <v>21485</v>
      </c>
      <c r="H489" s="70">
        <v>20440</v>
      </c>
      <c r="I489" s="70">
        <v>1045</v>
      </c>
      <c r="J489" s="153">
        <v>5.11E-2</v>
      </c>
      <c r="K489" s="70">
        <v>42970</v>
      </c>
      <c r="L489" s="70">
        <v>40880</v>
      </c>
      <c r="M489" s="70">
        <v>2090</v>
      </c>
      <c r="N489" s="153">
        <v>4.8599999999999997E-2</v>
      </c>
      <c r="O489" s="72" t="s">
        <v>843</v>
      </c>
      <c r="P489" s="181" t="s">
        <v>844</v>
      </c>
    </row>
    <row r="490" spans="1:16" x14ac:dyDescent="0.2">
      <c r="A490" s="72" t="s">
        <v>821</v>
      </c>
      <c r="B490" s="72" t="s">
        <v>22</v>
      </c>
      <c r="C490" s="72" t="s">
        <v>154</v>
      </c>
      <c r="D490" s="72" t="s">
        <v>352</v>
      </c>
      <c r="E490" s="72">
        <v>1</v>
      </c>
      <c r="F490" s="72" t="s">
        <v>834</v>
      </c>
      <c r="G490" s="70">
        <v>9200</v>
      </c>
      <c r="H490" s="70">
        <v>8657</v>
      </c>
      <c r="I490" s="70">
        <v>543</v>
      </c>
      <c r="J490" s="153">
        <v>6.2700000000000006E-2</v>
      </c>
      <c r="K490" s="70">
        <v>9200</v>
      </c>
      <c r="L490" s="70">
        <v>8657</v>
      </c>
      <c r="M490" s="70">
        <v>543</v>
      </c>
      <c r="N490" s="153">
        <v>5.8999999999999997E-2</v>
      </c>
      <c r="O490" s="72" t="s">
        <v>843</v>
      </c>
      <c r="P490" s="181" t="s">
        <v>844</v>
      </c>
    </row>
    <row r="491" spans="1:16" x14ac:dyDescent="0.2">
      <c r="A491" s="72" t="s">
        <v>821</v>
      </c>
      <c r="B491" s="72" t="s">
        <v>44</v>
      </c>
      <c r="C491" s="72" t="s">
        <v>154</v>
      </c>
      <c r="D491" s="72" t="s">
        <v>352</v>
      </c>
      <c r="E491" s="72">
        <v>1</v>
      </c>
      <c r="F491" s="72" t="s">
        <v>834</v>
      </c>
      <c r="G491" s="70">
        <v>9200</v>
      </c>
      <c r="H491" s="70">
        <v>8990</v>
      </c>
      <c r="I491" s="70">
        <v>210</v>
      </c>
      <c r="J491" s="153">
        <v>2.3400000000000001E-2</v>
      </c>
      <c r="K491" s="70">
        <v>9200</v>
      </c>
      <c r="L491" s="70">
        <v>8990</v>
      </c>
      <c r="M491" s="70">
        <v>210</v>
      </c>
      <c r="N491" s="153">
        <v>2.2800000000000001E-2</v>
      </c>
      <c r="O491" s="72" t="s">
        <v>843</v>
      </c>
      <c r="P491" s="181" t="s">
        <v>844</v>
      </c>
    </row>
    <row r="492" spans="1:16" x14ac:dyDescent="0.2">
      <c r="A492" s="72" t="s">
        <v>821</v>
      </c>
      <c r="B492" s="72" t="s">
        <v>31</v>
      </c>
      <c r="C492" s="72" t="s">
        <v>29</v>
      </c>
      <c r="D492" s="72" t="s">
        <v>355</v>
      </c>
      <c r="E492" s="72">
        <v>3</v>
      </c>
      <c r="F492" s="72" t="s">
        <v>834</v>
      </c>
      <c r="G492" s="70">
        <v>17100</v>
      </c>
      <c r="H492" s="70">
        <v>17100</v>
      </c>
      <c r="I492" s="70">
        <v>0</v>
      </c>
      <c r="J492" s="153">
        <v>0</v>
      </c>
      <c r="K492" s="70">
        <v>51300</v>
      </c>
      <c r="L492" s="70">
        <v>51300</v>
      </c>
      <c r="M492" s="70">
        <v>0</v>
      </c>
      <c r="N492" s="153">
        <v>0</v>
      </c>
      <c r="O492" s="72" t="s">
        <v>843</v>
      </c>
      <c r="P492" s="72" t="s">
        <v>846</v>
      </c>
    </row>
    <row r="493" spans="1:16" x14ac:dyDescent="0.2">
      <c r="A493" s="72" t="s">
        <v>821</v>
      </c>
      <c r="B493" s="72" t="s">
        <v>34</v>
      </c>
      <c r="C493" s="72" t="s">
        <v>29</v>
      </c>
      <c r="D493" s="72" t="s">
        <v>355</v>
      </c>
      <c r="E493" s="72">
        <v>1</v>
      </c>
      <c r="F493" s="72" t="s">
        <v>834</v>
      </c>
      <c r="G493" s="70">
        <v>21695</v>
      </c>
      <c r="H493" s="70">
        <v>21595</v>
      </c>
      <c r="I493" s="70">
        <v>100</v>
      </c>
      <c r="J493" s="153">
        <v>4.5999999999999999E-3</v>
      </c>
      <c r="K493" s="70">
        <v>21695</v>
      </c>
      <c r="L493" s="70">
        <v>21595</v>
      </c>
      <c r="M493" s="70">
        <v>100</v>
      </c>
      <c r="N493" s="153">
        <v>4.5999999999999999E-3</v>
      </c>
      <c r="O493" s="72" t="s">
        <v>843</v>
      </c>
      <c r="P493" s="181" t="s">
        <v>844</v>
      </c>
    </row>
    <row r="494" spans="1:16" x14ac:dyDescent="0.2">
      <c r="A494" s="72" t="s">
        <v>821</v>
      </c>
      <c r="B494" s="72" t="s">
        <v>32</v>
      </c>
      <c r="C494" s="72" t="s">
        <v>29</v>
      </c>
      <c r="D494" s="72" t="s">
        <v>355</v>
      </c>
      <c r="E494" s="72">
        <v>1</v>
      </c>
      <c r="F494" s="72" t="s">
        <v>834</v>
      </c>
      <c r="G494" s="70">
        <v>16145</v>
      </c>
      <c r="H494" s="70">
        <v>15247</v>
      </c>
      <c r="I494" s="70">
        <v>898</v>
      </c>
      <c r="J494" s="153">
        <v>5.8900000000000001E-2</v>
      </c>
      <c r="K494" s="70">
        <v>16145</v>
      </c>
      <c r="L494" s="70">
        <v>15247</v>
      </c>
      <c r="M494" s="70">
        <v>898</v>
      </c>
      <c r="N494" s="153">
        <v>5.5599999999999997E-2</v>
      </c>
      <c r="O494" s="72" t="s">
        <v>843</v>
      </c>
      <c r="P494" s="181" t="s">
        <v>844</v>
      </c>
    </row>
    <row r="495" spans="1:16" x14ac:dyDescent="0.2">
      <c r="A495" s="72" t="s">
        <v>821</v>
      </c>
      <c r="B495" s="72" t="s">
        <v>44</v>
      </c>
      <c r="C495" s="72" t="s">
        <v>29</v>
      </c>
      <c r="D495" s="72" t="s">
        <v>357</v>
      </c>
      <c r="E495" s="72">
        <v>11</v>
      </c>
      <c r="F495" s="72" t="s">
        <v>834</v>
      </c>
      <c r="G495" s="70">
        <v>9200</v>
      </c>
      <c r="H495" s="70">
        <v>8990</v>
      </c>
      <c r="I495" s="70">
        <v>210</v>
      </c>
      <c r="J495" s="153">
        <v>2.3400000000000001E-2</v>
      </c>
      <c r="K495" s="70">
        <v>101200</v>
      </c>
      <c r="L495" s="70">
        <v>98890</v>
      </c>
      <c r="M495" s="70">
        <v>2310</v>
      </c>
      <c r="N495" s="153">
        <v>2.2800000000000001E-2</v>
      </c>
      <c r="O495" s="72" t="s">
        <v>843</v>
      </c>
      <c r="P495" s="181" t="s">
        <v>844</v>
      </c>
    </row>
    <row r="496" spans="1:16" x14ac:dyDescent="0.2">
      <c r="A496" s="72" t="s">
        <v>821</v>
      </c>
      <c r="B496" s="72" t="s">
        <v>22</v>
      </c>
      <c r="C496" s="72" t="s">
        <v>29</v>
      </c>
      <c r="D496" s="72" t="s">
        <v>357</v>
      </c>
      <c r="E496" s="72">
        <v>2</v>
      </c>
      <c r="F496" s="72" t="s">
        <v>834</v>
      </c>
      <c r="G496" s="70">
        <v>8800</v>
      </c>
      <c r="H496" s="70">
        <v>8657</v>
      </c>
      <c r="I496" s="70">
        <v>143</v>
      </c>
      <c r="J496" s="153">
        <v>1.6500000000000001E-2</v>
      </c>
      <c r="K496" s="70">
        <v>17600</v>
      </c>
      <c r="L496" s="70">
        <v>17314</v>
      </c>
      <c r="M496" s="70">
        <v>286</v>
      </c>
      <c r="N496" s="153">
        <v>1.6299999999999999E-2</v>
      </c>
      <c r="O496" s="72" t="s">
        <v>843</v>
      </c>
      <c r="P496" s="181" t="s">
        <v>844</v>
      </c>
    </row>
    <row r="497" spans="1:16" x14ac:dyDescent="0.2">
      <c r="A497" s="72" t="s">
        <v>821</v>
      </c>
      <c r="B497" s="72" t="s">
        <v>65</v>
      </c>
      <c r="C497" s="72" t="s">
        <v>29</v>
      </c>
      <c r="D497" s="72" t="s">
        <v>357</v>
      </c>
      <c r="E497" s="72">
        <v>2</v>
      </c>
      <c r="F497" s="72" t="s">
        <v>834</v>
      </c>
      <c r="G497" s="70">
        <v>11910</v>
      </c>
      <c r="H497" s="70">
        <v>11315</v>
      </c>
      <c r="I497" s="70">
        <v>595</v>
      </c>
      <c r="J497" s="153">
        <v>5.2600000000000001E-2</v>
      </c>
      <c r="K497" s="70">
        <v>23820</v>
      </c>
      <c r="L497" s="70">
        <v>22630</v>
      </c>
      <c r="M497" s="70">
        <v>1190</v>
      </c>
      <c r="N497" s="153">
        <v>0.05</v>
      </c>
      <c r="O497" s="72" t="s">
        <v>843</v>
      </c>
      <c r="P497" s="181" t="s">
        <v>844</v>
      </c>
    </row>
    <row r="498" spans="1:16" x14ac:dyDescent="0.2">
      <c r="A498" s="72" t="s">
        <v>821</v>
      </c>
      <c r="B498" s="72" t="s">
        <v>113</v>
      </c>
      <c r="C498" s="72" t="s">
        <v>29</v>
      </c>
      <c r="D498" s="72" t="s">
        <v>357</v>
      </c>
      <c r="E498" s="72">
        <v>1</v>
      </c>
      <c r="F498" s="72" t="s">
        <v>834</v>
      </c>
      <c r="G498" s="70">
        <v>14575</v>
      </c>
      <c r="H498" s="70">
        <v>14475</v>
      </c>
      <c r="I498" s="70">
        <v>100</v>
      </c>
      <c r="J498" s="153">
        <v>6.8999999999999999E-3</v>
      </c>
      <c r="K498" s="70">
        <v>14575</v>
      </c>
      <c r="L498" s="70">
        <v>14475</v>
      </c>
      <c r="M498" s="70">
        <v>100</v>
      </c>
      <c r="N498" s="153">
        <v>6.8999999999999999E-3</v>
      </c>
      <c r="O498" s="72" t="s">
        <v>843</v>
      </c>
      <c r="P498" s="181" t="s">
        <v>844</v>
      </c>
    </row>
    <row r="499" spans="1:16" x14ac:dyDescent="0.2">
      <c r="A499" s="72" t="s">
        <v>821</v>
      </c>
      <c r="B499" s="72" t="s">
        <v>24</v>
      </c>
      <c r="C499" s="72" t="s">
        <v>29</v>
      </c>
      <c r="D499" s="72" t="s">
        <v>357</v>
      </c>
      <c r="E499" s="72">
        <v>80</v>
      </c>
      <c r="F499" s="72" t="s">
        <v>835</v>
      </c>
      <c r="G499" s="70">
        <v>5000</v>
      </c>
      <c r="H499" s="70">
        <v>5200</v>
      </c>
      <c r="I499" s="70">
        <v>-200</v>
      </c>
      <c r="J499" s="153">
        <v>-3.85E-2</v>
      </c>
      <c r="K499" s="70">
        <v>400000</v>
      </c>
      <c r="L499" s="70">
        <v>416000</v>
      </c>
      <c r="M499" s="70">
        <v>-16000</v>
      </c>
      <c r="N499" s="153">
        <v>-0.04</v>
      </c>
      <c r="O499" s="72" t="s">
        <v>843</v>
      </c>
      <c r="P499" s="182" t="s">
        <v>845</v>
      </c>
    </row>
    <row r="500" spans="1:16" x14ac:dyDescent="0.2">
      <c r="A500" s="72" t="s">
        <v>821</v>
      </c>
      <c r="B500" s="72" t="s">
        <v>28</v>
      </c>
      <c r="C500" s="72" t="s">
        <v>29</v>
      </c>
      <c r="D500" s="72" t="s">
        <v>357</v>
      </c>
      <c r="E500" s="72">
        <v>10</v>
      </c>
      <c r="F500" s="72" t="s">
        <v>834</v>
      </c>
      <c r="G500" s="70">
        <v>13200</v>
      </c>
      <c r="H500" s="70">
        <v>13501</v>
      </c>
      <c r="I500" s="70">
        <v>-301</v>
      </c>
      <c r="J500" s="153">
        <v>-2.23E-2</v>
      </c>
      <c r="K500" s="70">
        <v>132000</v>
      </c>
      <c r="L500" s="70">
        <v>135010</v>
      </c>
      <c r="M500" s="70">
        <v>-3010</v>
      </c>
      <c r="N500" s="153">
        <v>-2.2800000000000001E-2</v>
      </c>
      <c r="O500" s="72" t="s">
        <v>843</v>
      </c>
      <c r="P500" s="182" t="s">
        <v>845</v>
      </c>
    </row>
    <row r="501" spans="1:16" x14ac:dyDescent="0.2">
      <c r="A501" s="72" t="s">
        <v>821</v>
      </c>
      <c r="B501" s="72" t="s">
        <v>31</v>
      </c>
      <c r="C501" s="72" t="s">
        <v>29</v>
      </c>
      <c r="D501" s="72" t="s">
        <v>357</v>
      </c>
      <c r="E501" s="72">
        <v>10</v>
      </c>
      <c r="F501" s="72" t="s">
        <v>834</v>
      </c>
      <c r="G501" s="70">
        <v>17100</v>
      </c>
      <c r="H501" s="70">
        <v>17100</v>
      </c>
      <c r="I501" s="70">
        <v>0</v>
      </c>
      <c r="J501" s="153">
        <v>0</v>
      </c>
      <c r="K501" s="70">
        <v>171000</v>
      </c>
      <c r="L501" s="70">
        <v>171000</v>
      </c>
      <c r="M501" s="70">
        <v>0</v>
      </c>
      <c r="N501" s="153">
        <v>0</v>
      </c>
      <c r="O501" s="72" t="s">
        <v>843</v>
      </c>
      <c r="P501" s="72" t="s">
        <v>846</v>
      </c>
    </row>
    <row r="502" spans="1:16" x14ac:dyDescent="0.2">
      <c r="A502" s="72" t="s">
        <v>821</v>
      </c>
      <c r="B502" s="72" t="s">
        <v>61</v>
      </c>
      <c r="C502" s="72" t="s">
        <v>78</v>
      </c>
      <c r="D502" s="72" t="s">
        <v>363</v>
      </c>
      <c r="E502" s="72">
        <v>1</v>
      </c>
      <c r="F502" s="72" t="s">
        <v>834</v>
      </c>
      <c r="G502" s="70">
        <v>12885</v>
      </c>
      <c r="H502" s="70">
        <v>12120</v>
      </c>
      <c r="I502" s="70">
        <v>765</v>
      </c>
      <c r="J502" s="153">
        <v>6.3100000000000003E-2</v>
      </c>
      <c r="K502" s="70">
        <v>12885</v>
      </c>
      <c r="L502" s="70">
        <v>12120</v>
      </c>
      <c r="M502" s="70">
        <v>765</v>
      </c>
      <c r="N502" s="153">
        <v>5.9400000000000001E-2</v>
      </c>
      <c r="O502" s="72" t="s">
        <v>843</v>
      </c>
      <c r="P502" s="181" t="s">
        <v>844</v>
      </c>
    </row>
    <row r="503" spans="1:16" x14ac:dyDescent="0.2">
      <c r="A503" s="72" t="s">
        <v>821</v>
      </c>
      <c r="B503" s="72" t="s">
        <v>24</v>
      </c>
      <c r="C503" s="72" t="s">
        <v>15</v>
      </c>
      <c r="D503" s="72" t="s">
        <v>364</v>
      </c>
      <c r="E503" s="72">
        <v>2</v>
      </c>
      <c r="F503" s="72" t="s">
        <v>834</v>
      </c>
      <c r="G503" s="70">
        <v>5300</v>
      </c>
      <c r="H503" s="70">
        <v>5200</v>
      </c>
      <c r="I503" s="70">
        <v>100</v>
      </c>
      <c r="J503" s="153">
        <v>1.9199999999999998E-2</v>
      </c>
      <c r="K503" s="70">
        <v>10600</v>
      </c>
      <c r="L503" s="70">
        <v>10400</v>
      </c>
      <c r="M503" s="70">
        <v>200</v>
      </c>
      <c r="N503" s="153">
        <v>1.89E-2</v>
      </c>
      <c r="O503" s="72" t="s">
        <v>843</v>
      </c>
      <c r="P503" s="181" t="s">
        <v>844</v>
      </c>
    </row>
    <row r="504" spans="1:16" x14ac:dyDescent="0.2">
      <c r="A504" s="72" t="s">
        <v>821</v>
      </c>
      <c r="B504" s="72" t="s">
        <v>45</v>
      </c>
      <c r="C504" s="72" t="s">
        <v>139</v>
      </c>
      <c r="D504" s="72" t="s">
        <v>365</v>
      </c>
      <c r="E504" s="72">
        <v>51</v>
      </c>
      <c r="F504" s="72" t="s">
        <v>835</v>
      </c>
      <c r="G504" s="70">
        <v>12930</v>
      </c>
      <c r="H504" s="70">
        <v>12746</v>
      </c>
      <c r="I504" s="70">
        <v>184</v>
      </c>
      <c r="J504" s="153">
        <v>1.44E-2</v>
      </c>
      <c r="K504" s="70">
        <v>659430</v>
      </c>
      <c r="L504" s="70">
        <v>650046</v>
      </c>
      <c r="M504" s="70">
        <v>9384</v>
      </c>
      <c r="N504" s="153">
        <v>1.4200000000000001E-2</v>
      </c>
      <c r="O504" s="72" t="s">
        <v>843</v>
      </c>
      <c r="P504" s="181" t="s">
        <v>844</v>
      </c>
    </row>
    <row r="505" spans="1:16" x14ac:dyDescent="0.2">
      <c r="A505" s="72" t="s">
        <v>821</v>
      </c>
      <c r="B505" s="72" t="s">
        <v>22</v>
      </c>
      <c r="C505" s="72" t="s">
        <v>139</v>
      </c>
      <c r="D505" s="72" t="s">
        <v>365</v>
      </c>
      <c r="E505" s="72">
        <v>165</v>
      </c>
      <c r="F505" s="72" t="s">
        <v>835</v>
      </c>
      <c r="G505" s="70">
        <v>8600</v>
      </c>
      <c r="H505" s="70">
        <v>8657</v>
      </c>
      <c r="I505" s="70">
        <v>-57</v>
      </c>
      <c r="J505" s="153">
        <v>-6.6E-3</v>
      </c>
      <c r="K505" s="70">
        <v>1419000</v>
      </c>
      <c r="L505" s="70">
        <v>1428405</v>
      </c>
      <c r="M505" s="70">
        <v>-9405</v>
      </c>
      <c r="N505" s="153">
        <v>-6.6E-3</v>
      </c>
      <c r="O505" s="72" t="s">
        <v>843</v>
      </c>
      <c r="P505" s="182" t="s">
        <v>845</v>
      </c>
    </row>
    <row r="506" spans="1:16" x14ac:dyDescent="0.2">
      <c r="A506" s="72" t="s">
        <v>821</v>
      </c>
      <c r="B506" s="72" t="s">
        <v>101</v>
      </c>
      <c r="C506" s="72" t="s">
        <v>139</v>
      </c>
      <c r="D506" s="72" t="s">
        <v>365</v>
      </c>
      <c r="E506" s="72">
        <v>20</v>
      </c>
      <c r="F506" s="72" t="s">
        <v>834</v>
      </c>
      <c r="G506" s="70">
        <v>13020</v>
      </c>
      <c r="H506" s="70">
        <v>12920</v>
      </c>
      <c r="I506" s="70">
        <v>100</v>
      </c>
      <c r="J506" s="153">
        <v>7.7000000000000002E-3</v>
      </c>
      <c r="K506" s="70">
        <v>260400</v>
      </c>
      <c r="L506" s="70">
        <v>258400</v>
      </c>
      <c r="M506" s="70">
        <v>2000</v>
      </c>
      <c r="N506" s="153">
        <v>7.7000000000000002E-3</v>
      </c>
      <c r="O506" s="72" t="s">
        <v>843</v>
      </c>
      <c r="P506" s="181" t="s">
        <v>844</v>
      </c>
    </row>
    <row r="507" spans="1:16" x14ac:dyDescent="0.2">
      <c r="A507" s="72" t="s">
        <v>821</v>
      </c>
      <c r="B507" s="72" t="s">
        <v>93</v>
      </c>
      <c r="C507" s="72" t="s">
        <v>139</v>
      </c>
      <c r="D507" s="72" t="s">
        <v>365</v>
      </c>
      <c r="E507" s="72">
        <v>15</v>
      </c>
      <c r="F507" s="72" t="s">
        <v>834</v>
      </c>
      <c r="G507" s="70">
        <v>11330</v>
      </c>
      <c r="H507" s="70">
        <v>11130</v>
      </c>
      <c r="I507" s="70">
        <v>200</v>
      </c>
      <c r="J507" s="153">
        <v>1.7999999999999999E-2</v>
      </c>
      <c r="K507" s="70">
        <v>169950</v>
      </c>
      <c r="L507" s="70">
        <v>166950</v>
      </c>
      <c r="M507" s="70">
        <v>3000</v>
      </c>
      <c r="N507" s="153">
        <v>1.77E-2</v>
      </c>
      <c r="O507" s="72" t="s">
        <v>843</v>
      </c>
      <c r="P507" s="181" t="s">
        <v>844</v>
      </c>
    </row>
    <row r="508" spans="1:16" x14ac:dyDescent="0.2">
      <c r="A508" s="72" t="s">
        <v>821</v>
      </c>
      <c r="B508" s="72" t="s">
        <v>65</v>
      </c>
      <c r="C508" s="72" t="s">
        <v>139</v>
      </c>
      <c r="D508" s="72" t="s">
        <v>365</v>
      </c>
      <c r="E508" s="72">
        <v>11</v>
      </c>
      <c r="F508" s="72" t="s">
        <v>834</v>
      </c>
      <c r="G508" s="70">
        <v>11415</v>
      </c>
      <c r="H508" s="70">
        <v>11315</v>
      </c>
      <c r="I508" s="70">
        <v>100</v>
      </c>
      <c r="J508" s="153">
        <v>8.8000000000000005E-3</v>
      </c>
      <c r="K508" s="70">
        <v>125565</v>
      </c>
      <c r="L508" s="70">
        <v>124465</v>
      </c>
      <c r="M508" s="70">
        <v>1100</v>
      </c>
      <c r="N508" s="153">
        <v>8.8000000000000005E-3</v>
      </c>
      <c r="O508" s="72" t="s">
        <v>843</v>
      </c>
      <c r="P508" s="181" t="s">
        <v>844</v>
      </c>
    </row>
    <row r="509" spans="1:16" x14ac:dyDescent="0.2">
      <c r="A509" s="72" t="s">
        <v>821</v>
      </c>
      <c r="B509" s="72" t="s">
        <v>113</v>
      </c>
      <c r="C509" s="72" t="s">
        <v>139</v>
      </c>
      <c r="D509" s="72" t="s">
        <v>365</v>
      </c>
      <c r="E509" s="72">
        <v>5</v>
      </c>
      <c r="F509" s="72" t="s">
        <v>834</v>
      </c>
      <c r="G509" s="70">
        <v>14675</v>
      </c>
      <c r="H509" s="70">
        <v>14475</v>
      </c>
      <c r="I509" s="70">
        <v>200</v>
      </c>
      <c r="J509" s="153">
        <v>1.38E-2</v>
      </c>
      <c r="K509" s="70">
        <v>73375</v>
      </c>
      <c r="L509" s="70">
        <v>72375</v>
      </c>
      <c r="M509" s="70">
        <v>1000</v>
      </c>
      <c r="N509" s="153">
        <v>1.3599999999999999E-2</v>
      </c>
      <c r="O509" s="72" t="s">
        <v>843</v>
      </c>
      <c r="P509" s="181" t="s">
        <v>844</v>
      </c>
    </row>
    <row r="510" spans="1:16" x14ac:dyDescent="0.2">
      <c r="A510" s="72" t="s">
        <v>821</v>
      </c>
      <c r="B510" s="72" t="s">
        <v>87</v>
      </c>
      <c r="C510" s="72" t="s">
        <v>139</v>
      </c>
      <c r="D510" s="72" t="s">
        <v>365</v>
      </c>
      <c r="E510" s="72">
        <v>11</v>
      </c>
      <c r="F510" s="72" t="s">
        <v>834</v>
      </c>
      <c r="G510" s="70">
        <v>20540</v>
      </c>
      <c r="H510" s="70">
        <v>20440</v>
      </c>
      <c r="I510" s="70">
        <v>100</v>
      </c>
      <c r="J510" s="153">
        <v>4.8999999999999998E-3</v>
      </c>
      <c r="K510" s="70">
        <v>225940</v>
      </c>
      <c r="L510" s="70">
        <v>224840</v>
      </c>
      <c r="M510" s="70">
        <v>1100</v>
      </c>
      <c r="N510" s="153">
        <v>4.8999999999999998E-3</v>
      </c>
      <c r="O510" s="72" t="s">
        <v>843</v>
      </c>
      <c r="P510" s="181" t="s">
        <v>844</v>
      </c>
    </row>
    <row r="511" spans="1:16" x14ac:dyDescent="0.2">
      <c r="A511" s="72" t="s">
        <v>821</v>
      </c>
      <c r="B511" s="72" t="s">
        <v>150</v>
      </c>
      <c r="C511" s="72" t="s">
        <v>139</v>
      </c>
      <c r="D511" s="72" t="s">
        <v>365</v>
      </c>
      <c r="E511" s="72">
        <v>10</v>
      </c>
      <c r="F511" s="72" t="s">
        <v>834</v>
      </c>
      <c r="G511" s="70">
        <v>10125</v>
      </c>
      <c r="H511" s="70">
        <v>9925</v>
      </c>
      <c r="I511" s="70">
        <v>200</v>
      </c>
      <c r="J511" s="153">
        <v>2.0199999999999999E-2</v>
      </c>
      <c r="K511" s="70">
        <v>101250</v>
      </c>
      <c r="L511" s="70">
        <v>99250</v>
      </c>
      <c r="M511" s="70">
        <v>2000</v>
      </c>
      <c r="N511" s="153">
        <v>1.9800000000000002E-2</v>
      </c>
      <c r="O511" s="72" t="s">
        <v>843</v>
      </c>
      <c r="P511" s="181" t="s">
        <v>844</v>
      </c>
    </row>
    <row r="512" spans="1:16" x14ac:dyDescent="0.2">
      <c r="A512" s="72" t="s">
        <v>821</v>
      </c>
      <c r="B512" s="72" t="s">
        <v>21</v>
      </c>
      <c r="C512" s="72" t="s">
        <v>139</v>
      </c>
      <c r="D512" s="72" t="s">
        <v>365</v>
      </c>
      <c r="E512" s="72">
        <v>8</v>
      </c>
      <c r="F512" s="72" t="s">
        <v>834</v>
      </c>
      <c r="G512" s="70">
        <v>8300</v>
      </c>
      <c r="H512" s="70">
        <v>8118</v>
      </c>
      <c r="I512" s="70">
        <v>182</v>
      </c>
      <c r="J512" s="153">
        <v>2.24E-2</v>
      </c>
      <c r="K512" s="70">
        <v>66400</v>
      </c>
      <c r="L512" s="70">
        <v>64944</v>
      </c>
      <c r="M512" s="70">
        <v>1456</v>
      </c>
      <c r="N512" s="153">
        <v>2.1899999999999999E-2</v>
      </c>
      <c r="O512" s="72" t="s">
        <v>843</v>
      </c>
      <c r="P512" s="181" t="s">
        <v>844</v>
      </c>
    </row>
    <row r="513" spans="1:16" x14ac:dyDescent="0.2">
      <c r="A513" s="72" t="s">
        <v>821</v>
      </c>
      <c r="B513" s="72" t="s">
        <v>24</v>
      </c>
      <c r="C513" s="72" t="s">
        <v>139</v>
      </c>
      <c r="D513" s="72" t="s">
        <v>365</v>
      </c>
      <c r="E513" s="72">
        <v>5</v>
      </c>
      <c r="F513" s="72" t="s">
        <v>834</v>
      </c>
      <c r="G513" s="70">
        <v>5000</v>
      </c>
      <c r="H513" s="70">
        <v>5200</v>
      </c>
      <c r="I513" s="70">
        <v>-200</v>
      </c>
      <c r="J513" s="153">
        <v>-3.85E-2</v>
      </c>
      <c r="K513" s="70">
        <v>25000</v>
      </c>
      <c r="L513" s="70">
        <v>26000</v>
      </c>
      <c r="M513" s="70">
        <v>-1000</v>
      </c>
      <c r="N513" s="153">
        <v>-0.04</v>
      </c>
      <c r="O513" s="72" t="s">
        <v>843</v>
      </c>
      <c r="P513" s="182" t="s">
        <v>845</v>
      </c>
    </row>
    <row r="514" spans="1:16" x14ac:dyDescent="0.2">
      <c r="A514" s="72" t="s">
        <v>821</v>
      </c>
      <c r="B514" s="72" t="s">
        <v>27</v>
      </c>
      <c r="C514" s="72" t="s">
        <v>139</v>
      </c>
      <c r="D514" s="72" t="s">
        <v>365</v>
      </c>
      <c r="E514" s="72">
        <v>15</v>
      </c>
      <c r="F514" s="72" t="s">
        <v>834</v>
      </c>
      <c r="G514" s="70">
        <v>8020</v>
      </c>
      <c r="H514" s="70">
        <v>7685</v>
      </c>
      <c r="I514" s="70">
        <v>335</v>
      </c>
      <c r="J514" s="153">
        <v>4.36E-2</v>
      </c>
      <c r="K514" s="70">
        <v>120300</v>
      </c>
      <c r="L514" s="70">
        <v>115275</v>
      </c>
      <c r="M514" s="70">
        <v>5025</v>
      </c>
      <c r="N514" s="153">
        <v>4.1799999999999997E-2</v>
      </c>
      <c r="O514" s="72" t="s">
        <v>843</v>
      </c>
      <c r="P514" s="181" t="s">
        <v>844</v>
      </c>
    </row>
    <row r="515" spans="1:16" x14ac:dyDescent="0.2">
      <c r="A515" s="72" t="s">
        <v>821</v>
      </c>
      <c r="B515" s="72" t="s">
        <v>37</v>
      </c>
      <c r="C515" s="72" t="s">
        <v>139</v>
      </c>
      <c r="D515" s="72" t="s">
        <v>365</v>
      </c>
      <c r="E515" s="72">
        <v>30</v>
      </c>
      <c r="F515" s="72" t="s">
        <v>834</v>
      </c>
      <c r="G515" s="70">
        <v>8800</v>
      </c>
      <c r="H515" s="70">
        <v>8525</v>
      </c>
      <c r="I515" s="70">
        <v>275</v>
      </c>
      <c r="J515" s="153">
        <v>3.2300000000000002E-2</v>
      </c>
      <c r="K515" s="70">
        <v>264000</v>
      </c>
      <c r="L515" s="70">
        <v>255750</v>
      </c>
      <c r="M515" s="70">
        <v>8250</v>
      </c>
      <c r="N515" s="153">
        <v>3.1199999999999999E-2</v>
      </c>
      <c r="O515" s="72" t="s">
        <v>843</v>
      </c>
      <c r="P515" s="181" t="s">
        <v>844</v>
      </c>
    </row>
    <row r="516" spans="1:16" x14ac:dyDescent="0.2">
      <c r="A516" s="72" t="s">
        <v>821</v>
      </c>
      <c r="B516" s="72" t="s">
        <v>100</v>
      </c>
      <c r="C516" s="72" t="s">
        <v>139</v>
      </c>
      <c r="D516" s="72" t="s">
        <v>365</v>
      </c>
      <c r="E516" s="72">
        <v>1</v>
      </c>
      <c r="F516" s="72" t="s">
        <v>834</v>
      </c>
      <c r="G516" s="70">
        <v>11480</v>
      </c>
      <c r="H516" s="70">
        <v>10915</v>
      </c>
      <c r="I516" s="70">
        <v>565</v>
      </c>
      <c r="J516" s="153">
        <v>5.1799999999999999E-2</v>
      </c>
      <c r="K516" s="70">
        <v>11480</v>
      </c>
      <c r="L516" s="70">
        <v>10915</v>
      </c>
      <c r="M516" s="70">
        <v>565</v>
      </c>
      <c r="N516" s="153">
        <v>4.9200000000000001E-2</v>
      </c>
      <c r="O516" s="72" t="s">
        <v>843</v>
      </c>
      <c r="P516" s="181" t="s">
        <v>844</v>
      </c>
    </row>
    <row r="517" spans="1:16" x14ac:dyDescent="0.2">
      <c r="A517" s="72" t="s">
        <v>822</v>
      </c>
      <c r="B517" s="72" t="s">
        <v>24</v>
      </c>
      <c r="C517" s="72" t="s">
        <v>50</v>
      </c>
      <c r="D517" s="72" t="s">
        <v>373</v>
      </c>
      <c r="E517" s="72">
        <v>120</v>
      </c>
      <c r="F517" s="72" t="s">
        <v>835</v>
      </c>
      <c r="G517" s="70">
        <v>5000</v>
      </c>
      <c r="H517" s="70">
        <v>5200</v>
      </c>
      <c r="I517" s="70">
        <v>-200</v>
      </c>
      <c r="J517" s="153">
        <v>-3.85E-2</v>
      </c>
      <c r="K517" s="70">
        <v>600000</v>
      </c>
      <c r="L517" s="70">
        <v>624000</v>
      </c>
      <c r="M517" s="70">
        <v>-24000</v>
      </c>
      <c r="N517" s="153">
        <v>-0.04</v>
      </c>
      <c r="O517" s="72" t="s">
        <v>843</v>
      </c>
      <c r="P517" s="182" t="s">
        <v>845</v>
      </c>
    </row>
    <row r="518" spans="1:16" x14ac:dyDescent="0.2">
      <c r="A518" s="72" t="s">
        <v>822</v>
      </c>
      <c r="B518" s="72" t="s">
        <v>44</v>
      </c>
      <c r="C518" s="72" t="s">
        <v>50</v>
      </c>
      <c r="D518" s="72" t="s">
        <v>375</v>
      </c>
      <c r="E518" s="72">
        <v>10</v>
      </c>
      <c r="F518" s="72" t="s">
        <v>834</v>
      </c>
      <c r="G518" s="70">
        <v>9200</v>
      </c>
      <c r="H518" s="70">
        <v>8990</v>
      </c>
      <c r="I518" s="70">
        <v>210</v>
      </c>
      <c r="J518" s="153">
        <v>2.3400000000000001E-2</v>
      </c>
      <c r="K518" s="70">
        <v>92000</v>
      </c>
      <c r="L518" s="70">
        <v>89900</v>
      </c>
      <c r="M518" s="70">
        <v>2100</v>
      </c>
      <c r="N518" s="153">
        <v>2.2800000000000001E-2</v>
      </c>
      <c r="O518" s="72" t="s">
        <v>843</v>
      </c>
      <c r="P518" s="181" t="s">
        <v>844</v>
      </c>
    </row>
    <row r="519" spans="1:16" x14ac:dyDescent="0.2">
      <c r="A519" s="72" t="s">
        <v>822</v>
      </c>
      <c r="B519" s="72" t="s">
        <v>87</v>
      </c>
      <c r="C519" s="72" t="s">
        <v>50</v>
      </c>
      <c r="D519" s="72" t="s">
        <v>375</v>
      </c>
      <c r="E519" s="72">
        <v>5</v>
      </c>
      <c r="F519" s="72" t="s">
        <v>834</v>
      </c>
      <c r="G519" s="70">
        <v>21400</v>
      </c>
      <c r="H519" s="70">
        <v>20440</v>
      </c>
      <c r="I519" s="70">
        <v>960</v>
      </c>
      <c r="J519" s="153">
        <v>4.7E-2</v>
      </c>
      <c r="K519" s="70">
        <v>107000</v>
      </c>
      <c r="L519" s="70">
        <v>102200</v>
      </c>
      <c r="M519" s="70">
        <v>4800</v>
      </c>
      <c r="N519" s="153">
        <v>4.4900000000000002E-2</v>
      </c>
      <c r="O519" s="72" t="s">
        <v>843</v>
      </c>
      <c r="P519" s="181" t="s">
        <v>844</v>
      </c>
    </row>
    <row r="520" spans="1:16" x14ac:dyDescent="0.2">
      <c r="A520" s="72" t="s">
        <v>822</v>
      </c>
      <c r="B520" s="72" t="s">
        <v>37</v>
      </c>
      <c r="C520" s="72" t="s">
        <v>50</v>
      </c>
      <c r="D520" s="72" t="s">
        <v>375</v>
      </c>
      <c r="E520" s="72">
        <v>5</v>
      </c>
      <c r="F520" s="72" t="s">
        <v>834</v>
      </c>
      <c r="G520" s="70">
        <v>9200</v>
      </c>
      <c r="H520" s="70">
        <v>8525</v>
      </c>
      <c r="I520" s="70">
        <v>675</v>
      </c>
      <c r="J520" s="153">
        <v>7.9200000000000007E-2</v>
      </c>
      <c r="K520" s="70">
        <v>46000</v>
      </c>
      <c r="L520" s="70">
        <v>42625</v>
      </c>
      <c r="M520" s="70">
        <v>3375</v>
      </c>
      <c r="N520" s="153">
        <v>7.3400000000000007E-2</v>
      </c>
      <c r="O520" s="72" t="s">
        <v>843</v>
      </c>
      <c r="P520" s="181" t="s">
        <v>844</v>
      </c>
    </row>
    <row r="521" spans="1:16" x14ac:dyDescent="0.2">
      <c r="A521" s="72" t="s">
        <v>822</v>
      </c>
      <c r="B521" s="72" t="s">
        <v>69</v>
      </c>
      <c r="C521" s="72" t="s">
        <v>50</v>
      </c>
      <c r="D521" s="72" t="s">
        <v>375</v>
      </c>
      <c r="E521" s="72">
        <v>2</v>
      </c>
      <c r="F521" s="72" t="s">
        <v>834</v>
      </c>
      <c r="G521" s="70">
        <v>14450</v>
      </c>
      <c r="H521" s="70">
        <v>13780</v>
      </c>
      <c r="I521" s="70">
        <v>670</v>
      </c>
      <c r="J521" s="153">
        <v>4.8599999999999997E-2</v>
      </c>
      <c r="K521" s="70">
        <v>28900</v>
      </c>
      <c r="L521" s="70">
        <v>27560</v>
      </c>
      <c r="M521" s="70">
        <v>1340</v>
      </c>
      <c r="N521" s="153">
        <v>4.6399999999999997E-2</v>
      </c>
      <c r="O521" s="72" t="s">
        <v>843</v>
      </c>
      <c r="P521" s="181" t="s">
        <v>844</v>
      </c>
    </row>
    <row r="522" spans="1:16" x14ac:dyDescent="0.2">
      <c r="A522" s="72" t="s">
        <v>822</v>
      </c>
      <c r="B522" s="72" t="s">
        <v>150</v>
      </c>
      <c r="C522" s="72" t="s">
        <v>50</v>
      </c>
      <c r="D522" s="72" t="s">
        <v>375</v>
      </c>
      <c r="E522" s="72">
        <v>1</v>
      </c>
      <c r="F522" s="72" t="s">
        <v>834</v>
      </c>
      <c r="G522" s="70">
        <v>10315</v>
      </c>
      <c r="H522" s="70">
        <v>9925</v>
      </c>
      <c r="I522" s="70">
        <v>390</v>
      </c>
      <c r="J522" s="153">
        <v>3.9300000000000002E-2</v>
      </c>
      <c r="K522" s="70">
        <v>10315</v>
      </c>
      <c r="L522" s="70">
        <v>9925</v>
      </c>
      <c r="M522" s="70">
        <v>390</v>
      </c>
      <c r="N522" s="153">
        <v>3.78E-2</v>
      </c>
      <c r="O522" s="72" t="s">
        <v>843</v>
      </c>
      <c r="P522" s="181" t="s">
        <v>844</v>
      </c>
    </row>
    <row r="523" spans="1:16" x14ac:dyDescent="0.2">
      <c r="A523" s="72" t="s">
        <v>822</v>
      </c>
      <c r="B523" s="72" t="s">
        <v>22</v>
      </c>
      <c r="C523" s="72" t="s">
        <v>29</v>
      </c>
      <c r="D523" s="72" t="s">
        <v>378</v>
      </c>
      <c r="E523" s="72">
        <v>18</v>
      </c>
      <c r="F523" s="72" t="s">
        <v>834</v>
      </c>
      <c r="G523" s="70">
        <v>8800</v>
      </c>
      <c r="H523" s="70">
        <v>8657</v>
      </c>
      <c r="I523" s="70">
        <v>143</v>
      </c>
      <c r="J523" s="153">
        <v>1.6500000000000001E-2</v>
      </c>
      <c r="K523" s="70">
        <v>158400</v>
      </c>
      <c r="L523" s="70">
        <v>155826</v>
      </c>
      <c r="M523" s="70">
        <v>2574</v>
      </c>
      <c r="N523" s="153">
        <v>1.6299999999999999E-2</v>
      </c>
      <c r="O523" s="72" t="s">
        <v>843</v>
      </c>
      <c r="P523" s="181" t="s">
        <v>844</v>
      </c>
    </row>
    <row r="524" spans="1:16" x14ac:dyDescent="0.2">
      <c r="A524" s="72" t="s">
        <v>822</v>
      </c>
      <c r="B524" s="72" t="s">
        <v>45</v>
      </c>
      <c r="C524" s="72" t="s">
        <v>29</v>
      </c>
      <c r="D524" s="72" t="s">
        <v>378</v>
      </c>
      <c r="E524" s="72">
        <v>4</v>
      </c>
      <c r="F524" s="72" t="s">
        <v>834</v>
      </c>
      <c r="G524" s="70">
        <v>13335</v>
      </c>
      <c r="H524" s="70">
        <v>12746</v>
      </c>
      <c r="I524" s="70">
        <v>589</v>
      </c>
      <c r="J524" s="153">
        <v>4.6199999999999998E-2</v>
      </c>
      <c r="K524" s="70">
        <v>53340</v>
      </c>
      <c r="L524" s="70">
        <v>50984</v>
      </c>
      <c r="M524" s="70">
        <v>2356</v>
      </c>
      <c r="N524" s="153">
        <v>4.4200000000000003E-2</v>
      </c>
      <c r="O524" s="72" t="s">
        <v>843</v>
      </c>
      <c r="P524" s="181" t="s">
        <v>844</v>
      </c>
    </row>
    <row r="525" spans="1:16" x14ac:dyDescent="0.2">
      <c r="A525" s="72" t="s">
        <v>822</v>
      </c>
      <c r="B525" s="72" t="s">
        <v>28</v>
      </c>
      <c r="C525" s="72" t="s">
        <v>29</v>
      </c>
      <c r="D525" s="72" t="s">
        <v>378</v>
      </c>
      <c r="E525" s="72">
        <v>3</v>
      </c>
      <c r="F525" s="72" t="s">
        <v>834</v>
      </c>
      <c r="G525" s="70">
        <v>13200</v>
      </c>
      <c r="H525" s="70">
        <v>13501</v>
      </c>
      <c r="I525" s="70">
        <v>-301</v>
      </c>
      <c r="J525" s="153">
        <v>-2.23E-2</v>
      </c>
      <c r="K525" s="70">
        <v>39600</v>
      </c>
      <c r="L525" s="70">
        <v>40503</v>
      </c>
      <c r="M525" s="70">
        <v>-903</v>
      </c>
      <c r="N525" s="153">
        <v>-2.2800000000000001E-2</v>
      </c>
      <c r="O525" s="72" t="s">
        <v>843</v>
      </c>
      <c r="P525" s="182" t="s">
        <v>845</v>
      </c>
    </row>
    <row r="526" spans="1:16" x14ac:dyDescent="0.2">
      <c r="A526" s="72" t="s">
        <v>822</v>
      </c>
      <c r="B526" s="72" t="s">
        <v>70</v>
      </c>
      <c r="C526" s="72" t="s">
        <v>29</v>
      </c>
      <c r="D526" s="72" t="s">
        <v>378</v>
      </c>
      <c r="E526" s="72">
        <v>2</v>
      </c>
      <c r="F526" s="72" t="s">
        <v>834</v>
      </c>
      <c r="G526" s="70">
        <v>13460</v>
      </c>
      <c r="H526" s="70">
        <v>12855</v>
      </c>
      <c r="I526" s="70">
        <v>605</v>
      </c>
      <c r="J526" s="153">
        <v>4.7100000000000003E-2</v>
      </c>
      <c r="K526" s="70">
        <v>26920</v>
      </c>
      <c r="L526" s="70">
        <v>25710</v>
      </c>
      <c r="M526" s="70">
        <v>1210</v>
      </c>
      <c r="N526" s="153">
        <v>4.4900000000000002E-2</v>
      </c>
      <c r="O526" s="72" t="s">
        <v>843</v>
      </c>
      <c r="P526" s="181" t="s">
        <v>844</v>
      </c>
    </row>
    <row r="527" spans="1:16" x14ac:dyDescent="0.2">
      <c r="A527" s="72" t="s">
        <v>822</v>
      </c>
      <c r="B527" s="72" t="s">
        <v>61</v>
      </c>
      <c r="C527" s="72" t="s">
        <v>29</v>
      </c>
      <c r="D527" s="72" t="s">
        <v>378</v>
      </c>
      <c r="E527" s="72">
        <v>1</v>
      </c>
      <c r="F527" s="72" t="s">
        <v>834</v>
      </c>
      <c r="G527" s="70">
        <v>12885</v>
      </c>
      <c r="H527" s="70">
        <v>12120</v>
      </c>
      <c r="I527" s="70">
        <v>765</v>
      </c>
      <c r="J527" s="153">
        <v>6.3100000000000003E-2</v>
      </c>
      <c r="K527" s="70">
        <v>12885</v>
      </c>
      <c r="L527" s="70">
        <v>12120</v>
      </c>
      <c r="M527" s="70">
        <v>765</v>
      </c>
      <c r="N527" s="153">
        <v>5.9400000000000001E-2</v>
      </c>
      <c r="O527" s="72" t="s">
        <v>843</v>
      </c>
      <c r="P527" s="181" t="s">
        <v>844</v>
      </c>
    </row>
    <row r="528" spans="1:16" x14ac:dyDescent="0.2">
      <c r="A528" s="72" t="s">
        <v>822</v>
      </c>
      <c r="B528" s="72" t="s">
        <v>32</v>
      </c>
      <c r="C528" s="72" t="s">
        <v>29</v>
      </c>
      <c r="D528" s="72" t="s">
        <v>378</v>
      </c>
      <c r="E528" s="72">
        <v>2</v>
      </c>
      <c r="F528" s="72" t="s">
        <v>834</v>
      </c>
      <c r="G528" s="70">
        <v>16145</v>
      </c>
      <c r="H528" s="70">
        <v>15247</v>
      </c>
      <c r="I528" s="70">
        <v>898</v>
      </c>
      <c r="J528" s="153">
        <v>5.8900000000000001E-2</v>
      </c>
      <c r="K528" s="70">
        <v>32290</v>
      </c>
      <c r="L528" s="70">
        <v>30494</v>
      </c>
      <c r="M528" s="70">
        <v>1796</v>
      </c>
      <c r="N528" s="153">
        <v>5.5599999999999997E-2</v>
      </c>
      <c r="O528" s="72" t="s">
        <v>843</v>
      </c>
      <c r="P528" s="181" t="s">
        <v>844</v>
      </c>
    </row>
    <row r="529" spans="1:16" x14ac:dyDescent="0.2">
      <c r="A529" s="72" t="s">
        <v>822</v>
      </c>
      <c r="B529" s="72" t="s">
        <v>33</v>
      </c>
      <c r="C529" s="72" t="s">
        <v>29</v>
      </c>
      <c r="D529" s="72" t="s">
        <v>378</v>
      </c>
      <c r="E529" s="72">
        <v>2</v>
      </c>
      <c r="F529" s="72" t="s">
        <v>834</v>
      </c>
      <c r="G529" s="70">
        <v>16145</v>
      </c>
      <c r="H529" s="70">
        <v>15555</v>
      </c>
      <c r="I529" s="70">
        <v>590</v>
      </c>
      <c r="J529" s="153">
        <v>3.7900000000000003E-2</v>
      </c>
      <c r="K529" s="70">
        <v>32290</v>
      </c>
      <c r="L529" s="70">
        <v>31110</v>
      </c>
      <c r="M529" s="70">
        <v>1180</v>
      </c>
      <c r="N529" s="153">
        <v>3.6499999999999998E-2</v>
      </c>
      <c r="O529" s="72" t="s">
        <v>843</v>
      </c>
      <c r="P529" s="181" t="s">
        <v>844</v>
      </c>
    </row>
    <row r="530" spans="1:16" x14ac:dyDescent="0.2">
      <c r="A530" s="72" t="s">
        <v>822</v>
      </c>
      <c r="B530" s="72" t="s">
        <v>24</v>
      </c>
      <c r="C530" s="72" t="s">
        <v>29</v>
      </c>
      <c r="D530" s="72" t="s">
        <v>378</v>
      </c>
      <c r="E530" s="72">
        <v>3</v>
      </c>
      <c r="F530" s="72" t="s">
        <v>834</v>
      </c>
      <c r="G530" s="70">
        <v>5000</v>
      </c>
      <c r="H530" s="70">
        <v>5200</v>
      </c>
      <c r="I530" s="70">
        <v>-200</v>
      </c>
      <c r="J530" s="153">
        <v>-3.85E-2</v>
      </c>
      <c r="K530" s="70">
        <v>15000</v>
      </c>
      <c r="L530" s="70">
        <v>15600</v>
      </c>
      <c r="M530" s="70">
        <v>-600</v>
      </c>
      <c r="N530" s="153">
        <v>-0.04</v>
      </c>
      <c r="O530" s="72" t="s">
        <v>843</v>
      </c>
      <c r="P530" s="182" t="s">
        <v>845</v>
      </c>
    </row>
    <row r="531" spans="1:16" x14ac:dyDescent="0.2">
      <c r="A531" s="72" t="s">
        <v>822</v>
      </c>
      <c r="B531" s="72" t="s">
        <v>24</v>
      </c>
      <c r="C531" s="72" t="s">
        <v>25</v>
      </c>
      <c r="D531" s="72" t="s">
        <v>382</v>
      </c>
      <c r="E531" s="72">
        <v>240</v>
      </c>
      <c r="F531" s="72" t="s">
        <v>835</v>
      </c>
      <c r="G531" s="70">
        <v>5000</v>
      </c>
      <c r="H531" s="70">
        <v>5200</v>
      </c>
      <c r="I531" s="70">
        <v>-200</v>
      </c>
      <c r="J531" s="153">
        <v>-3.85E-2</v>
      </c>
      <c r="K531" s="70">
        <v>1200000</v>
      </c>
      <c r="L531" s="70">
        <v>1248000</v>
      </c>
      <c r="M531" s="70">
        <v>-48000</v>
      </c>
      <c r="N531" s="153">
        <v>-0.04</v>
      </c>
      <c r="O531" s="72" t="s">
        <v>843</v>
      </c>
      <c r="P531" s="182" t="s">
        <v>845</v>
      </c>
    </row>
    <row r="532" spans="1:16" x14ac:dyDescent="0.2">
      <c r="A532" s="72" t="s">
        <v>822</v>
      </c>
      <c r="B532" s="72" t="s">
        <v>34</v>
      </c>
      <c r="C532" s="72" t="s">
        <v>85</v>
      </c>
      <c r="D532" s="72" t="s">
        <v>384</v>
      </c>
      <c r="E532" s="72">
        <v>1</v>
      </c>
      <c r="F532" s="72" t="s">
        <v>834</v>
      </c>
      <c r="G532" s="70">
        <v>22740</v>
      </c>
      <c r="H532" s="70">
        <v>21595</v>
      </c>
      <c r="I532" s="70">
        <v>1145</v>
      </c>
      <c r="J532" s="153">
        <v>5.2999999999999999E-2</v>
      </c>
      <c r="K532" s="70">
        <v>22740</v>
      </c>
      <c r="L532" s="70">
        <v>21595</v>
      </c>
      <c r="M532" s="70">
        <v>1145</v>
      </c>
      <c r="N532" s="153">
        <v>5.04E-2</v>
      </c>
      <c r="O532" s="72" t="s">
        <v>843</v>
      </c>
      <c r="P532" s="181" t="s">
        <v>844</v>
      </c>
    </row>
    <row r="533" spans="1:16" x14ac:dyDescent="0.2">
      <c r="A533" s="72" t="s">
        <v>822</v>
      </c>
      <c r="B533" s="72" t="s">
        <v>87</v>
      </c>
      <c r="C533" s="72" t="s">
        <v>85</v>
      </c>
      <c r="D533" s="72" t="s">
        <v>384</v>
      </c>
      <c r="E533" s="72">
        <v>3</v>
      </c>
      <c r="F533" s="72" t="s">
        <v>834</v>
      </c>
      <c r="G533" s="70">
        <v>22565</v>
      </c>
      <c r="H533" s="70">
        <v>20440</v>
      </c>
      <c r="I533" s="70">
        <v>2125</v>
      </c>
      <c r="J533" s="153">
        <v>0.104</v>
      </c>
      <c r="K533" s="70">
        <v>67695</v>
      </c>
      <c r="L533" s="70">
        <v>61320</v>
      </c>
      <c r="M533" s="70">
        <v>6375</v>
      </c>
      <c r="N533" s="153">
        <v>9.4200000000000006E-2</v>
      </c>
      <c r="O533" s="72" t="s">
        <v>843</v>
      </c>
      <c r="P533" s="181" t="s">
        <v>844</v>
      </c>
    </row>
    <row r="534" spans="1:16" x14ac:dyDescent="0.2">
      <c r="A534" s="72" t="s">
        <v>822</v>
      </c>
      <c r="B534" s="72" t="s">
        <v>113</v>
      </c>
      <c r="C534" s="72" t="s">
        <v>85</v>
      </c>
      <c r="D534" s="72" t="s">
        <v>384</v>
      </c>
      <c r="E534" s="72">
        <v>3</v>
      </c>
      <c r="F534" s="72" t="s">
        <v>834</v>
      </c>
      <c r="G534" s="70">
        <v>15765</v>
      </c>
      <c r="H534" s="70">
        <v>14475</v>
      </c>
      <c r="I534" s="70">
        <v>1290</v>
      </c>
      <c r="J534" s="153">
        <v>8.9099999999999999E-2</v>
      </c>
      <c r="K534" s="70">
        <v>47295</v>
      </c>
      <c r="L534" s="70">
        <v>43425</v>
      </c>
      <c r="M534" s="70">
        <v>3870</v>
      </c>
      <c r="N534" s="153">
        <v>8.1799999999999998E-2</v>
      </c>
      <c r="O534" s="72" t="s">
        <v>843</v>
      </c>
      <c r="P534" s="181" t="s">
        <v>844</v>
      </c>
    </row>
    <row r="535" spans="1:16" x14ac:dyDescent="0.2">
      <c r="A535" s="72" t="s">
        <v>822</v>
      </c>
      <c r="B535" s="72" t="s">
        <v>45</v>
      </c>
      <c r="C535" s="72" t="s">
        <v>85</v>
      </c>
      <c r="D535" s="72" t="s">
        <v>384</v>
      </c>
      <c r="E535" s="72">
        <v>3</v>
      </c>
      <c r="F535" s="72" t="s">
        <v>834</v>
      </c>
      <c r="G535" s="70">
        <v>13950</v>
      </c>
      <c r="H535" s="70">
        <v>12746</v>
      </c>
      <c r="I535" s="70">
        <v>1204</v>
      </c>
      <c r="J535" s="153">
        <v>9.4500000000000001E-2</v>
      </c>
      <c r="K535" s="70">
        <v>41850</v>
      </c>
      <c r="L535" s="70">
        <v>38238</v>
      </c>
      <c r="M535" s="70">
        <v>3612</v>
      </c>
      <c r="N535" s="153">
        <v>8.6300000000000002E-2</v>
      </c>
      <c r="O535" s="72" t="s">
        <v>843</v>
      </c>
      <c r="P535" s="181" t="s">
        <v>844</v>
      </c>
    </row>
    <row r="536" spans="1:16" x14ac:dyDescent="0.2">
      <c r="A536" s="72" t="s">
        <v>822</v>
      </c>
      <c r="B536" s="72" t="s">
        <v>21</v>
      </c>
      <c r="C536" s="72" t="s">
        <v>122</v>
      </c>
      <c r="D536" s="72" t="s">
        <v>385</v>
      </c>
      <c r="E536" s="72">
        <v>1</v>
      </c>
      <c r="F536" s="72" t="s">
        <v>834</v>
      </c>
      <c r="G536" s="70">
        <v>9000</v>
      </c>
      <c r="H536" s="70">
        <v>8118</v>
      </c>
      <c r="I536" s="70">
        <v>882</v>
      </c>
      <c r="J536" s="153">
        <v>0.1086</v>
      </c>
      <c r="K536" s="70">
        <v>9000</v>
      </c>
      <c r="L536" s="70">
        <v>8118</v>
      </c>
      <c r="M536" s="70">
        <v>882</v>
      </c>
      <c r="N536" s="153">
        <v>9.8000000000000004E-2</v>
      </c>
      <c r="O536" s="72" t="s">
        <v>843</v>
      </c>
      <c r="P536" s="181" t="s">
        <v>844</v>
      </c>
    </row>
    <row r="537" spans="1:16" x14ac:dyDescent="0.2">
      <c r="A537" s="72" t="s">
        <v>822</v>
      </c>
      <c r="B537" s="72" t="s">
        <v>45</v>
      </c>
      <c r="C537" s="72" t="s">
        <v>122</v>
      </c>
      <c r="D537" s="72" t="s">
        <v>385</v>
      </c>
      <c r="E537" s="72">
        <v>1</v>
      </c>
      <c r="F537" s="72" t="s">
        <v>834</v>
      </c>
      <c r="G537" s="70">
        <v>13950</v>
      </c>
      <c r="H537" s="70">
        <v>12746</v>
      </c>
      <c r="I537" s="70">
        <v>1204</v>
      </c>
      <c r="J537" s="153">
        <v>9.4500000000000001E-2</v>
      </c>
      <c r="K537" s="70">
        <v>13950</v>
      </c>
      <c r="L537" s="70">
        <v>12746</v>
      </c>
      <c r="M537" s="70">
        <v>1204</v>
      </c>
      <c r="N537" s="153">
        <v>8.6300000000000002E-2</v>
      </c>
      <c r="O537" s="72" t="s">
        <v>843</v>
      </c>
      <c r="P537" s="181" t="s">
        <v>844</v>
      </c>
    </row>
    <row r="538" spans="1:16" x14ac:dyDescent="0.2">
      <c r="A538" s="72" t="s">
        <v>822</v>
      </c>
      <c r="B538" s="72" t="s">
        <v>44</v>
      </c>
      <c r="C538" s="72" t="s">
        <v>122</v>
      </c>
      <c r="D538" s="72" t="s">
        <v>385</v>
      </c>
      <c r="E538" s="72">
        <v>1</v>
      </c>
      <c r="F538" s="72" t="s">
        <v>834</v>
      </c>
      <c r="G538" s="70">
        <v>9200</v>
      </c>
      <c r="H538" s="70">
        <v>8990</v>
      </c>
      <c r="I538" s="70">
        <v>210</v>
      </c>
      <c r="J538" s="153">
        <v>2.3400000000000001E-2</v>
      </c>
      <c r="K538" s="70">
        <v>9200</v>
      </c>
      <c r="L538" s="70">
        <v>8990</v>
      </c>
      <c r="M538" s="70">
        <v>210</v>
      </c>
      <c r="N538" s="153">
        <v>2.2800000000000001E-2</v>
      </c>
      <c r="O538" s="72" t="s">
        <v>843</v>
      </c>
      <c r="P538" s="181" t="s">
        <v>844</v>
      </c>
    </row>
    <row r="539" spans="1:16" x14ac:dyDescent="0.2">
      <c r="A539" s="72" t="s">
        <v>822</v>
      </c>
      <c r="B539" s="72" t="s">
        <v>22</v>
      </c>
      <c r="C539" s="72" t="s">
        <v>122</v>
      </c>
      <c r="D539" s="72" t="s">
        <v>385</v>
      </c>
      <c r="E539" s="72">
        <v>1</v>
      </c>
      <c r="F539" s="72" t="s">
        <v>834</v>
      </c>
      <c r="G539" s="70">
        <v>9200</v>
      </c>
      <c r="H539" s="70">
        <v>8657</v>
      </c>
      <c r="I539" s="70">
        <v>543</v>
      </c>
      <c r="J539" s="153">
        <v>6.2700000000000006E-2</v>
      </c>
      <c r="K539" s="70">
        <v>9200</v>
      </c>
      <c r="L539" s="70">
        <v>8657</v>
      </c>
      <c r="M539" s="70">
        <v>543</v>
      </c>
      <c r="N539" s="153">
        <v>5.8999999999999997E-2</v>
      </c>
      <c r="O539" s="72" t="s">
        <v>843</v>
      </c>
      <c r="P539" s="181" t="s">
        <v>844</v>
      </c>
    </row>
    <row r="540" spans="1:16" x14ac:dyDescent="0.2">
      <c r="A540" s="72" t="s">
        <v>822</v>
      </c>
      <c r="B540" s="72" t="s">
        <v>24</v>
      </c>
      <c r="C540" s="72" t="s">
        <v>122</v>
      </c>
      <c r="D540" s="72" t="s">
        <v>385</v>
      </c>
      <c r="E540" s="72">
        <v>1</v>
      </c>
      <c r="F540" s="72" t="s">
        <v>834</v>
      </c>
      <c r="G540" s="70">
        <v>5300</v>
      </c>
      <c r="H540" s="70">
        <v>5200</v>
      </c>
      <c r="I540" s="70">
        <v>100</v>
      </c>
      <c r="J540" s="153">
        <v>1.9199999999999998E-2</v>
      </c>
      <c r="K540" s="70">
        <v>5300</v>
      </c>
      <c r="L540" s="70">
        <v>5200</v>
      </c>
      <c r="M540" s="70">
        <v>100</v>
      </c>
      <c r="N540" s="153">
        <v>1.89E-2</v>
      </c>
      <c r="O540" s="72" t="s">
        <v>843</v>
      </c>
      <c r="P540" s="181" t="s">
        <v>844</v>
      </c>
    </row>
    <row r="541" spans="1:16" x14ac:dyDescent="0.2">
      <c r="A541" s="72" t="s">
        <v>822</v>
      </c>
      <c r="B541" s="72" t="s">
        <v>21</v>
      </c>
      <c r="C541" s="72" t="s">
        <v>336</v>
      </c>
      <c r="D541" s="72" t="s">
        <v>386</v>
      </c>
      <c r="E541" s="72">
        <v>2</v>
      </c>
      <c r="F541" s="72" t="s">
        <v>834</v>
      </c>
      <c r="G541" s="70">
        <v>8500</v>
      </c>
      <c r="H541" s="70">
        <v>8118</v>
      </c>
      <c r="I541" s="70">
        <v>382</v>
      </c>
      <c r="J541" s="153">
        <v>4.7100000000000003E-2</v>
      </c>
      <c r="K541" s="70">
        <v>17000</v>
      </c>
      <c r="L541" s="70">
        <v>16236</v>
      </c>
      <c r="M541" s="70">
        <v>764</v>
      </c>
      <c r="N541" s="153">
        <v>4.4900000000000002E-2</v>
      </c>
      <c r="O541" s="72" t="s">
        <v>843</v>
      </c>
      <c r="P541" s="181" t="s">
        <v>844</v>
      </c>
    </row>
    <row r="542" spans="1:16" x14ac:dyDescent="0.2">
      <c r="A542" s="72" t="s">
        <v>822</v>
      </c>
      <c r="B542" s="72" t="s">
        <v>45</v>
      </c>
      <c r="C542" s="72" t="s">
        <v>336</v>
      </c>
      <c r="D542" s="72" t="s">
        <v>386</v>
      </c>
      <c r="E542" s="72">
        <v>1</v>
      </c>
      <c r="F542" s="72" t="s">
        <v>834</v>
      </c>
      <c r="G542" s="70">
        <v>13335</v>
      </c>
      <c r="H542" s="70">
        <v>12746</v>
      </c>
      <c r="I542" s="70">
        <v>589</v>
      </c>
      <c r="J542" s="153">
        <v>4.6199999999999998E-2</v>
      </c>
      <c r="K542" s="70">
        <v>13335</v>
      </c>
      <c r="L542" s="70">
        <v>12746</v>
      </c>
      <c r="M542" s="70">
        <v>589</v>
      </c>
      <c r="N542" s="153">
        <v>4.4200000000000003E-2</v>
      </c>
      <c r="O542" s="72" t="s">
        <v>843</v>
      </c>
      <c r="P542" s="181" t="s">
        <v>844</v>
      </c>
    </row>
    <row r="543" spans="1:16" x14ac:dyDescent="0.2">
      <c r="A543" s="72" t="s">
        <v>822</v>
      </c>
      <c r="B543" s="72" t="s">
        <v>22</v>
      </c>
      <c r="C543" s="72" t="s">
        <v>336</v>
      </c>
      <c r="D543" s="72" t="s">
        <v>386</v>
      </c>
      <c r="E543" s="72">
        <v>2</v>
      </c>
      <c r="F543" s="72" t="s">
        <v>834</v>
      </c>
      <c r="G543" s="70">
        <v>9200</v>
      </c>
      <c r="H543" s="70">
        <v>8657</v>
      </c>
      <c r="I543" s="70">
        <v>543</v>
      </c>
      <c r="J543" s="153">
        <v>6.2700000000000006E-2</v>
      </c>
      <c r="K543" s="70">
        <v>18400</v>
      </c>
      <c r="L543" s="70">
        <v>17314</v>
      </c>
      <c r="M543" s="70">
        <v>1086</v>
      </c>
      <c r="N543" s="153">
        <v>5.8999999999999997E-2</v>
      </c>
      <c r="O543" s="72" t="s">
        <v>843</v>
      </c>
      <c r="P543" s="181" t="s">
        <v>844</v>
      </c>
    </row>
    <row r="544" spans="1:16" x14ac:dyDescent="0.2">
      <c r="A544" s="72" t="s">
        <v>822</v>
      </c>
      <c r="B544" s="72" t="s">
        <v>24</v>
      </c>
      <c r="C544" s="72" t="s">
        <v>154</v>
      </c>
      <c r="D544" s="72" t="s">
        <v>387</v>
      </c>
      <c r="E544" s="72">
        <v>1</v>
      </c>
      <c r="F544" s="72" t="s">
        <v>834</v>
      </c>
      <c r="G544" s="70">
        <v>5000</v>
      </c>
      <c r="H544" s="70">
        <v>5200</v>
      </c>
      <c r="I544" s="70">
        <v>-200</v>
      </c>
      <c r="J544" s="153">
        <v>-3.85E-2</v>
      </c>
      <c r="K544" s="70">
        <v>5000</v>
      </c>
      <c r="L544" s="70">
        <v>5200</v>
      </c>
      <c r="M544" s="70">
        <v>-200</v>
      </c>
      <c r="N544" s="153">
        <v>-0.04</v>
      </c>
      <c r="O544" s="72" t="s">
        <v>843</v>
      </c>
      <c r="P544" s="182" t="s">
        <v>845</v>
      </c>
    </row>
    <row r="545" spans="1:16" x14ac:dyDescent="0.2">
      <c r="A545" s="72" t="s">
        <v>822</v>
      </c>
      <c r="B545" s="72" t="s">
        <v>24</v>
      </c>
      <c r="C545" s="72" t="s">
        <v>95</v>
      </c>
      <c r="D545" s="72" t="s">
        <v>388</v>
      </c>
      <c r="E545" s="72">
        <v>15</v>
      </c>
      <c r="F545" s="72" t="s">
        <v>834</v>
      </c>
      <c r="G545" s="70">
        <v>5000</v>
      </c>
      <c r="H545" s="70">
        <v>5200</v>
      </c>
      <c r="I545" s="70">
        <v>-200</v>
      </c>
      <c r="J545" s="153">
        <v>-3.85E-2</v>
      </c>
      <c r="K545" s="70">
        <v>75000</v>
      </c>
      <c r="L545" s="70">
        <v>78000</v>
      </c>
      <c r="M545" s="70">
        <v>-3000</v>
      </c>
      <c r="N545" s="153">
        <v>-0.04</v>
      </c>
      <c r="O545" s="72" t="s">
        <v>843</v>
      </c>
      <c r="P545" s="182" t="s">
        <v>845</v>
      </c>
    </row>
    <row r="546" spans="1:16" x14ac:dyDescent="0.2">
      <c r="A546" s="72" t="s">
        <v>822</v>
      </c>
      <c r="B546" s="72" t="s">
        <v>27</v>
      </c>
      <c r="C546" s="72" t="s">
        <v>95</v>
      </c>
      <c r="D546" s="72" t="s">
        <v>388</v>
      </c>
      <c r="E546" s="72">
        <v>5</v>
      </c>
      <c r="F546" s="72" t="s">
        <v>834</v>
      </c>
      <c r="G546" s="70">
        <v>8020</v>
      </c>
      <c r="H546" s="70">
        <v>7685</v>
      </c>
      <c r="I546" s="70">
        <v>335</v>
      </c>
      <c r="J546" s="153">
        <v>4.36E-2</v>
      </c>
      <c r="K546" s="70">
        <v>40100</v>
      </c>
      <c r="L546" s="70">
        <v>38425</v>
      </c>
      <c r="M546" s="70">
        <v>1675</v>
      </c>
      <c r="N546" s="153">
        <v>4.1799999999999997E-2</v>
      </c>
      <c r="O546" s="72" t="s">
        <v>843</v>
      </c>
      <c r="P546" s="181" t="s">
        <v>844</v>
      </c>
    </row>
    <row r="547" spans="1:16" x14ac:dyDescent="0.2">
      <c r="A547" s="72" t="s">
        <v>822</v>
      </c>
      <c r="B547" s="72" t="s">
        <v>113</v>
      </c>
      <c r="C547" s="72" t="s">
        <v>154</v>
      </c>
      <c r="D547" s="72" t="s">
        <v>389</v>
      </c>
      <c r="E547" s="72">
        <v>2</v>
      </c>
      <c r="F547" s="72" t="s">
        <v>834</v>
      </c>
      <c r="G547" s="70">
        <v>14475</v>
      </c>
      <c r="H547" s="70">
        <v>14475</v>
      </c>
      <c r="I547" s="70">
        <v>0</v>
      </c>
      <c r="J547" s="153">
        <v>0</v>
      </c>
      <c r="K547" s="70">
        <v>28950</v>
      </c>
      <c r="L547" s="70">
        <v>28950</v>
      </c>
      <c r="M547" s="70">
        <v>0</v>
      </c>
      <c r="N547" s="153">
        <v>0</v>
      </c>
      <c r="O547" s="72" t="s">
        <v>843</v>
      </c>
      <c r="P547" s="72" t="s">
        <v>846</v>
      </c>
    </row>
    <row r="548" spans="1:16" x14ac:dyDescent="0.2">
      <c r="A548" s="72" t="s">
        <v>823</v>
      </c>
      <c r="B548" s="72" t="s">
        <v>33</v>
      </c>
      <c r="C548" s="72" t="s">
        <v>50</v>
      </c>
      <c r="D548" s="72" t="s">
        <v>390</v>
      </c>
      <c r="E548" s="72">
        <v>30</v>
      </c>
      <c r="F548" s="72" t="s">
        <v>834</v>
      </c>
      <c r="G548" s="70">
        <v>15655</v>
      </c>
      <c r="H548" s="70">
        <v>15555</v>
      </c>
      <c r="I548" s="70">
        <v>100</v>
      </c>
      <c r="J548" s="153">
        <v>6.4000000000000003E-3</v>
      </c>
      <c r="K548" s="70">
        <v>469650</v>
      </c>
      <c r="L548" s="70">
        <v>466650</v>
      </c>
      <c r="M548" s="70">
        <v>3000</v>
      </c>
      <c r="N548" s="153">
        <v>6.4000000000000003E-3</v>
      </c>
      <c r="O548" s="72" t="s">
        <v>843</v>
      </c>
      <c r="P548" s="181" t="s">
        <v>844</v>
      </c>
    </row>
    <row r="549" spans="1:16" x14ac:dyDescent="0.2">
      <c r="A549" s="72" t="s">
        <v>823</v>
      </c>
      <c r="B549" s="72" t="s">
        <v>32</v>
      </c>
      <c r="C549" s="72" t="s">
        <v>50</v>
      </c>
      <c r="D549" s="72" t="s">
        <v>390</v>
      </c>
      <c r="E549" s="72">
        <v>15</v>
      </c>
      <c r="F549" s="72" t="s">
        <v>834</v>
      </c>
      <c r="G549" s="70">
        <v>15655</v>
      </c>
      <c r="H549" s="70">
        <v>15247</v>
      </c>
      <c r="I549" s="70">
        <v>408</v>
      </c>
      <c r="J549" s="153">
        <v>2.6800000000000001E-2</v>
      </c>
      <c r="K549" s="70">
        <v>234825</v>
      </c>
      <c r="L549" s="70">
        <v>228705</v>
      </c>
      <c r="M549" s="70">
        <v>6120</v>
      </c>
      <c r="N549" s="153">
        <v>2.6100000000000002E-2</v>
      </c>
      <c r="O549" s="72" t="s">
        <v>843</v>
      </c>
      <c r="P549" s="181" t="s">
        <v>844</v>
      </c>
    </row>
    <row r="550" spans="1:16" x14ac:dyDescent="0.2">
      <c r="A550" s="72" t="s">
        <v>823</v>
      </c>
      <c r="B550" s="72" t="s">
        <v>70</v>
      </c>
      <c r="C550" s="72" t="s">
        <v>50</v>
      </c>
      <c r="D550" s="72" t="s">
        <v>390</v>
      </c>
      <c r="E550" s="72">
        <v>20</v>
      </c>
      <c r="F550" s="72" t="s">
        <v>834</v>
      </c>
      <c r="G550" s="70">
        <v>13100</v>
      </c>
      <c r="H550" s="70">
        <v>12855</v>
      </c>
      <c r="I550" s="70">
        <v>245</v>
      </c>
      <c r="J550" s="153">
        <v>1.9099999999999999E-2</v>
      </c>
      <c r="K550" s="70">
        <v>262000</v>
      </c>
      <c r="L550" s="70">
        <v>257100</v>
      </c>
      <c r="M550" s="70">
        <v>4900</v>
      </c>
      <c r="N550" s="153">
        <v>1.8700000000000001E-2</v>
      </c>
      <c r="O550" s="72" t="s">
        <v>843</v>
      </c>
      <c r="P550" s="181" t="s">
        <v>844</v>
      </c>
    </row>
    <row r="551" spans="1:16" x14ac:dyDescent="0.2">
      <c r="A551" s="72" t="s">
        <v>823</v>
      </c>
      <c r="B551" s="72" t="s">
        <v>31</v>
      </c>
      <c r="C551" s="72" t="s">
        <v>50</v>
      </c>
      <c r="D551" s="72" t="s">
        <v>390</v>
      </c>
      <c r="E551" s="72">
        <v>40</v>
      </c>
      <c r="F551" s="72" t="s">
        <v>834</v>
      </c>
      <c r="G551" s="70">
        <v>17200</v>
      </c>
      <c r="H551" s="70">
        <v>17100</v>
      </c>
      <c r="I551" s="70">
        <v>100</v>
      </c>
      <c r="J551" s="153">
        <v>5.7999999999999996E-3</v>
      </c>
      <c r="K551" s="70">
        <v>688000</v>
      </c>
      <c r="L551" s="70">
        <v>684000</v>
      </c>
      <c r="M551" s="70">
        <v>4000</v>
      </c>
      <c r="N551" s="153">
        <v>5.7999999999999996E-3</v>
      </c>
      <c r="O551" s="72" t="s">
        <v>843</v>
      </c>
      <c r="P551" s="181" t="s">
        <v>844</v>
      </c>
    </row>
    <row r="552" spans="1:16" x14ac:dyDescent="0.2">
      <c r="A552" s="72" t="s">
        <v>823</v>
      </c>
      <c r="B552" s="72" t="s">
        <v>24</v>
      </c>
      <c r="C552" s="72" t="s">
        <v>75</v>
      </c>
      <c r="D552" s="72" t="s">
        <v>392</v>
      </c>
      <c r="E552" s="72">
        <v>40</v>
      </c>
      <c r="F552" s="72" t="s">
        <v>834</v>
      </c>
      <c r="G552" s="70">
        <v>5000</v>
      </c>
      <c r="H552" s="70">
        <v>5200</v>
      </c>
      <c r="I552" s="70">
        <v>-200</v>
      </c>
      <c r="J552" s="153">
        <v>-3.85E-2</v>
      </c>
      <c r="K552" s="70">
        <v>200000</v>
      </c>
      <c r="L552" s="70">
        <v>208000</v>
      </c>
      <c r="M552" s="70">
        <v>-8000</v>
      </c>
      <c r="N552" s="153">
        <v>-0.04</v>
      </c>
      <c r="O552" s="72" t="s">
        <v>843</v>
      </c>
      <c r="P552" s="182" t="s">
        <v>845</v>
      </c>
    </row>
    <row r="553" spans="1:16" x14ac:dyDescent="0.2">
      <c r="A553" s="72" t="s">
        <v>823</v>
      </c>
      <c r="B553" s="72" t="s">
        <v>24</v>
      </c>
      <c r="C553" s="72" t="s">
        <v>394</v>
      </c>
      <c r="D553" s="72" t="s">
        <v>395</v>
      </c>
      <c r="E553" s="72">
        <v>100</v>
      </c>
      <c r="F553" s="72" t="s">
        <v>835</v>
      </c>
      <c r="G553" s="70">
        <v>5000</v>
      </c>
      <c r="H553" s="70">
        <v>5200</v>
      </c>
      <c r="I553" s="70">
        <v>-200</v>
      </c>
      <c r="J553" s="153">
        <v>-3.85E-2</v>
      </c>
      <c r="K553" s="70">
        <v>500000</v>
      </c>
      <c r="L553" s="70">
        <v>520000</v>
      </c>
      <c r="M553" s="70">
        <v>-20000</v>
      </c>
      <c r="N553" s="153">
        <v>-0.04</v>
      </c>
      <c r="O553" s="72" t="s">
        <v>843</v>
      </c>
      <c r="P553" s="182" t="s">
        <v>845</v>
      </c>
    </row>
    <row r="554" spans="1:16" x14ac:dyDescent="0.2">
      <c r="A554" s="72" t="s">
        <v>823</v>
      </c>
      <c r="B554" s="72" t="s">
        <v>22</v>
      </c>
      <c r="C554" s="72" t="s">
        <v>15</v>
      </c>
      <c r="D554" s="72" t="s">
        <v>396</v>
      </c>
      <c r="E554" s="72">
        <v>2</v>
      </c>
      <c r="F554" s="72" t="s">
        <v>834</v>
      </c>
      <c r="G554" s="70">
        <v>9500</v>
      </c>
      <c r="H554" s="70">
        <v>8657</v>
      </c>
      <c r="I554" s="70">
        <v>843</v>
      </c>
      <c r="J554" s="153">
        <v>9.74E-2</v>
      </c>
      <c r="K554" s="70">
        <v>19000</v>
      </c>
      <c r="L554" s="70">
        <v>17314</v>
      </c>
      <c r="M554" s="70">
        <v>1686</v>
      </c>
      <c r="N554" s="153">
        <v>8.8700000000000001E-2</v>
      </c>
      <c r="O554" s="72" t="s">
        <v>843</v>
      </c>
      <c r="P554" s="181" t="s">
        <v>844</v>
      </c>
    </row>
    <row r="555" spans="1:16" x14ac:dyDescent="0.2">
      <c r="A555" s="72" t="s">
        <v>823</v>
      </c>
      <c r="B555" s="72" t="s">
        <v>24</v>
      </c>
      <c r="C555" s="72" t="s">
        <v>50</v>
      </c>
      <c r="D555" s="72" t="s">
        <v>397</v>
      </c>
      <c r="E555" s="72">
        <v>248</v>
      </c>
      <c r="F555" s="72" t="s">
        <v>835</v>
      </c>
      <c r="G555" s="70">
        <v>5000</v>
      </c>
      <c r="H555" s="70">
        <v>5200</v>
      </c>
      <c r="I555" s="70">
        <v>-200</v>
      </c>
      <c r="J555" s="153">
        <v>-3.85E-2</v>
      </c>
      <c r="K555" s="70">
        <v>1240000</v>
      </c>
      <c r="L555" s="70">
        <v>1289600</v>
      </c>
      <c r="M555" s="70">
        <v>-49600</v>
      </c>
      <c r="N555" s="153">
        <v>-0.04</v>
      </c>
      <c r="O555" s="72" t="s">
        <v>843</v>
      </c>
      <c r="P555" s="182" t="s">
        <v>845</v>
      </c>
    </row>
    <row r="556" spans="1:16" x14ac:dyDescent="0.2">
      <c r="A556" s="72" t="s">
        <v>823</v>
      </c>
      <c r="B556" s="72" t="s">
        <v>190</v>
      </c>
      <c r="C556" s="72" t="s">
        <v>25</v>
      </c>
      <c r="D556" s="72" t="s">
        <v>398</v>
      </c>
      <c r="E556" s="72">
        <v>1</v>
      </c>
      <c r="F556" s="72" t="s">
        <v>834</v>
      </c>
      <c r="G556" s="70">
        <v>28445</v>
      </c>
      <c r="H556" s="70">
        <v>25930</v>
      </c>
      <c r="I556" s="70">
        <v>2515</v>
      </c>
      <c r="J556" s="153">
        <v>9.7000000000000003E-2</v>
      </c>
      <c r="K556" s="70">
        <v>28445</v>
      </c>
      <c r="L556" s="70">
        <v>25930</v>
      </c>
      <c r="M556" s="70">
        <v>2515</v>
      </c>
      <c r="N556" s="153">
        <v>8.8400000000000006E-2</v>
      </c>
      <c r="O556" s="72" t="s">
        <v>843</v>
      </c>
      <c r="P556" s="181" t="s">
        <v>844</v>
      </c>
    </row>
    <row r="557" spans="1:16" x14ac:dyDescent="0.2">
      <c r="A557" s="72" t="s">
        <v>823</v>
      </c>
      <c r="B557" s="72" t="s">
        <v>56</v>
      </c>
      <c r="C557" s="72" t="s">
        <v>25</v>
      </c>
      <c r="D557" s="72" t="s">
        <v>398</v>
      </c>
      <c r="E557" s="72">
        <v>1</v>
      </c>
      <c r="F557" s="72" t="s">
        <v>834</v>
      </c>
      <c r="G557" s="70">
        <v>24235</v>
      </c>
      <c r="H557" s="70">
        <v>22250</v>
      </c>
      <c r="I557" s="70">
        <v>1985</v>
      </c>
      <c r="J557" s="153">
        <v>8.9200000000000002E-2</v>
      </c>
      <c r="K557" s="70">
        <v>24235</v>
      </c>
      <c r="L557" s="70">
        <v>22250</v>
      </c>
      <c r="M557" s="70">
        <v>1985</v>
      </c>
      <c r="N557" s="153">
        <v>8.1900000000000001E-2</v>
      </c>
      <c r="O557" s="72" t="s">
        <v>843</v>
      </c>
      <c r="P557" s="181" t="s">
        <v>844</v>
      </c>
    </row>
    <row r="558" spans="1:16" x14ac:dyDescent="0.2">
      <c r="A558" s="72" t="s">
        <v>823</v>
      </c>
      <c r="B558" s="72" t="s">
        <v>24</v>
      </c>
      <c r="C558" s="72" t="s">
        <v>25</v>
      </c>
      <c r="D558" s="72" t="s">
        <v>400</v>
      </c>
      <c r="E558" s="72">
        <v>210</v>
      </c>
      <c r="F558" s="72" t="s">
        <v>835</v>
      </c>
      <c r="G558" s="70">
        <v>5000</v>
      </c>
      <c r="H558" s="70">
        <v>5200</v>
      </c>
      <c r="I558" s="70">
        <v>-200</v>
      </c>
      <c r="J558" s="153">
        <v>-3.85E-2</v>
      </c>
      <c r="K558" s="70">
        <v>1050000</v>
      </c>
      <c r="L558" s="70">
        <v>1092000</v>
      </c>
      <c r="M558" s="70">
        <v>-42000</v>
      </c>
      <c r="N558" s="153">
        <v>-0.04</v>
      </c>
      <c r="O558" s="72" t="s">
        <v>843</v>
      </c>
      <c r="P558" s="182" t="s">
        <v>845</v>
      </c>
    </row>
    <row r="559" spans="1:16" x14ac:dyDescent="0.2">
      <c r="A559" s="72" t="s">
        <v>823</v>
      </c>
      <c r="B559" s="72" t="s">
        <v>21</v>
      </c>
      <c r="C559" s="72" t="s">
        <v>15</v>
      </c>
      <c r="D559" s="72" t="s">
        <v>402</v>
      </c>
      <c r="E559" s="72">
        <v>1</v>
      </c>
      <c r="F559" s="72" t="s">
        <v>834</v>
      </c>
      <c r="G559" s="70">
        <v>9000</v>
      </c>
      <c r="H559" s="70">
        <v>8118</v>
      </c>
      <c r="I559" s="70">
        <v>882</v>
      </c>
      <c r="J559" s="153">
        <v>0.1086</v>
      </c>
      <c r="K559" s="70">
        <v>9000</v>
      </c>
      <c r="L559" s="70">
        <v>8118</v>
      </c>
      <c r="M559" s="70">
        <v>882</v>
      </c>
      <c r="N559" s="153">
        <v>9.8000000000000004E-2</v>
      </c>
      <c r="O559" s="72" t="s">
        <v>843</v>
      </c>
      <c r="P559" s="181" t="s">
        <v>844</v>
      </c>
    </row>
    <row r="560" spans="1:16" x14ac:dyDescent="0.2">
      <c r="A560" s="72" t="s">
        <v>823</v>
      </c>
      <c r="B560" s="72" t="s">
        <v>22</v>
      </c>
      <c r="C560" s="72" t="s">
        <v>15</v>
      </c>
      <c r="D560" s="72" t="s">
        <v>402</v>
      </c>
      <c r="E560" s="72">
        <v>1</v>
      </c>
      <c r="F560" s="72" t="s">
        <v>834</v>
      </c>
      <c r="G560" s="70">
        <v>9500</v>
      </c>
      <c r="H560" s="70">
        <v>8657</v>
      </c>
      <c r="I560" s="70">
        <v>843</v>
      </c>
      <c r="J560" s="153">
        <v>9.74E-2</v>
      </c>
      <c r="K560" s="70">
        <v>9500</v>
      </c>
      <c r="L560" s="70">
        <v>8657</v>
      </c>
      <c r="M560" s="70">
        <v>843</v>
      </c>
      <c r="N560" s="153">
        <v>8.8700000000000001E-2</v>
      </c>
      <c r="O560" s="72" t="s">
        <v>843</v>
      </c>
      <c r="P560" s="181" t="s">
        <v>844</v>
      </c>
    </row>
    <row r="561" spans="1:16" x14ac:dyDescent="0.2">
      <c r="A561" s="72" t="s">
        <v>823</v>
      </c>
      <c r="B561" s="72" t="s">
        <v>44</v>
      </c>
      <c r="C561" s="72" t="s">
        <v>15</v>
      </c>
      <c r="D561" s="72" t="s">
        <v>402</v>
      </c>
      <c r="E561" s="72">
        <v>1</v>
      </c>
      <c r="F561" s="72" t="s">
        <v>834</v>
      </c>
      <c r="G561" s="70">
        <v>9500</v>
      </c>
      <c r="H561" s="70">
        <v>8990</v>
      </c>
      <c r="I561" s="70">
        <v>510</v>
      </c>
      <c r="J561" s="153">
        <v>5.67E-2</v>
      </c>
      <c r="K561" s="70">
        <v>9500</v>
      </c>
      <c r="L561" s="70">
        <v>8990</v>
      </c>
      <c r="M561" s="70">
        <v>510</v>
      </c>
      <c r="N561" s="153">
        <v>5.3699999999999998E-2</v>
      </c>
      <c r="O561" s="72" t="s">
        <v>843</v>
      </c>
      <c r="P561" s="181" t="s">
        <v>844</v>
      </c>
    </row>
    <row r="562" spans="1:16" x14ac:dyDescent="0.2">
      <c r="A562" s="72" t="s">
        <v>823</v>
      </c>
      <c r="B562" s="72" t="s">
        <v>45</v>
      </c>
      <c r="C562" s="72" t="s">
        <v>15</v>
      </c>
      <c r="D562" s="72" t="s">
        <v>402</v>
      </c>
      <c r="E562" s="72">
        <v>1</v>
      </c>
      <c r="F562" s="72" t="s">
        <v>834</v>
      </c>
      <c r="G562" s="70">
        <v>13950</v>
      </c>
      <c r="H562" s="70">
        <v>12746</v>
      </c>
      <c r="I562" s="70">
        <v>1204</v>
      </c>
      <c r="J562" s="153">
        <v>9.4500000000000001E-2</v>
      </c>
      <c r="K562" s="70">
        <v>13950</v>
      </c>
      <c r="L562" s="70">
        <v>12746</v>
      </c>
      <c r="M562" s="70">
        <v>1204</v>
      </c>
      <c r="N562" s="153">
        <v>8.6300000000000002E-2</v>
      </c>
      <c r="O562" s="72" t="s">
        <v>843</v>
      </c>
      <c r="P562" s="181" t="s">
        <v>844</v>
      </c>
    </row>
    <row r="563" spans="1:16" x14ac:dyDescent="0.2">
      <c r="A563" s="72" t="s">
        <v>823</v>
      </c>
      <c r="B563" s="72" t="s">
        <v>22</v>
      </c>
      <c r="C563" s="72" t="s">
        <v>75</v>
      </c>
      <c r="D563" s="72" t="s">
        <v>403</v>
      </c>
      <c r="E563" s="72">
        <v>60</v>
      </c>
      <c r="F563" s="72" t="s">
        <v>835</v>
      </c>
      <c r="G563" s="70">
        <v>9200</v>
      </c>
      <c r="H563" s="70">
        <v>8657</v>
      </c>
      <c r="I563" s="70">
        <v>543</v>
      </c>
      <c r="J563" s="153">
        <v>6.2700000000000006E-2</v>
      </c>
      <c r="K563" s="70">
        <v>552000</v>
      </c>
      <c r="L563" s="70">
        <v>519420</v>
      </c>
      <c r="M563" s="70">
        <v>32580</v>
      </c>
      <c r="N563" s="153">
        <v>5.8999999999999997E-2</v>
      </c>
      <c r="O563" s="72" t="s">
        <v>843</v>
      </c>
      <c r="P563" s="181" t="s">
        <v>844</v>
      </c>
    </row>
    <row r="564" spans="1:16" x14ac:dyDescent="0.2">
      <c r="A564" s="72" t="s">
        <v>823</v>
      </c>
      <c r="B564" s="72" t="s">
        <v>70</v>
      </c>
      <c r="C564" s="72" t="s">
        <v>122</v>
      </c>
      <c r="D564" s="72" t="s">
        <v>405</v>
      </c>
      <c r="E564" s="72">
        <v>1</v>
      </c>
      <c r="F564" s="72" t="s">
        <v>834</v>
      </c>
      <c r="G564" s="70">
        <v>13460</v>
      </c>
      <c r="H564" s="70">
        <v>12855</v>
      </c>
      <c r="I564" s="70">
        <v>605</v>
      </c>
      <c r="J564" s="153">
        <v>4.7100000000000003E-2</v>
      </c>
      <c r="K564" s="70">
        <v>13460</v>
      </c>
      <c r="L564" s="70">
        <v>12855</v>
      </c>
      <c r="M564" s="70">
        <v>605</v>
      </c>
      <c r="N564" s="153">
        <v>4.4900000000000002E-2</v>
      </c>
      <c r="O564" s="72" t="s">
        <v>843</v>
      </c>
      <c r="P564" s="181" t="s">
        <v>844</v>
      </c>
    </row>
    <row r="565" spans="1:16" x14ac:dyDescent="0.2">
      <c r="A565" s="72" t="s">
        <v>823</v>
      </c>
      <c r="B565" s="72" t="s">
        <v>45</v>
      </c>
      <c r="C565" s="72" t="s">
        <v>122</v>
      </c>
      <c r="D565" s="72" t="s">
        <v>405</v>
      </c>
      <c r="E565" s="72">
        <v>1</v>
      </c>
      <c r="F565" s="72" t="s">
        <v>834</v>
      </c>
      <c r="G565" s="70">
        <v>13950</v>
      </c>
      <c r="H565" s="70">
        <v>12746</v>
      </c>
      <c r="I565" s="70">
        <v>1204</v>
      </c>
      <c r="J565" s="153">
        <v>9.4500000000000001E-2</v>
      </c>
      <c r="K565" s="70">
        <v>13950</v>
      </c>
      <c r="L565" s="70">
        <v>12746</v>
      </c>
      <c r="M565" s="70">
        <v>1204</v>
      </c>
      <c r="N565" s="153">
        <v>8.6300000000000002E-2</v>
      </c>
      <c r="O565" s="72" t="s">
        <v>843</v>
      </c>
      <c r="P565" s="181" t="s">
        <v>844</v>
      </c>
    </row>
    <row r="566" spans="1:16" x14ac:dyDescent="0.2">
      <c r="A566" s="72" t="s">
        <v>823</v>
      </c>
      <c r="B566" s="72" t="s">
        <v>44</v>
      </c>
      <c r="C566" s="72" t="s">
        <v>122</v>
      </c>
      <c r="D566" s="72" t="s">
        <v>405</v>
      </c>
      <c r="E566" s="72">
        <v>1</v>
      </c>
      <c r="F566" s="72" t="s">
        <v>834</v>
      </c>
      <c r="G566" s="70">
        <v>9200</v>
      </c>
      <c r="H566" s="70">
        <v>8990</v>
      </c>
      <c r="I566" s="70">
        <v>210</v>
      </c>
      <c r="J566" s="153">
        <v>2.3400000000000001E-2</v>
      </c>
      <c r="K566" s="70">
        <v>9200</v>
      </c>
      <c r="L566" s="70">
        <v>8990</v>
      </c>
      <c r="M566" s="70">
        <v>210</v>
      </c>
      <c r="N566" s="153">
        <v>2.2800000000000001E-2</v>
      </c>
      <c r="O566" s="72" t="s">
        <v>843</v>
      </c>
      <c r="P566" s="181" t="s">
        <v>844</v>
      </c>
    </row>
    <row r="567" spans="1:16" x14ac:dyDescent="0.2">
      <c r="A567" s="72" t="s">
        <v>823</v>
      </c>
      <c r="B567" s="72" t="s">
        <v>22</v>
      </c>
      <c r="C567" s="72" t="s">
        <v>122</v>
      </c>
      <c r="D567" s="72" t="s">
        <v>405</v>
      </c>
      <c r="E567" s="72">
        <v>1</v>
      </c>
      <c r="F567" s="72" t="s">
        <v>834</v>
      </c>
      <c r="G567" s="70">
        <v>9200</v>
      </c>
      <c r="H567" s="70">
        <v>8657</v>
      </c>
      <c r="I567" s="70">
        <v>543</v>
      </c>
      <c r="J567" s="153">
        <v>6.2700000000000006E-2</v>
      </c>
      <c r="K567" s="70">
        <v>9200</v>
      </c>
      <c r="L567" s="70">
        <v>8657</v>
      </c>
      <c r="M567" s="70">
        <v>543</v>
      </c>
      <c r="N567" s="153">
        <v>5.8999999999999997E-2</v>
      </c>
      <c r="O567" s="72" t="s">
        <v>843</v>
      </c>
      <c r="P567" s="181" t="s">
        <v>844</v>
      </c>
    </row>
    <row r="568" spans="1:16" x14ac:dyDescent="0.2">
      <c r="A568" s="72" t="s">
        <v>823</v>
      </c>
      <c r="B568" s="72" t="s">
        <v>21</v>
      </c>
      <c r="C568" s="72" t="s">
        <v>122</v>
      </c>
      <c r="D568" s="72" t="s">
        <v>405</v>
      </c>
      <c r="E568" s="72">
        <v>1</v>
      </c>
      <c r="F568" s="72" t="s">
        <v>834</v>
      </c>
      <c r="G568" s="70">
        <v>9000</v>
      </c>
      <c r="H568" s="70">
        <v>8118</v>
      </c>
      <c r="I568" s="70">
        <v>882</v>
      </c>
      <c r="J568" s="153">
        <v>0.1086</v>
      </c>
      <c r="K568" s="70">
        <v>9000</v>
      </c>
      <c r="L568" s="70">
        <v>8118</v>
      </c>
      <c r="M568" s="70">
        <v>882</v>
      </c>
      <c r="N568" s="153">
        <v>9.8000000000000004E-2</v>
      </c>
      <c r="O568" s="72" t="s">
        <v>843</v>
      </c>
      <c r="P568" s="181" t="s">
        <v>844</v>
      </c>
    </row>
    <row r="569" spans="1:16" x14ac:dyDescent="0.2">
      <c r="A569" s="72" t="s">
        <v>823</v>
      </c>
      <c r="B569" s="72" t="s">
        <v>119</v>
      </c>
      <c r="C569" s="72" t="s">
        <v>15</v>
      </c>
      <c r="D569" s="72" t="s">
        <v>406</v>
      </c>
      <c r="E569" s="72">
        <v>1</v>
      </c>
      <c r="F569" s="72" t="s">
        <v>834</v>
      </c>
      <c r="G569" s="70">
        <v>13900</v>
      </c>
      <c r="H569" s="70">
        <v>12390</v>
      </c>
      <c r="I569" s="70">
        <v>1510</v>
      </c>
      <c r="J569" s="153">
        <v>0.12189999999999999</v>
      </c>
      <c r="K569" s="70">
        <v>13900</v>
      </c>
      <c r="L569" s="70">
        <v>12390</v>
      </c>
      <c r="M569" s="70">
        <v>1510</v>
      </c>
      <c r="N569" s="153">
        <v>0.1086</v>
      </c>
      <c r="O569" s="72" t="s">
        <v>843</v>
      </c>
      <c r="P569" s="181" t="s">
        <v>844</v>
      </c>
    </row>
    <row r="570" spans="1:16" x14ac:dyDescent="0.2">
      <c r="A570" s="72" t="s">
        <v>823</v>
      </c>
      <c r="B570" s="72" t="s">
        <v>37</v>
      </c>
      <c r="C570" s="72" t="s">
        <v>15</v>
      </c>
      <c r="D570" s="72" t="s">
        <v>406</v>
      </c>
      <c r="E570" s="72">
        <v>1</v>
      </c>
      <c r="F570" s="72" t="s">
        <v>834</v>
      </c>
      <c r="G570" s="70">
        <v>9200</v>
      </c>
      <c r="H570" s="70">
        <v>8525</v>
      </c>
      <c r="I570" s="70">
        <v>675</v>
      </c>
      <c r="J570" s="153">
        <v>7.9200000000000007E-2</v>
      </c>
      <c r="K570" s="70">
        <v>9200</v>
      </c>
      <c r="L570" s="70">
        <v>8525</v>
      </c>
      <c r="M570" s="70">
        <v>675</v>
      </c>
      <c r="N570" s="153">
        <v>7.3400000000000007E-2</v>
      </c>
      <c r="O570" s="72" t="s">
        <v>843</v>
      </c>
      <c r="P570" s="181" t="s">
        <v>844</v>
      </c>
    </row>
    <row r="571" spans="1:16" x14ac:dyDescent="0.2">
      <c r="A571" s="72" t="s">
        <v>824</v>
      </c>
      <c r="B571" s="72" t="s">
        <v>24</v>
      </c>
      <c r="C571" s="72" t="s">
        <v>50</v>
      </c>
      <c r="D571" s="72" t="s">
        <v>407</v>
      </c>
      <c r="E571" s="72">
        <v>496</v>
      </c>
      <c r="F571" s="72" t="s">
        <v>836</v>
      </c>
      <c r="G571" s="70">
        <v>5000</v>
      </c>
      <c r="H571" s="70">
        <v>5200</v>
      </c>
      <c r="I571" s="70">
        <v>-200</v>
      </c>
      <c r="J571" s="153">
        <v>-3.85E-2</v>
      </c>
      <c r="K571" s="70">
        <v>2480000</v>
      </c>
      <c r="L571" s="70">
        <v>2579200</v>
      </c>
      <c r="M571" s="70">
        <v>-99200</v>
      </c>
      <c r="N571" s="153">
        <v>-0.04</v>
      </c>
      <c r="O571" s="72" t="s">
        <v>843</v>
      </c>
      <c r="P571" s="182" t="s">
        <v>845</v>
      </c>
    </row>
    <row r="572" spans="1:16" x14ac:dyDescent="0.2">
      <c r="A572" s="72" t="s">
        <v>824</v>
      </c>
      <c r="B572" s="72" t="s">
        <v>101</v>
      </c>
      <c r="C572" s="72" t="s">
        <v>50</v>
      </c>
      <c r="D572" s="72" t="s">
        <v>409</v>
      </c>
      <c r="E572" s="72">
        <v>5</v>
      </c>
      <c r="F572" s="72" t="s">
        <v>834</v>
      </c>
      <c r="G572" s="70">
        <v>13550</v>
      </c>
      <c r="H572" s="70">
        <v>12920</v>
      </c>
      <c r="I572" s="70">
        <v>630</v>
      </c>
      <c r="J572" s="153">
        <v>4.8800000000000003E-2</v>
      </c>
      <c r="K572" s="70">
        <v>67750</v>
      </c>
      <c r="L572" s="70">
        <v>64600</v>
      </c>
      <c r="M572" s="70">
        <v>3150</v>
      </c>
      <c r="N572" s="153">
        <v>4.65E-2</v>
      </c>
      <c r="O572" s="72" t="s">
        <v>843</v>
      </c>
      <c r="P572" s="181" t="s">
        <v>844</v>
      </c>
    </row>
    <row r="573" spans="1:16" x14ac:dyDescent="0.2">
      <c r="A573" s="72" t="s">
        <v>824</v>
      </c>
      <c r="B573" s="72" t="s">
        <v>24</v>
      </c>
      <c r="C573" s="72" t="s">
        <v>25</v>
      </c>
      <c r="D573" s="72" t="s">
        <v>411</v>
      </c>
      <c r="E573" s="72">
        <v>248</v>
      </c>
      <c r="F573" s="72" t="s">
        <v>835</v>
      </c>
      <c r="G573" s="70">
        <v>5000</v>
      </c>
      <c r="H573" s="70">
        <v>5200</v>
      </c>
      <c r="I573" s="70">
        <v>-200</v>
      </c>
      <c r="J573" s="153">
        <v>-3.85E-2</v>
      </c>
      <c r="K573" s="70">
        <v>1240000</v>
      </c>
      <c r="L573" s="70">
        <v>1289600</v>
      </c>
      <c r="M573" s="70">
        <v>-49600</v>
      </c>
      <c r="N573" s="153">
        <v>-0.04</v>
      </c>
      <c r="O573" s="72" t="s">
        <v>843</v>
      </c>
      <c r="P573" s="182" t="s">
        <v>845</v>
      </c>
    </row>
    <row r="574" spans="1:16" x14ac:dyDescent="0.2">
      <c r="A574" s="72" t="s">
        <v>824</v>
      </c>
      <c r="B574" s="72" t="s">
        <v>22</v>
      </c>
      <c r="C574" s="72" t="s">
        <v>341</v>
      </c>
      <c r="D574" s="72" t="s">
        <v>412</v>
      </c>
      <c r="E574" s="72">
        <v>4</v>
      </c>
      <c r="F574" s="72" t="s">
        <v>834</v>
      </c>
      <c r="G574" s="70">
        <v>9335</v>
      </c>
      <c r="H574" s="70">
        <v>8657</v>
      </c>
      <c r="I574" s="70">
        <v>678</v>
      </c>
      <c r="J574" s="153">
        <v>7.8299999999999995E-2</v>
      </c>
      <c r="K574" s="70">
        <v>37340</v>
      </c>
      <c r="L574" s="70">
        <v>34628</v>
      </c>
      <c r="M574" s="70">
        <v>2712</v>
      </c>
      <c r="N574" s="153">
        <v>7.2599999999999998E-2</v>
      </c>
      <c r="O574" s="72" t="s">
        <v>843</v>
      </c>
      <c r="P574" s="181" t="s">
        <v>844</v>
      </c>
    </row>
    <row r="575" spans="1:16" x14ac:dyDescent="0.2">
      <c r="A575" s="72" t="s">
        <v>824</v>
      </c>
      <c r="B575" s="72" t="s">
        <v>45</v>
      </c>
      <c r="C575" s="72" t="s">
        <v>29</v>
      </c>
      <c r="D575" s="72" t="s">
        <v>414</v>
      </c>
      <c r="E575" s="72">
        <v>5</v>
      </c>
      <c r="F575" s="72" t="s">
        <v>834</v>
      </c>
      <c r="G575" s="70">
        <v>13335</v>
      </c>
      <c r="H575" s="70">
        <v>12746</v>
      </c>
      <c r="I575" s="70">
        <v>589</v>
      </c>
      <c r="J575" s="153">
        <v>4.6199999999999998E-2</v>
      </c>
      <c r="K575" s="70">
        <v>66675</v>
      </c>
      <c r="L575" s="70">
        <v>63730</v>
      </c>
      <c r="M575" s="70">
        <v>2945</v>
      </c>
      <c r="N575" s="153">
        <v>4.4200000000000003E-2</v>
      </c>
      <c r="O575" s="72" t="s">
        <v>843</v>
      </c>
      <c r="P575" s="181" t="s">
        <v>844</v>
      </c>
    </row>
    <row r="576" spans="1:16" x14ac:dyDescent="0.2">
      <c r="A576" s="72" t="s">
        <v>824</v>
      </c>
      <c r="B576" s="72" t="s">
        <v>44</v>
      </c>
      <c r="C576" s="72" t="s">
        <v>29</v>
      </c>
      <c r="D576" s="72" t="s">
        <v>414</v>
      </c>
      <c r="E576" s="72">
        <v>10</v>
      </c>
      <c r="F576" s="72" t="s">
        <v>834</v>
      </c>
      <c r="G576" s="70">
        <v>9200</v>
      </c>
      <c r="H576" s="70">
        <v>8990</v>
      </c>
      <c r="I576" s="70">
        <v>210</v>
      </c>
      <c r="J576" s="153">
        <v>2.3400000000000001E-2</v>
      </c>
      <c r="K576" s="70">
        <v>92000</v>
      </c>
      <c r="L576" s="70">
        <v>89900</v>
      </c>
      <c r="M576" s="70">
        <v>2100</v>
      </c>
      <c r="N576" s="153">
        <v>2.2800000000000001E-2</v>
      </c>
      <c r="O576" s="72" t="s">
        <v>843</v>
      </c>
      <c r="P576" s="181" t="s">
        <v>844</v>
      </c>
    </row>
    <row r="577" spans="1:16" x14ac:dyDescent="0.2">
      <c r="A577" s="72" t="s">
        <v>824</v>
      </c>
      <c r="B577" s="72" t="s">
        <v>22</v>
      </c>
      <c r="C577" s="72" t="s">
        <v>29</v>
      </c>
      <c r="D577" s="72" t="s">
        <v>414</v>
      </c>
      <c r="E577" s="72">
        <v>10</v>
      </c>
      <c r="F577" s="72" t="s">
        <v>834</v>
      </c>
      <c r="G577" s="70">
        <v>8800</v>
      </c>
      <c r="H577" s="70">
        <v>8657</v>
      </c>
      <c r="I577" s="70">
        <v>143</v>
      </c>
      <c r="J577" s="153">
        <v>1.6500000000000001E-2</v>
      </c>
      <c r="K577" s="70">
        <v>88000</v>
      </c>
      <c r="L577" s="70">
        <v>86570</v>
      </c>
      <c r="M577" s="70">
        <v>1430</v>
      </c>
      <c r="N577" s="153">
        <v>1.6299999999999999E-2</v>
      </c>
      <c r="O577" s="72" t="s">
        <v>843</v>
      </c>
      <c r="P577" s="181" t="s">
        <v>844</v>
      </c>
    </row>
    <row r="578" spans="1:16" x14ac:dyDescent="0.2">
      <c r="A578" s="72" t="s">
        <v>824</v>
      </c>
      <c r="B578" s="72" t="s">
        <v>87</v>
      </c>
      <c r="C578" s="72" t="s">
        <v>29</v>
      </c>
      <c r="D578" s="72" t="s">
        <v>414</v>
      </c>
      <c r="E578" s="72">
        <v>1</v>
      </c>
      <c r="F578" s="72" t="s">
        <v>834</v>
      </c>
      <c r="G578" s="70">
        <v>21400</v>
      </c>
      <c r="H578" s="70">
        <v>20440</v>
      </c>
      <c r="I578" s="70">
        <v>960</v>
      </c>
      <c r="J578" s="153">
        <v>4.7E-2</v>
      </c>
      <c r="K578" s="70">
        <v>21400</v>
      </c>
      <c r="L578" s="70">
        <v>20440</v>
      </c>
      <c r="M578" s="70">
        <v>960</v>
      </c>
      <c r="N578" s="153">
        <v>4.4900000000000002E-2</v>
      </c>
      <c r="O578" s="72" t="s">
        <v>843</v>
      </c>
      <c r="P578" s="181" t="s">
        <v>844</v>
      </c>
    </row>
    <row r="579" spans="1:16" x14ac:dyDescent="0.2">
      <c r="A579" s="72" t="s">
        <v>824</v>
      </c>
      <c r="B579" s="72" t="s">
        <v>36</v>
      </c>
      <c r="C579" s="72" t="s">
        <v>29</v>
      </c>
      <c r="D579" s="72" t="s">
        <v>414</v>
      </c>
      <c r="E579" s="72">
        <v>2</v>
      </c>
      <c r="F579" s="72" t="s">
        <v>834</v>
      </c>
      <c r="G579" s="70">
        <v>15525</v>
      </c>
      <c r="H579" s="70">
        <v>14900</v>
      </c>
      <c r="I579" s="70">
        <v>625</v>
      </c>
      <c r="J579" s="153">
        <v>4.19E-2</v>
      </c>
      <c r="K579" s="70">
        <v>31050</v>
      </c>
      <c r="L579" s="70">
        <v>29800</v>
      </c>
      <c r="M579" s="70">
        <v>1250</v>
      </c>
      <c r="N579" s="153">
        <v>4.0300000000000002E-2</v>
      </c>
      <c r="O579" s="72" t="s">
        <v>843</v>
      </c>
      <c r="P579" s="181" t="s">
        <v>844</v>
      </c>
    </row>
    <row r="580" spans="1:16" x14ac:dyDescent="0.2">
      <c r="A580" s="72" t="s">
        <v>824</v>
      </c>
      <c r="B580" s="72" t="s">
        <v>70</v>
      </c>
      <c r="C580" s="72" t="s">
        <v>29</v>
      </c>
      <c r="D580" s="72" t="s">
        <v>414</v>
      </c>
      <c r="E580" s="72">
        <v>1</v>
      </c>
      <c r="F580" s="72" t="s">
        <v>834</v>
      </c>
      <c r="G580" s="70">
        <v>13460</v>
      </c>
      <c r="H580" s="70">
        <v>12855</v>
      </c>
      <c r="I580" s="70">
        <v>605</v>
      </c>
      <c r="J580" s="153">
        <v>4.7100000000000003E-2</v>
      </c>
      <c r="K580" s="70">
        <v>13460</v>
      </c>
      <c r="L580" s="70">
        <v>12855</v>
      </c>
      <c r="M580" s="70">
        <v>605</v>
      </c>
      <c r="N580" s="153">
        <v>4.4900000000000002E-2</v>
      </c>
      <c r="O580" s="72" t="s">
        <v>843</v>
      </c>
      <c r="P580" s="181" t="s">
        <v>844</v>
      </c>
    </row>
    <row r="581" spans="1:16" x14ac:dyDescent="0.2">
      <c r="A581" s="72" t="s">
        <v>824</v>
      </c>
      <c r="B581" s="72" t="s">
        <v>65</v>
      </c>
      <c r="C581" s="72" t="s">
        <v>29</v>
      </c>
      <c r="D581" s="72" t="s">
        <v>414</v>
      </c>
      <c r="E581" s="72">
        <v>2</v>
      </c>
      <c r="F581" s="72" t="s">
        <v>834</v>
      </c>
      <c r="G581" s="70">
        <v>11910</v>
      </c>
      <c r="H581" s="70">
        <v>11315</v>
      </c>
      <c r="I581" s="70">
        <v>595</v>
      </c>
      <c r="J581" s="153">
        <v>5.2600000000000001E-2</v>
      </c>
      <c r="K581" s="70">
        <v>23820</v>
      </c>
      <c r="L581" s="70">
        <v>22630</v>
      </c>
      <c r="M581" s="70">
        <v>1190</v>
      </c>
      <c r="N581" s="153">
        <v>0.05</v>
      </c>
      <c r="O581" s="72" t="s">
        <v>843</v>
      </c>
      <c r="P581" s="181" t="s">
        <v>844</v>
      </c>
    </row>
    <row r="582" spans="1:16" x14ac:dyDescent="0.2">
      <c r="A582" s="72" t="s">
        <v>824</v>
      </c>
      <c r="B582" s="72" t="s">
        <v>22</v>
      </c>
      <c r="C582" s="72" t="s">
        <v>157</v>
      </c>
      <c r="D582" s="72" t="s">
        <v>416</v>
      </c>
      <c r="E582" s="72">
        <v>20</v>
      </c>
      <c r="F582" s="72" t="s">
        <v>834</v>
      </c>
      <c r="G582" s="70">
        <v>9200</v>
      </c>
      <c r="H582" s="70">
        <v>8657</v>
      </c>
      <c r="I582" s="70">
        <v>543</v>
      </c>
      <c r="J582" s="153">
        <v>6.2700000000000006E-2</v>
      </c>
      <c r="K582" s="70">
        <v>184000</v>
      </c>
      <c r="L582" s="70">
        <v>173140</v>
      </c>
      <c r="M582" s="70">
        <v>10860</v>
      </c>
      <c r="N582" s="153">
        <v>5.8999999999999997E-2</v>
      </c>
      <c r="O582" s="72" t="s">
        <v>843</v>
      </c>
      <c r="P582" s="181" t="s">
        <v>844</v>
      </c>
    </row>
    <row r="583" spans="1:16" x14ac:dyDescent="0.2">
      <c r="A583" s="72" t="s">
        <v>824</v>
      </c>
      <c r="B583" s="72" t="s">
        <v>44</v>
      </c>
      <c r="C583" s="72" t="s">
        <v>157</v>
      </c>
      <c r="D583" s="72" t="s">
        <v>416</v>
      </c>
      <c r="E583" s="72">
        <v>6</v>
      </c>
      <c r="F583" s="72" t="s">
        <v>834</v>
      </c>
      <c r="G583" s="70">
        <v>9200</v>
      </c>
      <c r="H583" s="70">
        <v>8990</v>
      </c>
      <c r="I583" s="70">
        <v>210</v>
      </c>
      <c r="J583" s="153">
        <v>2.3400000000000001E-2</v>
      </c>
      <c r="K583" s="70">
        <v>55200</v>
      </c>
      <c r="L583" s="70">
        <v>53940</v>
      </c>
      <c r="M583" s="70">
        <v>1260</v>
      </c>
      <c r="N583" s="153">
        <v>2.2800000000000001E-2</v>
      </c>
      <c r="O583" s="72" t="s">
        <v>843</v>
      </c>
      <c r="P583" s="181" t="s">
        <v>844</v>
      </c>
    </row>
    <row r="584" spans="1:16" x14ac:dyDescent="0.2">
      <c r="A584" s="72" t="s">
        <v>824</v>
      </c>
      <c r="B584" s="72" t="s">
        <v>37</v>
      </c>
      <c r="C584" s="72" t="s">
        <v>157</v>
      </c>
      <c r="D584" s="72" t="s">
        <v>416</v>
      </c>
      <c r="E584" s="72">
        <v>5</v>
      </c>
      <c r="F584" s="72" t="s">
        <v>834</v>
      </c>
      <c r="G584" s="70">
        <v>8880</v>
      </c>
      <c r="H584" s="70">
        <v>8525</v>
      </c>
      <c r="I584" s="70">
        <v>355</v>
      </c>
      <c r="J584" s="153">
        <v>4.1599999999999998E-2</v>
      </c>
      <c r="K584" s="70">
        <v>44400</v>
      </c>
      <c r="L584" s="70">
        <v>42625</v>
      </c>
      <c r="M584" s="70">
        <v>1775</v>
      </c>
      <c r="N584" s="153">
        <v>0.04</v>
      </c>
      <c r="O584" s="72" t="s">
        <v>843</v>
      </c>
      <c r="P584" s="181" t="s">
        <v>844</v>
      </c>
    </row>
    <row r="585" spans="1:16" x14ac:dyDescent="0.2">
      <c r="A585" s="72" t="s">
        <v>824</v>
      </c>
      <c r="B585" s="72" t="s">
        <v>100</v>
      </c>
      <c r="C585" s="72" t="s">
        <v>157</v>
      </c>
      <c r="D585" s="72" t="s">
        <v>416</v>
      </c>
      <c r="E585" s="72">
        <v>2</v>
      </c>
      <c r="F585" s="72" t="s">
        <v>834</v>
      </c>
      <c r="G585" s="70">
        <v>11480</v>
      </c>
      <c r="H585" s="70">
        <v>10915</v>
      </c>
      <c r="I585" s="70">
        <v>565</v>
      </c>
      <c r="J585" s="153">
        <v>5.1799999999999999E-2</v>
      </c>
      <c r="K585" s="70">
        <v>22960</v>
      </c>
      <c r="L585" s="70">
        <v>21830</v>
      </c>
      <c r="M585" s="70">
        <v>1130</v>
      </c>
      <c r="N585" s="153">
        <v>4.9200000000000001E-2</v>
      </c>
      <c r="O585" s="72" t="s">
        <v>843</v>
      </c>
      <c r="P585" s="181" t="s">
        <v>844</v>
      </c>
    </row>
    <row r="586" spans="1:16" x14ac:dyDescent="0.2">
      <c r="A586" s="72" t="s">
        <v>824</v>
      </c>
      <c r="B586" s="72" t="s">
        <v>80</v>
      </c>
      <c r="C586" s="72" t="s">
        <v>157</v>
      </c>
      <c r="D586" s="72" t="s">
        <v>416</v>
      </c>
      <c r="E586" s="72">
        <v>2</v>
      </c>
      <c r="F586" s="72" t="s">
        <v>834</v>
      </c>
      <c r="G586" s="70">
        <v>9345</v>
      </c>
      <c r="H586" s="70">
        <v>8970</v>
      </c>
      <c r="I586" s="70">
        <v>375</v>
      </c>
      <c r="J586" s="153">
        <v>4.1799999999999997E-2</v>
      </c>
      <c r="K586" s="70">
        <v>18690</v>
      </c>
      <c r="L586" s="70">
        <v>17940</v>
      </c>
      <c r="M586" s="70">
        <v>750</v>
      </c>
      <c r="N586" s="153">
        <v>4.0099999999999997E-2</v>
      </c>
      <c r="O586" s="72" t="s">
        <v>843</v>
      </c>
      <c r="P586" s="181" t="s">
        <v>844</v>
      </c>
    </row>
    <row r="587" spans="1:16" x14ac:dyDescent="0.2">
      <c r="A587" s="72" t="s">
        <v>824</v>
      </c>
      <c r="B587" s="72" t="s">
        <v>45</v>
      </c>
      <c r="C587" s="72" t="s">
        <v>157</v>
      </c>
      <c r="D587" s="72" t="s">
        <v>416</v>
      </c>
      <c r="E587" s="72">
        <v>4</v>
      </c>
      <c r="F587" s="72" t="s">
        <v>834</v>
      </c>
      <c r="G587" s="70">
        <v>13335</v>
      </c>
      <c r="H587" s="70">
        <v>12746</v>
      </c>
      <c r="I587" s="70">
        <v>589</v>
      </c>
      <c r="J587" s="153">
        <v>4.6199999999999998E-2</v>
      </c>
      <c r="K587" s="70">
        <v>53340</v>
      </c>
      <c r="L587" s="70">
        <v>50984</v>
      </c>
      <c r="M587" s="70">
        <v>2356</v>
      </c>
      <c r="N587" s="153">
        <v>4.4200000000000003E-2</v>
      </c>
      <c r="O587" s="72" t="s">
        <v>843</v>
      </c>
      <c r="P587" s="181" t="s">
        <v>844</v>
      </c>
    </row>
    <row r="588" spans="1:16" x14ac:dyDescent="0.2">
      <c r="A588" s="72" t="s">
        <v>824</v>
      </c>
      <c r="B588" s="72" t="s">
        <v>24</v>
      </c>
      <c r="C588" s="72" t="s">
        <v>29</v>
      </c>
      <c r="D588" s="72" t="s">
        <v>418</v>
      </c>
      <c r="E588" s="72">
        <v>60</v>
      </c>
      <c r="F588" s="72" t="s">
        <v>835</v>
      </c>
      <c r="G588" s="70">
        <v>5000</v>
      </c>
      <c r="H588" s="70">
        <v>5200</v>
      </c>
      <c r="I588" s="70">
        <v>-200</v>
      </c>
      <c r="J588" s="153">
        <v>-3.85E-2</v>
      </c>
      <c r="K588" s="70">
        <v>300000</v>
      </c>
      <c r="L588" s="70">
        <v>312000</v>
      </c>
      <c r="M588" s="70">
        <v>-12000</v>
      </c>
      <c r="N588" s="153">
        <v>-0.04</v>
      </c>
      <c r="O588" s="72" t="s">
        <v>843</v>
      </c>
      <c r="P588" s="182" t="s">
        <v>845</v>
      </c>
    </row>
    <row r="589" spans="1:16" x14ac:dyDescent="0.2">
      <c r="A589" s="72" t="s">
        <v>824</v>
      </c>
      <c r="B589" s="72" t="s">
        <v>22</v>
      </c>
      <c r="C589" s="72" t="s">
        <v>336</v>
      </c>
      <c r="D589" s="72" t="s">
        <v>420</v>
      </c>
      <c r="E589" s="72">
        <v>2</v>
      </c>
      <c r="F589" s="72" t="s">
        <v>834</v>
      </c>
      <c r="G589" s="70">
        <v>9200</v>
      </c>
      <c r="H589" s="70">
        <v>8657</v>
      </c>
      <c r="I589" s="70">
        <v>543</v>
      </c>
      <c r="J589" s="153">
        <v>6.2700000000000006E-2</v>
      </c>
      <c r="K589" s="70">
        <v>18400</v>
      </c>
      <c r="L589" s="70">
        <v>17314</v>
      </c>
      <c r="M589" s="70">
        <v>1086</v>
      </c>
      <c r="N589" s="153">
        <v>5.8999999999999997E-2</v>
      </c>
      <c r="O589" s="72" t="s">
        <v>843</v>
      </c>
      <c r="P589" s="181" t="s">
        <v>844</v>
      </c>
    </row>
    <row r="590" spans="1:16" x14ac:dyDescent="0.2">
      <c r="A590" s="72" t="s">
        <v>824</v>
      </c>
      <c r="B590" s="72" t="s">
        <v>21</v>
      </c>
      <c r="C590" s="72" t="s">
        <v>336</v>
      </c>
      <c r="D590" s="72" t="s">
        <v>420</v>
      </c>
      <c r="E590" s="72">
        <v>1</v>
      </c>
      <c r="F590" s="72" t="s">
        <v>834</v>
      </c>
      <c r="G590" s="70">
        <v>8500</v>
      </c>
      <c r="H590" s="70">
        <v>8118</v>
      </c>
      <c r="I590" s="70">
        <v>382</v>
      </c>
      <c r="J590" s="153">
        <v>4.7100000000000003E-2</v>
      </c>
      <c r="K590" s="70">
        <v>8500</v>
      </c>
      <c r="L590" s="70">
        <v>8118</v>
      </c>
      <c r="M590" s="70">
        <v>382</v>
      </c>
      <c r="N590" s="153">
        <v>4.4900000000000002E-2</v>
      </c>
      <c r="O590" s="72" t="s">
        <v>843</v>
      </c>
      <c r="P590" s="181" t="s">
        <v>844</v>
      </c>
    </row>
    <row r="591" spans="1:16" x14ac:dyDescent="0.2">
      <c r="A591" s="72" t="s">
        <v>824</v>
      </c>
      <c r="B591" s="72" t="s">
        <v>22</v>
      </c>
      <c r="C591" s="72" t="s">
        <v>25</v>
      </c>
      <c r="D591" s="72" t="s">
        <v>421</v>
      </c>
      <c r="E591" s="72">
        <v>15</v>
      </c>
      <c r="F591" s="72" t="s">
        <v>834</v>
      </c>
      <c r="G591" s="70">
        <v>9200</v>
      </c>
      <c r="H591" s="70">
        <v>8657</v>
      </c>
      <c r="I591" s="70">
        <v>543</v>
      </c>
      <c r="J591" s="153">
        <v>6.2700000000000006E-2</v>
      </c>
      <c r="K591" s="70">
        <v>138000</v>
      </c>
      <c r="L591" s="70">
        <v>129855</v>
      </c>
      <c r="M591" s="70">
        <v>8145</v>
      </c>
      <c r="N591" s="153">
        <v>5.8999999999999997E-2</v>
      </c>
      <c r="O591" s="72" t="s">
        <v>843</v>
      </c>
      <c r="P591" s="181" t="s">
        <v>844</v>
      </c>
    </row>
    <row r="592" spans="1:16" x14ac:dyDescent="0.2">
      <c r="A592" s="72" t="s">
        <v>824</v>
      </c>
      <c r="B592" s="72" t="s">
        <v>21</v>
      </c>
      <c r="C592" s="72" t="s">
        <v>25</v>
      </c>
      <c r="D592" s="72" t="s">
        <v>421</v>
      </c>
      <c r="E592" s="72">
        <v>15</v>
      </c>
      <c r="F592" s="72" t="s">
        <v>834</v>
      </c>
      <c r="G592" s="70">
        <v>8200</v>
      </c>
      <c r="H592" s="70">
        <v>8118</v>
      </c>
      <c r="I592" s="70">
        <v>82</v>
      </c>
      <c r="J592" s="153">
        <v>1.01E-2</v>
      </c>
      <c r="K592" s="70">
        <v>123000</v>
      </c>
      <c r="L592" s="70">
        <v>121770</v>
      </c>
      <c r="M592" s="70">
        <v>1230</v>
      </c>
      <c r="N592" s="153">
        <v>0.01</v>
      </c>
      <c r="O592" s="72" t="s">
        <v>843</v>
      </c>
      <c r="P592" s="181" t="s">
        <v>844</v>
      </c>
    </row>
    <row r="593" spans="1:16" x14ac:dyDescent="0.2">
      <c r="A593" s="72" t="s">
        <v>825</v>
      </c>
      <c r="B593" s="72" t="s">
        <v>22</v>
      </c>
      <c r="C593" s="72" t="s">
        <v>66</v>
      </c>
      <c r="D593" s="72" t="s">
        <v>422</v>
      </c>
      <c r="E593" s="72">
        <v>140</v>
      </c>
      <c r="F593" s="72" t="s">
        <v>835</v>
      </c>
      <c r="G593" s="70">
        <v>8500</v>
      </c>
      <c r="H593" s="70">
        <v>8657</v>
      </c>
      <c r="I593" s="70">
        <v>-157</v>
      </c>
      <c r="J593" s="153">
        <v>-1.8100000000000002E-2</v>
      </c>
      <c r="K593" s="70">
        <v>1190000</v>
      </c>
      <c r="L593" s="70">
        <v>1211980</v>
      </c>
      <c r="M593" s="70">
        <v>-21980</v>
      </c>
      <c r="N593" s="153">
        <v>-1.8499999999999999E-2</v>
      </c>
      <c r="O593" s="72" t="s">
        <v>843</v>
      </c>
      <c r="P593" s="182" t="s">
        <v>845</v>
      </c>
    </row>
    <row r="594" spans="1:16" x14ac:dyDescent="0.2">
      <c r="A594" s="72" t="s">
        <v>825</v>
      </c>
      <c r="B594" s="72" t="s">
        <v>44</v>
      </c>
      <c r="C594" s="72" t="s">
        <v>66</v>
      </c>
      <c r="D594" s="72" t="s">
        <v>422</v>
      </c>
      <c r="E594" s="72">
        <v>280</v>
      </c>
      <c r="F594" s="72" t="s">
        <v>835</v>
      </c>
      <c r="G594" s="70">
        <v>8990</v>
      </c>
      <c r="H594" s="70">
        <v>8990</v>
      </c>
      <c r="I594" s="70">
        <v>0</v>
      </c>
      <c r="J594" s="153">
        <v>0</v>
      </c>
      <c r="K594" s="70">
        <v>2517200</v>
      </c>
      <c r="L594" s="70">
        <v>2517200</v>
      </c>
      <c r="M594" s="70">
        <v>0</v>
      </c>
      <c r="N594" s="153">
        <v>0</v>
      </c>
      <c r="O594" s="72" t="s">
        <v>843</v>
      </c>
      <c r="P594" s="72" t="s">
        <v>846</v>
      </c>
    </row>
    <row r="595" spans="1:16" x14ac:dyDescent="0.2">
      <c r="A595" s="72" t="s">
        <v>825</v>
      </c>
      <c r="B595" s="72" t="s">
        <v>22</v>
      </c>
      <c r="C595" s="72" t="s">
        <v>102</v>
      </c>
      <c r="D595" s="72" t="s">
        <v>425</v>
      </c>
      <c r="E595" s="72">
        <v>1</v>
      </c>
      <c r="F595" s="72" t="s">
        <v>834</v>
      </c>
      <c r="G595" s="70">
        <v>9500</v>
      </c>
      <c r="H595" s="70">
        <v>8657</v>
      </c>
      <c r="I595" s="70">
        <v>843</v>
      </c>
      <c r="J595" s="153">
        <v>9.74E-2</v>
      </c>
      <c r="K595" s="70">
        <v>9500</v>
      </c>
      <c r="L595" s="70">
        <v>8657</v>
      </c>
      <c r="M595" s="70">
        <v>843</v>
      </c>
      <c r="N595" s="153">
        <v>8.8700000000000001E-2</v>
      </c>
      <c r="O595" s="72" t="s">
        <v>843</v>
      </c>
      <c r="P595" s="181" t="s">
        <v>844</v>
      </c>
    </row>
    <row r="596" spans="1:16" x14ac:dyDescent="0.2">
      <c r="A596" s="72" t="s">
        <v>825</v>
      </c>
      <c r="B596" s="72" t="s">
        <v>45</v>
      </c>
      <c r="C596" s="72" t="s">
        <v>102</v>
      </c>
      <c r="D596" s="72" t="s">
        <v>426</v>
      </c>
      <c r="E596" s="72">
        <v>1</v>
      </c>
      <c r="F596" s="72" t="s">
        <v>834</v>
      </c>
      <c r="G596" s="70">
        <v>13950</v>
      </c>
      <c r="H596" s="70">
        <v>12746</v>
      </c>
      <c r="I596" s="70">
        <v>1204</v>
      </c>
      <c r="J596" s="153">
        <v>9.4500000000000001E-2</v>
      </c>
      <c r="K596" s="70">
        <v>13950</v>
      </c>
      <c r="L596" s="70">
        <v>12746</v>
      </c>
      <c r="M596" s="70">
        <v>1204</v>
      </c>
      <c r="N596" s="153">
        <v>8.6300000000000002E-2</v>
      </c>
      <c r="O596" s="72" t="s">
        <v>843</v>
      </c>
      <c r="P596" s="181" t="s">
        <v>844</v>
      </c>
    </row>
    <row r="597" spans="1:16" x14ac:dyDescent="0.2">
      <c r="A597" s="72" t="s">
        <v>825</v>
      </c>
      <c r="B597" s="72" t="s">
        <v>22</v>
      </c>
      <c r="C597" s="72" t="s">
        <v>29</v>
      </c>
      <c r="D597" s="72" t="s">
        <v>427</v>
      </c>
      <c r="E597" s="72">
        <v>20</v>
      </c>
      <c r="F597" s="72" t="s">
        <v>834</v>
      </c>
      <c r="G597" s="70">
        <v>8800</v>
      </c>
      <c r="H597" s="70">
        <v>8657</v>
      </c>
      <c r="I597" s="70">
        <v>143</v>
      </c>
      <c r="J597" s="153">
        <v>1.6500000000000001E-2</v>
      </c>
      <c r="K597" s="70">
        <v>176000</v>
      </c>
      <c r="L597" s="70">
        <v>173140</v>
      </c>
      <c r="M597" s="70">
        <v>2860</v>
      </c>
      <c r="N597" s="153">
        <v>1.6299999999999999E-2</v>
      </c>
      <c r="O597" s="72" t="s">
        <v>843</v>
      </c>
      <c r="P597" s="181" t="s">
        <v>844</v>
      </c>
    </row>
    <row r="598" spans="1:16" x14ac:dyDescent="0.2">
      <c r="A598" s="72" t="s">
        <v>825</v>
      </c>
      <c r="B598" s="72" t="s">
        <v>24</v>
      </c>
      <c r="C598" s="72" t="s">
        <v>29</v>
      </c>
      <c r="D598" s="72" t="s">
        <v>427</v>
      </c>
      <c r="E598" s="72">
        <v>5</v>
      </c>
      <c r="F598" s="72" t="s">
        <v>834</v>
      </c>
      <c r="G598" s="70">
        <v>5000</v>
      </c>
      <c r="H598" s="70">
        <v>5200</v>
      </c>
      <c r="I598" s="70">
        <v>-200</v>
      </c>
      <c r="J598" s="153">
        <v>-3.85E-2</v>
      </c>
      <c r="K598" s="70">
        <v>25000</v>
      </c>
      <c r="L598" s="70">
        <v>26000</v>
      </c>
      <c r="M598" s="70">
        <v>-1000</v>
      </c>
      <c r="N598" s="153">
        <v>-0.04</v>
      </c>
      <c r="O598" s="72" t="s">
        <v>843</v>
      </c>
      <c r="P598" s="182" t="s">
        <v>845</v>
      </c>
    </row>
    <row r="599" spans="1:16" x14ac:dyDescent="0.2">
      <c r="A599" s="72" t="s">
        <v>825</v>
      </c>
      <c r="B599" s="72" t="s">
        <v>87</v>
      </c>
      <c r="C599" s="72" t="s">
        <v>29</v>
      </c>
      <c r="D599" s="72" t="s">
        <v>427</v>
      </c>
      <c r="E599" s="72">
        <v>1</v>
      </c>
      <c r="F599" s="72" t="s">
        <v>834</v>
      </c>
      <c r="G599" s="70">
        <v>21400</v>
      </c>
      <c r="H599" s="70">
        <v>20440</v>
      </c>
      <c r="I599" s="70">
        <v>960</v>
      </c>
      <c r="J599" s="153">
        <v>4.7E-2</v>
      </c>
      <c r="K599" s="70">
        <v>21400</v>
      </c>
      <c r="L599" s="70">
        <v>20440</v>
      </c>
      <c r="M599" s="70">
        <v>960</v>
      </c>
      <c r="N599" s="153">
        <v>4.4900000000000002E-2</v>
      </c>
      <c r="O599" s="72" t="s">
        <v>843</v>
      </c>
      <c r="P599" s="181" t="s">
        <v>844</v>
      </c>
    </row>
    <row r="600" spans="1:16" x14ac:dyDescent="0.2">
      <c r="A600" s="72" t="s">
        <v>825</v>
      </c>
      <c r="B600" s="72" t="s">
        <v>101</v>
      </c>
      <c r="C600" s="72" t="s">
        <v>29</v>
      </c>
      <c r="D600" s="72" t="s">
        <v>427</v>
      </c>
      <c r="E600" s="72">
        <v>3</v>
      </c>
      <c r="F600" s="72" t="s">
        <v>834</v>
      </c>
      <c r="G600" s="70">
        <v>13020</v>
      </c>
      <c r="H600" s="70">
        <v>12920</v>
      </c>
      <c r="I600" s="70">
        <v>100</v>
      </c>
      <c r="J600" s="153">
        <v>7.7000000000000002E-3</v>
      </c>
      <c r="K600" s="70">
        <v>39060</v>
      </c>
      <c r="L600" s="70">
        <v>38760</v>
      </c>
      <c r="M600" s="70">
        <v>300</v>
      </c>
      <c r="N600" s="153">
        <v>7.7000000000000002E-3</v>
      </c>
      <c r="O600" s="72" t="s">
        <v>843</v>
      </c>
      <c r="P600" s="181" t="s">
        <v>844</v>
      </c>
    </row>
    <row r="601" spans="1:16" x14ac:dyDescent="0.2">
      <c r="A601" s="72" t="s">
        <v>825</v>
      </c>
      <c r="B601" s="72" t="s">
        <v>44</v>
      </c>
      <c r="C601" s="72" t="s">
        <v>29</v>
      </c>
      <c r="D601" s="72" t="s">
        <v>427</v>
      </c>
      <c r="E601" s="72">
        <v>6</v>
      </c>
      <c r="F601" s="72" t="s">
        <v>834</v>
      </c>
      <c r="G601" s="70">
        <v>9200</v>
      </c>
      <c r="H601" s="70">
        <v>8990</v>
      </c>
      <c r="I601" s="70">
        <v>210</v>
      </c>
      <c r="J601" s="153">
        <v>2.3400000000000001E-2</v>
      </c>
      <c r="K601" s="70">
        <v>55200</v>
      </c>
      <c r="L601" s="70">
        <v>53940</v>
      </c>
      <c r="M601" s="70">
        <v>1260</v>
      </c>
      <c r="N601" s="153">
        <v>2.2800000000000001E-2</v>
      </c>
      <c r="O601" s="72" t="s">
        <v>843</v>
      </c>
      <c r="P601" s="181" t="s">
        <v>844</v>
      </c>
    </row>
    <row r="602" spans="1:16" x14ac:dyDescent="0.2">
      <c r="A602" s="72" t="s">
        <v>825</v>
      </c>
      <c r="B602" s="72" t="s">
        <v>113</v>
      </c>
      <c r="C602" s="72" t="s">
        <v>29</v>
      </c>
      <c r="D602" s="72" t="s">
        <v>427</v>
      </c>
      <c r="E602" s="72">
        <v>1</v>
      </c>
      <c r="F602" s="72" t="s">
        <v>834</v>
      </c>
      <c r="G602" s="70">
        <v>14575</v>
      </c>
      <c r="H602" s="70">
        <v>14475</v>
      </c>
      <c r="I602" s="70">
        <v>100</v>
      </c>
      <c r="J602" s="153">
        <v>6.8999999999999999E-3</v>
      </c>
      <c r="K602" s="70">
        <v>14575</v>
      </c>
      <c r="L602" s="70">
        <v>14475</v>
      </c>
      <c r="M602" s="70">
        <v>100</v>
      </c>
      <c r="N602" s="153">
        <v>6.8999999999999999E-3</v>
      </c>
      <c r="O602" s="72" t="s">
        <v>843</v>
      </c>
      <c r="P602" s="181" t="s">
        <v>844</v>
      </c>
    </row>
    <row r="603" spans="1:16" x14ac:dyDescent="0.2">
      <c r="A603" s="72" t="s">
        <v>825</v>
      </c>
      <c r="B603" s="72" t="s">
        <v>65</v>
      </c>
      <c r="C603" s="72" t="s">
        <v>29</v>
      </c>
      <c r="D603" s="72" t="s">
        <v>427</v>
      </c>
      <c r="E603" s="72">
        <v>1</v>
      </c>
      <c r="F603" s="72" t="s">
        <v>834</v>
      </c>
      <c r="G603" s="70">
        <v>11910</v>
      </c>
      <c r="H603" s="70">
        <v>11315</v>
      </c>
      <c r="I603" s="70">
        <v>595</v>
      </c>
      <c r="J603" s="153">
        <v>5.2600000000000001E-2</v>
      </c>
      <c r="K603" s="70">
        <v>11910</v>
      </c>
      <c r="L603" s="70">
        <v>11315</v>
      </c>
      <c r="M603" s="70">
        <v>595</v>
      </c>
      <c r="N603" s="153">
        <v>0.05</v>
      </c>
      <c r="O603" s="72" t="s">
        <v>843</v>
      </c>
      <c r="P603" s="181" t="s">
        <v>844</v>
      </c>
    </row>
    <row r="604" spans="1:16" x14ac:dyDescent="0.2">
      <c r="A604" s="72" t="s">
        <v>825</v>
      </c>
      <c r="B604" s="72" t="s">
        <v>45</v>
      </c>
      <c r="C604" s="72" t="s">
        <v>29</v>
      </c>
      <c r="D604" s="72" t="s">
        <v>427</v>
      </c>
      <c r="E604" s="72">
        <v>1</v>
      </c>
      <c r="F604" s="72" t="s">
        <v>834</v>
      </c>
      <c r="G604" s="70">
        <v>13335</v>
      </c>
      <c r="H604" s="70">
        <v>12746</v>
      </c>
      <c r="I604" s="70">
        <v>589</v>
      </c>
      <c r="J604" s="153">
        <v>4.6199999999999998E-2</v>
      </c>
      <c r="K604" s="70">
        <v>13335</v>
      </c>
      <c r="L604" s="70">
        <v>12746</v>
      </c>
      <c r="M604" s="70">
        <v>589</v>
      </c>
      <c r="N604" s="153">
        <v>4.4200000000000003E-2</v>
      </c>
      <c r="O604" s="72" t="s">
        <v>843</v>
      </c>
      <c r="P604" s="181" t="s">
        <v>844</v>
      </c>
    </row>
    <row r="605" spans="1:16" x14ac:dyDescent="0.2">
      <c r="A605" s="72" t="s">
        <v>825</v>
      </c>
      <c r="B605" s="72" t="s">
        <v>44</v>
      </c>
      <c r="C605" s="72" t="s">
        <v>15</v>
      </c>
      <c r="D605" s="72" t="s">
        <v>429</v>
      </c>
      <c r="E605" s="72">
        <v>1</v>
      </c>
      <c r="F605" s="72" t="s">
        <v>834</v>
      </c>
      <c r="G605" s="70">
        <v>9500</v>
      </c>
      <c r="H605" s="70">
        <v>8990</v>
      </c>
      <c r="I605" s="70">
        <v>510</v>
      </c>
      <c r="J605" s="153">
        <v>5.67E-2</v>
      </c>
      <c r="K605" s="70">
        <v>9500</v>
      </c>
      <c r="L605" s="70">
        <v>8990</v>
      </c>
      <c r="M605" s="70">
        <v>510</v>
      </c>
      <c r="N605" s="153">
        <v>5.3699999999999998E-2</v>
      </c>
      <c r="O605" s="72" t="s">
        <v>843</v>
      </c>
      <c r="P605" s="181" t="s">
        <v>844</v>
      </c>
    </row>
    <row r="606" spans="1:16" x14ac:dyDescent="0.2">
      <c r="A606" s="72" t="s">
        <v>825</v>
      </c>
      <c r="B606" s="72" t="s">
        <v>37</v>
      </c>
      <c r="C606" s="72" t="s">
        <v>15</v>
      </c>
      <c r="D606" s="72" t="s">
        <v>429</v>
      </c>
      <c r="E606" s="72">
        <v>1</v>
      </c>
      <c r="F606" s="72" t="s">
        <v>834</v>
      </c>
      <c r="G606" s="70">
        <v>9500</v>
      </c>
      <c r="H606" s="70">
        <v>8525</v>
      </c>
      <c r="I606" s="70">
        <v>975</v>
      </c>
      <c r="J606" s="153">
        <v>0.1144</v>
      </c>
      <c r="K606" s="70">
        <v>9500</v>
      </c>
      <c r="L606" s="70">
        <v>8525</v>
      </c>
      <c r="M606" s="70">
        <v>975</v>
      </c>
      <c r="N606" s="153">
        <v>0.1026</v>
      </c>
      <c r="O606" s="72" t="s">
        <v>843</v>
      </c>
      <c r="P606" s="181" t="s">
        <v>844</v>
      </c>
    </row>
    <row r="607" spans="1:16" x14ac:dyDescent="0.2">
      <c r="A607" s="72" t="s">
        <v>825</v>
      </c>
      <c r="B607" s="72" t="s">
        <v>24</v>
      </c>
      <c r="C607" s="72" t="s">
        <v>25</v>
      </c>
      <c r="D607" s="72" t="s">
        <v>430</v>
      </c>
      <c r="E607" s="72">
        <v>270</v>
      </c>
      <c r="F607" s="72" t="s">
        <v>835</v>
      </c>
      <c r="G607" s="70">
        <v>5000</v>
      </c>
      <c r="H607" s="70">
        <v>5200</v>
      </c>
      <c r="I607" s="70">
        <v>-200</v>
      </c>
      <c r="J607" s="153">
        <v>-3.85E-2</v>
      </c>
      <c r="K607" s="70">
        <v>1350000</v>
      </c>
      <c r="L607" s="70">
        <v>1404000</v>
      </c>
      <c r="M607" s="70">
        <v>-54000</v>
      </c>
      <c r="N607" s="153">
        <v>-0.04</v>
      </c>
      <c r="O607" s="72" t="s">
        <v>843</v>
      </c>
      <c r="P607" s="182" t="s">
        <v>845</v>
      </c>
    </row>
    <row r="608" spans="1:16" x14ac:dyDescent="0.2">
      <c r="A608" s="72" t="s">
        <v>825</v>
      </c>
      <c r="B608" s="72" t="s">
        <v>24</v>
      </c>
      <c r="C608" s="72" t="s">
        <v>104</v>
      </c>
      <c r="D608" s="72" t="s">
        <v>432</v>
      </c>
      <c r="E608" s="72">
        <v>15</v>
      </c>
      <c r="F608" s="72" t="s">
        <v>834</v>
      </c>
      <c r="G608" s="70">
        <v>5000</v>
      </c>
      <c r="H608" s="70">
        <v>5200</v>
      </c>
      <c r="I608" s="70">
        <v>-200</v>
      </c>
      <c r="J608" s="153">
        <v>-3.85E-2</v>
      </c>
      <c r="K608" s="70">
        <v>75000</v>
      </c>
      <c r="L608" s="70">
        <v>78000</v>
      </c>
      <c r="M608" s="70">
        <v>-3000</v>
      </c>
      <c r="N608" s="153">
        <v>-0.04</v>
      </c>
      <c r="O608" s="72" t="s">
        <v>843</v>
      </c>
      <c r="P608" s="182" t="s">
        <v>845</v>
      </c>
    </row>
    <row r="609" spans="1:16" x14ac:dyDescent="0.2">
      <c r="A609" s="72" t="s">
        <v>825</v>
      </c>
      <c r="B609" s="72" t="s">
        <v>22</v>
      </c>
      <c r="C609" s="72" t="s">
        <v>104</v>
      </c>
      <c r="D609" s="72" t="s">
        <v>432</v>
      </c>
      <c r="E609" s="72">
        <v>10</v>
      </c>
      <c r="F609" s="72" t="s">
        <v>834</v>
      </c>
      <c r="G609" s="70">
        <v>9200</v>
      </c>
      <c r="H609" s="70">
        <v>8657</v>
      </c>
      <c r="I609" s="70">
        <v>543</v>
      </c>
      <c r="J609" s="153">
        <v>6.2700000000000006E-2</v>
      </c>
      <c r="K609" s="70">
        <v>92000</v>
      </c>
      <c r="L609" s="70">
        <v>86570</v>
      </c>
      <c r="M609" s="70">
        <v>5430</v>
      </c>
      <c r="N609" s="153">
        <v>5.8999999999999997E-2</v>
      </c>
      <c r="O609" s="72" t="s">
        <v>843</v>
      </c>
      <c r="P609" s="181" t="s">
        <v>844</v>
      </c>
    </row>
    <row r="610" spans="1:16" x14ac:dyDescent="0.2">
      <c r="A610" s="72" t="s">
        <v>825</v>
      </c>
      <c r="B610" s="72" t="s">
        <v>44</v>
      </c>
      <c r="C610" s="72" t="s">
        <v>104</v>
      </c>
      <c r="D610" s="72" t="s">
        <v>432</v>
      </c>
      <c r="E610" s="72">
        <v>5</v>
      </c>
      <c r="F610" s="72" t="s">
        <v>834</v>
      </c>
      <c r="G610" s="70">
        <v>9200</v>
      </c>
      <c r="H610" s="70">
        <v>8990</v>
      </c>
      <c r="I610" s="70">
        <v>210</v>
      </c>
      <c r="J610" s="153">
        <v>2.3400000000000001E-2</v>
      </c>
      <c r="K610" s="70">
        <v>46000</v>
      </c>
      <c r="L610" s="70">
        <v>44950</v>
      </c>
      <c r="M610" s="70">
        <v>1050</v>
      </c>
      <c r="N610" s="153">
        <v>2.2800000000000001E-2</v>
      </c>
      <c r="O610" s="72" t="s">
        <v>843</v>
      </c>
      <c r="P610" s="181" t="s">
        <v>844</v>
      </c>
    </row>
    <row r="611" spans="1:16" x14ac:dyDescent="0.2">
      <c r="A611" s="72" t="s">
        <v>825</v>
      </c>
      <c r="B611" s="72" t="s">
        <v>45</v>
      </c>
      <c r="C611" s="72" t="s">
        <v>104</v>
      </c>
      <c r="D611" s="72" t="s">
        <v>432</v>
      </c>
      <c r="E611" s="72">
        <v>5</v>
      </c>
      <c r="F611" s="72" t="s">
        <v>834</v>
      </c>
      <c r="G611" s="70">
        <v>13335</v>
      </c>
      <c r="H611" s="70">
        <v>12746</v>
      </c>
      <c r="I611" s="70">
        <v>589</v>
      </c>
      <c r="J611" s="153">
        <v>4.6199999999999998E-2</v>
      </c>
      <c r="K611" s="70">
        <v>66675</v>
      </c>
      <c r="L611" s="70">
        <v>63730</v>
      </c>
      <c r="M611" s="70">
        <v>2945</v>
      </c>
      <c r="N611" s="153">
        <v>4.4200000000000003E-2</v>
      </c>
      <c r="O611" s="72" t="s">
        <v>843</v>
      </c>
      <c r="P611" s="181" t="s">
        <v>844</v>
      </c>
    </row>
    <row r="612" spans="1:16" x14ac:dyDescent="0.2">
      <c r="A612" s="72" t="s">
        <v>825</v>
      </c>
      <c r="B612" s="72" t="s">
        <v>100</v>
      </c>
      <c r="C612" s="72" t="s">
        <v>104</v>
      </c>
      <c r="D612" s="72" t="s">
        <v>432</v>
      </c>
      <c r="E612" s="72">
        <v>5</v>
      </c>
      <c r="F612" s="72" t="s">
        <v>834</v>
      </c>
      <c r="G612" s="70">
        <v>11480</v>
      </c>
      <c r="H612" s="70">
        <v>10915</v>
      </c>
      <c r="I612" s="70">
        <v>565</v>
      </c>
      <c r="J612" s="153">
        <v>5.1799999999999999E-2</v>
      </c>
      <c r="K612" s="70">
        <v>57400</v>
      </c>
      <c r="L612" s="70">
        <v>54575</v>
      </c>
      <c r="M612" s="70">
        <v>2825</v>
      </c>
      <c r="N612" s="153">
        <v>4.9200000000000001E-2</v>
      </c>
      <c r="O612" s="72" t="s">
        <v>843</v>
      </c>
      <c r="P612" s="181" t="s">
        <v>844</v>
      </c>
    </row>
    <row r="613" spans="1:16" x14ac:dyDescent="0.2">
      <c r="A613" s="72" t="s">
        <v>825</v>
      </c>
      <c r="B613" s="72" t="s">
        <v>22</v>
      </c>
      <c r="C613" s="72" t="s">
        <v>75</v>
      </c>
      <c r="D613" s="72" t="s">
        <v>433</v>
      </c>
      <c r="E613" s="72">
        <v>2</v>
      </c>
      <c r="F613" s="72" t="s">
        <v>834</v>
      </c>
      <c r="G613" s="70">
        <v>9335</v>
      </c>
      <c r="H613" s="70">
        <v>8657</v>
      </c>
      <c r="I613" s="70">
        <v>678</v>
      </c>
      <c r="J613" s="153">
        <v>7.8299999999999995E-2</v>
      </c>
      <c r="K613" s="70">
        <v>18670</v>
      </c>
      <c r="L613" s="70">
        <v>17314</v>
      </c>
      <c r="M613" s="70">
        <v>1356</v>
      </c>
      <c r="N613" s="153">
        <v>7.2599999999999998E-2</v>
      </c>
      <c r="O613" s="72" t="s">
        <v>843</v>
      </c>
      <c r="P613" s="181" t="s">
        <v>844</v>
      </c>
    </row>
    <row r="614" spans="1:16" x14ac:dyDescent="0.2">
      <c r="A614" s="72" t="s">
        <v>825</v>
      </c>
      <c r="B614" s="72" t="s">
        <v>65</v>
      </c>
      <c r="C614" s="72" t="s">
        <v>212</v>
      </c>
      <c r="D614" s="72" t="s">
        <v>434</v>
      </c>
      <c r="E614" s="72">
        <v>2</v>
      </c>
      <c r="F614" s="72" t="s">
        <v>834</v>
      </c>
      <c r="G614" s="70">
        <v>11910</v>
      </c>
      <c r="H614" s="70">
        <v>11315</v>
      </c>
      <c r="I614" s="70">
        <v>595</v>
      </c>
      <c r="J614" s="153">
        <v>5.2600000000000001E-2</v>
      </c>
      <c r="K614" s="70">
        <v>23820</v>
      </c>
      <c r="L614" s="70">
        <v>22630</v>
      </c>
      <c r="M614" s="70">
        <v>1190</v>
      </c>
      <c r="N614" s="153">
        <v>0.05</v>
      </c>
      <c r="O614" s="72" t="s">
        <v>843</v>
      </c>
      <c r="P614" s="181" t="s">
        <v>844</v>
      </c>
    </row>
    <row r="615" spans="1:16" x14ac:dyDescent="0.2">
      <c r="A615" s="72" t="s">
        <v>825</v>
      </c>
      <c r="B615" s="72" t="s">
        <v>101</v>
      </c>
      <c r="C615" s="72" t="s">
        <v>212</v>
      </c>
      <c r="D615" s="72" t="s">
        <v>434</v>
      </c>
      <c r="E615" s="72">
        <v>2</v>
      </c>
      <c r="F615" s="72" t="s">
        <v>834</v>
      </c>
      <c r="G615" s="70">
        <v>13550</v>
      </c>
      <c r="H615" s="70">
        <v>12920</v>
      </c>
      <c r="I615" s="70">
        <v>630</v>
      </c>
      <c r="J615" s="153">
        <v>4.8800000000000003E-2</v>
      </c>
      <c r="K615" s="70">
        <v>27100</v>
      </c>
      <c r="L615" s="70">
        <v>25840</v>
      </c>
      <c r="M615" s="70">
        <v>1260</v>
      </c>
      <c r="N615" s="153">
        <v>4.65E-2</v>
      </c>
      <c r="O615" s="72" t="s">
        <v>843</v>
      </c>
      <c r="P615" s="181" t="s">
        <v>844</v>
      </c>
    </row>
    <row r="616" spans="1:16" x14ac:dyDescent="0.2">
      <c r="A616" s="72" t="s">
        <v>825</v>
      </c>
      <c r="B616" s="72" t="s">
        <v>45</v>
      </c>
      <c r="C616" s="72" t="s">
        <v>212</v>
      </c>
      <c r="D616" s="72" t="s">
        <v>434</v>
      </c>
      <c r="E616" s="72">
        <v>4</v>
      </c>
      <c r="F616" s="72" t="s">
        <v>834</v>
      </c>
      <c r="G616" s="70">
        <v>13950</v>
      </c>
      <c r="H616" s="70">
        <v>12746</v>
      </c>
      <c r="I616" s="70">
        <v>1204</v>
      </c>
      <c r="J616" s="153">
        <v>9.4500000000000001E-2</v>
      </c>
      <c r="K616" s="70">
        <v>55800</v>
      </c>
      <c r="L616" s="70">
        <v>50984</v>
      </c>
      <c r="M616" s="70">
        <v>4816</v>
      </c>
      <c r="N616" s="153">
        <v>8.6300000000000002E-2</v>
      </c>
      <c r="O616" s="72" t="s">
        <v>843</v>
      </c>
      <c r="P616" s="181" t="s">
        <v>844</v>
      </c>
    </row>
    <row r="617" spans="1:16" x14ac:dyDescent="0.2">
      <c r="A617" s="72" t="s">
        <v>825</v>
      </c>
      <c r="B617" s="72" t="s">
        <v>22</v>
      </c>
      <c r="C617" s="72" t="s">
        <v>212</v>
      </c>
      <c r="D617" s="72" t="s">
        <v>434</v>
      </c>
      <c r="E617" s="72">
        <v>2</v>
      </c>
      <c r="F617" s="72" t="s">
        <v>834</v>
      </c>
      <c r="G617" s="70">
        <v>9200</v>
      </c>
      <c r="H617" s="70">
        <v>8657</v>
      </c>
      <c r="I617" s="70">
        <v>543</v>
      </c>
      <c r="J617" s="153">
        <v>6.2700000000000006E-2</v>
      </c>
      <c r="K617" s="70">
        <v>18400</v>
      </c>
      <c r="L617" s="70">
        <v>17314</v>
      </c>
      <c r="M617" s="70">
        <v>1086</v>
      </c>
      <c r="N617" s="153">
        <v>5.8999999999999997E-2</v>
      </c>
      <c r="O617" s="72" t="s">
        <v>843</v>
      </c>
      <c r="P617" s="181" t="s">
        <v>844</v>
      </c>
    </row>
    <row r="618" spans="1:16" x14ac:dyDescent="0.2">
      <c r="A618" s="72" t="s">
        <v>825</v>
      </c>
      <c r="B618" s="72" t="s">
        <v>21</v>
      </c>
      <c r="C618" s="72" t="s">
        <v>212</v>
      </c>
      <c r="D618" s="72" t="s">
        <v>434</v>
      </c>
      <c r="E618" s="72">
        <v>2</v>
      </c>
      <c r="F618" s="72" t="s">
        <v>834</v>
      </c>
      <c r="G618" s="70">
        <v>9000</v>
      </c>
      <c r="H618" s="70">
        <v>8118</v>
      </c>
      <c r="I618" s="70">
        <v>882</v>
      </c>
      <c r="J618" s="153">
        <v>0.1086</v>
      </c>
      <c r="K618" s="70">
        <v>18000</v>
      </c>
      <c r="L618" s="70">
        <v>16236</v>
      </c>
      <c r="M618" s="70">
        <v>1764</v>
      </c>
      <c r="N618" s="153">
        <v>9.8000000000000004E-2</v>
      </c>
      <c r="O618" s="72" t="s">
        <v>843</v>
      </c>
      <c r="P618" s="181" t="s">
        <v>844</v>
      </c>
    </row>
    <row r="619" spans="1:16" x14ac:dyDescent="0.2">
      <c r="A619" s="72" t="s">
        <v>825</v>
      </c>
      <c r="B619" s="72" t="s">
        <v>235</v>
      </c>
      <c r="C619" s="72" t="s">
        <v>212</v>
      </c>
      <c r="D619" s="72" t="s">
        <v>434</v>
      </c>
      <c r="E619" s="72">
        <v>1</v>
      </c>
      <c r="F619" s="72" t="s">
        <v>834</v>
      </c>
      <c r="G619" s="70">
        <v>9710</v>
      </c>
      <c r="H619" s="70">
        <v>9280</v>
      </c>
      <c r="I619" s="70">
        <v>430</v>
      </c>
      <c r="J619" s="153">
        <v>4.6300000000000001E-2</v>
      </c>
      <c r="K619" s="70">
        <v>9710</v>
      </c>
      <c r="L619" s="70">
        <v>9280</v>
      </c>
      <c r="M619" s="70">
        <v>430</v>
      </c>
      <c r="N619" s="153">
        <v>4.4299999999999999E-2</v>
      </c>
      <c r="O619" s="72" t="s">
        <v>843</v>
      </c>
      <c r="P619" s="181" t="s">
        <v>844</v>
      </c>
    </row>
    <row r="620" spans="1:16" x14ac:dyDescent="0.2">
      <c r="A620" s="72" t="s">
        <v>825</v>
      </c>
      <c r="B620" s="72" t="s">
        <v>21</v>
      </c>
      <c r="C620" s="72" t="s">
        <v>15</v>
      </c>
      <c r="D620" s="72" t="s">
        <v>435</v>
      </c>
      <c r="E620" s="72">
        <v>1</v>
      </c>
      <c r="F620" s="72" t="s">
        <v>834</v>
      </c>
      <c r="G620" s="70">
        <v>9000</v>
      </c>
      <c r="H620" s="70">
        <v>8118</v>
      </c>
      <c r="I620" s="70">
        <v>882</v>
      </c>
      <c r="J620" s="153">
        <v>0.1086</v>
      </c>
      <c r="K620" s="70">
        <v>9000</v>
      </c>
      <c r="L620" s="70">
        <v>8118</v>
      </c>
      <c r="M620" s="70">
        <v>882</v>
      </c>
      <c r="N620" s="153">
        <v>9.8000000000000004E-2</v>
      </c>
      <c r="O620" s="72" t="s">
        <v>843</v>
      </c>
      <c r="P620" s="181" t="s">
        <v>844</v>
      </c>
    </row>
    <row r="621" spans="1:16" x14ac:dyDescent="0.2">
      <c r="A621" s="72" t="s">
        <v>825</v>
      </c>
      <c r="B621" s="72" t="s">
        <v>22</v>
      </c>
      <c r="C621" s="72" t="s">
        <v>15</v>
      </c>
      <c r="D621" s="72" t="s">
        <v>435</v>
      </c>
      <c r="E621" s="72">
        <v>1</v>
      </c>
      <c r="F621" s="72" t="s">
        <v>834</v>
      </c>
      <c r="G621" s="70">
        <v>9500</v>
      </c>
      <c r="H621" s="70">
        <v>8657</v>
      </c>
      <c r="I621" s="70">
        <v>843</v>
      </c>
      <c r="J621" s="153">
        <v>9.74E-2</v>
      </c>
      <c r="K621" s="70">
        <v>9500</v>
      </c>
      <c r="L621" s="70">
        <v>8657</v>
      </c>
      <c r="M621" s="70">
        <v>843</v>
      </c>
      <c r="N621" s="153">
        <v>8.8700000000000001E-2</v>
      </c>
      <c r="O621" s="72" t="s">
        <v>843</v>
      </c>
      <c r="P621" s="181" t="s">
        <v>844</v>
      </c>
    </row>
    <row r="622" spans="1:16" x14ac:dyDescent="0.2">
      <c r="A622" s="72" t="s">
        <v>825</v>
      </c>
      <c r="B622" s="72" t="s">
        <v>44</v>
      </c>
      <c r="C622" s="72" t="s">
        <v>15</v>
      </c>
      <c r="D622" s="72" t="s">
        <v>435</v>
      </c>
      <c r="E622" s="72">
        <v>1</v>
      </c>
      <c r="F622" s="72" t="s">
        <v>834</v>
      </c>
      <c r="G622" s="70">
        <v>9500</v>
      </c>
      <c r="H622" s="70">
        <v>8990</v>
      </c>
      <c r="I622" s="70">
        <v>510</v>
      </c>
      <c r="J622" s="153">
        <v>5.67E-2</v>
      </c>
      <c r="K622" s="70">
        <v>9500</v>
      </c>
      <c r="L622" s="70">
        <v>8990</v>
      </c>
      <c r="M622" s="70">
        <v>510</v>
      </c>
      <c r="N622" s="153">
        <v>5.3699999999999998E-2</v>
      </c>
      <c r="O622" s="72" t="s">
        <v>843</v>
      </c>
      <c r="P622" s="181" t="s">
        <v>844</v>
      </c>
    </row>
    <row r="623" spans="1:16" x14ac:dyDescent="0.2">
      <c r="A623" s="72" t="s">
        <v>825</v>
      </c>
      <c r="B623" s="72" t="s">
        <v>65</v>
      </c>
      <c r="C623" s="72" t="s">
        <v>15</v>
      </c>
      <c r="D623" s="72" t="s">
        <v>435</v>
      </c>
      <c r="E623" s="72">
        <v>1</v>
      </c>
      <c r="F623" s="72" t="s">
        <v>834</v>
      </c>
      <c r="G623" s="70">
        <v>12525</v>
      </c>
      <c r="H623" s="70">
        <v>11315</v>
      </c>
      <c r="I623" s="70">
        <v>1210</v>
      </c>
      <c r="J623" s="153">
        <v>0.1069</v>
      </c>
      <c r="K623" s="70">
        <v>12525</v>
      </c>
      <c r="L623" s="70">
        <v>11315</v>
      </c>
      <c r="M623" s="70">
        <v>1210</v>
      </c>
      <c r="N623" s="153">
        <v>9.6600000000000005E-2</v>
      </c>
      <c r="O623" s="72" t="s">
        <v>843</v>
      </c>
      <c r="P623" s="181" t="s">
        <v>844</v>
      </c>
    </row>
    <row r="624" spans="1:16" x14ac:dyDescent="0.2">
      <c r="A624" s="72" t="s">
        <v>825</v>
      </c>
      <c r="B624" s="72" t="s">
        <v>24</v>
      </c>
      <c r="C624" s="72" t="s">
        <v>15</v>
      </c>
      <c r="D624" s="72" t="s">
        <v>435</v>
      </c>
      <c r="E624" s="72">
        <v>2</v>
      </c>
      <c r="F624" s="72" t="s">
        <v>834</v>
      </c>
      <c r="G624" s="70">
        <v>5200</v>
      </c>
      <c r="H624" s="70">
        <v>5200</v>
      </c>
      <c r="I624" s="70">
        <v>0</v>
      </c>
      <c r="J624" s="153">
        <v>0</v>
      </c>
      <c r="K624" s="70">
        <v>10400</v>
      </c>
      <c r="L624" s="70">
        <v>10400</v>
      </c>
      <c r="M624" s="70">
        <v>0</v>
      </c>
      <c r="N624" s="153">
        <v>0</v>
      </c>
      <c r="O624" s="72" t="s">
        <v>843</v>
      </c>
      <c r="P624" s="72" t="s">
        <v>846</v>
      </c>
    </row>
    <row r="625" spans="1:16" x14ac:dyDescent="0.2">
      <c r="A625" s="72" t="s">
        <v>825</v>
      </c>
      <c r="B625" s="72" t="s">
        <v>22</v>
      </c>
      <c r="C625" s="72" t="s">
        <v>394</v>
      </c>
      <c r="D625" s="72" t="s">
        <v>437</v>
      </c>
      <c r="E625" s="72">
        <v>20</v>
      </c>
      <c r="F625" s="72" t="s">
        <v>834</v>
      </c>
      <c r="G625" s="70">
        <v>9200</v>
      </c>
      <c r="H625" s="70">
        <v>8657</v>
      </c>
      <c r="I625" s="70">
        <v>543</v>
      </c>
      <c r="J625" s="153">
        <v>6.2700000000000006E-2</v>
      </c>
      <c r="K625" s="70">
        <v>184000</v>
      </c>
      <c r="L625" s="70">
        <v>173140</v>
      </c>
      <c r="M625" s="70">
        <v>10860</v>
      </c>
      <c r="N625" s="153">
        <v>5.8999999999999997E-2</v>
      </c>
      <c r="O625" s="72" t="s">
        <v>843</v>
      </c>
      <c r="P625" s="181" t="s">
        <v>844</v>
      </c>
    </row>
    <row r="626" spans="1:16" x14ac:dyDescent="0.2">
      <c r="A626" s="72" t="s">
        <v>825</v>
      </c>
      <c r="B626" s="72" t="s">
        <v>44</v>
      </c>
      <c r="C626" s="72" t="s">
        <v>394</v>
      </c>
      <c r="D626" s="72" t="s">
        <v>437</v>
      </c>
      <c r="E626" s="72">
        <v>5</v>
      </c>
      <c r="F626" s="72" t="s">
        <v>834</v>
      </c>
      <c r="G626" s="70">
        <v>9200</v>
      </c>
      <c r="H626" s="70">
        <v>8990</v>
      </c>
      <c r="I626" s="70">
        <v>210</v>
      </c>
      <c r="J626" s="153">
        <v>2.3400000000000001E-2</v>
      </c>
      <c r="K626" s="70">
        <v>46000</v>
      </c>
      <c r="L626" s="70">
        <v>44950</v>
      </c>
      <c r="M626" s="70">
        <v>1050</v>
      </c>
      <c r="N626" s="153">
        <v>2.2800000000000001E-2</v>
      </c>
      <c r="O626" s="72" t="s">
        <v>843</v>
      </c>
      <c r="P626" s="181" t="s">
        <v>844</v>
      </c>
    </row>
    <row r="627" spans="1:16" x14ac:dyDescent="0.2">
      <c r="A627" s="72" t="s">
        <v>825</v>
      </c>
      <c r="B627" s="72" t="s">
        <v>22</v>
      </c>
      <c r="C627" s="72" t="s">
        <v>75</v>
      </c>
      <c r="D627" s="72" t="s">
        <v>438</v>
      </c>
      <c r="E627" s="72">
        <v>2</v>
      </c>
      <c r="F627" s="72" t="s">
        <v>834</v>
      </c>
      <c r="G627" s="70">
        <v>9335</v>
      </c>
      <c r="H627" s="70">
        <v>8657</v>
      </c>
      <c r="I627" s="70">
        <v>678</v>
      </c>
      <c r="J627" s="153">
        <v>7.8299999999999995E-2</v>
      </c>
      <c r="K627" s="70">
        <v>18670</v>
      </c>
      <c r="L627" s="70">
        <v>17314</v>
      </c>
      <c r="M627" s="70">
        <v>1356</v>
      </c>
      <c r="N627" s="153">
        <v>7.2599999999999998E-2</v>
      </c>
      <c r="O627" s="72" t="s">
        <v>843</v>
      </c>
      <c r="P627" s="181" t="s">
        <v>844</v>
      </c>
    </row>
    <row r="628" spans="1:16" x14ac:dyDescent="0.2">
      <c r="A628" s="72" t="s">
        <v>825</v>
      </c>
      <c r="B628" s="72" t="s">
        <v>22</v>
      </c>
      <c r="C628" s="72" t="s">
        <v>75</v>
      </c>
      <c r="D628" s="72" t="s">
        <v>440</v>
      </c>
      <c r="E628" s="72">
        <v>60</v>
      </c>
      <c r="F628" s="72" t="s">
        <v>835</v>
      </c>
      <c r="G628" s="70">
        <v>9335</v>
      </c>
      <c r="H628" s="70">
        <v>8657</v>
      </c>
      <c r="I628" s="70">
        <v>678</v>
      </c>
      <c r="J628" s="153">
        <v>7.8299999999999995E-2</v>
      </c>
      <c r="K628" s="70">
        <v>560100</v>
      </c>
      <c r="L628" s="70">
        <v>519420</v>
      </c>
      <c r="M628" s="70">
        <v>40680</v>
      </c>
      <c r="N628" s="153">
        <v>7.2599999999999998E-2</v>
      </c>
      <c r="O628" s="72" t="s">
        <v>843</v>
      </c>
      <c r="P628" s="181" t="s">
        <v>844</v>
      </c>
    </row>
    <row r="629" spans="1:16" x14ac:dyDescent="0.2">
      <c r="A629" s="72" t="s">
        <v>838</v>
      </c>
      <c r="B629" s="72" t="s">
        <v>87</v>
      </c>
      <c r="C629" s="72" t="s">
        <v>104</v>
      </c>
      <c r="D629" s="72" t="s">
        <v>444</v>
      </c>
      <c r="E629" s="72">
        <v>1</v>
      </c>
      <c r="F629" s="72" t="s">
        <v>834</v>
      </c>
      <c r="G629" s="70">
        <v>21485</v>
      </c>
      <c r="H629" s="70">
        <v>20440</v>
      </c>
      <c r="I629" s="70">
        <v>1045</v>
      </c>
      <c r="J629" s="153">
        <v>5.11E-2</v>
      </c>
      <c r="K629" s="70">
        <v>21485</v>
      </c>
      <c r="L629" s="70">
        <v>20440</v>
      </c>
      <c r="M629" s="70">
        <v>1045</v>
      </c>
      <c r="N629" s="153">
        <v>4.8599999999999997E-2</v>
      </c>
      <c r="O629" s="72" t="s">
        <v>843</v>
      </c>
      <c r="P629" s="181" t="s">
        <v>844</v>
      </c>
    </row>
    <row r="630" spans="1:16" x14ac:dyDescent="0.2">
      <c r="A630" s="72" t="s">
        <v>838</v>
      </c>
      <c r="B630" s="72" t="s">
        <v>141</v>
      </c>
      <c r="C630" s="72" t="s">
        <v>104</v>
      </c>
      <c r="D630" s="72" t="s">
        <v>444</v>
      </c>
      <c r="E630" s="72">
        <v>2</v>
      </c>
      <c r="F630" s="72" t="s">
        <v>834</v>
      </c>
      <c r="G630" s="70">
        <v>14145</v>
      </c>
      <c r="H630" s="70">
        <v>13520</v>
      </c>
      <c r="I630" s="70">
        <v>625</v>
      </c>
      <c r="J630" s="153">
        <v>4.6199999999999998E-2</v>
      </c>
      <c r="K630" s="70">
        <v>28290</v>
      </c>
      <c r="L630" s="70">
        <v>27040</v>
      </c>
      <c r="M630" s="70">
        <v>1250</v>
      </c>
      <c r="N630" s="153">
        <v>4.4200000000000003E-2</v>
      </c>
      <c r="O630" s="72" t="s">
        <v>843</v>
      </c>
      <c r="P630" s="181" t="s">
        <v>844</v>
      </c>
    </row>
    <row r="631" spans="1:16" x14ac:dyDescent="0.2">
      <c r="A631" s="72" t="s">
        <v>838</v>
      </c>
      <c r="B631" s="72" t="s">
        <v>24</v>
      </c>
      <c r="C631" s="72" t="s">
        <v>15</v>
      </c>
      <c r="D631" s="72" t="s">
        <v>445</v>
      </c>
      <c r="E631" s="72">
        <v>1</v>
      </c>
      <c r="F631" s="72" t="s">
        <v>834</v>
      </c>
      <c r="G631" s="70">
        <v>5300</v>
      </c>
      <c r="H631" s="70">
        <v>5200</v>
      </c>
      <c r="I631" s="70">
        <v>100</v>
      </c>
      <c r="J631" s="153">
        <v>1.9199999999999998E-2</v>
      </c>
      <c r="K631" s="70">
        <v>5300</v>
      </c>
      <c r="L631" s="70">
        <v>5200</v>
      </c>
      <c r="M631" s="70">
        <v>100</v>
      </c>
      <c r="N631" s="153">
        <v>1.89E-2</v>
      </c>
      <c r="O631" s="72" t="s">
        <v>843</v>
      </c>
      <c r="P631" s="181" t="s">
        <v>844</v>
      </c>
    </row>
    <row r="632" spans="1:16" x14ac:dyDescent="0.2">
      <c r="A632" s="72" t="s">
        <v>838</v>
      </c>
      <c r="B632" s="72" t="s">
        <v>24</v>
      </c>
      <c r="C632" s="72" t="s">
        <v>59</v>
      </c>
      <c r="D632" s="72" t="s">
        <v>446</v>
      </c>
      <c r="E632" s="72">
        <v>260</v>
      </c>
      <c r="F632" s="72" t="s">
        <v>835</v>
      </c>
      <c r="G632" s="70">
        <v>5000</v>
      </c>
      <c r="H632" s="70">
        <v>5200</v>
      </c>
      <c r="I632" s="70">
        <v>-200</v>
      </c>
      <c r="J632" s="153">
        <v>-3.85E-2</v>
      </c>
      <c r="K632" s="70">
        <v>1300000</v>
      </c>
      <c r="L632" s="70">
        <v>1352000</v>
      </c>
      <c r="M632" s="70">
        <v>-52000</v>
      </c>
      <c r="N632" s="153">
        <v>-0.04</v>
      </c>
      <c r="O632" s="72" t="s">
        <v>843</v>
      </c>
      <c r="P632" s="182" t="s">
        <v>845</v>
      </c>
    </row>
    <row r="633" spans="1:16" x14ac:dyDescent="0.2">
      <c r="A633" s="72" t="s">
        <v>838</v>
      </c>
      <c r="B633" s="72" t="s">
        <v>22</v>
      </c>
      <c r="C633" s="72" t="s">
        <v>104</v>
      </c>
      <c r="D633" s="72" t="s">
        <v>448</v>
      </c>
      <c r="E633" s="72">
        <v>10</v>
      </c>
      <c r="F633" s="72" t="s">
        <v>834</v>
      </c>
      <c r="G633" s="70">
        <v>9200</v>
      </c>
      <c r="H633" s="70">
        <v>8657</v>
      </c>
      <c r="I633" s="70">
        <v>543</v>
      </c>
      <c r="J633" s="153">
        <v>6.2700000000000006E-2</v>
      </c>
      <c r="K633" s="70">
        <v>92000</v>
      </c>
      <c r="L633" s="70">
        <v>86570</v>
      </c>
      <c r="M633" s="70">
        <v>5430</v>
      </c>
      <c r="N633" s="153">
        <v>5.8999999999999997E-2</v>
      </c>
      <c r="O633" s="72" t="s">
        <v>843</v>
      </c>
      <c r="P633" s="181" t="s">
        <v>844</v>
      </c>
    </row>
    <row r="634" spans="1:16" x14ac:dyDescent="0.2">
      <c r="A634" s="72" t="s">
        <v>838</v>
      </c>
      <c r="B634" s="72" t="s">
        <v>24</v>
      </c>
      <c r="C634" s="72" t="s">
        <v>104</v>
      </c>
      <c r="D634" s="72" t="s">
        <v>448</v>
      </c>
      <c r="E634" s="72">
        <v>5</v>
      </c>
      <c r="F634" s="72" t="s">
        <v>834</v>
      </c>
      <c r="G634" s="70">
        <v>5000</v>
      </c>
      <c r="H634" s="70">
        <v>5200</v>
      </c>
      <c r="I634" s="70">
        <v>-200</v>
      </c>
      <c r="J634" s="153">
        <v>-3.85E-2</v>
      </c>
      <c r="K634" s="70">
        <v>25000</v>
      </c>
      <c r="L634" s="70">
        <v>26000</v>
      </c>
      <c r="M634" s="70">
        <v>-1000</v>
      </c>
      <c r="N634" s="153">
        <v>-0.04</v>
      </c>
      <c r="O634" s="72" t="s">
        <v>843</v>
      </c>
      <c r="P634" s="182" t="s">
        <v>845</v>
      </c>
    </row>
    <row r="635" spans="1:16" x14ac:dyDescent="0.2">
      <c r="A635" s="72" t="s">
        <v>838</v>
      </c>
      <c r="B635" s="72" t="s">
        <v>34</v>
      </c>
      <c r="C635" s="72" t="s">
        <v>253</v>
      </c>
      <c r="D635" s="72" t="s">
        <v>449</v>
      </c>
      <c r="E635" s="72">
        <v>5</v>
      </c>
      <c r="F635" s="72" t="s">
        <v>834</v>
      </c>
      <c r="G635" s="70">
        <v>22740</v>
      </c>
      <c r="H635" s="70">
        <v>21595</v>
      </c>
      <c r="I635" s="70">
        <v>1145</v>
      </c>
      <c r="J635" s="153">
        <v>5.2999999999999999E-2</v>
      </c>
      <c r="K635" s="70">
        <v>113700</v>
      </c>
      <c r="L635" s="70">
        <v>107975</v>
      </c>
      <c r="M635" s="70">
        <v>5725</v>
      </c>
      <c r="N635" s="153">
        <v>5.04E-2</v>
      </c>
      <c r="O635" s="72" t="s">
        <v>843</v>
      </c>
      <c r="P635" s="181" t="s">
        <v>844</v>
      </c>
    </row>
    <row r="636" spans="1:16" x14ac:dyDescent="0.2">
      <c r="A636" s="72" t="s">
        <v>838</v>
      </c>
      <c r="B636" s="72" t="s">
        <v>35</v>
      </c>
      <c r="C636" s="72" t="s">
        <v>253</v>
      </c>
      <c r="D636" s="72" t="s">
        <v>449</v>
      </c>
      <c r="E636" s="72">
        <v>3</v>
      </c>
      <c r="F636" s="72" t="s">
        <v>834</v>
      </c>
      <c r="G636" s="70">
        <v>21170</v>
      </c>
      <c r="H636" s="70">
        <v>20405</v>
      </c>
      <c r="I636" s="70">
        <v>765</v>
      </c>
      <c r="J636" s="153">
        <v>3.7499999999999999E-2</v>
      </c>
      <c r="K636" s="70">
        <v>63510</v>
      </c>
      <c r="L636" s="70">
        <v>61215</v>
      </c>
      <c r="M636" s="70">
        <v>2295</v>
      </c>
      <c r="N636" s="153">
        <v>3.61E-2</v>
      </c>
      <c r="O636" s="72" t="s">
        <v>843</v>
      </c>
      <c r="P636" s="181" t="s">
        <v>844</v>
      </c>
    </row>
    <row r="637" spans="1:16" x14ac:dyDescent="0.2">
      <c r="A637" s="72" t="s">
        <v>838</v>
      </c>
      <c r="B637" s="72" t="s">
        <v>22</v>
      </c>
      <c r="C637" s="72" t="s">
        <v>154</v>
      </c>
      <c r="D637" s="72" t="s">
        <v>450</v>
      </c>
      <c r="E637" s="72">
        <v>10</v>
      </c>
      <c r="F637" s="72" t="s">
        <v>834</v>
      </c>
      <c r="G637" s="70">
        <v>9200</v>
      </c>
      <c r="H637" s="70">
        <v>8657</v>
      </c>
      <c r="I637" s="70">
        <v>543</v>
      </c>
      <c r="J637" s="153">
        <v>6.2700000000000006E-2</v>
      </c>
      <c r="K637" s="70">
        <v>92000</v>
      </c>
      <c r="L637" s="70">
        <v>86570</v>
      </c>
      <c r="M637" s="70">
        <v>5430</v>
      </c>
      <c r="N637" s="153">
        <v>5.8999999999999997E-2</v>
      </c>
      <c r="O637" s="72" t="s">
        <v>843</v>
      </c>
      <c r="P637" s="181" t="s">
        <v>844</v>
      </c>
    </row>
    <row r="638" spans="1:16" x14ac:dyDescent="0.2">
      <c r="A638" s="72" t="s">
        <v>838</v>
      </c>
      <c r="B638" s="72" t="s">
        <v>22</v>
      </c>
      <c r="C638" s="72" t="s">
        <v>212</v>
      </c>
      <c r="D638" s="72" t="s">
        <v>451</v>
      </c>
      <c r="E638" s="72">
        <v>3</v>
      </c>
      <c r="F638" s="72" t="s">
        <v>834</v>
      </c>
      <c r="G638" s="70">
        <v>9200</v>
      </c>
      <c r="H638" s="70">
        <v>8657</v>
      </c>
      <c r="I638" s="70">
        <v>543</v>
      </c>
      <c r="J638" s="153">
        <v>6.2700000000000006E-2</v>
      </c>
      <c r="K638" s="70">
        <v>27600</v>
      </c>
      <c r="L638" s="70">
        <v>25971</v>
      </c>
      <c r="M638" s="70">
        <v>1629</v>
      </c>
      <c r="N638" s="153">
        <v>5.8999999999999997E-2</v>
      </c>
      <c r="O638" s="72" t="s">
        <v>843</v>
      </c>
      <c r="P638" s="181" t="s">
        <v>844</v>
      </c>
    </row>
    <row r="639" spans="1:16" x14ac:dyDescent="0.2">
      <c r="A639" s="72" t="s">
        <v>838</v>
      </c>
      <c r="B639" s="72" t="s">
        <v>22</v>
      </c>
      <c r="C639" s="72" t="s">
        <v>29</v>
      </c>
      <c r="D639" s="72" t="s">
        <v>452</v>
      </c>
      <c r="E639" s="72">
        <v>30</v>
      </c>
      <c r="F639" s="72" t="s">
        <v>834</v>
      </c>
      <c r="G639" s="70">
        <v>8800</v>
      </c>
      <c r="H639" s="70">
        <v>8657</v>
      </c>
      <c r="I639" s="70">
        <v>143</v>
      </c>
      <c r="J639" s="153">
        <v>1.6500000000000001E-2</v>
      </c>
      <c r="K639" s="70">
        <v>264000</v>
      </c>
      <c r="L639" s="70">
        <v>259710</v>
      </c>
      <c r="M639" s="70">
        <v>4290</v>
      </c>
      <c r="N639" s="153">
        <v>1.6299999999999999E-2</v>
      </c>
      <c r="O639" s="72" t="s">
        <v>843</v>
      </c>
      <c r="P639" s="181" t="s">
        <v>844</v>
      </c>
    </row>
    <row r="640" spans="1:16" x14ac:dyDescent="0.2">
      <c r="A640" s="72" t="s">
        <v>838</v>
      </c>
      <c r="B640" s="72" t="s">
        <v>37</v>
      </c>
      <c r="C640" s="72" t="s">
        <v>29</v>
      </c>
      <c r="D640" s="72" t="s">
        <v>452</v>
      </c>
      <c r="E640" s="72">
        <v>10</v>
      </c>
      <c r="F640" s="72" t="s">
        <v>834</v>
      </c>
      <c r="G640" s="70">
        <v>8880</v>
      </c>
      <c r="H640" s="70">
        <v>8525</v>
      </c>
      <c r="I640" s="70">
        <v>355</v>
      </c>
      <c r="J640" s="153">
        <v>4.1599999999999998E-2</v>
      </c>
      <c r="K640" s="70">
        <v>88800</v>
      </c>
      <c r="L640" s="70">
        <v>85250</v>
      </c>
      <c r="M640" s="70">
        <v>3550</v>
      </c>
      <c r="N640" s="153">
        <v>0.04</v>
      </c>
      <c r="O640" s="72" t="s">
        <v>843</v>
      </c>
      <c r="P640" s="181" t="s">
        <v>844</v>
      </c>
    </row>
    <row r="641" spans="1:16" x14ac:dyDescent="0.2">
      <c r="A641" s="72" t="s">
        <v>838</v>
      </c>
      <c r="B641" s="72" t="s">
        <v>44</v>
      </c>
      <c r="C641" s="72" t="s">
        <v>29</v>
      </c>
      <c r="D641" s="72" t="s">
        <v>452</v>
      </c>
      <c r="E641" s="72">
        <v>10</v>
      </c>
      <c r="F641" s="72" t="s">
        <v>834</v>
      </c>
      <c r="G641" s="70">
        <v>9200</v>
      </c>
      <c r="H641" s="70">
        <v>8990</v>
      </c>
      <c r="I641" s="70">
        <v>210</v>
      </c>
      <c r="J641" s="153">
        <v>2.3400000000000001E-2</v>
      </c>
      <c r="K641" s="70">
        <v>92000</v>
      </c>
      <c r="L641" s="70">
        <v>89900</v>
      </c>
      <c r="M641" s="70">
        <v>2100</v>
      </c>
      <c r="N641" s="153">
        <v>2.2800000000000001E-2</v>
      </c>
      <c r="O641" s="72" t="s">
        <v>843</v>
      </c>
      <c r="P641" s="181" t="s">
        <v>844</v>
      </c>
    </row>
    <row r="642" spans="1:16" x14ac:dyDescent="0.2">
      <c r="A642" s="72" t="s">
        <v>838</v>
      </c>
      <c r="B642" s="72" t="s">
        <v>45</v>
      </c>
      <c r="C642" s="72" t="s">
        <v>29</v>
      </c>
      <c r="D642" s="72" t="s">
        <v>452</v>
      </c>
      <c r="E642" s="72">
        <v>5</v>
      </c>
      <c r="F642" s="72" t="s">
        <v>834</v>
      </c>
      <c r="G642" s="70">
        <v>13335</v>
      </c>
      <c r="H642" s="70">
        <v>12746</v>
      </c>
      <c r="I642" s="70">
        <v>589</v>
      </c>
      <c r="J642" s="153">
        <v>4.6199999999999998E-2</v>
      </c>
      <c r="K642" s="70">
        <v>66675</v>
      </c>
      <c r="L642" s="70">
        <v>63730</v>
      </c>
      <c r="M642" s="70">
        <v>2945</v>
      </c>
      <c r="N642" s="153">
        <v>4.4200000000000003E-2</v>
      </c>
      <c r="O642" s="72" t="s">
        <v>843</v>
      </c>
      <c r="P642" s="181" t="s">
        <v>844</v>
      </c>
    </row>
    <row r="643" spans="1:16" x14ac:dyDescent="0.2">
      <c r="A643" s="72" t="s">
        <v>838</v>
      </c>
      <c r="B643" s="72" t="s">
        <v>22</v>
      </c>
      <c r="C643" s="72" t="s">
        <v>75</v>
      </c>
      <c r="D643" s="72" t="s">
        <v>454</v>
      </c>
      <c r="E643" s="72">
        <v>1</v>
      </c>
      <c r="F643" s="72" t="s">
        <v>834</v>
      </c>
      <c r="G643" s="70">
        <v>9335</v>
      </c>
      <c r="H643" s="70">
        <v>8657</v>
      </c>
      <c r="I643" s="70">
        <v>678</v>
      </c>
      <c r="J643" s="153">
        <v>7.8299999999999995E-2</v>
      </c>
      <c r="K643" s="70">
        <v>9335</v>
      </c>
      <c r="L643" s="70">
        <v>8657</v>
      </c>
      <c r="M643" s="70">
        <v>678</v>
      </c>
      <c r="N643" s="153">
        <v>7.2599999999999998E-2</v>
      </c>
      <c r="O643" s="72" t="s">
        <v>843</v>
      </c>
      <c r="P643" s="181" t="s">
        <v>844</v>
      </c>
    </row>
    <row r="644" spans="1:16" x14ac:dyDescent="0.2">
      <c r="A644" s="72" t="s">
        <v>838</v>
      </c>
      <c r="B644" s="72" t="s">
        <v>22</v>
      </c>
      <c r="C644" s="72" t="s">
        <v>75</v>
      </c>
      <c r="D644" s="72" t="s">
        <v>456</v>
      </c>
      <c r="E644" s="72">
        <v>3</v>
      </c>
      <c r="F644" s="72" t="s">
        <v>834</v>
      </c>
      <c r="G644" s="70">
        <v>8800</v>
      </c>
      <c r="H644" s="70">
        <v>8657</v>
      </c>
      <c r="I644" s="70">
        <v>143</v>
      </c>
      <c r="J644" s="153">
        <v>1.6500000000000001E-2</v>
      </c>
      <c r="K644" s="70">
        <v>26400</v>
      </c>
      <c r="L644" s="70">
        <v>25971</v>
      </c>
      <c r="M644" s="70">
        <v>429</v>
      </c>
      <c r="N644" s="153">
        <v>1.6299999999999999E-2</v>
      </c>
      <c r="O644" s="72" t="s">
        <v>843</v>
      </c>
      <c r="P644" s="181" t="s">
        <v>844</v>
      </c>
    </row>
    <row r="645" spans="1:16" x14ac:dyDescent="0.2">
      <c r="A645" s="72" t="s">
        <v>838</v>
      </c>
      <c r="B645" s="72" t="s">
        <v>45</v>
      </c>
      <c r="C645" s="72" t="s">
        <v>458</v>
      </c>
      <c r="D645" s="72" t="s">
        <v>459</v>
      </c>
      <c r="E645" s="72">
        <v>1</v>
      </c>
      <c r="F645" s="72" t="s">
        <v>834</v>
      </c>
      <c r="G645" s="70">
        <v>13335</v>
      </c>
      <c r="H645" s="70">
        <v>12746</v>
      </c>
      <c r="I645" s="70">
        <v>589</v>
      </c>
      <c r="J645" s="153">
        <v>4.6199999999999998E-2</v>
      </c>
      <c r="K645" s="70">
        <v>13335</v>
      </c>
      <c r="L645" s="70">
        <v>12746</v>
      </c>
      <c r="M645" s="70">
        <v>589</v>
      </c>
      <c r="N645" s="153">
        <v>4.4200000000000003E-2</v>
      </c>
      <c r="O645" s="72" t="s">
        <v>843</v>
      </c>
      <c r="P645" s="181" t="s">
        <v>844</v>
      </c>
    </row>
    <row r="646" spans="1:16" x14ac:dyDescent="0.2">
      <c r="A646" s="72" t="s">
        <v>838</v>
      </c>
      <c r="B646" s="72" t="s">
        <v>21</v>
      </c>
      <c r="C646" s="72" t="s">
        <v>458</v>
      </c>
      <c r="D646" s="72" t="s">
        <v>459</v>
      </c>
      <c r="E646" s="72">
        <v>1</v>
      </c>
      <c r="F646" s="72" t="s">
        <v>834</v>
      </c>
      <c r="G646" s="70">
        <v>8500</v>
      </c>
      <c r="H646" s="70">
        <v>8118</v>
      </c>
      <c r="I646" s="70">
        <v>382</v>
      </c>
      <c r="J646" s="153">
        <v>4.7100000000000003E-2</v>
      </c>
      <c r="K646" s="70">
        <v>8500</v>
      </c>
      <c r="L646" s="70">
        <v>8118</v>
      </c>
      <c r="M646" s="70">
        <v>382</v>
      </c>
      <c r="N646" s="153">
        <v>4.4900000000000002E-2</v>
      </c>
      <c r="O646" s="72" t="s">
        <v>843</v>
      </c>
      <c r="P646" s="181" t="s">
        <v>844</v>
      </c>
    </row>
    <row r="647" spans="1:16" x14ac:dyDescent="0.2">
      <c r="A647" s="72" t="s">
        <v>838</v>
      </c>
      <c r="B647" s="72" t="s">
        <v>22</v>
      </c>
      <c r="C647" s="72" t="s">
        <v>458</v>
      </c>
      <c r="D647" s="72" t="s">
        <v>459</v>
      </c>
      <c r="E647" s="72">
        <v>1</v>
      </c>
      <c r="F647" s="72" t="s">
        <v>834</v>
      </c>
      <c r="G647" s="70">
        <v>9200</v>
      </c>
      <c r="H647" s="70">
        <v>8657</v>
      </c>
      <c r="I647" s="70">
        <v>543</v>
      </c>
      <c r="J647" s="153">
        <v>6.2700000000000006E-2</v>
      </c>
      <c r="K647" s="70">
        <v>9200</v>
      </c>
      <c r="L647" s="70">
        <v>8657</v>
      </c>
      <c r="M647" s="70">
        <v>543</v>
      </c>
      <c r="N647" s="153">
        <v>5.8999999999999997E-2</v>
      </c>
      <c r="O647" s="72" t="s">
        <v>843</v>
      </c>
      <c r="P647" s="181" t="s">
        <v>844</v>
      </c>
    </row>
    <row r="648" spans="1:16" x14ac:dyDescent="0.2">
      <c r="A648" s="72" t="s">
        <v>838</v>
      </c>
      <c r="B648" s="72" t="s">
        <v>34</v>
      </c>
      <c r="C648" s="72" t="s">
        <v>458</v>
      </c>
      <c r="D648" s="72" t="s">
        <v>459</v>
      </c>
      <c r="E648" s="72">
        <v>1</v>
      </c>
      <c r="F648" s="72" t="s">
        <v>834</v>
      </c>
      <c r="G648" s="70">
        <v>22740</v>
      </c>
      <c r="H648" s="70">
        <v>21595</v>
      </c>
      <c r="I648" s="70">
        <v>1145</v>
      </c>
      <c r="J648" s="153">
        <v>5.2999999999999999E-2</v>
      </c>
      <c r="K648" s="70">
        <v>22740</v>
      </c>
      <c r="L648" s="70">
        <v>21595</v>
      </c>
      <c r="M648" s="70">
        <v>1145</v>
      </c>
      <c r="N648" s="153">
        <v>5.04E-2</v>
      </c>
      <c r="O648" s="72" t="s">
        <v>843</v>
      </c>
      <c r="P648" s="181" t="s">
        <v>844</v>
      </c>
    </row>
    <row r="649" spans="1:16" s="171" customFormat="1" x14ac:dyDescent="0.2">
      <c r="A649" s="172" t="s">
        <v>838</v>
      </c>
      <c r="B649" s="172" t="s">
        <v>460</v>
      </c>
      <c r="C649" s="172" t="s">
        <v>458</v>
      </c>
      <c r="D649" s="172" t="s">
        <v>459</v>
      </c>
      <c r="E649" s="172">
        <v>1</v>
      </c>
      <c r="F649" s="172" t="s">
        <v>834</v>
      </c>
      <c r="G649" s="173">
        <v>4200</v>
      </c>
      <c r="H649" s="172">
        <v>4000</v>
      </c>
      <c r="I649" s="172">
        <v>200</v>
      </c>
      <c r="J649" s="175">
        <f>I649/H649</f>
        <v>0.05</v>
      </c>
      <c r="K649" s="173">
        <v>4200</v>
      </c>
      <c r="L649" s="172">
        <v>4000</v>
      </c>
      <c r="M649" s="172">
        <v>200</v>
      </c>
      <c r="N649" s="175">
        <f>M649/K649</f>
        <v>4.7619047619047616E-2</v>
      </c>
      <c r="O649" s="172" t="s">
        <v>843</v>
      </c>
      <c r="P649" s="183" t="s">
        <v>844</v>
      </c>
    </row>
    <row r="650" spans="1:16" x14ac:dyDescent="0.2">
      <c r="A650" s="72" t="s">
        <v>838</v>
      </c>
      <c r="B650" s="72" t="s">
        <v>33</v>
      </c>
      <c r="C650" s="72" t="s">
        <v>458</v>
      </c>
      <c r="D650" s="72" t="s">
        <v>459</v>
      </c>
      <c r="E650" s="72">
        <v>1</v>
      </c>
      <c r="F650" s="72" t="s">
        <v>834</v>
      </c>
      <c r="G650" s="70">
        <v>16145</v>
      </c>
      <c r="H650" s="70">
        <v>15555</v>
      </c>
      <c r="I650" s="70">
        <v>590</v>
      </c>
      <c r="J650" s="153">
        <v>3.7900000000000003E-2</v>
      </c>
      <c r="K650" s="70">
        <v>16145</v>
      </c>
      <c r="L650" s="70">
        <v>15555</v>
      </c>
      <c r="M650" s="70">
        <v>590</v>
      </c>
      <c r="N650" s="153">
        <v>3.6499999999999998E-2</v>
      </c>
      <c r="O650" s="72" t="s">
        <v>843</v>
      </c>
      <c r="P650" s="181" t="s">
        <v>844</v>
      </c>
    </row>
    <row r="651" spans="1:16" x14ac:dyDescent="0.2">
      <c r="A651" s="72" t="s">
        <v>838</v>
      </c>
      <c r="B651" s="72" t="s">
        <v>24</v>
      </c>
      <c r="C651" s="72" t="s">
        <v>15</v>
      </c>
      <c r="D651" s="72" t="s">
        <v>461</v>
      </c>
      <c r="E651" s="72">
        <v>1</v>
      </c>
      <c r="F651" s="72" t="s">
        <v>834</v>
      </c>
      <c r="G651" s="70">
        <v>5300</v>
      </c>
      <c r="H651" s="70">
        <v>5200</v>
      </c>
      <c r="I651" s="70">
        <v>100</v>
      </c>
      <c r="J651" s="153">
        <v>1.9199999999999998E-2</v>
      </c>
      <c r="K651" s="70">
        <v>5300</v>
      </c>
      <c r="L651" s="70">
        <v>5200</v>
      </c>
      <c r="M651" s="70">
        <v>100</v>
      </c>
      <c r="N651" s="153">
        <v>1.89E-2</v>
      </c>
      <c r="O651" s="72" t="s">
        <v>843</v>
      </c>
      <c r="P651" s="181" t="s">
        <v>844</v>
      </c>
    </row>
    <row r="652" spans="1:16" x14ac:dyDescent="0.2">
      <c r="A652" s="72" t="s">
        <v>838</v>
      </c>
      <c r="B652" s="72" t="s">
        <v>32</v>
      </c>
      <c r="C652" s="72" t="s">
        <v>104</v>
      </c>
      <c r="D652" s="72" t="s">
        <v>462</v>
      </c>
      <c r="E652" s="72">
        <v>5</v>
      </c>
      <c r="F652" s="72" t="s">
        <v>834</v>
      </c>
      <c r="G652" s="70">
        <v>16145</v>
      </c>
      <c r="H652" s="70">
        <v>15247</v>
      </c>
      <c r="I652" s="70">
        <v>898</v>
      </c>
      <c r="J652" s="153">
        <v>5.8900000000000001E-2</v>
      </c>
      <c r="K652" s="70">
        <v>80725</v>
      </c>
      <c r="L652" s="70">
        <v>76235</v>
      </c>
      <c r="M652" s="70">
        <v>4490</v>
      </c>
      <c r="N652" s="153">
        <v>5.5599999999999997E-2</v>
      </c>
      <c r="O652" s="72" t="s">
        <v>843</v>
      </c>
      <c r="P652" s="181" t="s">
        <v>844</v>
      </c>
    </row>
    <row r="653" spans="1:16" x14ac:dyDescent="0.2">
      <c r="A653" s="72" t="s">
        <v>838</v>
      </c>
      <c r="B653" s="72" t="s">
        <v>22</v>
      </c>
      <c r="C653" s="72" t="s">
        <v>122</v>
      </c>
      <c r="D653" s="72" t="s">
        <v>463</v>
      </c>
      <c r="E653" s="72">
        <v>2</v>
      </c>
      <c r="F653" s="72" t="s">
        <v>834</v>
      </c>
      <c r="G653" s="70">
        <v>9200</v>
      </c>
      <c r="H653" s="70">
        <v>8657</v>
      </c>
      <c r="I653" s="70">
        <v>543</v>
      </c>
      <c r="J653" s="153">
        <v>6.2700000000000006E-2</v>
      </c>
      <c r="K653" s="70">
        <v>18400</v>
      </c>
      <c r="L653" s="70">
        <v>17314</v>
      </c>
      <c r="M653" s="70">
        <v>1086</v>
      </c>
      <c r="N653" s="153">
        <v>5.8999999999999997E-2</v>
      </c>
      <c r="O653" s="72" t="s">
        <v>843</v>
      </c>
      <c r="P653" s="181" t="s">
        <v>844</v>
      </c>
    </row>
    <row r="654" spans="1:16" x14ac:dyDescent="0.2">
      <c r="A654" s="72" t="s">
        <v>838</v>
      </c>
      <c r="B654" s="72" t="s">
        <v>37</v>
      </c>
      <c r="C654" s="72" t="s">
        <v>122</v>
      </c>
      <c r="D654" s="72" t="s">
        <v>463</v>
      </c>
      <c r="E654" s="72">
        <v>1</v>
      </c>
      <c r="F654" s="72" t="s">
        <v>834</v>
      </c>
      <c r="G654" s="70">
        <v>9200</v>
      </c>
      <c r="H654" s="70">
        <v>8525</v>
      </c>
      <c r="I654" s="70">
        <v>675</v>
      </c>
      <c r="J654" s="153">
        <v>7.9200000000000007E-2</v>
      </c>
      <c r="K654" s="70">
        <v>9200</v>
      </c>
      <c r="L654" s="70">
        <v>8525</v>
      </c>
      <c r="M654" s="70">
        <v>675</v>
      </c>
      <c r="N654" s="153">
        <v>7.3400000000000007E-2</v>
      </c>
      <c r="O654" s="72" t="s">
        <v>843</v>
      </c>
      <c r="P654" s="181" t="s">
        <v>844</v>
      </c>
    </row>
    <row r="655" spans="1:16" x14ac:dyDescent="0.2">
      <c r="A655" s="72" t="s">
        <v>838</v>
      </c>
      <c r="B655" s="72" t="s">
        <v>21</v>
      </c>
      <c r="C655" s="72" t="s">
        <v>122</v>
      </c>
      <c r="D655" s="72" t="s">
        <v>463</v>
      </c>
      <c r="E655" s="72">
        <v>1</v>
      </c>
      <c r="F655" s="72" t="s">
        <v>834</v>
      </c>
      <c r="G655" s="70">
        <v>9000</v>
      </c>
      <c r="H655" s="70">
        <v>8118</v>
      </c>
      <c r="I655" s="70">
        <v>882</v>
      </c>
      <c r="J655" s="153">
        <v>0.1086</v>
      </c>
      <c r="K655" s="70">
        <v>9000</v>
      </c>
      <c r="L655" s="70">
        <v>8118</v>
      </c>
      <c r="M655" s="70">
        <v>882</v>
      </c>
      <c r="N655" s="153">
        <v>9.8000000000000004E-2</v>
      </c>
      <c r="O655" s="72" t="s">
        <v>843</v>
      </c>
      <c r="P655" s="181" t="s">
        <v>844</v>
      </c>
    </row>
    <row r="656" spans="1:16" x14ac:dyDescent="0.2">
      <c r="A656" s="72" t="s">
        <v>838</v>
      </c>
      <c r="B656" s="72" t="s">
        <v>22</v>
      </c>
      <c r="C656" s="72" t="s">
        <v>102</v>
      </c>
      <c r="D656" s="72" t="s">
        <v>464</v>
      </c>
      <c r="E656" s="72">
        <v>1</v>
      </c>
      <c r="F656" s="72" t="s">
        <v>834</v>
      </c>
      <c r="G656" s="70">
        <v>9500</v>
      </c>
      <c r="H656" s="70">
        <v>8657</v>
      </c>
      <c r="I656" s="70">
        <v>843</v>
      </c>
      <c r="J656" s="153">
        <v>9.74E-2</v>
      </c>
      <c r="K656" s="70">
        <v>9500</v>
      </c>
      <c r="L656" s="70">
        <v>8657</v>
      </c>
      <c r="M656" s="70">
        <v>843</v>
      </c>
      <c r="N656" s="153">
        <v>8.8700000000000001E-2</v>
      </c>
      <c r="O656" s="72" t="s">
        <v>843</v>
      </c>
      <c r="P656" s="181" t="s">
        <v>844</v>
      </c>
    </row>
    <row r="657" spans="1:16" x14ac:dyDescent="0.2">
      <c r="A657" s="72" t="s">
        <v>838</v>
      </c>
      <c r="B657" s="72" t="s">
        <v>45</v>
      </c>
      <c r="C657" s="72" t="s">
        <v>102</v>
      </c>
      <c r="D657" s="72" t="s">
        <v>465</v>
      </c>
      <c r="E657" s="72">
        <v>1</v>
      </c>
      <c r="F657" s="72" t="s">
        <v>834</v>
      </c>
      <c r="G657" s="70">
        <v>13950</v>
      </c>
      <c r="H657" s="70">
        <v>12746</v>
      </c>
      <c r="I657" s="70">
        <v>1204</v>
      </c>
      <c r="J657" s="153">
        <v>9.4500000000000001E-2</v>
      </c>
      <c r="K657" s="70">
        <v>13950</v>
      </c>
      <c r="L657" s="70">
        <v>12746</v>
      </c>
      <c r="M657" s="70">
        <v>1204</v>
      </c>
      <c r="N657" s="153">
        <v>8.6300000000000002E-2</v>
      </c>
      <c r="O657" s="72" t="s">
        <v>843</v>
      </c>
      <c r="P657" s="181" t="s">
        <v>844</v>
      </c>
    </row>
    <row r="658" spans="1:16" x14ac:dyDescent="0.2">
      <c r="A658" s="72" t="s">
        <v>838</v>
      </c>
      <c r="B658" s="72" t="s">
        <v>181</v>
      </c>
      <c r="C658" s="72" t="s">
        <v>15</v>
      </c>
      <c r="D658" s="72" t="s">
        <v>466</v>
      </c>
      <c r="E658" s="72">
        <v>1</v>
      </c>
      <c r="F658" s="72" t="s">
        <v>834</v>
      </c>
      <c r="G658" s="70">
        <v>16950</v>
      </c>
      <c r="H658" s="70">
        <v>16350</v>
      </c>
      <c r="I658" s="70">
        <v>600</v>
      </c>
      <c r="J658" s="153">
        <v>3.6700000000000003E-2</v>
      </c>
      <c r="K658" s="70">
        <v>16950</v>
      </c>
      <c r="L658" s="70">
        <v>16350</v>
      </c>
      <c r="M658" s="70">
        <v>600</v>
      </c>
      <c r="N658" s="153">
        <v>3.5400000000000001E-2</v>
      </c>
      <c r="O658" s="72" t="s">
        <v>843</v>
      </c>
      <c r="P658" s="181" t="s">
        <v>844</v>
      </c>
    </row>
    <row r="659" spans="1:16" x14ac:dyDescent="0.2">
      <c r="A659" s="72" t="s">
        <v>838</v>
      </c>
      <c r="B659" s="72" t="s">
        <v>22</v>
      </c>
      <c r="C659" s="72" t="s">
        <v>95</v>
      </c>
      <c r="D659" s="72" t="s">
        <v>467</v>
      </c>
      <c r="E659" s="72">
        <v>3</v>
      </c>
      <c r="F659" s="72" t="s">
        <v>834</v>
      </c>
      <c r="G659" s="70">
        <v>9200</v>
      </c>
      <c r="H659" s="70">
        <v>8657</v>
      </c>
      <c r="I659" s="70">
        <v>543</v>
      </c>
      <c r="J659" s="153">
        <v>6.2700000000000006E-2</v>
      </c>
      <c r="K659" s="70">
        <v>27600</v>
      </c>
      <c r="L659" s="70">
        <v>25971</v>
      </c>
      <c r="M659" s="70">
        <v>1629</v>
      </c>
      <c r="N659" s="153">
        <v>5.8999999999999997E-2</v>
      </c>
      <c r="O659" s="72" t="s">
        <v>843</v>
      </c>
      <c r="P659" s="181" t="s">
        <v>844</v>
      </c>
    </row>
    <row r="660" spans="1:16" x14ac:dyDescent="0.2">
      <c r="A660" s="72" t="s">
        <v>838</v>
      </c>
      <c r="B660" s="72" t="s">
        <v>44</v>
      </c>
      <c r="C660" s="72" t="s">
        <v>95</v>
      </c>
      <c r="D660" s="72" t="s">
        <v>467</v>
      </c>
      <c r="E660" s="72">
        <v>2</v>
      </c>
      <c r="F660" s="72" t="s">
        <v>834</v>
      </c>
      <c r="G660" s="70">
        <v>9200</v>
      </c>
      <c r="H660" s="70">
        <v>8990</v>
      </c>
      <c r="I660" s="70">
        <v>210</v>
      </c>
      <c r="J660" s="153">
        <v>2.3400000000000001E-2</v>
      </c>
      <c r="K660" s="70">
        <v>18400</v>
      </c>
      <c r="L660" s="70">
        <v>17980</v>
      </c>
      <c r="M660" s="70">
        <v>420</v>
      </c>
      <c r="N660" s="153">
        <v>2.2800000000000001E-2</v>
      </c>
      <c r="O660" s="72" t="s">
        <v>843</v>
      </c>
      <c r="P660" s="181" t="s">
        <v>844</v>
      </c>
    </row>
    <row r="661" spans="1:16" x14ac:dyDescent="0.2">
      <c r="A661" s="72" t="s">
        <v>838</v>
      </c>
      <c r="B661" s="72" t="s">
        <v>45</v>
      </c>
      <c r="C661" s="72" t="s">
        <v>95</v>
      </c>
      <c r="D661" s="72" t="s">
        <v>467</v>
      </c>
      <c r="E661" s="72">
        <v>1</v>
      </c>
      <c r="F661" s="72" t="s">
        <v>834</v>
      </c>
      <c r="G661" s="70">
        <v>13335</v>
      </c>
      <c r="H661" s="70">
        <v>12746</v>
      </c>
      <c r="I661" s="70">
        <v>589</v>
      </c>
      <c r="J661" s="153">
        <v>4.6199999999999998E-2</v>
      </c>
      <c r="K661" s="70">
        <v>13335</v>
      </c>
      <c r="L661" s="70">
        <v>12746</v>
      </c>
      <c r="M661" s="70">
        <v>589</v>
      </c>
      <c r="N661" s="153">
        <v>4.4200000000000003E-2</v>
      </c>
      <c r="O661" s="72" t="s">
        <v>843</v>
      </c>
      <c r="P661" s="181" t="s">
        <v>844</v>
      </c>
    </row>
    <row r="662" spans="1:16" x14ac:dyDescent="0.2">
      <c r="A662" s="72" t="s">
        <v>826</v>
      </c>
      <c r="B662" s="72" t="s">
        <v>24</v>
      </c>
      <c r="C662" s="72" t="s">
        <v>15</v>
      </c>
      <c r="D662" s="72" t="s">
        <v>468</v>
      </c>
      <c r="E662" s="72">
        <v>2</v>
      </c>
      <c r="F662" s="72" t="s">
        <v>834</v>
      </c>
      <c r="G662" s="70">
        <v>5300</v>
      </c>
      <c r="H662" s="70">
        <v>5200</v>
      </c>
      <c r="I662" s="70">
        <v>100</v>
      </c>
      <c r="J662" s="153">
        <v>1.9199999999999998E-2</v>
      </c>
      <c r="K662" s="70">
        <v>10600</v>
      </c>
      <c r="L662" s="70">
        <v>10400</v>
      </c>
      <c r="M662" s="70">
        <v>200</v>
      </c>
      <c r="N662" s="153">
        <v>1.89E-2</v>
      </c>
      <c r="O662" s="72" t="s">
        <v>843</v>
      </c>
      <c r="P662" s="181" t="s">
        <v>844</v>
      </c>
    </row>
    <row r="663" spans="1:16" x14ac:dyDescent="0.2">
      <c r="A663" s="72" t="s">
        <v>826</v>
      </c>
      <c r="B663" s="72" t="s">
        <v>32</v>
      </c>
      <c r="C663" s="72" t="s">
        <v>104</v>
      </c>
      <c r="D663" s="72" t="s">
        <v>469</v>
      </c>
      <c r="E663" s="72">
        <v>1</v>
      </c>
      <c r="F663" s="72" t="s">
        <v>834</v>
      </c>
      <c r="G663" s="70">
        <v>16145</v>
      </c>
      <c r="H663" s="70">
        <v>15247</v>
      </c>
      <c r="I663" s="70">
        <v>898</v>
      </c>
      <c r="J663" s="153">
        <v>5.8900000000000001E-2</v>
      </c>
      <c r="K663" s="70">
        <v>16145</v>
      </c>
      <c r="L663" s="70">
        <v>15247</v>
      </c>
      <c r="M663" s="70">
        <v>898</v>
      </c>
      <c r="N663" s="153">
        <v>5.5599999999999997E-2</v>
      </c>
      <c r="O663" s="72" t="s">
        <v>843</v>
      </c>
      <c r="P663" s="181" t="s">
        <v>844</v>
      </c>
    </row>
    <row r="664" spans="1:16" x14ac:dyDescent="0.2">
      <c r="A664" s="72" t="s">
        <v>826</v>
      </c>
      <c r="B664" s="72" t="s">
        <v>100</v>
      </c>
      <c r="C664" s="72" t="s">
        <v>29</v>
      </c>
      <c r="D664" s="72" t="s">
        <v>470</v>
      </c>
      <c r="E664" s="72">
        <v>10</v>
      </c>
      <c r="F664" s="72" t="s">
        <v>834</v>
      </c>
      <c r="G664" s="70">
        <v>11480</v>
      </c>
      <c r="H664" s="70">
        <v>10915</v>
      </c>
      <c r="I664" s="70">
        <v>565</v>
      </c>
      <c r="J664" s="153">
        <v>5.1799999999999999E-2</v>
      </c>
      <c r="K664" s="70">
        <v>114800</v>
      </c>
      <c r="L664" s="70">
        <v>109150</v>
      </c>
      <c r="M664" s="70">
        <v>5650</v>
      </c>
      <c r="N664" s="153">
        <v>4.9200000000000001E-2</v>
      </c>
      <c r="O664" s="72" t="s">
        <v>843</v>
      </c>
      <c r="P664" s="181" t="s">
        <v>844</v>
      </c>
    </row>
    <row r="665" spans="1:16" x14ac:dyDescent="0.2">
      <c r="A665" s="72" t="s">
        <v>826</v>
      </c>
      <c r="B665" s="72" t="s">
        <v>87</v>
      </c>
      <c r="C665" s="72" t="s">
        <v>29</v>
      </c>
      <c r="D665" s="72" t="s">
        <v>470</v>
      </c>
      <c r="E665" s="72">
        <v>10</v>
      </c>
      <c r="F665" s="72" t="s">
        <v>834</v>
      </c>
      <c r="G665" s="70">
        <v>21400</v>
      </c>
      <c r="H665" s="70">
        <v>20440</v>
      </c>
      <c r="I665" s="70">
        <v>960</v>
      </c>
      <c r="J665" s="153">
        <v>4.7E-2</v>
      </c>
      <c r="K665" s="70">
        <v>214000</v>
      </c>
      <c r="L665" s="70">
        <v>204400</v>
      </c>
      <c r="M665" s="70">
        <v>9600</v>
      </c>
      <c r="N665" s="153">
        <v>4.4900000000000002E-2</v>
      </c>
      <c r="O665" s="72" t="s">
        <v>843</v>
      </c>
      <c r="P665" s="181" t="s">
        <v>844</v>
      </c>
    </row>
    <row r="666" spans="1:16" x14ac:dyDescent="0.2">
      <c r="A666" s="72" t="s">
        <v>826</v>
      </c>
      <c r="B666" s="72" t="s">
        <v>21</v>
      </c>
      <c r="C666" s="72" t="s">
        <v>212</v>
      </c>
      <c r="D666" s="72" t="s">
        <v>471</v>
      </c>
      <c r="E666" s="72">
        <v>3</v>
      </c>
      <c r="F666" s="72" t="s">
        <v>834</v>
      </c>
      <c r="G666" s="70">
        <v>9000</v>
      </c>
      <c r="H666" s="70">
        <v>8118</v>
      </c>
      <c r="I666" s="70">
        <v>882</v>
      </c>
      <c r="J666" s="153">
        <v>0.1086</v>
      </c>
      <c r="K666" s="70">
        <v>27000</v>
      </c>
      <c r="L666" s="70">
        <v>24354</v>
      </c>
      <c r="M666" s="70">
        <v>2646</v>
      </c>
      <c r="N666" s="153">
        <v>9.8000000000000004E-2</v>
      </c>
      <c r="O666" s="72" t="s">
        <v>843</v>
      </c>
      <c r="P666" s="181" t="s">
        <v>844</v>
      </c>
    </row>
    <row r="667" spans="1:16" x14ac:dyDescent="0.2">
      <c r="A667" s="72" t="s">
        <v>826</v>
      </c>
      <c r="B667" s="72" t="s">
        <v>43</v>
      </c>
      <c r="C667" s="72" t="s">
        <v>212</v>
      </c>
      <c r="D667" s="72" t="s">
        <v>471</v>
      </c>
      <c r="E667" s="72">
        <v>1</v>
      </c>
      <c r="F667" s="72" t="s">
        <v>834</v>
      </c>
      <c r="G667" s="70">
        <v>18300</v>
      </c>
      <c r="H667" s="70">
        <v>17150</v>
      </c>
      <c r="I667" s="70">
        <v>1150</v>
      </c>
      <c r="J667" s="153">
        <v>6.7100000000000007E-2</v>
      </c>
      <c r="K667" s="70">
        <v>18300</v>
      </c>
      <c r="L667" s="70">
        <v>17150</v>
      </c>
      <c r="M667" s="70">
        <v>1150</v>
      </c>
      <c r="N667" s="153">
        <v>6.2799999999999995E-2</v>
      </c>
      <c r="O667" s="72" t="s">
        <v>843</v>
      </c>
      <c r="P667" s="181" t="s">
        <v>844</v>
      </c>
    </row>
    <row r="668" spans="1:16" x14ac:dyDescent="0.2">
      <c r="A668" s="72" t="s">
        <v>826</v>
      </c>
      <c r="B668" s="72" t="s">
        <v>45</v>
      </c>
      <c r="C668" s="72" t="s">
        <v>152</v>
      </c>
      <c r="D668" s="72" t="s">
        <v>472</v>
      </c>
      <c r="E668" s="72">
        <v>50</v>
      </c>
      <c r="F668" s="72" t="s">
        <v>835</v>
      </c>
      <c r="G668" s="70">
        <v>12930</v>
      </c>
      <c r="H668" s="70">
        <v>12746</v>
      </c>
      <c r="I668" s="70">
        <v>184</v>
      </c>
      <c r="J668" s="153">
        <v>1.44E-2</v>
      </c>
      <c r="K668" s="70">
        <v>646500</v>
      </c>
      <c r="L668" s="70">
        <v>637300</v>
      </c>
      <c r="M668" s="70">
        <v>9200</v>
      </c>
      <c r="N668" s="153">
        <v>1.4200000000000001E-2</v>
      </c>
      <c r="O668" s="72" t="s">
        <v>843</v>
      </c>
      <c r="P668" s="181" t="s">
        <v>844</v>
      </c>
    </row>
    <row r="669" spans="1:16" x14ac:dyDescent="0.2">
      <c r="A669" s="72" t="s">
        <v>826</v>
      </c>
      <c r="B669" s="72" t="s">
        <v>24</v>
      </c>
      <c r="C669" s="72" t="s">
        <v>25</v>
      </c>
      <c r="D669" s="72" t="s">
        <v>474</v>
      </c>
      <c r="E669" s="72">
        <v>210</v>
      </c>
      <c r="F669" s="72" t="s">
        <v>835</v>
      </c>
      <c r="G669" s="70">
        <v>5000</v>
      </c>
      <c r="H669" s="70">
        <v>5200</v>
      </c>
      <c r="I669" s="70">
        <v>-200</v>
      </c>
      <c r="J669" s="153">
        <v>-3.85E-2</v>
      </c>
      <c r="K669" s="70">
        <v>1050000</v>
      </c>
      <c r="L669" s="70">
        <v>1092000</v>
      </c>
      <c r="M669" s="70">
        <v>-42000</v>
      </c>
      <c r="N669" s="153">
        <v>-0.04</v>
      </c>
      <c r="O669" s="72" t="s">
        <v>843</v>
      </c>
      <c r="P669" s="182" t="s">
        <v>845</v>
      </c>
    </row>
    <row r="670" spans="1:16" x14ac:dyDescent="0.2">
      <c r="A670" s="72" t="s">
        <v>826</v>
      </c>
      <c r="B670" s="72" t="s">
        <v>22</v>
      </c>
      <c r="C670" s="72" t="s">
        <v>165</v>
      </c>
      <c r="D670" s="72" t="s">
        <v>475</v>
      </c>
      <c r="E670" s="72">
        <v>200</v>
      </c>
      <c r="F670" s="72" t="s">
        <v>835</v>
      </c>
      <c r="G670" s="70">
        <v>8500</v>
      </c>
      <c r="H670" s="70">
        <v>8657</v>
      </c>
      <c r="I670" s="70">
        <v>-157</v>
      </c>
      <c r="J670" s="153">
        <v>-1.8100000000000002E-2</v>
      </c>
      <c r="K670" s="70">
        <v>1700000</v>
      </c>
      <c r="L670" s="70">
        <v>1731400</v>
      </c>
      <c r="M670" s="70">
        <v>-31400</v>
      </c>
      <c r="N670" s="153">
        <v>-1.8499999999999999E-2</v>
      </c>
      <c r="O670" s="72" t="s">
        <v>843</v>
      </c>
      <c r="P670" s="182" t="s">
        <v>845</v>
      </c>
    </row>
    <row r="671" spans="1:16" x14ac:dyDescent="0.2">
      <c r="A671" s="72" t="s">
        <v>826</v>
      </c>
      <c r="B671" s="72" t="s">
        <v>37</v>
      </c>
      <c r="C671" s="72" t="s">
        <v>165</v>
      </c>
      <c r="D671" s="72" t="s">
        <v>475</v>
      </c>
      <c r="E671" s="72">
        <v>100</v>
      </c>
      <c r="F671" s="72" t="s">
        <v>835</v>
      </c>
      <c r="G671" s="70">
        <v>8880</v>
      </c>
      <c r="H671" s="70">
        <v>8525</v>
      </c>
      <c r="I671" s="70">
        <v>355</v>
      </c>
      <c r="J671" s="153">
        <v>4.1599999999999998E-2</v>
      </c>
      <c r="K671" s="70">
        <v>888000</v>
      </c>
      <c r="L671" s="70">
        <v>852500</v>
      </c>
      <c r="M671" s="70">
        <v>35500</v>
      </c>
      <c r="N671" s="153">
        <v>0.04</v>
      </c>
      <c r="O671" s="72" t="s">
        <v>843</v>
      </c>
      <c r="P671" s="181" t="s">
        <v>844</v>
      </c>
    </row>
    <row r="672" spans="1:16" x14ac:dyDescent="0.2">
      <c r="A672" s="72" t="s">
        <v>826</v>
      </c>
      <c r="B672" s="72" t="s">
        <v>45</v>
      </c>
      <c r="C672" s="72" t="s">
        <v>165</v>
      </c>
      <c r="D672" s="72" t="s">
        <v>475</v>
      </c>
      <c r="E672" s="72">
        <v>30</v>
      </c>
      <c r="F672" s="72" t="s">
        <v>834</v>
      </c>
      <c r="G672" s="70">
        <v>12830</v>
      </c>
      <c r="H672" s="70">
        <v>12746</v>
      </c>
      <c r="I672" s="70">
        <v>84</v>
      </c>
      <c r="J672" s="153">
        <v>6.6E-3</v>
      </c>
      <c r="K672" s="70">
        <v>384900</v>
      </c>
      <c r="L672" s="70">
        <v>382380</v>
      </c>
      <c r="M672" s="70">
        <v>2520</v>
      </c>
      <c r="N672" s="153">
        <v>6.4999999999999997E-3</v>
      </c>
      <c r="O672" s="72" t="s">
        <v>843</v>
      </c>
      <c r="P672" s="181" t="s">
        <v>844</v>
      </c>
    </row>
    <row r="673" spans="1:16" x14ac:dyDescent="0.2">
      <c r="A673" s="72" t="s">
        <v>826</v>
      </c>
      <c r="B673" s="72" t="s">
        <v>43</v>
      </c>
      <c r="C673" s="72" t="s">
        <v>165</v>
      </c>
      <c r="D673" s="72" t="s">
        <v>475</v>
      </c>
      <c r="E673" s="72">
        <v>20</v>
      </c>
      <c r="F673" s="72" t="s">
        <v>834</v>
      </c>
      <c r="G673" s="70">
        <v>17700</v>
      </c>
      <c r="H673" s="70">
        <v>17150</v>
      </c>
      <c r="I673" s="70">
        <v>550</v>
      </c>
      <c r="J673" s="153">
        <v>3.2099999999999997E-2</v>
      </c>
      <c r="K673" s="70">
        <v>354000</v>
      </c>
      <c r="L673" s="70">
        <v>343000</v>
      </c>
      <c r="M673" s="70">
        <v>11000</v>
      </c>
      <c r="N673" s="153">
        <v>3.1099999999999999E-2</v>
      </c>
      <c r="O673" s="72" t="s">
        <v>843</v>
      </c>
      <c r="P673" s="181" t="s">
        <v>844</v>
      </c>
    </row>
    <row r="674" spans="1:16" x14ac:dyDescent="0.2">
      <c r="A674" s="72" t="s">
        <v>826</v>
      </c>
      <c r="B674" s="72" t="s">
        <v>22</v>
      </c>
      <c r="C674" s="72" t="s">
        <v>59</v>
      </c>
      <c r="D674" s="72" t="s">
        <v>479</v>
      </c>
      <c r="E674" s="72">
        <v>40</v>
      </c>
      <c r="F674" s="72" t="s">
        <v>834</v>
      </c>
      <c r="G674" s="70">
        <v>9000</v>
      </c>
      <c r="H674" s="70">
        <v>8657</v>
      </c>
      <c r="I674" s="70">
        <v>343</v>
      </c>
      <c r="J674" s="153">
        <v>3.9600000000000003E-2</v>
      </c>
      <c r="K674" s="70">
        <v>360000</v>
      </c>
      <c r="L674" s="70">
        <v>346280</v>
      </c>
      <c r="M674" s="70">
        <v>13720</v>
      </c>
      <c r="N674" s="153">
        <v>3.8100000000000002E-2</v>
      </c>
      <c r="O674" s="72" t="s">
        <v>843</v>
      </c>
      <c r="P674" s="181" t="s">
        <v>844</v>
      </c>
    </row>
    <row r="675" spans="1:16" x14ac:dyDescent="0.2">
      <c r="A675" s="72" t="s">
        <v>826</v>
      </c>
      <c r="B675" s="72" t="s">
        <v>22</v>
      </c>
      <c r="C675" s="72" t="s">
        <v>139</v>
      </c>
      <c r="D675" s="72" t="s">
        <v>482</v>
      </c>
      <c r="E675" s="72">
        <v>70</v>
      </c>
      <c r="F675" s="72" t="s">
        <v>835</v>
      </c>
      <c r="G675" s="70">
        <v>8500</v>
      </c>
      <c r="H675" s="70">
        <v>8657</v>
      </c>
      <c r="I675" s="70">
        <v>-157</v>
      </c>
      <c r="J675" s="153">
        <v>-1.8100000000000002E-2</v>
      </c>
      <c r="K675" s="70">
        <v>595000</v>
      </c>
      <c r="L675" s="70">
        <v>605990</v>
      </c>
      <c r="M675" s="70">
        <v>-10990</v>
      </c>
      <c r="N675" s="153">
        <v>-1.8499999999999999E-2</v>
      </c>
      <c r="O675" s="72" t="s">
        <v>843</v>
      </c>
      <c r="P675" s="182" t="s">
        <v>845</v>
      </c>
    </row>
    <row r="676" spans="1:16" x14ac:dyDescent="0.2">
      <c r="A676" s="72" t="s">
        <v>826</v>
      </c>
      <c r="B676" s="72" t="s">
        <v>27</v>
      </c>
      <c r="C676" s="72" t="s">
        <v>25</v>
      </c>
      <c r="D676" s="72" t="s">
        <v>483</v>
      </c>
      <c r="E676" s="72">
        <v>8</v>
      </c>
      <c r="F676" s="72" t="s">
        <v>834</v>
      </c>
      <c r="G676" s="70">
        <v>8020</v>
      </c>
      <c r="H676" s="70">
        <v>7685</v>
      </c>
      <c r="I676" s="70">
        <v>335</v>
      </c>
      <c r="J676" s="153">
        <v>4.36E-2</v>
      </c>
      <c r="K676" s="70">
        <v>64160</v>
      </c>
      <c r="L676" s="70">
        <v>61480</v>
      </c>
      <c r="M676" s="70">
        <v>2680</v>
      </c>
      <c r="N676" s="153">
        <v>4.1799999999999997E-2</v>
      </c>
      <c r="O676" s="72" t="s">
        <v>843</v>
      </c>
      <c r="P676" s="181" t="s">
        <v>844</v>
      </c>
    </row>
    <row r="677" spans="1:16" x14ac:dyDescent="0.2">
      <c r="A677" s="72" t="s">
        <v>826</v>
      </c>
      <c r="B677" s="72" t="s">
        <v>45</v>
      </c>
      <c r="C677" s="72" t="s">
        <v>145</v>
      </c>
      <c r="D677" s="72" t="s">
        <v>485</v>
      </c>
      <c r="E677" s="72">
        <v>5</v>
      </c>
      <c r="F677" s="72" t="s">
        <v>834</v>
      </c>
      <c r="G677" s="70">
        <v>13335</v>
      </c>
      <c r="H677" s="70">
        <v>12746</v>
      </c>
      <c r="I677" s="70">
        <v>589</v>
      </c>
      <c r="J677" s="153">
        <v>4.6199999999999998E-2</v>
      </c>
      <c r="K677" s="70">
        <v>66675</v>
      </c>
      <c r="L677" s="70">
        <v>63730</v>
      </c>
      <c r="M677" s="70">
        <v>2945</v>
      </c>
      <c r="N677" s="153">
        <v>4.4200000000000003E-2</v>
      </c>
      <c r="O677" s="72" t="s">
        <v>843</v>
      </c>
      <c r="P677" s="181" t="s">
        <v>844</v>
      </c>
    </row>
    <row r="678" spans="1:16" x14ac:dyDescent="0.2">
      <c r="A678" s="72" t="s">
        <v>826</v>
      </c>
      <c r="B678" s="72" t="s">
        <v>24</v>
      </c>
      <c r="C678" s="72" t="s">
        <v>15</v>
      </c>
      <c r="D678" s="72" t="s">
        <v>486</v>
      </c>
      <c r="E678" s="72">
        <v>1</v>
      </c>
      <c r="F678" s="72" t="s">
        <v>834</v>
      </c>
      <c r="G678" s="70">
        <v>5300</v>
      </c>
      <c r="H678" s="70">
        <v>5200</v>
      </c>
      <c r="I678" s="70">
        <v>100</v>
      </c>
      <c r="J678" s="153">
        <v>1.9199999999999998E-2</v>
      </c>
      <c r="K678" s="70">
        <v>5300</v>
      </c>
      <c r="L678" s="70">
        <v>5200</v>
      </c>
      <c r="M678" s="70">
        <v>100</v>
      </c>
      <c r="N678" s="153">
        <v>1.89E-2</v>
      </c>
      <c r="O678" s="72" t="s">
        <v>843</v>
      </c>
      <c r="P678" s="181" t="s">
        <v>844</v>
      </c>
    </row>
    <row r="679" spans="1:16" x14ac:dyDescent="0.2">
      <c r="A679" s="72" t="s">
        <v>826</v>
      </c>
      <c r="B679" s="72" t="s">
        <v>45</v>
      </c>
      <c r="C679" s="72" t="s">
        <v>85</v>
      </c>
      <c r="D679" s="72" t="s">
        <v>487</v>
      </c>
      <c r="E679" s="72">
        <v>10</v>
      </c>
      <c r="F679" s="72" t="s">
        <v>834</v>
      </c>
      <c r="G679" s="70">
        <v>13950</v>
      </c>
      <c r="H679" s="70">
        <v>12746</v>
      </c>
      <c r="I679" s="70">
        <v>1204</v>
      </c>
      <c r="J679" s="153">
        <v>9.4500000000000001E-2</v>
      </c>
      <c r="K679" s="70">
        <v>139500</v>
      </c>
      <c r="L679" s="70">
        <v>127460</v>
      </c>
      <c r="M679" s="70">
        <v>12040</v>
      </c>
      <c r="N679" s="153">
        <v>8.6300000000000002E-2</v>
      </c>
      <c r="O679" s="72" t="s">
        <v>843</v>
      </c>
      <c r="P679" s="181" t="s">
        <v>844</v>
      </c>
    </row>
    <row r="680" spans="1:16" x14ac:dyDescent="0.2">
      <c r="A680" s="72" t="s">
        <v>826</v>
      </c>
      <c r="B680" s="72" t="s">
        <v>22</v>
      </c>
      <c r="C680" s="72" t="s">
        <v>85</v>
      </c>
      <c r="D680" s="72" t="s">
        <v>487</v>
      </c>
      <c r="E680" s="72">
        <v>5</v>
      </c>
      <c r="F680" s="72" t="s">
        <v>834</v>
      </c>
      <c r="G680" s="70">
        <v>9300</v>
      </c>
      <c r="H680" s="70">
        <v>8657</v>
      </c>
      <c r="I680" s="70">
        <v>643</v>
      </c>
      <c r="J680" s="153">
        <v>7.4300000000000005E-2</v>
      </c>
      <c r="K680" s="70">
        <v>46500</v>
      </c>
      <c r="L680" s="70">
        <v>43285</v>
      </c>
      <c r="M680" s="70">
        <v>3215</v>
      </c>
      <c r="N680" s="153">
        <v>6.9099999999999995E-2</v>
      </c>
      <c r="O680" s="72" t="s">
        <v>843</v>
      </c>
      <c r="P680" s="181" t="s">
        <v>844</v>
      </c>
    </row>
    <row r="681" spans="1:16" x14ac:dyDescent="0.2">
      <c r="A681" s="72" t="s">
        <v>826</v>
      </c>
      <c r="B681" s="72" t="s">
        <v>101</v>
      </c>
      <c r="C681" s="72" t="s">
        <v>85</v>
      </c>
      <c r="D681" s="72" t="s">
        <v>487</v>
      </c>
      <c r="E681" s="72">
        <v>3</v>
      </c>
      <c r="F681" s="72" t="s">
        <v>834</v>
      </c>
      <c r="G681" s="70">
        <v>14455</v>
      </c>
      <c r="H681" s="70">
        <v>12920</v>
      </c>
      <c r="I681" s="70">
        <v>1535</v>
      </c>
      <c r="J681" s="153">
        <v>0.1188</v>
      </c>
      <c r="K681" s="70">
        <v>43365</v>
      </c>
      <c r="L681" s="70">
        <v>38760</v>
      </c>
      <c r="M681" s="70">
        <v>4605</v>
      </c>
      <c r="N681" s="153">
        <v>0.1062</v>
      </c>
      <c r="O681" s="72" t="s">
        <v>843</v>
      </c>
      <c r="P681" s="181" t="s">
        <v>844</v>
      </c>
    </row>
    <row r="682" spans="1:16" x14ac:dyDescent="0.2">
      <c r="A682" s="72" t="s">
        <v>826</v>
      </c>
      <c r="B682" s="72" t="s">
        <v>87</v>
      </c>
      <c r="C682" s="72" t="s">
        <v>85</v>
      </c>
      <c r="D682" s="72" t="s">
        <v>487</v>
      </c>
      <c r="E682" s="72">
        <v>5</v>
      </c>
      <c r="F682" s="72" t="s">
        <v>834</v>
      </c>
      <c r="G682" s="70">
        <v>22565</v>
      </c>
      <c r="H682" s="70">
        <v>20440</v>
      </c>
      <c r="I682" s="70">
        <v>2125</v>
      </c>
      <c r="J682" s="153">
        <v>0.104</v>
      </c>
      <c r="K682" s="70">
        <v>112825</v>
      </c>
      <c r="L682" s="70">
        <v>102200</v>
      </c>
      <c r="M682" s="70">
        <v>10625</v>
      </c>
      <c r="N682" s="153">
        <v>9.4200000000000006E-2</v>
      </c>
      <c r="O682" s="72" t="s">
        <v>843</v>
      </c>
      <c r="P682" s="181" t="s">
        <v>844</v>
      </c>
    </row>
    <row r="683" spans="1:16" x14ac:dyDescent="0.2">
      <c r="A683" s="72" t="s">
        <v>826</v>
      </c>
      <c r="B683" s="72" t="s">
        <v>24</v>
      </c>
      <c r="C683" s="72" t="s">
        <v>59</v>
      </c>
      <c r="D683" s="72" t="s">
        <v>488</v>
      </c>
      <c r="E683" s="72">
        <v>100</v>
      </c>
      <c r="F683" s="72" t="s">
        <v>835</v>
      </c>
      <c r="G683" s="70">
        <v>5000</v>
      </c>
      <c r="H683" s="70">
        <v>5200</v>
      </c>
      <c r="I683" s="70">
        <v>-200</v>
      </c>
      <c r="J683" s="153">
        <v>-3.85E-2</v>
      </c>
      <c r="K683" s="70">
        <v>500000</v>
      </c>
      <c r="L683" s="70">
        <v>520000</v>
      </c>
      <c r="M683" s="70">
        <v>-20000</v>
      </c>
      <c r="N683" s="153">
        <v>-0.04</v>
      </c>
      <c r="O683" s="72" t="s">
        <v>843</v>
      </c>
      <c r="P683" s="182" t="s">
        <v>845</v>
      </c>
    </row>
    <row r="684" spans="1:16" x14ac:dyDescent="0.2">
      <c r="A684" s="72" t="s">
        <v>826</v>
      </c>
      <c r="B684" s="72" t="s">
        <v>22</v>
      </c>
      <c r="C684" s="72" t="s">
        <v>75</v>
      </c>
      <c r="D684" s="72" t="s">
        <v>489</v>
      </c>
      <c r="E684" s="72">
        <v>4</v>
      </c>
      <c r="F684" s="72" t="s">
        <v>834</v>
      </c>
      <c r="G684" s="70">
        <v>9335</v>
      </c>
      <c r="H684" s="70">
        <v>8657</v>
      </c>
      <c r="I684" s="70">
        <v>678</v>
      </c>
      <c r="J684" s="153">
        <v>7.8299999999999995E-2</v>
      </c>
      <c r="K684" s="70">
        <v>37340</v>
      </c>
      <c r="L684" s="70">
        <v>34628</v>
      </c>
      <c r="M684" s="70">
        <v>2712</v>
      </c>
      <c r="N684" s="153">
        <v>7.2599999999999998E-2</v>
      </c>
      <c r="O684" s="72" t="s">
        <v>843</v>
      </c>
      <c r="P684" s="181" t="s">
        <v>844</v>
      </c>
    </row>
    <row r="685" spans="1:16" x14ac:dyDescent="0.2">
      <c r="A685" s="72" t="s">
        <v>826</v>
      </c>
      <c r="B685" s="72" t="s">
        <v>45</v>
      </c>
      <c r="C685" s="72" t="s">
        <v>336</v>
      </c>
      <c r="D685" s="72" t="s">
        <v>491</v>
      </c>
      <c r="E685" s="72">
        <v>2</v>
      </c>
      <c r="F685" s="72" t="s">
        <v>834</v>
      </c>
      <c r="G685" s="70">
        <v>13335</v>
      </c>
      <c r="H685" s="70">
        <v>12746</v>
      </c>
      <c r="I685" s="70">
        <v>589</v>
      </c>
      <c r="J685" s="153">
        <v>4.6199999999999998E-2</v>
      </c>
      <c r="K685" s="70">
        <v>26670</v>
      </c>
      <c r="L685" s="70">
        <v>25492</v>
      </c>
      <c r="M685" s="70">
        <v>1178</v>
      </c>
      <c r="N685" s="153">
        <v>4.4200000000000003E-2</v>
      </c>
      <c r="O685" s="72" t="s">
        <v>843</v>
      </c>
      <c r="P685" s="181" t="s">
        <v>844</v>
      </c>
    </row>
    <row r="686" spans="1:16" x14ac:dyDescent="0.2">
      <c r="A686" s="72" t="s">
        <v>826</v>
      </c>
      <c r="B686" s="72" t="s">
        <v>21</v>
      </c>
      <c r="C686" s="72" t="s">
        <v>336</v>
      </c>
      <c r="D686" s="72" t="s">
        <v>491</v>
      </c>
      <c r="E686" s="72">
        <v>2</v>
      </c>
      <c r="F686" s="72" t="s">
        <v>834</v>
      </c>
      <c r="G686" s="70">
        <v>9000</v>
      </c>
      <c r="H686" s="70">
        <v>8118</v>
      </c>
      <c r="I686" s="70">
        <v>882</v>
      </c>
      <c r="J686" s="153">
        <v>0.1086</v>
      </c>
      <c r="K686" s="70">
        <v>18000</v>
      </c>
      <c r="L686" s="70">
        <v>16236</v>
      </c>
      <c r="M686" s="70">
        <v>1764</v>
      </c>
      <c r="N686" s="153">
        <v>9.8000000000000004E-2</v>
      </c>
      <c r="O686" s="72" t="s">
        <v>843</v>
      </c>
      <c r="P686" s="181" t="s">
        <v>844</v>
      </c>
    </row>
    <row r="687" spans="1:16" x14ac:dyDescent="0.2">
      <c r="A687" s="72" t="s">
        <v>826</v>
      </c>
      <c r="B687" s="72" t="s">
        <v>22</v>
      </c>
      <c r="C687" s="72" t="s">
        <v>336</v>
      </c>
      <c r="D687" s="72" t="s">
        <v>491</v>
      </c>
      <c r="E687" s="72">
        <v>2</v>
      </c>
      <c r="F687" s="72" t="s">
        <v>834</v>
      </c>
      <c r="G687" s="70">
        <v>9200</v>
      </c>
      <c r="H687" s="70">
        <v>8657</v>
      </c>
      <c r="I687" s="70">
        <v>543</v>
      </c>
      <c r="J687" s="153">
        <v>6.2700000000000006E-2</v>
      </c>
      <c r="K687" s="70">
        <v>18400</v>
      </c>
      <c r="L687" s="70">
        <v>17314</v>
      </c>
      <c r="M687" s="70">
        <v>1086</v>
      </c>
      <c r="N687" s="153">
        <v>5.8999999999999997E-2</v>
      </c>
      <c r="O687" s="72" t="s">
        <v>843</v>
      </c>
      <c r="P687" s="181" t="s">
        <v>844</v>
      </c>
    </row>
    <row r="688" spans="1:16" x14ac:dyDescent="0.2">
      <c r="A688" s="72" t="s">
        <v>826</v>
      </c>
      <c r="B688" s="72" t="s">
        <v>44</v>
      </c>
      <c r="C688" s="72" t="s">
        <v>336</v>
      </c>
      <c r="D688" s="72" t="s">
        <v>491</v>
      </c>
      <c r="E688" s="72">
        <v>1</v>
      </c>
      <c r="F688" s="72" t="s">
        <v>834</v>
      </c>
      <c r="G688" s="70">
        <v>9200</v>
      </c>
      <c r="H688" s="70">
        <v>8990</v>
      </c>
      <c r="I688" s="70">
        <v>210</v>
      </c>
      <c r="J688" s="153">
        <v>2.3400000000000001E-2</v>
      </c>
      <c r="K688" s="70">
        <v>9200</v>
      </c>
      <c r="L688" s="70">
        <v>8990</v>
      </c>
      <c r="M688" s="70">
        <v>210</v>
      </c>
      <c r="N688" s="153">
        <v>2.2800000000000001E-2</v>
      </c>
      <c r="O688" s="72" t="s">
        <v>843</v>
      </c>
      <c r="P688" s="181" t="s">
        <v>844</v>
      </c>
    </row>
    <row r="689" spans="1:16" x14ac:dyDescent="0.2">
      <c r="A689" s="72" t="s">
        <v>826</v>
      </c>
      <c r="B689" s="72" t="s">
        <v>37</v>
      </c>
      <c r="C689" s="72" t="s">
        <v>336</v>
      </c>
      <c r="D689" s="72" t="s">
        <v>491</v>
      </c>
      <c r="E689" s="72">
        <v>1</v>
      </c>
      <c r="F689" s="72" t="s">
        <v>834</v>
      </c>
      <c r="G689" s="70">
        <v>9200</v>
      </c>
      <c r="H689" s="70">
        <v>8525</v>
      </c>
      <c r="I689" s="70">
        <v>675</v>
      </c>
      <c r="J689" s="153">
        <v>7.9200000000000007E-2</v>
      </c>
      <c r="K689" s="70">
        <v>9200</v>
      </c>
      <c r="L689" s="70">
        <v>8525</v>
      </c>
      <c r="M689" s="70">
        <v>675</v>
      </c>
      <c r="N689" s="153">
        <v>7.3400000000000007E-2</v>
      </c>
      <c r="O689" s="72" t="s">
        <v>843</v>
      </c>
      <c r="P689" s="181" t="s">
        <v>844</v>
      </c>
    </row>
    <row r="690" spans="1:16" x14ac:dyDescent="0.2">
      <c r="A690" s="72" t="s">
        <v>826</v>
      </c>
      <c r="B690" s="72" t="s">
        <v>43</v>
      </c>
      <c r="C690" s="72" t="s">
        <v>336</v>
      </c>
      <c r="D690" s="72" t="s">
        <v>491</v>
      </c>
      <c r="E690" s="72">
        <v>1</v>
      </c>
      <c r="F690" s="72" t="s">
        <v>834</v>
      </c>
      <c r="G690" s="70">
        <v>18300</v>
      </c>
      <c r="H690" s="70">
        <v>17150</v>
      </c>
      <c r="I690" s="70">
        <v>1150</v>
      </c>
      <c r="J690" s="153">
        <v>6.7100000000000007E-2</v>
      </c>
      <c r="K690" s="70">
        <v>18300</v>
      </c>
      <c r="L690" s="70">
        <v>17150</v>
      </c>
      <c r="M690" s="70">
        <v>1150</v>
      </c>
      <c r="N690" s="153">
        <v>6.2799999999999995E-2</v>
      </c>
      <c r="O690" s="72" t="s">
        <v>843</v>
      </c>
      <c r="P690" s="181" t="s">
        <v>844</v>
      </c>
    </row>
    <row r="691" spans="1:16" x14ac:dyDescent="0.2">
      <c r="A691" s="72" t="s">
        <v>826</v>
      </c>
      <c r="B691" s="72" t="s">
        <v>24</v>
      </c>
      <c r="C691" s="72" t="s">
        <v>336</v>
      </c>
      <c r="D691" s="72" t="s">
        <v>491</v>
      </c>
      <c r="E691" s="72">
        <v>1</v>
      </c>
      <c r="F691" s="72" t="s">
        <v>834</v>
      </c>
      <c r="G691" s="70">
        <v>5300</v>
      </c>
      <c r="H691" s="70">
        <v>5200</v>
      </c>
      <c r="I691" s="70">
        <v>100</v>
      </c>
      <c r="J691" s="153">
        <v>1.9199999999999998E-2</v>
      </c>
      <c r="K691" s="70">
        <v>5300</v>
      </c>
      <c r="L691" s="70">
        <v>5200</v>
      </c>
      <c r="M691" s="70">
        <v>100</v>
      </c>
      <c r="N691" s="153">
        <v>1.89E-2</v>
      </c>
      <c r="O691" s="72" t="s">
        <v>843</v>
      </c>
      <c r="P691" s="181" t="s">
        <v>844</v>
      </c>
    </row>
    <row r="692" spans="1:16" x14ac:dyDescent="0.2">
      <c r="A692" s="72" t="s">
        <v>826</v>
      </c>
      <c r="B692" s="72" t="s">
        <v>24</v>
      </c>
      <c r="C692" s="72" t="s">
        <v>59</v>
      </c>
      <c r="D692" s="72" t="s">
        <v>492</v>
      </c>
      <c r="E692" s="72">
        <v>60</v>
      </c>
      <c r="F692" s="72" t="s">
        <v>835</v>
      </c>
      <c r="G692" s="70">
        <v>5000</v>
      </c>
      <c r="H692" s="70">
        <v>5200</v>
      </c>
      <c r="I692" s="70">
        <v>-200</v>
      </c>
      <c r="J692" s="153">
        <v>-3.85E-2</v>
      </c>
      <c r="K692" s="70">
        <v>300000</v>
      </c>
      <c r="L692" s="70">
        <v>312000</v>
      </c>
      <c r="M692" s="70">
        <v>-12000</v>
      </c>
      <c r="N692" s="153">
        <v>-0.04</v>
      </c>
      <c r="O692" s="72" t="s">
        <v>843</v>
      </c>
      <c r="P692" s="182" t="s">
        <v>845</v>
      </c>
    </row>
    <row r="693" spans="1:16" x14ac:dyDescent="0.2">
      <c r="A693" s="72" t="s">
        <v>826</v>
      </c>
      <c r="B693" s="72" t="s">
        <v>27</v>
      </c>
      <c r="C693" s="72" t="s">
        <v>59</v>
      </c>
      <c r="D693" s="72" t="s">
        <v>492</v>
      </c>
      <c r="E693" s="72">
        <v>10</v>
      </c>
      <c r="F693" s="72" t="s">
        <v>834</v>
      </c>
      <c r="G693" s="70">
        <v>8020</v>
      </c>
      <c r="H693" s="70">
        <v>7685</v>
      </c>
      <c r="I693" s="70">
        <v>335</v>
      </c>
      <c r="J693" s="153">
        <v>4.36E-2</v>
      </c>
      <c r="K693" s="70">
        <v>80200</v>
      </c>
      <c r="L693" s="70">
        <v>76850</v>
      </c>
      <c r="M693" s="70">
        <v>3350</v>
      </c>
      <c r="N693" s="153">
        <v>4.1799999999999997E-2</v>
      </c>
      <c r="O693" s="72" t="s">
        <v>843</v>
      </c>
      <c r="P693" s="181" t="s">
        <v>844</v>
      </c>
    </row>
    <row r="694" spans="1:16" x14ac:dyDescent="0.2">
      <c r="A694" s="72" t="s">
        <v>826</v>
      </c>
      <c r="B694" s="72" t="s">
        <v>44</v>
      </c>
      <c r="C694" s="72" t="s">
        <v>15</v>
      </c>
      <c r="D694" s="72" t="s">
        <v>493</v>
      </c>
      <c r="E694" s="72">
        <v>1</v>
      </c>
      <c r="F694" s="72" t="s">
        <v>834</v>
      </c>
      <c r="G694" s="70">
        <v>9500</v>
      </c>
      <c r="H694" s="70">
        <v>8990</v>
      </c>
      <c r="I694" s="70">
        <v>510</v>
      </c>
      <c r="J694" s="153">
        <v>5.67E-2</v>
      </c>
      <c r="K694" s="70">
        <v>9500</v>
      </c>
      <c r="L694" s="70">
        <v>8990</v>
      </c>
      <c r="M694" s="70">
        <v>510</v>
      </c>
      <c r="N694" s="153">
        <v>5.3699999999999998E-2</v>
      </c>
      <c r="O694" s="72" t="s">
        <v>843</v>
      </c>
      <c r="P694" s="181" t="s">
        <v>844</v>
      </c>
    </row>
    <row r="695" spans="1:16" x14ac:dyDescent="0.2">
      <c r="A695" s="72" t="s">
        <v>826</v>
      </c>
      <c r="B695" s="72" t="s">
        <v>37</v>
      </c>
      <c r="C695" s="72" t="s">
        <v>15</v>
      </c>
      <c r="D695" s="72" t="s">
        <v>493</v>
      </c>
      <c r="E695" s="72">
        <v>1</v>
      </c>
      <c r="F695" s="72" t="s">
        <v>834</v>
      </c>
      <c r="G695" s="70">
        <v>9500</v>
      </c>
      <c r="H695" s="70">
        <v>8525</v>
      </c>
      <c r="I695" s="70">
        <v>975</v>
      </c>
      <c r="J695" s="153">
        <v>0.1144</v>
      </c>
      <c r="K695" s="70">
        <v>9500</v>
      </c>
      <c r="L695" s="70">
        <v>8525</v>
      </c>
      <c r="M695" s="70">
        <v>975</v>
      </c>
      <c r="N695" s="153">
        <v>0.1026</v>
      </c>
      <c r="O695" s="72" t="s">
        <v>843</v>
      </c>
      <c r="P695" s="181" t="s">
        <v>844</v>
      </c>
    </row>
    <row r="696" spans="1:16" x14ac:dyDescent="0.2">
      <c r="A696" s="72" t="s">
        <v>826</v>
      </c>
      <c r="B696" s="72" t="s">
        <v>21</v>
      </c>
      <c r="C696" s="72" t="s">
        <v>15</v>
      </c>
      <c r="D696" s="72" t="s">
        <v>493</v>
      </c>
      <c r="E696" s="72">
        <v>1</v>
      </c>
      <c r="F696" s="72" t="s">
        <v>834</v>
      </c>
      <c r="G696" s="70">
        <v>9000</v>
      </c>
      <c r="H696" s="70">
        <v>8118</v>
      </c>
      <c r="I696" s="70">
        <v>882</v>
      </c>
      <c r="J696" s="153">
        <v>0.1086</v>
      </c>
      <c r="K696" s="70">
        <v>9000</v>
      </c>
      <c r="L696" s="70">
        <v>8118</v>
      </c>
      <c r="M696" s="70">
        <v>882</v>
      </c>
      <c r="N696" s="153">
        <v>9.8000000000000004E-2</v>
      </c>
      <c r="O696" s="72" t="s">
        <v>843</v>
      </c>
      <c r="P696" s="181" t="s">
        <v>844</v>
      </c>
    </row>
    <row r="697" spans="1:16" x14ac:dyDescent="0.2">
      <c r="A697" s="72" t="s">
        <v>827</v>
      </c>
      <c r="B697" s="72" t="s">
        <v>22</v>
      </c>
      <c r="C697" s="72" t="s">
        <v>212</v>
      </c>
      <c r="D697" s="72" t="s">
        <v>494</v>
      </c>
      <c r="E697" s="72">
        <v>4</v>
      </c>
      <c r="F697" s="72" t="s">
        <v>834</v>
      </c>
      <c r="G697" s="70">
        <v>9200</v>
      </c>
      <c r="H697" s="70">
        <v>8657</v>
      </c>
      <c r="I697" s="70">
        <v>543</v>
      </c>
      <c r="J697" s="153">
        <v>6.2700000000000006E-2</v>
      </c>
      <c r="K697" s="70">
        <v>36800</v>
      </c>
      <c r="L697" s="70">
        <v>34628</v>
      </c>
      <c r="M697" s="70">
        <v>2172</v>
      </c>
      <c r="N697" s="153">
        <v>5.8999999999999997E-2</v>
      </c>
      <c r="O697" s="72" t="s">
        <v>843</v>
      </c>
      <c r="P697" s="181" t="s">
        <v>844</v>
      </c>
    </row>
    <row r="698" spans="1:16" x14ac:dyDescent="0.2">
      <c r="A698" s="72" t="s">
        <v>827</v>
      </c>
      <c r="B698" s="72" t="s">
        <v>44</v>
      </c>
      <c r="C698" s="72" t="s">
        <v>212</v>
      </c>
      <c r="D698" s="72" t="s">
        <v>494</v>
      </c>
      <c r="E698" s="72">
        <v>1</v>
      </c>
      <c r="F698" s="72" t="s">
        <v>834</v>
      </c>
      <c r="G698" s="70">
        <v>9200</v>
      </c>
      <c r="H698" s="70">
        <v>8990</v>
      </c>
      <c r="I698" s="70">
        <v>210</v>
      </c>
      <c r="J698" s="153">
        <v>2.3400000000000001E-2</v>
      </c>
      <c r="K698" s="70">
        <v>9200</v>
      </c>
      <c r="L698" s="70">
        <v>8990</v>
      </c>
      <c r="M698" s="70">
        <v>210</v>
      </c>
      <c r="N698" s="153">
        <v>2.2800000000000001E-2</v>
      </c>
      <c r="O698" s="72" t="s">
        <v>843</v>
      </c>
      <c r="P698" s="181" t="s">
        <v>844</v>
      </c>
    </row>
    <row r="699" spans="1:16" x14ac:dyDescent="0.2">
      <c r="A699" s="72" t="s">
        <v>827</v>
      </c>
      <c r="B699" s="72" t="s">
        <v>24</v>
      </c>
      <c r="C699" s="72" t="s">
        <v>95</v>
      </c>
      <c r="D699" s="72" t="s">
        <v>495</v>
      </c>
      <c r="E699" s="72">
        <v>248</v>
      </c>
      <c r="F699" s="72" t="s">
        <v>835</v>
      </c>
      <c r="G699" s="70">
        <v>4950</v>
      </c>
      <c r="H699" s="70">
        <v>5200</v>
      </c>
      <c r="I699" s="70">
        <v>-250</v>
      </c>
      <c r="J699" s="153">
        <v>-4.8099999999999997E-2</v>
      </c>
      <c r="K699" s="70">
        <v>1227600</v>
      </c>
      <c r="L699" s="70">
        <v>1289600</v>
      </c>
      <c r="M699" s="70">
        <v>-62000</v>
      </c>
      <c r="N699" s="153">
        <v>-5.0500000000000003E-2</v>
      </c>
      <c r="O699" s="72" t="s">
        <v>843</v>
      </c>
      <c r="P699" s="182" t="s">
        <v>845</v>
      </c>
    </row>
    <row r="700" spans="1:16" x14ac:dyDescent="0.2">
      <c r="A700" s="72" t="s">
        <v>827</v>
      </c>
      <c r="B700" s="72" t="s">
        <v>27</v>
      </c>
      <c r="C700" s="72" t="s">
        <v>95</v>
      </c>
      <c r="D700" s="72" t="s">
        <v>495</v>
      </c>
      <c r="E700" s="72">
        <v>10</v>
      </c>
      <c r="F700" s="72" t="s">
        <v>834</v>
      </c>
      <c r="G700" s="70">
        <v>8020</v>
      </c>
      <c r="H700" s="70">
        <v>7685</v>
      </c>
      <c r="I700" s="70">
        <v>335</v>
      </c>
      <c r="J700" s="153">
        <v>4.36E-2</v>
      </c>
      <c r="K700" s="70">
        <v>80200</v>
      </c>
      <c r="L700" s="70">
        <v>76850</v>
      </c>
      <c r="M700" s="70">
        <v>3350</v>
      </c>
      <c r="N700" s="153">
        <v>4.1799999999999997E-2</v>
      </c>
      <c r="O700" s="72" t="s">
        <v>843</v>
      </c>
      <c r="P700" s="181" t="s">
        <v>844</v>
      </c>
    </row>
    <row r="701" spans="1:16" x14ac:dyDescent="0.2">
      <c r="A701" s="72" t="s">
        <v>827</v>
      </c>
      <c r="B701" s="72" t="s">
        <v>24</v>
      </c>
      <c r="C701" s="72" t="s">
        <v>15</v>
      </c>
      <c r="D701" s="72" t="s">
        <v>496</v>
      </c>
      <c r="E701" s="72">
        <v>1</v>
      </c>
      <c r="F701" s="72" t="s">
        <v>834</v>
      </c>
      <c r="G701" s="70">
        <v>5300</v>
      </c>
      <c r="H701" s="70">
        <v>5200</v>
      </c>
      <c r="I701" s="70">
        <v>100</v>
      </c>
      <c r="J701" s="153">
        <v>1.9199999999999998E-2</v>
      </c>
      <c r="K701" s="70">
        <v>5300</v>
      </c>
      <c r="L701" s="70">
        <v>5200</v>
      </c>
      <c r="M701" s="70">
        <v>100</v>
      </c>
      <c r="N701" s="153">
        <v>1.89E-2</v>
      </c>
      <c r="O701" s="72" t="s">
        <v>843</v>
      </c>
      <c r="P701" s="181" t="s">
        <v>844</v>
      </c>
    </row>
    <row r="702" spans="1:16" x14ac:dyDescent="0.2">
      <c r="A702" s="72" t="s">
        <v>827</v>
      </c>
      <c r="B702" s="72" t="s">
        <v>24</v>
      </c>
      <c r="C702" s="72" t="s">
        <v>25</v>
      </c>
      <c r="D702" s="72" t="s">
        <v>497</v>
      </c>
      <c r="E702" s="72">
        <v>248</v>
      </c>
      <c r="F702" s="72" t="s">
        <v>835</v>
      </c>
      <c r="G702" s="70">
        <v>5000</v>
      </c>
      <c r="H702" s="70">
        <v>5200</v>
      </c>
      <c r="I702" s="70">
        <v>-200</v>
      </c>
      <c r="J702" s="153">
        <v>-3.85E-2</v>
      </c>
      <c r="K702" s="70">
        <v>1240000</v>
      </c>
      <c r="L702" s="70">
        <v>1289600</v>
      </c>
      <c r="M702" s="70">
        <v>-49600</v>
      </c>
      <c r="N702" s="153">
        <v>-0.04</v>
      </c>
      <c r="O702" s="72" t="s">
        <v>843</v>
      </c>
      <c r="P702" s="182" t="s">
        <v>845</v>
      </c>
    </row>
    <row r="703" spans="1:16" x14ac:dyDescent="0.2">
      <c r="A703" s="72" t="s">
        <v>827</v>
      </c>
      <c r="B703" s="72" t="s">
        <v>190</v>
      </c>
      <c r="C703" s="72" t="s">
        <v>25</v>
      </c>
      <c r="D703" s="72" t="s">
        <v>497</v>
      </c>
      <c r="E703" s="72">
        <v>3</v>
      </c>
      <c r="F703" s="72" t="s">
        <v>834</v>
      </c>
      <c r="G703" s="70">
        <v>28445</v>
      </c>
      <c r="H703" s="70">
        <v>25930</v>
      </c>
      <c r="I703" s="70">
        <v>2515</v>
      </c>
      <c r="J703" s="153">
        <v>9.7000000000000003E-2</v>
      </c>
      <c r="K703" s="70">
        <v>85335</v>
      </c>
      <c r="L703" s="70">
        <v>77790</v>
      </c>
      <c r="M703" s="70">
        <v>7545</v>
      </c>
      <c r="N703" s="153">
        <v>8.8400000000000006E-2</v>
      </c>
      <c r="O703" s="72" t="s">
        <v>843</v>
      </c>
      <c r="P703" s="181" t="s">
        <v>844</v>
      </c>
    </row>
    <row r="704" spans="1:16" x14ac:dyDescent="0.2">
      <c r="A704" s="72" t="s">
        <v>827</v>
      </c>
      <c r="B704" s="72" t="s">
        <v>24</v>
      </c>
      <c r="C704" s="72" t="s">
        <v>50</v>
      </c>
      <c r="D704" s="72" t="s">
        <v>499</v>
      </c>
      <c r="E704" s="72">
        <v>15</v>
      </c>
      <c r="F704" s="72" t="s">
        <v>834</v>
      </c>
      <c r="G704" s="70">
        <v>5000</v>
      </c>
      <c r="H704" s="70">
        <v>5200</v>
      </c>
      <c r="I704" s="70">
        <v>-200</v>
      </c>
      <c r="J704" s="153">
        <v>-3.85E-2</v>
      </c>
      <c r="K704" s="70">
        <v>75000</v>
      </c>
      <c r="L704" s="70">
        <v>78000</v>
      </c>
      <c r="M704" s="70">
        <v>-3000</v>
      </c>
      <c r="N704" s="153">
        <v>-0.04</v>
      </c>
      <c r="O704" s="72" t="s">
        <v>843</v>
      </c>
      <c r="P704" s="182" t="s">
        <v>845</v>
      </c>
    </row>
    <row r="705" spans="1:16" x14ac:dyDescent="0.2">
      <c r="A705" s="72" t="s">
        <v>827</v>
      </c>
      <c r="B705" s="72" t="s">
        <v>44</v>
      </c>
      <c r="C705" s="72" t="s">
        <v>29</v>
      </c>
      <c r="D705" s="72" t="s">
        <v>500</v>
      </c>
      <c r="E705" s="72">
        <v>18</v>
      </c>
      <c r="F705" s="72" t="s">
        <v>834</v>
      </c>
      <c r="G705" s="70">
        <v>9200</v>
      </c>
      <c r="H705" s="70">
        <v>8990</v>
      </c>
      <c r="I705" s="70">
        <v>210</v>
      </c>
      <c r="J705" s="153">
        <v>2.3400000000000001E-2</v>
      </c>
      <c r="K705" s="70">
        <v>165600</v>
      </c>
      <c r="L705" s="70">
        <v>161820</v>
      </c>
      <c r="M705" s="70">
        <v>3780</v>
      </c>
      <c r="N705" s="153">
        <v>2.2800000000000001E-2</v>
      </c>
      <c r="O705" s="72" t="s">
        <v>843</v>
      </c>
      <c r="P705" s="181" t="s">
        <v>844</v>
      </c>
    </row>
    <row r="706" spans="1:16" x14ac:dyDescent="0.2">
      <c r="A706" s="72" t="s">
        <v>827</v>
      </c>
      <c r="B706" s="72" t="s">
        <v>45</v>
      </c>
      <c r="C706" s="72" t="s">
        <v>29</v>
      </c>
      <c r="D706" s="72" t="s">
        <v>500</v>
      </c>
      <c r="E706" s="72">
        <v>19</v>
      </c>
      <c r="F706" s="72" t="s">
        <v>834</v>
      </c>
      <c r="G706" s="70">
        <v>13335</v>
      </c>
      <c r="H706" s="70">
        <v>12746</v>
      </c>
      <c r="I706" s="70">
        <v>589</v>
      </c>
      <c r="J706" s="153">
        <v>4.6199999999999998E-2</v>
      </c>
      <c r="K706" s="70">
        <v>253365</v>
      </c>
      <c r="L706" s="70">
        <v>242174</v>
      </c>
      <c r="M706" s="70">
        <v>11191</v>
      </c>
      <c r="N706" s="153">
        <v>4.4200000000000003E-2</v>
      </c>
      <c r="O706" s="72" t="s">
        <v>843</v>
      </c>
      <c r="P706" s="181" t="s">
        <v>844</v>
      </c>
    </row>
    <row r="707" spans="1:16" x14ac:dyDescent="0.2">
      <c r="A707" s="72" t="s">
        <v>827</v>
      </c>
      <c r="B707" s="72" t="s">
        <v>37</v>
      </c>
      <c r="C707" s="72" t="s">
        <v>29</v>
      </c>
      <c r="D707" s="72" t="s">
        <v>500</v>
      </c>
      <c r="E707" s="72">
        <v>12</v>
      </c>
      <c r="F707" s="72" t="s">
        <v>834</v>
      </c>
      <c r="G707" s="70">
        <v>8880</v>
      </c>
      <c r="H707" s="70">
        <v>8525</v>
      </c>
      <c r="I707" s="70">
        <v>355</v>
      </c>
      <c r="J707" s="153">
        <v>4.1599999999999998E-2</v>
      </c>
      <c r="K707" s="70">
        <v>106560</v>
      </c>
      <c r="L707" s="70">
        <v>102300</v>
      </c>
      <c r="M707" s="70">
        <v>4260</v>
      </c>
      <c r="N707" s="153">
        <v>0.04</v>
      </c>
      <c r="O707" s="72" t="s">
        <v>843</v>
      </c>
      <c r="P707" s="181" t="s">
        <v>844</v>
      </c>
    </row>
    <row r="708" spans="1:16" x14ac:dyDescent="0.2">
      <c r="A708" s="72" t="s">
        <v>827</v>
      </c>
      <c r="B708" s="72" t="s">
        <v>87</v>
      </c>
      <c r="C708" s="72" t="s">
        <v>29</v>
      </c>
      <c r="D708" s="72" t="s">
        <v>500</v>
      </c>
      <c r="E708" s="72">
        <v>1</v>
      </c>
      <c r="F708" s="72" t="s">
        <v>834</v>
      </c>
      <c r="G708" s="70">
        <v>21400</v>
      </c>
      <c r="H708" s="70">
        <v>20440</v>
      </c>
      <c r="I708" s="70">
        <v>960</v>
      </c>
      <c r="J708" s="153">
        <v>4.7E-2</v>
      </c>
      <c r="K708" s="70">
        <v>21400</v>
      </c>
      <c r="L708" s="70">
        <v>20440</v>
      </c>
      <c r="M708" s="70">
        <v>960</v>
      </c>
      <c r="N708" s="153">
        <v>4.4900000000000002E-2</v>
      </c>
      <c r="O708" s="72" t="s">
        <v>843</v>
      </c>
      <c r="P708" s="181" t="s">
        <v>844</v>
      </c>
    </row>
    <row r="709" spans="1:16" x14ac:dyDescent="0.2">
      <c r="A709" s="72" t="s">
        <v>827</v>
      </c>
      <c r="B709" s="72" t="s">
        <v>65</v>
      </c>
      <c r="C709" s="72" t="s">
        <v>29</v>
      </c>
      <c r="D709" s="72" t="s">
        <v>500</v>
      </c>
      <c r="E709" s="72">
        <v>11</v>
      </c>
      <c r="F709" s="72" t="s">
        <v>834</v>
      </c>
      <c r="G709" s="70">
        <v>11910</v>
      </c>
      <c r="H709" s="70">
        <v>11315</v>
      </c>
      <c r="I709" s="70">
        <v>595</v>
      </c>
      <c r="J709" s="153">
        <v>5.2600000000000001E-2</v>
      </c>
      <c r="K709" s="70">
        <v>131010</v>
      </c>
      <c r="L709" s="70">
        <v>124465</v>
      </c>
      <c r="M709" s="70">
        <v>6545</v>
      </c>
      <c r="N709" s="153">
        <v>0.05</v>
      </c>
      <c r="O709" s="72" t="s">
        <v>843</v>
      </c>
      <c r="P709" s="181" t="s">
        <v>844</v>
      </c>
    </row>
    <row r="710" spans="1:16" x14ac:dyDescent="0.2">
      <c r="A710" s="72" t="s">
        <v>827</v>
      </c>
      <c r="B710" s="72" t="s">
        <v>24</v>
      </c>
      <c r="C710" s="72" t="s">
        <v>29</v>
      </c>
      <c r="D710" s="72" t="s">
        <v>500</v>
      </c>
      <c r="E710" s="72">
        <v>7</v>
      </c>
      <c r="F710" s="72" t="s">
        <v>834</v>
      </c>
      <c r="G710" s="70">
        <v>5000</v>
      </c>
      <c r="H710" s="70">
        <v>5200</v>
      </c>
      <c r="I710" s="70">
        <v>-200</v>
      </c>
      <c r="J710" s="153">
        <v>-3.85E-2</v>
      </c>
      <c r="K710" s="70">
        <v>35000</v>
      </c>
      <c r="L710" s="70">
        <v>36400</v>
      </c>
      <c r="M710" s="70">
        <v>-1400</v>
      </c>
      <c r="N710" s="153">
        <v>-0.04</v>
      </c>
      <c r="O710" s="72" t="s">
        <v>843</v>
      </c>
      <c r="P710" s="182" t="s">
        <v>845</v>
      </c>
    </row>
    <row r="711" spans="1:16" x14ac:dyDescent="0.2">
      <c r="A711" s="72" t="s">
        <v>827</v>
      </c>
      <c r="B711" s="72" t="s">
        <v>28</v>
      </c>
      <c r="C711" s="72" t="s">
        <v>29</v>
      </c>
      <c r="D711" s="72" t="s">
        <v>500</v>
      </c>
      <c r="E711" s="72">
        <v>1</v>
      </c>
      <c r="F711" s="72" t="s">
        <v>834</v>
      </c>
      <c r="G711" s="70">
        <v>13200</v>
      </c>
      <c r="H711" s="70">
        <v>13501</v>
      </c>
      <c r="I711" s="70">
        <v>-301</v>
      </c>
      <c r="J711" s="153">
        <v>-2.23E-2</v>
      </c>
      <c r="K711" s="70">
        <v>13200</v>
      </c>
      <c r="L711" s="70">
        <v>13501</v>
      </c>
      <c r="M711" s="70">
        <v>-301</v>
      </c>
      <c r="N711" s="153">
        <v>-2.2800000000000001E-2</v>
      </c>
      <c r="O711" s="72" t="s">
        <v>843</v>
      </c>
      <c r="P711" s="182" t="s">
        <v>845</v>
      </c>
    </row>
    <row r="712" spans="1:16" x14ac:dyDescent="0.2">
      <c r="A712" s="72" t="s">
        <v>827</v>
      </c>
      <c r="B712" s="72" t="s">
        <v>93</v>
      </c>
      <c r="C712" s="72" t="s">
        <v>29</v>
      </c>
      <c r="D712" s="72" t="s">
        <v>500</v>
      </c>
      <c r="E712" s="72">
        <v>2</v>
      </c>
      <c r="F712" s="72" t="s">
        <v>834</v>
      </c>
      <c r="G712" s="70">
        <v>11415</v>
      </c>
      <c r="H712" s="70">
        <v>11130</v>
      </c>
      <c r="I712" s="70">
        <v>285</v>
      </c>
      <c r="J712" s="153">
        <v>2.5600000000000001E-2</v>
      </c>
      <c r="K712" s="70">
        <v>22830</v>
      </c>
      <c r="L712" s="70">
        <v>22260</v>
      </c>
      <c r="M712" s="70">
        <v>570</v>
      </c>
      <c r="N712" s="153">
        <v>2.5000000000000001E-2</v>
      </c>
      <c r="O712" s="72" t="s">
        <v>843</v>
      </c>
      <c r="P712" s="181" t="s">
        <v>844</v>
      </c>
    </row>
    <row r="713" spans="1:16" x14ac:dyDescent="0.2">
      <c r="A713" s="72" t="s">
        <v>827</v>
      </c>
      <c r="B713" s="72" t="s">
        <v>22</v>
      </c>
      <c r="C713" s="72" t="s">
        <v>75</v>
      </c>
      <c r="D713" s="72" t="s">
        <v>505</v>
      </c>
      <c r="E713" s="72">
        <v>82</v>
      </c>
      <c r="F713" s="72" t="s">
        <v>835</v>
      </c>
      <c r="G713" s="70">
        <v>9335</v>
      </c>
      <c r="H713" s="70">
        <v>8657</v>
      </c>
      <c r="I713" s="70">
        <v>678</v>
      </c>
      <c r="J713" s="153">
        <v>7.8299999999999995E-2</v>
      </c>
      <c r="K713" s="70">
        <v>765470</v>
      </c>
      <c r="L713" s="70">
        <v>709874</v>
      </c>
      <c r="M713" s="70">
        <v>55596</v>
      </c>
      <c r="N713" s="153">
        <v>7.2599999999999998E-2</v>
      </c>
      <c r="O713" s="72" t="s">
        <v>843</v>
      </c>
      <c r="P713" s="181" t="s">
        <v>844</v>
      </c>
    </row>
    <row r="714" spans="1:16" x14ac:dyDescent="0.2">
      <c r="A714" s="72" t="s">
        <v>827</v>
      </c>
      <c r="B714" s="72" t="s">
        <v>24</v>
      </c>
      <c r="C714" s="72" t="s">
        <v>75</v>
      </c>
      <c r="D714" s="72" t="s">
        <v>505</v>
      </c>
      <c r="E714" s="72">
        <v>28</v>
      </c>
      <c r="F714" s="72" t="s">
        <v>834</v>
      </c>
      <c r="G714" s="70">
        <v>5970</v>
      </c>
      <c r="H714" s="70">
        <v>5200</v>
      </c>
      <c r="I714" s="70">
        <v>770</v>
      </c>
      <c r="J714" s="153">
        <v>0.14810000000000001</v>
      </c>
      <c r="K714" s="70">
        <v>167160</v>
      </c>
      <c r="L714" s="70">
        <v>145600</v>
      </c>
      <c r="M714" s="70">
        <v>21560</v>
      </c>
      <c r="N714" s="153">
        <v>0.129</v>
      </c>
      <c r="O714" s="72" t="s">
        <v>843</v>
      </c>
      <c r="P714" s="181" t="s">
        <v>844</v>
      </c>
    </row>
    <row r="715" spans="1:16" x14ac:dyDescent="0.2">
      <c r="A715" s="72" t="s">
        <v>827</v>
      </c>
      <c r="B715" s="72" t="s">
        <v>44</v>
      </c>
      <c r="C715" s="72" t="s">
        <v>29</v>
      </c>
      <c r="D715" s="72" t="s">
        <v>509</v>
      </c>
      <c r="E715" s="72">
        <v>15</v>
      </c>
      <c r="F715" s="72" t="s">
        <v>834</v>
      </c>
      <c r="G715" s="70">
        <v>9200</v>
      </c>
      <c r="H715" s="70">
        <v>8990</v>
      </c>
      <c r="I715" s="70">
        <v>210</v>
      </c>
      <c r="J715" s="153">
        <v>2.3400000000000001E-2</v>
      </c>
      <c r="K715" s="70">
        <v>138000</v>
      </c>
      <c r="L715" s="70">
        <v>134850</v>
      </c>
      <c r="M715" s="70">
        <v>3150</v>
      </c>
      <c r="N715" s="153">
        <v>2.2800000000000001E-2</v>
      </c>
      <c r="O715" s="72" t="s">
        <v>843</v>
      </c>
      <c r="P715" s="181" t="s">
        <v>844</v>
      </c>
    </row>
    <row r="716" spans="1:16" x14ac:dyDescent="0.2">
      <c r="A716" s="72" t="s">
        <v>827</v>
      </c>
      <c r="B716" s="72" t="s">
        <v>45</v>
      </c>
      <c r="C716" s="72" t="s">
        <v>29</v>
      </c>
      <c r="D716" s="72" t="s">
        <v>509</v>
      </c>
      <c r="E716" s="72">
        <v>10</v>
      </c>
      <c r="F716" s="72" t="s">
        <v>834</v>
      </c>
      <c r="G716" s="70">
        <v>13335</v>
      </c>
      <c r="H716" s="70">
        <v>12746</v>
      </c>
      <c r="I716" s="70">
        <v>589</v>
      </c>
      <c r="J716" s="153">
        <v>4.6199999999999998E-2</v>
      </c>
      <c r="K716" s="70">
        <v>133350</v>
      </c>
      <c r="L716" s="70">
        <v>127460</v>
      </c>
      <c r="M716" s="70">
        <v>5890</v>
      </c>
      <c r="N716" s="153">
        <v>4.4200000000000003E-2</v>
      </c>
      <c r="O716" s="72" t="s">
        <v>843</v>
      </c>
      <c r="P716" s="181" t="s">
        <v>844</v>
      </c>
    </row>
    <row r="717" spans="1:16" x14ac:dyDescent="0.2">
      <c r="A717" s="72" t="s">
        <v>827</v>
      </c>
      <c r="B717" s="72" t="s">
        <v>37</v>
      </c>
      <c r="C717" s="72" t="s">
        <v>29</v>
      </c>
      <c r="D717" s="72" t="s">
        <v>509</v>
      </c>
      <c r="E717" s="72">
        <v>5</v>
      </c>
      <c r="F717" s="72" t="s">
        <v>834</v>
      </c>
      <c r="G717" s="70">
        <v>8880</v>
      </c>
      <c r="H717" s="70">
        <v>8525</v>
      </c>
      <c r="I717" s="70">
        <v>355</v>
      </c>
      <c r="J717" s="153">
        <v>4.1599999999999998E-2</v>
      </c>
      <c r="K717" s="70">
        <v>44400</v>
      </c>
      <c r="L717" s="70">
        <v>42625</v>
      </c>
      <c r="M717" s="70">
        <v>1775</v>
      </c>
      <c r="N717" s="153">
        <v>0.04</v>
      </c>
      <c r="O717" s="72" t="s">
        <v>843</v>
      </c>
      <c r="P717" s="181" t="s">
        <v>844</v>
      </c>
    </row>
    <row r="718" spans="1:16" x14ac:dyDescent="0.2">
      <c r="A718" s="72" t="s">
        <v>827</v>
      </c>
      <c r="B718" s="72" t="s">
        <v>100</v>
      </c>
      <c r="C718" s="72" t="s">
        <v>29</v>
      </c>
      <c r="D718" s="72" t="s">
        <v>509</v>
      </c>
      <c r="E718" s="72">
        <v>3</v>
      </c>
      <c r="F718" s="72" t="s">
        <v>834</v>
      </c>
      <c r="G718" s="70">
        <v>11480</v>
      </c>
      <c r="H718" s="70">
        <v>10915</v>
      </c>
      <c r="I718" s="70">
        <v>565</v>
      </c>
      <c r="J718" s="153">
        <v>5.1799999999999999E-2</v>
      </c>
      <c r="K718" s="70">
        <v>34440</v>
      </c>
      <c r="L718" s="70">
        <v>32745</v>
      </c>
      <c r="M718" s="70">
        <v>1695</v>
      </c>
      <c r="N718" s="153">
        <v>4.9200000000000001E-2</v>
      </c>
      <c r="O718" s="72" t="s">
        <v>843</v>
      </c>
      <c r="P718" s="181" t="s">
        <v>844</v>
      </c>
    </row>
    <row r="719" spans="1:16" x14ac:dyDescent="0.2">
      <c r="A719" s="72" t="s">
        <v>827</v>
      </c>
      <c r="B719" s="72" t="s">
        <v>113</v>
      </c>
      <c r="C719" s="72" t="s">
        <v>29</v>
      </c>
      <c r="D719" s="72" t="s">
        <v>509</v>
      </c>
      <c r="E719" s="72">
        <v>3</v>
      </c>
      <c r="F719" s="72" t="s">
        <v>834</v>
      </c>
      <c r="G719" s="70">
        <v>14575</v>
      </c>
      <c r="H719" s="70">
        <v>14475</v>
      </c>
      <c r="I719" s="70">
        <v>100</v>
      </c>
      <c r="J719" s="153">
        <v>6.8999999999999999E-3</v>
      </c>
      <c r="K719" s="70">
        <v>43725</v>
      </c>
      <c r="L719" s="70">
        <v>43425</v>
      </c>
      <c r="M719" s="70">
        <v>300</v>
      </c>
      <c r="N719" s="153">
        <v>6.8999999999999999E-3</v>
      </c>
      <c r="O719" s="72" t="s">
        <v>843</v>
      </c>
      <c r="P719" s="181" t="s">
        <v>844</v>
      </c>
    </row>
    <row r="720" spans="1:16" x14ac:dyDescent="0.2">
      <c r="A720" s="72" t="s">
        <v>827</v>
      </c>
      <c r="B720" s="72" t="s">
        <v>65</v>
      </c>
      <c r="C720" s="72" t="s">
        <v>29</v>
      </c>
      <c r="D720" s="72" t="s">
        <v>509</v>
      </c>
      <c r="E720" s="72">
        <v>3</v>
      </c>
      <c r="F720" s="72" t="s">
        <v>834</v>
      </c>
      <c r="G720" s="70">
        <v>11910</v>
      </c>
      <c r="H720" s="70">
        <v>11315</v>
      </c>
      <c r="I720" s="70">
        <v>595</v>
      </c>
      <c r="J720" s="153">
        <v>5.2600000000000001E-2</v>
      </c>
      <c r="K720" s="70">
        <v>35730</v>
      </c>
      <c r="L720" s="70">
        <v>33945</v>
      </c>
      <c r="M720" s="70">
        <v>1785</v>
      </c>
      <c r="N720" s="153">
        <v>0.05</v>
      </c>
      <c r="O720" s="72" t="s">
        <v>843</v>
      </c>
      <c r="P720" s="181" t="s">
        <v>844</v>
      </c>
    </row>
    <row r="721" spans="1:16" x14ac:dyDescent="0.2">
      <c r="A721" s="72" t="s">
        <v>827</v>
      </c>
      <c r="B721" s="72" t="s">
        <v>24</v>
      </c>
      <c r="C721" s="72" t="s">
        <v>29</v>
      </c>
      <c r="D721" s="72" t="s">
        <v>509</v>
      </c>
      <c r="E721" s="72">
        <v>5</v>
      </c>
      <c r="F721" s="72" t="s">
        <v>834</v>
      </c>
      <c r="G721" s="70">
        <v>5000</v>
      </c>
      <c r="H721" s="70">
        <v>5200</v>
      </c>
      <c r="I721" s="70">
        <v>-200</v>
      </c>
      <c r="J721" s="153">
        <v>-3.85E-2</v>
      </c>
      <c r="K721" s="70">
        <v>25000</v>
      </c>
      <c r="L721" s="70">
        <v>26000</v>
      </c>
      <c r="M721" s="70">
        <v>-1000</v>
      </c>
      <c r="N721" s="153">
        <v>-0.04</v>
      </c>
      <c r="O721" s="72" t="s">
        <v>843</v>
      </c>
      <c r="P721" s="182" t="s">
        <v>845</v>
      </c>
    </row>
    <row r="722" spans="1:16" x14ac:dyDescent="0.2">
      <c r="A722" s="72" t="s">
        <v>827</v>
      </c>
      <c r="B722" s="72" t="s">
        <v>70</v>
      </c>
      <c r="C722" s="72" t="s">
        <v>29</v>
      </c>
      <c r="D722" s="72" t="s">
        <v>509</v>
      </c>
      <c r="E722" s="72">
        <v>2</v>
      </c>
      <c r="F722" s="72" t="s">
        <v>834</v>
      </c>
      <c r="G722" s="70">
        <v>13460</v>
      </c>
      <c r="H722" s="70">
        <v>12855</v>
      </c>
      <c r="I722" s="70">
        <v>605</v>
      </c>
      <c r="J722" s="153">
        <v>4.7100000000000003E-2</v>
      </c>
      <c r="K722" s="70">
        <v>26920</v>
      </c>
      <c r="L722" s="70">
        <v>25710</v>
      </c>
      <c r="M722" s="70">
        <v>1210</v>
      </c>
      <c r="N722" s="153">
        <v>4.4900000000000002E-2</v>
      </c>
      <c r="O722" s="72" t="s">
        <v>843</v>
      </c>
      <c r="P722" s="181" t="s">
        <v>844</v>
      </c>
    </row>
    <row r="723" spans="1:16" x14ac:dyDescent="0.2">
      <c r="A723" s="72" t="s">
        <v>827</v>
      </c>
      <c r="B723" s="72" t="s">
        <v>93</v>
      </c>
      <c r="C723" s="72" t="s">
        <v>29</v>
      </c>
      <c r="D723" s="72" t="s">
        <v>509</v>
      </c>
      <c r="E723" s="72">
        <v>3</v>
      </c>
      <c r="F723" s="72" t="s">
        <v>834</v>
      </c>
      <c r="G723" s="70">
        <v>11415</v>
      </c>
      <c r="H723" s="70">
        <v>11130</v>
      </c>
      <c r="I723" s="70">
        <v>285</v>
      </c>
      <c r="J723" s="153">
        <v>2.5600000000000001E-2</v>
      </c>
      <c r="K723" s="70">
        <v>34245</v>
      </c>
      <c r="L723" s="70">
        <v>33390</v>
      </c>
      <c r="M723" s="70">
        <v>855</v>
      </c>
      <c r="N723" s="153">
        <v>2.5000000000000001E-2</v>
      </c>
      <c r="O723" s="72" t="s">
        <v>843</v>
      </c>
      <c r="P723" s="181" t="s">
        <v>844</v>
      </c>
    </row>
    <row r="724" spans="1:16" x14ac:dyDescent="0.2">
      <c r="A724" s="72" t="s">
        <v>827</v>
      </c>
      <c r="B724" s="72" t="s">
        <v>87</v>
      </c>
      <c r="C724" s="72" t="s">
        <v>104</v>
      </c>
      <c r="D724" s="72" t="s">
        <v>511</v>
      </c>
      <c r="E724" s="72">
        <v>1</v>
      </c>
      <c r="F724" s="72" t="s">
        <v>834</v>
      </c>
      <c r="G724" s="70">
        <v>21485</v>
      </c>
      <c r="H724" s="70">
        <v>20440</v>
      </c>
      <c r="I724" s="70">
        <v>1045</v>
      </c>
      <c r="J724" s="153">
        <v>5.11E-2</v>
      </c>
      <c r="K724" s="70">
        <v>21485</v>
      </c>
      <c r="L724" s="70">
        <v>20440</v>
      </c>
      <c r="M724" s="70">
        <v>1045</v>
      </c>
      <c r="N724" s="153">
        <v>4.8599999999999997E-2</v>
      </c>
      <c r="O724" s="72" t="s">
        <v>843</v>
      </c>
      <c r="P724" s="181" t="s">
        <v>844</v>
      </c>
    </row>
    <row r="725" spans="1:16" x14ac:dyDescent="0.2">
      <c r="A725" s="72" t="s">
        <v>827</v>
      </c>
      <c r="B725" s="72" t="s">
        <v>141</v>
      </c>
      <c r="C725" s="72" t="s">
        <v>104</v>
      </c>
      <c r="D725" s="72" t="s">
        <v>511</v>
      </c>
      <c r="E725" s="72">
        <v>1</v>
      </c>
      <c r="F725" s="72" t="s">
        <v>834</v>
      </c>
      <c r="G725" s="70">
        <v>14145</v>
      </c>
      <c r="H725" s="70">
        <v>13520</v>
      </c>
      <c r="I725" s="70">
        <v>625</v>
      </c>
      <c r="J725" s="153">
        <v>4.6199999999999998E-2</v>
      </c>
      <c r="K725" s="70">
        <v>14145</v>
      </c>
      <c r="L725" s="70">
        <v>13520</v>
      </c>
      <c r="M725" s="70">
        <v>625</v>
      </c>
      <c r="N725" s="153">
        <v>4.4200000000000003E-2</v>
      </c>
      <c r="O725" s="72" t="s">
        <v>843</v>
      </c>
      <c r="P725" s="181" t="s">
        <v>844</v>
      </c>
    </row>
    <row r="726" spans="1:16" x14ac:dyDescent="0.2">
      <c r="A726" s="72" t="s">
        <v>828</v>
      </c>
      <c r="B726" s="72" t="s">
        <v>22</v>
      </c>
      <c r="C726" s="72" t="s">
        <v>63</v>
      </c>
      <c r="D726" s="72" t="s">
        <v>512</v>
      </c>
      <c r="E726" s="72">
        <v>140</v>
      </c>
      <c r="F726" s="72" t="s">
        <v>835</v>
      </c>
      <c r="G726" s="70">
        <v>8500</v>
      </c>
      <c r="H726" s="70">
        <v>8657</v>
      </c>
      <c r="I726" s="70">
        <v>-157</v>
      </c>
      <c r="J726" s="153">
        <v>-1.8100000000000002E-2</v>
      </c>
      <c r="K726" s="70">
        <v>1190000</v>
      </c>
      <c r="L726" s="70">
        <v>1211980</v>
      </c>
      <c r="M726" s="70">
        <v>-21980</v>
      </c>
      <c r="N726" s="153">
        <v>-1.8499999999999999E-2</v>
      </c>
      <c r="O726" s="72" t="s">
        <v>843</v>
      </c>
      <c r="P726" s="182" t="s">
        <v>845</v>
      </c>
    </row>
    <row r="727" spans="1:16" x14ac:dyDescent="0.2">
      <c r="A727" s="72" t="s">
        <v>828</v>
      </c>
      <c r="B727" s="72" t="s">
        <v>21</v>
      </c>
      <c r="C727" s="72" t="s">
        <v>63</v>
      </c>
      <c r="D727" s="72" t="s">
        <v>512</v>
      </c>
      <c r="E727" s="72">
        <v>140</v>
      </c>
      <c r="F727" s="72" t="s">
        <v>835</v>
      </c>
      <c r="G727" s="70">
        <v>8100</v>
      </c>
      <c r="H727" s="70">
        <v>8118</v>
      </c>
      <c r="I727" s="70">
        <v>-18</v>
      </c>
      <c r="J727" s="153">
        <v>-2.2000000000000001E-3</v>
      </c>
      <c r="K727" s="70">
        <v>1134000</v>
      </c>
      <c r="L727" s="70">
        <v>1136520</v>
      </c>
      <c r="M727" s="70">
        <v>-2520</v>
      </c>
      <c r="N727" s="153">
        <v>-2.2000000000000001E-3</v>
      </c>
      <c r="O727" s="72" t="s">
        <v>843</v>
      </c>
      <c r="P727" s="182" t="s">
        <v>845</v>
      </c>
    </row>
    <row r="728" spans="1:16" x14ac:dyDescent="0.2">
      <c r="A728" s="72" t="s">
        <v>828</v>
      </c>
      <c r="B728" s="72" t="s">
        <v>113</v>
      </c>
      <c r="C728" s="72" t="s">
        <v>63</v>
      </c>
      <c r="D728" s="72" t="s">
        <v>512</v>
      </c>
      <c r="E728" s="72">
        <v>30</v>
      </c>
      <c r="F728" s="72" t="s">
        <v>834</v>
      </c>
      <c r="G728" s="70">
        <v>14475</v>
      </c>
      <c r="H728" s="70">
        <v>14475</v>
      </c>
      <c r="I728" s="70">
        <v>0</v>
      </c>
      <c r="J728" s="153">
        <v>0</v>
      </c>
      <c r="K728" s="70">
        <v>434250</v>
      </c>
      <c r="L728" s="70">
        <v>434250</v>
      </c>
      <c r="M728" s="70">
        <v>0</v>
      </c>
      <c r="N728" s="153">
        <v>0</v>
      </c>
      <c r="O728" s="72" t="s">
        <v>843</v>
      </c>
      <c r="P728" s="72" t="s">
        <v>846</v>
      </c>
    </row>
    <row r="729" spans="1:16" s="171" customFormat="1" x14ac:dyDescent="0.2">
      <c r="A729" s="172" t="s">
        <v>828</v>
      </c>
      <c r="B729" s="172" t="s">
        <v>229</v>
      </c>
      <c r="C729" s="172" t="s">
        <v>63</v>
      </c>
      <c r="D729" s="172" t="s">
        <v>512</v>
      </c>
      <c r="E729" s="172">
        <v>97</v>
      </c>
      <c r="F729" s="172" t="s">
        <v>835</v>
      </c>
      <c r="G729" s="173">
        <v>13500</v>
      </c>
      <c r="H729" s="174">
        <v>14000</v>
      </c>
      <c r="I729" s="173">
        <f>G729-H729</f>
        <v>-500</v>
      </c>
      <c r="J729" s="175">
        <f>I729/H729</f>
        <v>-3.5714285714285712E-2</v>
      </c>
      <c r="K729" s="173">
        <v>1309500</v>
      </c>
      <c r="L729" s="173">
        <f>H729*E729</f>
        <v>1358000</v>
      </c>
      <c r="M729" s="173">
        <f>K729-L729</f>
        <v>-48500</v>
      </c>
      <c r="N729" s="175">
        <f>M729/K729</f>
        <v>-3.7037037037037035E-2</v>
      </c>
      <c r="O729" s="172" t="s">
        <v>843</v>
      </c>
      <c r="P729" s="184" t="s">
        <v>845</v>
      </c>
    </row>
    <row r="730" spans="1:16" x14ac:dyDescent="0.2">
      <c r="A730" s="72" t="s">
        <v>828</v>
      </c>
      <c r="B730" s="72" t="s">
        <v>32</v>
      </c>
      <c r="C730" s="72" t="s">
        <v>63</v>
      </c>
      <c r="D730" s="72" t="s">
        <v>512</v>
      </c>
      <c r="E730" s="72">
        <v>96</v>
      </c>
      <c r="F730" s="72" t="s">
        <v>835</v>
      </c>
      <c r="G730" s="70">
        <v>15555</v>
      </c>
      <c r="H730" s="70">
        <v>15247</v>
      </c>
      <c r="I730" s="70">
        <v>308</v>
      </c>
      <c r="J730" s="153">
        <v>2.0199999999999999E-2</v>
      </c>
      <c r="K730" s="70">
        <v>1493280</v>
      </c>
      <c r="L730" s="70">
        <v>1463712</v>
      </c>
      <c r="M730" s="70">
        <v>29568</v>
      </c>
      <c r="N730" s="153">
        <v>1.9800000000000002E-2</v>
      </c>
      <c r="O730" s="72" t="s">
        <v>843</v>
      </c>
      <c r="P730" s="181" t="s">
        <v>844</v>
      </c>
    </row>
    <row r="731" spans="1:16" x14ac:dyDescent="0.2">
      <c r="A731" s="72" t="s">
        <v>828</v>
      </c>
      <c r="B731" s="72" t="s">
        <v>31</v>
      </c>
      <c r="C731" s="72" t="s">
        <v>63</v>
      </c>
      <c r="D731" s="72" t="s">
        <v>512</v>
      </c>
      <c r="E731" s="72">
        <v>150</v>
      </c>
      <c r="F731" s="72" t="s">
        <v>835</v>
      </c>
      <c r="G731" s="70">
        <v>17100</v>
      </c>
      <c r="H731" s="70">
        <v>17100</v>
      </c>
      <c r="I731" s="70">
        <v>0</v>
      </c>
      <c r="J731" s="153">
        <v>0</v>
      </c>
      <c r="K731" s="70">
        <v>2565000</v>
      </c>
      <c r="L731" s="70">
        <v>2565000</v>
      </c>
      <c r="M731" s="70">
        <v>0</v>
      </c>
      <c r="N731" s="153">
        <v>0</v>
      </c>
      <c r="O731" s="72" t="s">
        <v>843</v>
      </c>
      <c r="P731" s="72" t="s">
        <v>846</v>
      </c>
    </row>
    <row r="732" spans="1:16" x14ac:dyDescent="0.2">
      <c r="A732" s="72" t="s">
        <v>828</v>
      </c>
      <c r="B732" s="72" t="s">
        <v>87</v>
      </c>
      <c r="C732" s="72" t="s">
        <v>75</v>
      </c>
      <c r="D732" s="72" t="s">
        <v>518</v>
      </c>
      <c r="E732" s="72">
        <v>5</v>
      </c>
      <c r="F732" s="72" t="s">
        <v>834</v>
      </c>
      <c r="G732" s="70">
        <v>21485</v>
      </c>
      <c r="H732" s="70">
        <v>20440</v>
      </c>
      <c r="I732" s="70">
        <v>1045</v>
      </c>
      <c r="J732" s="153">
        <v>5.11E-2</v>
      </c>
      <c r="K732" s="70">
        <v>107425</v>
      </c>
      <c r="L732" s="70">
        <v>102200</v>
      </c>
      <c r="M732" s="70">
        <v>5225</v>
      </c>
      <c r="N732" s="153">
        <v>4.8599999999999997E-2</v>
      </c>
      <c r="O732" s="72" t="s">
        <v>843</v>
      </c>
      <c r="P732" s="181" t="s">
        <v>844</v>
      </c>
    </row>
    <row r="733" spans="1:16" x14ac:dyDescent="0.2">
      <c r="A733" s="72" t="s">
        <v>828</v>
      </c>
      <c r="B733" s="72" t="s">
        <v>36</v>
      </c>
      <c r="C733" s="72" t="s">
        <v>75</v>
      </c>
      <c r="D733" s="72" t="s">
        <v>518</v>
      </c>
      <c r="E733" s="72">
        <v>5</v>
      </c>
      <c r="F733" s="72" t="s">
        <v>834</v>
      </c>
      <c r="G733" s="70">
        <v>15525</v>
      </c>
      <c r="H733" s="70">
        <v>14900</v>
      </c>
      <c r="I733" s="70">
        <v>625</v>
      </c>
      <c r="J733" s="153">
        <v>4.19E-2</v>
      </c>
      <c r="K733" s="70">
        <v>77625</v>
      </c>
      <c r="L733" s="70">
        <v>74500</v>
      </c>
      <c r="M733" s="70">
        <v>3125</v>
      </c>
      <c r="N733" s="153">
        <v>4.0300000000000002E-2</v>
      </c>
      <c r="O733" s="72" t="s">
        <v>843</v>
      </c>
      <c r="P733" s="181" t="s">
        <v>844</v>
      </c>
    </row>
    <row r="734" spans="1:16" x14ac:dyDescent="0.2">
      <c r="A734" s="72" t="s">
        <v>828</v>
      </c>
      <c r="B734" s="72" t="s">
        <v>28</v>
      </c>
      <c r="C734" s="72" t="s">
        <v>75</v>
      </c>
      <c r="D734" s="72" t="s">
        <v>518</v>
      </c>
      <c r="E734" s="72">
        <v>1</v>
      </c>
      <c r="F734" s="72" t="s">
        <v>834</v>
      </c>
      <c r="G734" s="70">
        <v>14430</v>
      </c>
      <c r="H734" s="70">
        <v>13501</v>
      </c>
      <c r="I734" s="70">
        <v>929</v>
      </c>
      <c r="J734" s="153">
        <v>6.88E-2</v>
      </c>
      <c r="K734" s="70">
        <v>14430</v>
      </c>
      <c r="L734" s="70">
        <v>13501</v>
      </c>
      <c r="M734" s="70">
        <v>929</v>
      </c>
      <c r="N734" s="153">
        <v>6.4399999999999999E-2</v>
      </c>
      <c r="O734" s="72" t="s">
        <v>843</v>
      </c>
      <c r="P734" s="181" t="s">
        <v>844</v>
      </c>
    </row>
    <row r="735" spans="1:16" x14ac:dyDescent="0.2">
      <c r="A735" s="72" t="s">
        <v>828</v>
      </c>
      <c r="B735" s="72" t="s">
        <v>22</v>
      </c>
      <c r="C735" s="72" t="s">
        <v>95</v>
      </c>
      <c r="D735" s="72" t="s">
        <v>520</v>
      </c>
      <c r="E735" s="72">
        <v>2</v>
      </c>
      <c r="F735" s="72" t="s">
        <v>834</v>
      </c>
      <c r="G735" s="70">
        <v>9200</v>
      </c>
      <c r="H735" s="70">
        <v>8657</v>
      </c>
      <c r="I735" s="70">
        <v>543</v>
      </c>
      <c r="J735" s="153">
        <v>6.2700000000000006E-2</v>
      </c>
      <c r="K735" s="70">
        <v>18400</v>
      </c>
      <c r="L735" s="70">
        <v>17314</v>
      </c>
      <c r="M735" s="70">
        <v>1086</v>
      </c>
      <c r="N735" s="153">
        <v>5.8999999999999997E-2</v>
      </c>
      <c r="O735" s="72" t="s">
        <v>843</v>
      </c>
      <c r="P735" s="181" t="s">
        <v>844</v>
      </c>
    </row>
    <row r="736" spans="1:16" x14ac:dyDescent="0.2">
      <c r="A736" s="72" t="s">
        <v>828</v>
      </c>
      <c r="B736" s="72" t="s">
        <v>44</v>
      </c>
      <c r="C736" s="72" t="s">
        <v>95</v>
      </c>
      <c r="D736" s="72" t="s">
        <v>520</v>
      </c>
      <c r="E736" s="72">
        <v>2</v>
      </c>
      <c r="F736" s="72" t="s">
        <v>834</v>
      </c>
      <c r="G736" s="70">
        <v>9200</v>
      </c>
      <c r="H736" s="70">
        <v>8990</v>
      </c>
      <c r="I736" s="70">
        <v>210</v>
      </c>
      <c r="J736" s="153">
        <v>2.3400000000000001E-2</v>
      </c>
      <c r="K736" s="70">
        <v>18400</v>
      </c>
      <c r="L736" s="70">
        <v>17980</v>
      </c>
      <c r="M736" s="70">
        <v>420</v>
      </c>
      <c r="N736" s="153">
        <v>2.2800000000000001E-2</v>
      </c>
      <c r="O736" s="72" t="s">
        <v>843</v>
      </c>
      <c r="P736" s="181" t="s">
        <v>844</v>
      </c>
    </row>
    <row r="737" spans="1:16" x14ac:dyDescent="0.2">
      <c r="A737" s="72" t="s">
        <v>828</v>
      </c>
      <c r="B737" s="72" t="s">
        <v>45</v>
      </c>
      <c r="C737" s="72" t="s">
        <v>95</v>
      </c>
      <c r="D737" s="72" t="s">
        <v>520</v>
      </c>
      <c r="E737" s="72">
        <v>2</v>
      </c>
      <c r="F737" s="72" t="s">
        <v>834</v>
      </c>
      <c r="G737" s="70">
        <v>13335</v>
      </c>
      <c r="H737" s="70">
        <v>12746</v>
      </c>
      <c r="I737" s="70">
        <v>589</v>
      </c>
      <c r="J737" s="153">
        <v>4.6199999999999998E-2</v>
      </c>
      <c r="K737" s="70">
        <v>26670</v>
      </c>
      <c r="L737" s="70">
        <v>25492</v>
      </c>
      <c r="M737" s="70">
        <v>1178</v>
      </c>
      <c r="N737" s="153">
        <v>4.4200000000000003E-2</v>
      </c>
      <c r="O737" s="72" t="s">
        <v>843</v>
      </c>
      <c r="P737" s="181" t="s">
        <v>844</v>
      </c>
    </row>
    <row r="738" spans="1:16" x14ac:dyDescent="0.2">
      <c r="A738" s="72" t="s">
        <v>828</v>
      </c>
      <c r="B738" s="72" t="s">
        <v>44</v>
      </c>
      <c r="C738" s="72" t="s">
        <v>29</v>
      </c>
      <c r="D738" s="72" t="s">
        <v>521</v>
      </c>
      <c r="E738" s="72">
        <v>15</v>
      </c>
      <c r="F738" s="72" t="s">
        <v>834</v>
      </c>
      <c r="G738" s="70">
        <v>9200</v>
      </c>
      <c r="H738" s="70">
        <v>8990</v>
      </c>
      <c r="I738" s="70">
        <v>210</v>
      </c>
      <c r="J738" s="153">
        <v>2.3400000000000001E-2</v>
      </c>
      <c r="K738" s="70">
        <v>138000</v>
      </c>
      <c r="L738" s="70">
        <v>134850</v>
      </c>
      <c r="M738" s="70">
        <v>3150</v>
      </c>
      <c r="N738" s="153">
        <v>2.2800000000000001E-2</v>
      </c>
      <c r="O738" s="72" t="s">
        <v>843</v>
      </c>
      <c r="P738" s="181" t="s">
        <v>844</v>
      </c>
    </row>
    <row r="739" spans="1:16" x14ac:dyDescent="0.2">
      <c r="A739" s="72" t="s">
        <v>828</v>
      </c>
      <c r="B739" s="72" t="s">
        <v>31</v>
      </c>
      <c r="C739" s="72" t="s">
        <v>29</v>
      </c>
      <c r="D739" s="72" t="s">
        <v>521</v>
      </c>
      <c r="E739" s="72">
        <v>2</v>
      </c>
      <c r="F739" s="72" t="s">
        <v>834</v>
      </c>
      <c r="G739" s="70">
        <v>17100</v>
      </c>
      <c r="H739" s="70">
        <v>17100</v>
      </c>
      <c r="I739" s="70">
        <v>0</v>
      </c>
      <c r="J739" s="153">
        <v>0</v>
      </c>
      <c r="K739" s="70">
        <v>34200</v>
      </c>
      <c r="L739" s="70">
        <v>34200</v>
      </c>
      <c r="M739" s="70">
        <v>0</v>
      </c>
      <c r="N739" s="153">
        <v>0</v>
      </c>
      <c r="O739" s="72" t="s">
        <v>843</v>
      </c>
      <c r="P739" s="72" t="s">
        <v>846</v>
      </c>
    </row>
    <row r="740" spans="1:16" x14ac:dyDescent="0.2">
      <c r="A740" s="72" t="s">
        <v>828</v>
      </c>
      <c r="B740" s="72" t="s">
        <v>32</v>
      </c>
      <c r="C740" s="72" t="s">
        <v>29</v>
      </c>
      <c r="D740" s="72" t="s">
        <v>521</v>
      </c>
      <c r="E740" s="72">
        <v>1</v>
      </c>
      <c r="F740" s="72" t="s">
        <v>834</v>
      </c>
      <c r="G740" s="70">
        <v>16145</v>
      </c>
      <c r="H740" s="70">
        <v>15247</v>
      </c>
      <c r="I740" s="70">
        <v>898</v>
      </c>
      <c r="J740" s="153">
        <v>5.8900000000000001E-2</v>
      </c>
      <c r="K740" s="70">
        <v>16145</v>
      </c>
      <c r="L740" s="70">
        <v>15247</v>
      </c>
      <c r="M740" s="70">
        <v>898</v>
      </c>
      <c r="N740" s="153">
        <v>5.5599999999999997E-2</v>
      </c>
      <c r="O740" s="72" t="s">
        <v>843</v>
      </c>
      <c r="P740" s="181" t="s">
        <v>844</v>
      </c>
    </row>
    <row r="741" spans="1:16" x14ac:dyDescent="0.2">
      <c r="A741" s="72" t="s">
        <v>828</v>
      </c>
      <c r="B741" s="72" t="s">
        <v>34</v>
      </c>
      <c r="C741" s="72" t="s">
        <v>29</v>
      </c>
      <c r="D741" s="72" t="s">
        <v>521</v>
      </c>
      <c r="E741" s="72">
        <v>1</v>
      </c>
      <c r="F741" s="72" t="s">
        <v>834</v>
      </c>
      <c r="G741" s="70">
        <v>21695</v>
      </c>
      <c r="H741" s="70">
        <v>21595</v>
      </c>
      <c r="I741" s="70">
        <v>100</v>
      </c>
      <c r="J741" s="153">
        <v>4.5999999999999999E-3</v>
      </c>
      <c r="K741" s="70">
        <v>21695</v>
      </c>
      <c r="L741" s="70">
        <v>21595</v>
      </c>
      <c r="M741" s="70">
        <v>100</v>
      </c>
      <c r="N741" s="153">
        <v>4.5999999999999999E-3</v>
      </c>
      <c r="O741" s="72" t="s">
        <v>843</v>
      </c>
      <c r="P741" s="181" t="s">
        <v>844</v>
      </c>
    </row>
    <row r="742" spans="1:16" x14ac:dyDescent="0.2">
      <c r="A742" s="72" t="s">
        <v>828</v>
      </c>
      <c r="B742" s="72" t="s">
        <v>224</v>
      </c>
      <c r="C742" s="72" t="s">
        <v>29</v>
      </c>
      <c r="D742" s="72" t="s">
        <v>521</v>
      </c>
      <c r="E742" s="72">
        <v>1</v>
      </c>
      <c r="F742" s="72" t="s">
        <v>834</v>
      </c>
      <c r="G742" s="70">
        <v>14430</v>
      </c>
      <c r="H742" s="70">
        <v>13911</v>
      </c>
      <c r="I742" s="70">
        <v>519</v>
      </c>
      <c r="J742" s="153">
        <v>3.73E-2</v>
      </c>
      <c r="K742" s="70">
        <v>14430</v>
      </c>
      <c r="L742" s="70">
        <v>13911</v>
      </c>
      <c r="M742" s="70">
        <v>519</v>
      </c>
      <c r="N742" s="153">
        <v>3.5999999999999997E-2</v>
      </c>
      <c r="O742" s="72" t="s">
        <v>843</v>
      </c>
      <c r="P742" s="181" t="s">
        <v>844</v>
      </c>
    </row>
    <row r="743" spans="1:16" x14ac:dyDescent="0.2">
      <c r="A743" s="72" t="s">
        <v>828</v>
      </c>
      <c r="B743" s="72" t="s">
        <v>36</v>
      </c>
      <c r="C743" s="72" t="s">
        <v>29</v>
      </c>
      <c r="D743" s="72" t="s">
        <v>521</v>
      </c>
      <c r="E743" s="72">
        <v>1</v>
      </c>
      <c r="F743" s="72" t="s">
        <v>834</v>
      </c>
      <c r="G743" s="70">
        <v>15525</v>
      </c>
      <c r="H743" s="70">
        <v>14900</v>
      </c>
      <c r="I743" s="70">
        <v>625</v>
      </c>
      <c r="J743" s="153">
        <v>4.19E-2</v>
      </c>
      <c r="K743" s="70">
        <v>15525</v>
      </c>
      <c r="L743" s="70">
        <v>14900</v>
      </c>
      <c r="M743" s="70">
        <v>625</v>
      </c>
      <c r="N743" s="153">
        <v>4.0300000000000002E-2</v>
      </c>
      <c r="O743" s="72" t="s">
        <v>843</v>
      </c>
      <c r="P743" s="181" t="s">
        <v>844</v>
      </c>
    </row>
    <row r="744" spans="1:16" x14ac:dyDescent="0.2">
      <c r="A744" s="72" t="s">
        <v>828</v>
      </c>
      <c r="B744" s="72" t="s">
        <v>70</v>
      </c>
      <c r="C744" s="72" t="s">
        <v>29</v>
      </c>
      <c r="D744" s="72" t="s">
        <v>521</v>
      </c>
      <c r="E744" s="72">
        <v>1</v>
      </c>
      <c r="F744" s="72" t="s">
        <v>834</v>
      </c>
      <c r="G744" s="70">
        <v>13460</v>
      </c>
      <c r="H744" s="70">
        <v>12855</v>
      </c>
      <c r="I744" s="70">
        <v>605</v>
      </c>
      <c r="J744" s="153">
        <v>4.7100000000000003E-2</v>
      </c>
      <c r="K744" s="70">
        <v>13460</v>
      </c>
      <c r="L744" s="70">
        <v>12855</v>
      </c>
      <c r="M744" s="70">
        <v>605</v>
      </c>
      <c r="N744" s="153">
        <v>4.4900000000000002E-2</v>
      </c>
      <c r="O744" s="72" t="s">
        <v>843</v>
      </c>
      <c r="P744" s="181" t="s">
        <v>844</v>
      </c>
    </row>
    <row r="745" spans="1:16" x14ac:dyDescent="0.2">
      <c r="A745" s="72" t="s">
        <v>828</v>
      </c>
      <c r="B745" s="72" t="s">
        <v>24</v>
      </c>
      <c r="C745" s="72" t="s">
        <v>25</v>
      </c>
      <c r="D745" s="72" t="s">
        <v>522</v>
      </c>
      <c r="E745" s="72">
        <v>150</v>
      </c>
      <c r="F745" s="72" t="s">
        <v>835</v>
      </c>
      <c r="G745" s="70">
        <v>5000</v>
      </c>
      <c r="H745" s="70">
        <v>5200</v>
      </c>
      <c r="I745" s="70">
        <v>-200</v>
      </c>
      <c r="J745" s="153">
        <v>-3.85E-2</v>
      </c>
      <c r="K745" s="70">
        <v>750000</v>
      </c>
      <c r="L745" s="70">
        <v>780000</v>
      </c>
      <c r="M745" s="70">
        <v>-30000</v>
      </c>
      <c r="N745" s="153">
        <v>-0.04</v>
      </c>
      <c r="O745" s="72" t="s">
        <v>843</v>
      </c>
      <c r="P745" s="182" t="s">
        <v>845</v>
      </c>
    </row>
    <row r="746" spans="1:16" x14ac:dyDescent="0.2">
      <c r="A746" s="72" t="s">
        <v>839</v>
      </c>
      <c r="B746" s="72" t="s">
        <v>24</v>
      </c>
      <c r="C746" s="72" t="s">
        <v>210</v>
      </c>
      <c r="D746" s="72" t="s">
        <v>524</v>
      </c>
      <c r="E746" s="72">
        <v>1240</v>
      </c>
      <c r="F746" s="72" t="s">
        <v>836</v>
      </c>
      <c r="G746" s="70">
        <v>4950</v>
      </c>
      <c r="H746" s="70">
        <v>5200</v>
      </c>
      <c r="I746" s="70">
        <v>-250</v>
      </c>
      <c r="J746" s="153">
        <v>-4.8099999999999997E-2</v>
      </c>
      <c r="K746" s="70">
        <v>6138000</v>
      </c>
      <c r="L746" s="70">
        <v>6448000</v>
      </c>
      <c r="M746" s="70">
        <v>-310000</v>
      </c>
      <c r="N746" s="153">
        <v>-5.0500000000000003E-2</v>
      </c>
      <c r="O746" s="72" t="s">
        <v>843</v>
      </c>
      <c r="P746" s="182" t="s">
        <v>845</v>
      </c>
    </row>
    <row r="747" spans="1:16" x14ac:dyDescent="0.2">
      <c r="A747" s="72" t="s">
        <v>839</v>
      </c>
      <c r="B747" s="72" t="s">
        <v>45</v>
      </c>
      <c r="C747" s="72" t="s">
        <v>29</v>
      </c>
      <c r="D747" s="72" t="s">
        <v>526</v>
      </c>
      <c r="E747" s="72">
        <v>7</v>
      </c>
      <c r="F747" s="72" t="s">
        <v>834</v>
      </c>
      <c r="G747" s="70">
        <v>13335</v>
      </c>
      <c r="H747" s="70">
        <v>12746</v>
      </c>
      <c r="I747" s="70">
        <v>589</v>
      </c>
      <c r="J747" s="153">
        <v>4.6199999999999998E-2</v>
      </c>
      <c r="K747" s="70">
        <v>93345</v>
      </c>
      <c r="L747" s="70">
        <v>89222</v>
      </c>
      <c r="M747" s="70">
        <v>4123</v>
      </c>
      <c r="N747" s="153">
        <v>4.4200000000000003E-2</v>
      </c>
      <c r="O747" s="72" t="s">
        <v>843</v>
      </c>
      <c r="P747" s="181" t="s">
        <v>844</v>
      </c>
    </row>
    <row r="748" spans="1:16" x14ac:dyDescent="0.2">
      <c r="A748" s="72" t="s">
        <v>839</v>
      </c>
      <c r="B748" s="72" t="s">
        <v>44</v>
      </c>
      <c r="C748" s="72" t="s">
        <v>29</v>
      </c>
      <c r="D748" s="72" t="s">
        <v>526</v>
      </c>
      <c r="E748" s="72">
        <v>8</v>
      </c>
      <c r="F748" s="72" t="s">
        <v>834</v>
      </c>
      <c r="G748" s="70">
        <v>9200</v>
      </c>
      <c r="H748" s="70">
        <v>8990</v>
      </c>
      <c r="I748" s="70">
        <v>210</v>
      </c>
      <c r="J748" s="153">
        <v>2.3400000000000001E-2</v>
      </c>
      <c r="K748" s="70">
        <v>73600</v>
      </c>
      <c r="L748" s="70">
        <v>71920</v>
      </c>
      <c r="M748" s="70">
        <v>1680</v>
      </c>
      <c r="N748" s="153">
        <v>2.2800000000000001E-2</v>
      </c>
      <c r="O748" s="72" t="s">
        <v>843</v>
      </c>
      <c r="P748" s="181" t="s">
        <v>844</v>
      </c>
    </row>
    <row r="749" spans="1:16" x14ac:dyDescent="0.2">
      <c r="A749" s="72" t="s">
        <v>839</v>
      </c>
      <c r="B749" s="72" t="s">
        <v>37</v>
      </c>
      <c r="C749" s="72" t="s">
        <v>29</v>
      </c>
      <c r="D749" s="72" t="s">
        <v>526</v>
      </c>
      <c r="E749" s="72">
        <v>4</v>
      </c>
      <c r="F749" s="72" t="s">
        <v>834</v>
      </c>
      <c r="G749" s="70">
        <v>8880</v>
      </c>
      <c r="H749" s="70">
        <v>8525</v>
      </c>
      <c r="I749" s="70">
        <v>355</v>
      </c>
      <c r="J749" s="153">
        <v>4.1599999999999998E-2</v>
      </c>
      <c r="K749" s="70">
        <v>35520</v>
      </c>
      <c r="L749" s="70">
        <v>34100</v>
      </c>
      <c r="M749" s="70">
        <v>1420</v>
      </c>
      <c r="N749" s="153">
        <v>0.04</v>
      </c>
      <c r="O749" s="72" t="s">
        <v>843</v>
      </c>
      <c r="P749" s="181" t="s">
        <v>844</v>
      </c>
    </row>
    <row r="750" spans="1:16" x14ac:dyDescent="0.2">
      <c r="A750" s="72" t="s">
        <v>839</v>
      </c>
      <c r="B750" s="72" t="s">
        <v>65</v>
      </c>
      <c r="C750" s="72" t="s">
        <v>29</v>
      </c>
      <c r="D750" s="72" t="s">
        <v>526</v>
      </c>
      <c r="E750" s="72">
        <v>3</v>
      </c>
      <c r="F750" s="72" t="s">
        <v>834</v>
      </c>
      <c r="G750" s="70">
        <v>11910</v>
      </c>
      <c r="H750" s="70">
        <v>11315</v>
      </c>
      <c r="I750" s="70">
        <v>595</v>
      </c>
      <c r="J750" s="153">
        <v>5.2600000000000001E-2</v>
      </c>
      <c r="K750" s="70">
        <v>35730</v>
      </c>
      <c r="L750" s="70">
        <v>33945</v>
      </c>
      <c r="M750" s="70">
        <v>1785</v>
      </c>
      <c r="N750" s="153">
        <v>0.05</v>
      </c>
      <c r="O750" s="72" t="s">
        <v>843</v>
      </c>
      <c r="P750" s="181" t="s">
        <v>844</v>
      </c>
    </row>
    <row r="751" spans="1:16" x14ac:dyDescent="0.2">
      <c r="A751" s="72" t="s">
        <v>839</v>
      </c>
      <c r="B751" s="72" t="s">
        <v>87</v>
      </c>
      <c r="C751" s="72" t="s">
        <v>29</v>
      </c>
      <c r="D751" s="72" t="s">
        <v>526</v>
      </c>
      <c r="E751" s="72">
        <v>2</v>
      </c>
      <c r="F751" s="72" t="s">
        <v>834</v>
      </c>
      <c r="G751" s="70">
        <v>21400</v>
      </c>
      <c r="H751" s="70">
        <v>20440</v>
      </c>
      <c r="I751" s="70">
        <v>960</v>
      </c>
      <c r="J751" s="153">
        <v>4.7E-2</v>
      </c>
      <c r="K751" s="70">
        <v>42800</v>
      </c>
      <c r="L751" s="70">
        <v>40880</v>
      </c>
      <c r="M751" s="70">
        <v>1920</v>
      </c>
      <c r="N751" s="153">
        <v>4.4900000000000002E-2</v>
      </c>
      <c r="O751" s="72" t="s">
        <v>843</v>
      </c>
      <c r="P751" s="181" t="s">
        <v>844</v>
      </c>
    </row>
    <row r="752" spans="1:16" x14ac:dyDescent="0.2">
      <c r="A752" s="72" t="s">
        <v>839</v>
      </c>
      <c r="B752" s="72" t="s">
        <v>36</v>
      </c>
      <c r="C752" s="72" t="s">
        <v>29</v>
      </c>
      <c r="D752" s="72" t="s">
        <v>526</v>
      </c>
      <c r="E752" s="72">
        <v>1</v>
      </c>
      <c r="F752" s="72" t="s">
        <v>834</v>
      </c>
      <c r="G752" s="70">
        <v>15525</v>
      </c>
      <c r="H752" s="70">
        <v>14900</v>
      </c>
      <c r="I752" s="70">
        <v>625</v>
      </c>
      <c r="J752" s="153">
        <v>4.19E-2</v>
      </c>
      <c r="K752" s="70">
        <v>15525</v>
      </c>
      <c r="L752" s="70">
        <v>14900</v>
      </c>
      <c r="M752" s="70">
        <v>625</v>
      </c>
      <c r="N752" s="153">
        <v>4.0300000000000002E-2</v>
      </c>
      <c r="O752" s="72" t="s">
        <v>843</v>
      </c>
      <c r="P752" s="181" t="s">
        <v>844</v>
      </c>
    </row>
    <row r="753" spans="1:16" x14ac:dyDescent="0.2">
      <c r="A753" s="72" t="s">
        <v>839</v>
      </c>
      <c r="B753" s="72" t="s">
        <v>150</v>
      </c>
      <c r="C753" s="72" t="s">
        <v>29</v>
      </c>
      <c r="D753" s="72" t="s">
        <v>526</v>
      </c>
      <c r="E753" s="72">
        <v>3</v>
      </c>
      <c r="F753" s="72" t="s">
        <v>834</v>
      </c>
      <c r="G753" s="70">
        <v>10315</v>
      </c>
      <c r="H753" s="70">
        <v>9925</v>
      </c>
      <c r="I753" s="70">
        <v>390</v>
      </c>
      <c r="J753" s="153">
        <v>3.9300000000000002E-2</v>
      </c>
      <c r="K753" s="70">
        <v>30945</v>
      </c>
      <c r="L753" s="70">
        <v>29775</v>
      </c>
      <c r="M753" s="70">
        <v>1170</v>
      </c>
      <c r="N753" s="153">
        <v>3.78E-2</v>
      </c>
      <c r="O753" s="72" t="s">
        <v>843</v>
      </c>
      <c r="P753" s="181" t="s">
        <v>844</v>
      </c>
    </row>
    <row r="754" spans="1:16" x14ac:dyDescent="0.2">
      <c r="A754" s="72" t="s">
        <v>839</v>
      </c>
      <c r="B754" s="72" t="s">
        <v>33</v>
      </c>
      <c r="C754" s="72" t="s">
        <v>29</v>
      </c>
      <c r="D754" s="72" t="s">
        <v>526</v>
      </c>
      <c r="E754" s="72">
        <v>20</v>
      </c>
      <c r="F754" s="72" t="s">
        <v>834</v>
      </c>
      <c r="G754" s="70">
        <v>15655</v>
      </c>
      <c r="H754" s="70">
        <v>15555</v>
      </c>
      <c r="I754" s="70">
        <v>100</v>
      </c>
      <c r="J754" s="153">
        <v>6.4000000000000003E-3</v>
      </c>
      <c r="K754" s="70">
        <v>313100</v>
      </c>
      <c r="L754" s="70">
        <v>311100</v>
      </c>
      <c r="M754" s="70">
        <v>2000</v>
      </c>
      <c r="N754" s="153">
        <v>6.4000000000000003E-3</v>
      </c>
      <c r="O754" s="72" t="s">
        <v>843</v>
      </c>
      <c r="P754" s="181" t="s">
        <v>844</v>
      </c>
    </row>
    <row r="755" spans="1:16" x14ac:dyDescent="0.2">
      <c r="A755" s="72" t="s">
        <v>839</v>
      </c>
      <c r="B755" s="72" t="s">
        <v>22</v>
      </c>
      <c r="C755" s="72" t="s">
        <v>109</v>
      </c>
      <c r="D755" s="72" t="s">
        <v>530</v>
      </c>
      <c r="E755" s="72">
        <v>1</v>
      </c>
      <c r="F755" s="72" t="s">
        <v>834</v>
      </c>
      <c r="G755" s="70">
        <v>9500</v>
      </c>
      <c r="H755" s="70">
        <v>8657</v>
      </c>
      <c r="I755" s="70">
        <v>843</v>
      </c>
      <c r="J755" s="153">
        <v>9.74E-2</v>
      </c>
      <c r="K755" s="70">
        <v>9500</v>
      </c>
      <c r="L755" s="70">
        <v>8657</v>
      </c>
      <c r="M755" s="70">
        <v>843</v>
      </c>
      <c r="N755" s="153">
        <v>8.8700000000000001E-2</v>
      </c>
      <c r="O755" s="72" t="s">
        <v>843</v>
      </c>
      <c r="P755" s="181" t="s">
        <v>844</v>
      </c>
    </row>
    <row r="756" spans="1:16" x14ac:dyDescent="0.2">
      <c r="A756" s="72" t="s">
        <v>839</v>
      </c>
      <c r="B756" s="72" t="s">
        <v>24</v>
      </c>
      <c r="C756" s="72" t="s">
        <v>29</v>
      </c>
      <c r="D756" s="72" t="s">
        <v>531</v>
      </c>
      <c r="E756" s="72">
        <v>14</v>
      </c>
      <c r="F756" s="72" t="s">
        <v>834</v>
      </c>
      <c r="G756" s="70">
        <v>5000</v>
      </c>
      <c r="H756" s="70">
        <v>5200</v>
      </c>
      <c r="I756" s="70">
        <v>-200</v>
      </c>
      <c r="J756" s="153">
        <v>-3.85E-2</v>
      </c>
      <c r="K756" s="70">
        <v>70000</v>
      </c>
      <c r="L756" s="70">
        <v>72800</v>
      </c>
      <c r="M756" s="70">
        <v>-2800</v>
      </c>
      <c r="N756" s="153">
        <v>-0.04</v>
      </c>
      <c r="O756" s="72" t="s">
        <v>843</v>
      </c>
      <c r="P756" s="182" t="s">
        <v>845</v>
      </c>
    </row>
    <row r="757" spans="1:16" x14ac:dyDescent="0.2">
      <c r="A757" s="72" t="s">
        <v>839</v>
      </c>
      <c r="B757" s="72" t="s">
        <v>32</v>
      </c>
      <c r="C757" s="72" t="s">
        <v>29</v>
      </c>
      <c r="D757" s="72" t="s">
        <v>531</v>
      </c>
      <c r="E757" s="72">
        <v>2</v>
      </c>
      <c r="F757" s="72" t="s">
        <v>834</v>
      </c>
      <c r="G757" s="70">
        <v>15655</v>
      </c>
      <c r="H757" s="70">
        <v>15247</v>
      </c>
      <c r="I757" s="70">
        <v>408</v>
      </c>
      <c r="J757" s="153">
        <v>2.6800000000000001E-2</v>
      </c>
      <c r="K757" s="70">
        <v>31310</v>
      </c>
      <c r="L757" s="70">
        <v>30494</v>
      </c>
      <c r="M757" s="70">
        <v>816</v>
      </c>
      <c r="N757" s="153">
        <v>2.6100000000000002E-2</v>
      </c>
      <c r="O757" s="72" t="s">
        <v>843</v>
      </c>
      <c r="P757" s="181" t="s">
        <v>844</v>
      </c>
    </row>
    <row r="758" spans="1:16" x14ac:dyDescent="0.2">
      <c r="A758" s="72" t="s">
        <v>839</v>
      </c>
      <c r="B758" s="72" t="s">
        <v>33</v>
      </c>
      <c r="C758" s="72" t="s">
        <v>29</v>
      </c>
      <c r="D758" s="72" t="s">
        <v>531</v>
      </c>
      <c r="E758" s="72">
        <v>2</v>
      </c>
      <c r="F758" s="72" t="s">
        <v>834</v>
      </c>
      <c r="G758" s="70">
        <v>15655</v>
      </c>
      <c r="H758" s="70">
        <v>15555</v>
      </c>
      <c r="I758" s="70">
        <v>100</v>
      </c>
      <c r="J758" s="153">
        <v>6.4000000000000003E-3</v>
      </c>
      <c r="K758" s="70">
        <v>31310</v>
      </c>
      <c r="L758" s="70">
        <v>31110</v>
      </c>
      <c r="M758" s="70">
        <v>200</v>
      </c>
      <c r="N758" s="153">
        <v>6.4000000000000003E-3</v>
      </c>
      <c r="O758" s="72" t="s">
        <v>843</v>
      </c>
      <c r="P758" s="181" t="s">
        <v>844</v>
      </c>
    </row>
    <row r="759" spans="1:16" x14ac:dyDescent="0.2">
      <c r="A759" s="72" t="s">
        <v>839</v>
      </c>
      <c r="B759" s="72" t="s">
        <v>44</v>
      </c>
      <c r="C759" s="72" t="s">
        <v>29</v>
      </c>
      <c r="D759" s="72" t="s">
        <v>531</v>
      </c>
      <c r="E759" s="72">
        <v>3</v>
      </c>
      <c r="F759" s="72" t="s">
        <v>834</v>
      </c>
      <c r="G759" s="70">
        <v>9200</v>
      </c>
      <c r="H759" s="70">
        <v>8990</v>
      </c>
      <c r="I759" s="70">
        <v>210</v>
      </c>
      <c r="J759" s="153">
        <v>2.3400000000000001E-2</v>
      </c>
      <c r="K759" s="70">
        <v>27600</v>
      </c>
      <c r="L759" s="70">
        <v>26970</v>
      </c>
      <c r="M759" s="70">
        <v>630</v>
      </c>
      <c r="N759" s="153">
        <v>2.2800000000000001E-2</v>
      </c>
      <c r="O759" s="72" t="s">
        <v>843</v>
      </c>
      <c r="P759" s="181" t="s">
        <v>844</v>
      </c>
    </row>
    <row r="760" spans="1:16" x14ac:dyDescent="0.2">
      <c r="A760" s="72" t="s">
        <v>839</v>
      </c>
      <c r="B760" s="72" t="s">
        <v>80</v>
      </c>
      <c r="C760" s="72" t="s">
        <v>219</v>
      </c>
      <c r="D760" s="72" t="s">
        <v>533</v>
      </c>
      <c r="E760" s="72">
        <v>1</v>
      </c>
      <c r="F760" s="72" t="s">
        <v>834</v>
      </c>
      <c r="G760" s="70">
        <v>9345</v>
      </c>
      <c r="H760" s="70">
        <v>8970</v>
      </c>
      <c r="I760" s="70">
        <v>375</v>
      </c>
      <c r="J760" s="153">
        <v>4.1799999999999997E-2</v>
      </c>
      <c r="K760" s="70">
        <v>9345</v>
      </c>
      <c r="L760" s="70">
        <v>8970</v>
      </c>
      <c r="M760" s="70">
        <v>375</v>
      </c>
      <c r="N760" s="153">
        <v>4.0099999999999997E-2</v>
      </c>
      <c r="O760" s="72" t="s">
        <v>843</v>
      </c>
      <c r="P760" s="181" t="s">
        <v>844</v>
      </c>
    </row>
    <row r="761" spans="1:16" x14ac:dyDescent="0.2">
      <c r="A761" s="72" t="s">
        <v>839</v>
      </c>
      <c r="B761" s="72" t="s">
        <v>45</v>
      </c>
      <c r="C761" s="72" t="s">
        <v>109</v>
      </c>
      <c r="D761" s="72" t="s">
        <v>535</v>
      </c>
      <c r="E761" s="72">
        <v>1</v>
      </c>
      <c r="F761" s="72" t="s">
        <v>834</v>
      </c>
      <c r="G761" s="70">
        <v>13950</v>
      </c>
      <c r="H761" s="70">
        <v>12746</v>
      </c>
      <c r="I761" s="70">
        <v>1204</v>
      </c>
      <c r="J761" s="153">
        <v>9.4500000000000001E-2</v>
      </c>
      <c r="K761" s="70">
        <v>13950</v>
      </c>
      <c r="L761" s="70">
        <v>12746</v>
      </c>
      <c r="M761" s="70">
        <v>1204</v>
      </c>
      <c r="N761" s="153">
        <v>8.6300000000000002E-2</v>
      </c>
      <c r="O761" s="72" t="s">
        <v>843</v>
      </c>
      <c r="P761" s="181" t="s">
        <v>844</v>
      </c>
    </row>
    <row r="762" spans="1:16" x14ac:dyDescent="0.2">
      <c r="A762" s="72" t="s">
        <v>839</v>
      </c>
      <c r="B762" s="72" t="s">
        <v>65</v>
      </c>
      <c r="C762" s="72" t="s">
        <v>109</v>
      </c>
      <c r="D762" s="72" t="s">
        <v>536</v>
      </c>
      <c r="E762" s="72">
        <v>1</v>
      </c>
      <c r="F762" s="72" t="s">
        <v>834</v>
      </c>
      <c r="G762" s="70">
        <v>12525</v>
      </c>
      <c r="H762" s="70">
        <v>11315</v>
      </c>
      <c r="I762" s="70">
        <v>1210</v>
      </c>
      <c r="J762" s="153">
        <v>0.1069</v>
      </c>
      <c r="K762" s="70">
        <v>12525</v>
      </c>
      <c r="L762" s="70">
        <v>11315</v>
      </c>
      <c r="M762" s="70">
        <v>1210</v>
      </c>
      <c r="N762" s="153">
        <v>9.6600000000000005E-2</v>
      </c>
      <c r="O762" s="72" t="s">
        <v>843</v>
      </c>
      <c r="P762" s="181" t="s">
        <v>844</v>
      </c>
    </row>
    <row r="763" spans="1:16" x14ac:dyDescent="0.2">
      <c r="A763" s="72" t="s">
        <v>839</v>
      </c>
      <c r="B763" s="72" t="s">
        <v>43</v>
      </c>
      <c r="C763" s="72" t="s">
        <v>212</v>
      </c>
      <c r="D763" s="72" t="s">
        <v>537</v>
      </c>
      <c r="E763" s="72">
        <v>1</v>
      </c>
      <c r="F763" s="72" t="s">
        <v>834</v>
      </c>
      <c r="G763" s="70">
        <v>18300</v>
      </c>
      <c r="H763" s="70">
        <v>17150</v>
      </c>
      <c r="I763" s="70">
        <v>1150</v>
      </c>
      <c r="J763" s="153">
        <v>6.7100000000000007E-2</v>
      </c>
      <c r="K763" s="70">
        <v>18300</v>
      </c>
      <c r="L763" s="70">
        <v>17150</v>
      </c>
      <c r="M763" s="70">
        <v>1150</v>
      </c>
      <c r="N763" s="153">
        <v>6.2799999999999995E-2</v>
      </c>
      <c r="O763" s="72" t="s">
        <v>843</v>
      </c>
      <c r="P763" s="181" t="s">
        <v>844</v>
      </c>
    </row>
    <row r="764" spans="1:16" x14ac:dyDescent="0.2">
      <c r="A764" s="72" t="s">
        <v>839</v>
      </c>
      <c r="B764" s="72" t="s">
        <v>24</v>
      </c>
      <c r="C764" s="72" t="s">
        <v>15</v>
      </c>
      <c r="D764" s="72" t="s">
        <v>538</v>
      </c>
      <c r="E764" s="72">
        <v>1</v>
      </c>
      <c r="F764" s="72" t="s">
        <v>834</v>
      </c>
      <c r="G764" s="70">
        <v>5300</v>
      </c>
      <c r="H764" s="70">
        <v>5200</v>
      </c>
      <c r="I764" s="70">
        <v>100</v>
      </c>
      <c r="J764" s="153">
        <v>1.9199999999999998E-2</v>
      </c>
      <c r="K764" s="70">
        <v>5300</v>
      </c>
      <c r="L764" s="70">
        <v>5200</v>
      </c>
      <c r="M764" s="70">
        <v>100</v>
      </c>
      <c r="N764" s="153">
        <v>1.89E-2</v>
      </c>
      <c r="O764" s="72" t="s">
        <v>843</v>
      </c>
      <c r="P764" s="181" t="s">
        <v>844</v>
      </c>
    </row>
    <row r="765" spans="1:16" x14ac:dyDescent="0.2">
      <c r="A765" s="72" t="s">
        <v>829</v>
      </c>
      <c r="B765" s="72" t="s">
        <v>22</v>
      </c>
      <c r="C765" s="72" t="s">
        <v>102</v>
      </c>
      <c r="D765" s="72" t="s">
        <v>539</v>
      </c>
      <c r="E765" s="72">
        <v>1</v>
      </c>
      <c r="F765" s="72" t="s">
        <v>834</v>
      </c>
      <c r="G765" s="70">
        <v>9500</v>
      </c>
      <c r="H765" s="70">
        <v>8657</v>
      </c>
      <c r="I765" s="70">
        <v>843</v>
      </c>
      <c r="J765" s="153">
        <v>9.74E-2</v>
      </c>
      <c r="K765" s="70">
        <v>9500</v>
      </c>
      <c r="L765" s="70">
        <v>8657</v>
      </c>
      <c r="M765" s="70">
        <v>843</v>
      </c>
      <c r="N765" s="153">
        <v>8.8700000000000001E-2</v>
      </c>
      <c r="O765" s="72" t="s">
        <v>843</v>
      </c>
      <c r="P765" s="181" t="s">
        <v>844</v>
      </c>
    </row>
    <row r="766" spans="1:16" x14ac:dyDescent="0.2">
      <c r="A766" s="72" t="s">
        <v>829</v>
      </c>
      <c r="B766" s="72" t="s">
        <v>31</v>
      </c>
      <c r="C766" s="72" t="s">
        <v>50</v>
      </c>
      <c r="D766" s="72" t="s">
        <v>540</v>
      </c>
      <c r="E766" s="72">
        <v>20</v>
      </c>
      <c r="F766" s="72" t="s">
        <v>834</v>
      </c>
      <c r="G766" s="70">
        <v>17200</v>
      </c>
      <c r="H766" s="70">
        <v>17100</v>
      </c>
      <c r="I766" s="70">
        <v>100</v>
      </c>
      <c r="J766" s="153">
        <v>5.7999999999999996E-3</v>
      </c>
      <c r="K766" s="70">
        <v>344000</v>
      </c>
      <c r="L766" s="70">
        <v>342000</v>
      </c>
      <c r="M766" s="70">
        <v>2000</v>
      </c>
      <c r="N766" s="153">
        <v>5.7999999999999996E-3</v>
      </c>
      <c r="O766" s="72" t="s">
        <v>843</v>
      </c>
      <c r="P766" s="181" t="s">
        <v>844</v>
      </c>
    </row>
    <row r="767" spans="1:16" x14ac:dyDescent="0.2">
      <c r="A767" s="72" t="s">
        <v>829</v>
      </c>
      <c r="B767" s="72" t="s">
        <v>33</v>
      </c>
      <c r="C767" s="72" t="s">
        <v>50</v>
      </c>
      <c r="D767" s="72" t="s">
        <v>540</v>
      </c>
      <c r="E767" s="72">
        <v>10</v>
      </c>
      <c r="F767" s="72" t="s">
        <v>834</v>
      </c>
      <c r="G767" s="70">
        <v>15655</v>
      </c>
      <c r="H767" s="70">
        <v>15555</v>
      </c>
      <c r="I767" s="70">
        <v>100</v>
      </c>
      <c r="J767" s="153">
        <v>6.4000000000000003E-3</v>
      </c>
      <c r="K767" s="70">
        <v>156550</v>
      </c>
      <c r="L767" s="70">
        <v>155550</v>
      </c>
      <c r="M767" s="70">
        <v>1000</v>
      </c>
      <c r="N767" s="153">
        <v>6.4000000000000003E-3</v>
      </c>
      <c r="O767" s="72" t="s">
        <v>843</v>
      </c>
      <c r="P767" s="181" t="s">
        <v>844</v>
      </c>
    </row>
    <row r="768" spans="1:16" x14ac:dyDescent="0.2">
      <c r="A768" s="72" t="s">
        <v>829</v>
      </c>
      <c r="B768" s="72" t="s">
        <v>24</v>
      </c>
      <c r="C768" s="72" t="s">
        <v>25</v>
      </c>
      <c r="D768" s="72" t="s">
        <v>541</v>
      </c>
      <c r="E768" s="72">
        <v>150</v>
      </c>
      <c r="F768" s="72" t="s">
        <v>835</v>
      </c>
      <c r="G768" s="70">
        <v>5000</v>
      </c>
      <c r="H768" s="70">
        <v>5200</v>
      </c>
      <c r="I768" s="70">
        <v>-200</v>
      </c>
      <c r="J768" s="153">
        <v>-3.85E-2</v>
      </c>
      <c r="K768" s="70">
        <v>750000</v>
      </c>
      <c r="L768" s="70">
        <v>780000</v>
      </c>
      <c r="M768" s="70">
        <v>-30000</v>
      </c>
      <c r="N768" s="153">
        <v>-0.04</v>
      </c>
      <c r="O768" s="72" t="s">
        <v>843</v>
      </c>
      <c r="P768" s="182" t="s">
        <v>845</v>
      </c>
    </row>
    <row r="769" spans="1:16" x14ac:dyDescent="0.2">
      <c r="A769" s="72" t="s">
        <v>829</v>
      </c>
      <c r="B769" s="72" t="s">
        <v>24</v>
      </c>
      <c r="C769" s="72" t="s">
        <v>29</v>
      </c>
      <c r="D769" s="72" t="s">
        <v>542</v>
      </c>
      <c r="E769" s="72">
        <v>12</v>
      </c>
      <c r="F769" s="72" t="s">
        <v>834</v>
      </c>
      <c r="G769" s="70">
        <v>5000</v>
      </c>
      <c r="H769" s="70">
        <v>5200</v>
      </c>
      <c r="I769" s="70">
        <v>-200</v>
      </c>
      <c r="J769" s="153">
        <v>-3.85E-2</v>
      </c>
      <c r="K769" s="70">
        <v>60000</v>
      </c>
      <c r="L769" s="70">
        <v>62400</v>
      </c>
      <c r="M769" s="70">
        <v>-2400</v>
      </c>
      <c r="N769" s="153">
        <v>-0.04</v>
      </c>
      <c r="O769" s="72" t="s">
        <v>843</v>
      </c>
      <c r="P769" s="182" t="s">
        <v>845</v>
      </c>
    </row>
    <row r="770" spans="1:16" x14ac:dyDescent="0.2">
      <c r="A770" s="72" t="s">
        <v>829</v>
      </c>
      <c r="B770" s="72" t="s">
        <v>24</v>
      </c>
      <c r="C770" s="72" t="s">
        <v>394</v>
      </c>
      <c r="D770" s="72" t="s">
        <v>544</v>
      </c>
      <c r="E770" s="72">
        <v>30</v>
      </c>
      <c r="F770" s="72" t="s">
        <v>834</v>
      </c>
      <c r="G770" s="70">
        <v>5000</v>
      </c>
      <c r="H770" s="70">
        <v>5200</v>
      </c>
      <c r="I770" s="70">
        <v>-200</v>
      </c>
      <c r="J770" s="153">
        <v>-3.85E-2</v>
      </c>
      <c r="K770" s="70">
        <v>150000</v>
      </c>
      <c r="L770" s="70">
        <v>156000</v>
      </c>
      <c r="M770" s="70">
        <v>-6000</v>
      </c>
      <c r="N770" s="153">
        <v>-0.04</v>
      </c>
      <c r="O770" s="72" t="s">
        <v>843</v>
      </c>
      <c r="P770" s="182" t="s">
        <v>845</v>
      </c>
    </row>
    <row r="771" spans="1:16" x14ac:dyDescent="0.2">
      <c r="A771" s="72" t="s">
        <v>829</v>
      </c>
      <c r="B771" s="72" t="s">
        <v>24</v>
      </c>
      <c r="C771" s="72" t="s">
        <v>122</v>
      </c>
      <c r="D771" s="72" t="s">
        <v>546</v>
      </c>
      <c r="E771" s="72">
        <v>1</v>
      </c>
      <c r="F771" s="72" t="s">
        <v>834</v>
      </c>
      <c r="G771" s="70">
        <v>5300</v>
      </c>
      <c r="H771" s="70">
        <v>5200</v>
      </c>
      <c r="I771" s="70">
        <v>100</v>
      </c>
      <c r="J771" s="153">
        <v>1.9199999999999998E-2</v>
      </c>
      <c r="K771" s="70">
        <v>5300</v>
      </c>
      <c r="L771" s="70">
        <v>5200</v>
      </c>
      <c r="M771" s="70">
        <v>100</v>
      </c>
      <c r="N771" s="153">
        <v>1.89E-2</v>
      </c>
      <c r="O771" s="72" t="s">
        <v>843</v>
      </c>
      <c r="P771" s="181" t="s">
        <v>844</v>
      </c>
    </row>
    <row r="772" spans="1:16" x14ac:dyDescent="0.2">
      <c r="A772" s="72" t="s">
        <v>829</v>
      </c>
      <c r="B772" s="72" t="s">
        <v>22</v>
      </c>
      <c r="C772" s="72" t="s">
        <v>122</v>
      </c>
      <c r="D772" s="72" t="s">
        <v>546</v>
      </c>
      <c r="E772" s="72">
        <v>1</v>
      </c>
      <c r="F772" s="72" t="s">
        <v>834</v>
      </c>
      <c r="G772" s="70">
        <v>9200</v>
      </c>
      <c r="H772" s="70">
        <v>8657</v>
      </c>
      <c r="I772" s="70">
        <v>543</v>
      </c>
      <c r="J772" s="153">
        <v>6.2700000000000006E-2</v>
      </c>
      <c r="K772" s="70">
        <v>9200</v>
      </c>
      <c r="L772" s="70">
        <v>8657</v>
      </c>
      <c r="M772" s="70">
        <v>543</v>
      </c>
      <c r="N772" s="153">
        <v>5.8999999999999997E-2</v>
      </c>
      <c r="O772" s="72" t="s">
        <v>843</v>
      </c>
      <c r="P772" s="181" t="s">
        <v>844</v>
      </c>
    </row>
    <row r="773" spans="1:16" x14ac:dyDescent="0.2">
      <c r="A773" s="72" t="s">
        <v>829</v>
      </c>
      <c r="B773" s="72" t="s">
        <v>21</v>
      </c>
      <c r="C773" s="72" t="s">
        <v>122</v>
      </c>
      <c r="D773" s="72" t="s">
        <v>546</v>
      </c>
      <c r="E773" s="72">
        <v>1</v>
      </c>
      <c r="F773" s="72" t="s">
        <v>834</v>
      </c>
      <c r="G773" s="70">
        <v>9000</v>
      </c>
      <c r="H773" s="70">
        <v>8118</v>
      </c>
      <c r="I773" s="70">
        <v>882</v>
      </c>
      <c r="J773" s="153">
        <v>0.1086</v>
      </c>
      <c r="K773" s="70">
        <v>9000</v>
      </c>
      <c r="L773" s="70">
        <v>8118</v>
      </c>
      <c r="M773" s="70">
        <v>882</v>
      </c>
      <c r="N773" s="153">
        <v>9.8000000000000004E-2</v>
      </c>
      <c r="O773" s="72" t="s">
        <v>843</v>
      </c>
      <c r="P773" s="181" t="s">
        <v>844</v>
      </c>
    </row>
    <row r="774" spans="1:16" x14ac:dyDescent="0.2">
      <c r="A774" s="72" t="s">
        <v>829</v>
      </c>
      <c r="B774" s="72" t="s">
        <v>31</v>
      </c>
      <c r="C774" s="72" t="s">
        <v>50</v>
      </c>
      <c r="D774" s="72" t="s">
        <v>547</v>
      </c>
      <c r="E774" s="72">
        <v>20</v>
      </c>
      <c r="F774" s="72" t="s">
        <v>834</v>
      </c>
      <c r="G774" s="70">
        <v>17200</v>
      </c>
      <c r="H774" s="70">
        <v>17100</v>
      </c>
      <c r="I774" s="70">
        <v>100</v>
      </c>
      <c r="J774" s="153">
        <v>5.7999999999999996E-3</v>
      </c>
      <c r="K774" s="70">
        <v>344000</v>
      </c>
      <c r="L774" s="70">
        <v>342000</v>
      </c>
      <c r="M774" s="70">
        <v>2000</v>
      </c>
      <c r="N774" s="153">
        <v>5.7999999999999996E-3</v>
      </c>
      <c r="O774" s="72" t="s">
        <v>843</v>
      </c>
      <c r="P774" s="181" t="s">
        <v>844</v>
      </c>
    </row>
    <row r="775" spans="1:16" x14ac:dyDescent="0.2">
      <c r="A775" s="72" t="s">
        <v>829</v>
      </c>
      <c r="B775" s="72" t="s">
        <v>34</v>
      </c>
      <c r="C775" s="72" t="s">
        <v>50</v>
      </c>
      <c r="D775" s="72" t="s">
        <v>547</v>
      </c>
      <c r="E775" s="72">
        <v>5</v>
      </c>
      <c r="F775" s="72" t="s">
        <v>834</v>
      </c>
      <c r="G775" s="70">
        <v>21690</v>
      </c>
      <c r="H775" s="70">
        <v>21595</v>
      </c>
      <c r="I775" s="70">
        <v>95</v>
      </c>
      <c r="J775" s="153">
        <v>4.4000000000000003E-3</v>
      </c>
      <c r="K775" s="70">
        <v>108450</v>
      </c>
      <c r="L775" s="70">
        <v>107975</v>
      </c>
      <c r="M775" s="70">
        <v>475</v>
      </c>
      <c r="N775" s="153">
        <v>4.4000000000000003E-3</v>
      </c>
      <c r="O775" s="72" t="s">
        <v>843</v>
      </c>
      <c r="P775" s="181" t="s">
        <v>844</v>
      </c>
    </row>
    <row r="776" spans="1:16" x14ac:dyDescent="0.2">
      <c r="A776" s="72" t="s">
        <v>829</v>
      </c>
      <c r="B776" s="72" t="s">
        <v>22</v>
      </c>
      <c r="C776" s="72" t="s">
        <v>29</v>
      </c>
      <c r="D776" s="72" t="s">
        <v>548</v>
      </c>
      <c r="E776" s="72">
        <v>17</v>
      </c>
      <c r="F776" s="72" t="s">
        <v>834</v>
      </c>
      <c r="G776" s="70">
        <v>9000</v>
      </c>
      <c r="H776" s="70">
        <v>8657</v>
      </c>
      <c r="I776" s="70">
        <v>343</v>
      </c>
      <c r="J776" s="153">
        <v>3.9600000000000003E-2</v>
      </c>
      <c r="K776" s="70">
        <v>153000</v>
      </c>
      <c r="L776" s="70">
        <v>147169</v>
      </c>
      <c r="M776" s="70">
        <v>5831</v>
      </c>
      <c r="N776" s="153">
        <v>3.8100000000000002E-2</v>
      </c>
      <c r="O776" s="72" t="s">
        <v>843</v>
      </c>
      <c r="P776" s="181" t="s">
        <v>844</v>
      </c>
    </row>
    <row r="777" spans="1:16" x14ac:dyDescent="0.2">
      <c r="A777" s="72" t="s">
        <v>829</v>
      </c>
      <c r="B777" s="72" t="s">
        <v>45</v>
      </c>
      <c r="C777" s="72" t="s">
        <v>29</v>
      </c>
      <c r="D777" s="72" t="s">
        <v>548</v>
      </c>
      <c r="E777" s="72">
        <v>5</v>
      </c>
      <c r="F777" s="72" t="s">
        <v>834</v>
      </c>
      <c r="G777" s="70">
        <v>13335</v>
      </c>
      <c r="H777" s="70">
        <v>12746</v>
      </c>
      <c r="I777" s="70">
        <v>589</v>
      </c>
      <c r="J777" s="153">
        <v>4.6199999999999998E-2</v>
      </c>
      <c r="K777" s="70">
        <v>66675</v>
      </c>
      <c r="L777" s="70">
        <v>63730</v>
      </c>
      <c r="M777" s="70">
        <v>2945</v>
      </c>
      <c r="N777" s="153">
        <v>4.4200000000000003E-2</v>
      </c>
      <c r="O777" s="72" t="s">
        <v>843</v>
      </c>
      <c r="P777" s="181" t="s">
        <v>844</v>
      </c>
    </row>
    <row r="778" spans="1:16" x14ac:dyDescent="0.2">
      <c r="A778" s="72" t="s">
        <v>829</v>
      </c>
      <c r="B778" s="72" t="s">
        <v>44</v>
      </c>
      <c r="C778" s="72" t="s">
        <v>29</v>
      </c>
      <c r="D778" s="72" t="s">
        <v>548</v>
      </c>
      <c r="E778" s="72">
        <v>13</v>
      </c>
      <c r="F778" s="72" t="s">
        <v>834</v>
      </c>
      <c r="G778" s="70">
        <v>9200</v>
      </c>
      <c r="H778" s="70">
        <v>8990</v>
      </c>
      <c r="I778" s="70">
        <v>210</v>
      </c>
      <c r="J778" s="153">
        <v>2.3400000000000001E-2</v>
      </c>
      <c r="K778" s="70">
        <v>119600</v>
      </c>
      <c r="L778" s="70">
        <v>116870</v>
      </c>
      <c r="M778" s="70">
        <v>2730</v>
      </c>
      <c r="N778" s="153">
        <v>2.2800000000000001E-2</v>
      </c>
      <c r="O778" s="72" t="s">
        <v>843</v>
      </c>
      <c r="P778" s="181" t="s">
        <v>844</v>
      </c>
    </row>
    <row r="779" spans="1:16" x14ac:dyDescent="0.2">
      <c r="A779" s="72" t="s">
        <v>829</v>
      </c>
      <c r="B779" s="72" t="s">
        <v>37</v>
      </c>
      <c r="C779" s="72" t="s">
        <v>29</v>
      </c>
      <c r="D779" s="72" t="s">
        <v>548</v>
      </c>
      <c r="E779" s="72">
        <v>8</v>
      </c>
      <c r="F779" s="72" t="s">
        <v>834</v>
      </c>
      <c r="G779" s="70">
        <v>8880</v>
      </c>
      <c r="H779" s="70">
        <v>8525</v>
      </c>
      <c r="I779" s="70">
        <v>355</v>
      </c>
      <c r="J779" s="153">
        <v>4.1599999999999998E-2</v>
      </c>
      <c r="K779" s="70">
        <v>71040</v>
      </c>
      <c r="L779" s="70">
        <v>68200</v>
      </c>
      <c r="M779" s="70">
        <v>2840</v>
      </c>
      <c r="N779" s="153">
        <v>0.04</v>
      </c>
      <c r="O779" s="72" t="s">
        <v>843</v>
      </c>
      <c r="P779" s="181" t="s">
        <v>844</v>
      </c>
    </row>
    <row r="780" spans="1:16" x14ac:dyDescent="0.2">
      <c r="A780" s="72" t="s">
        <v>829</v>
      </c>
      <c r="B780" s="72" t="s">
        <v>31</v>
      </c>
      <c r="C780" s="72" t="s">
        <v>78</v>
      </c>
      <c r="D780" s="72" t="s">
        <v>552</v>
      </c>
      <c r="E780" s="72">
        <v>2</v>
      </c>
      <c r="F780" s="72" t="s">
        <v>834</v>
      </c>
      <c r="G780" s="70">
        <v>17400</v>
      </c>
      <c r="H780" s="70">
        <v>17100</v>
      </c>
      <c r="I780" s="70">
        <v>300</v>
      </c>
      <c r="J780" s="153">
        <v>1.7500000000000002E-2</v>
      </c>
      <c r="K780" s="70">
        <v>34800</v>
      </c>
      <c r="L780" s="70">
        <v>34200</v>
      </c>
      <c r="M780" s="70">
        <v>600</v>
      </c>
      <c r="N780" s="153">
        <v>1.72E-2</v>
      </c>
      <c r="O780" s="72" t="s">
        <v>843</v>
      </c>
      <c r="P780" s="181" t="s">
        <v>844</v>
      </c>
    </row>
    <row r="781" spans="1:16" x14ac:dyDescent="0.2">
      <c r="A781" s="72" t="s">
        <v>829</v>
      </c>
      <c r="B781" s="72" t="s">
        <v>34</v>
      </c>
      <c r="C781" s="72" t="s">
        <v>78</v>
      </c>
      <c r="D781" s="72" t="s">
        <v>552</v>
      </c>
      <c r="E781" s="72">
        <v>3</v>
      </c>
      <c r="F781" s="72" t="s">
        <v>834</v>
      </c>
      <c r="G781" s="70">
        <v>22740</v>
      </c>
      <c r="H781" s="70">
        <v>21595</v>
      </c>
      <c r="I781" s="70">
        <v>1145</v>
      </c>
      <c r="J781" s="153">
        <v>5.2999999999999999E-2</v>
      </c>
      <c r="K781" s="70">
        <v>68220</v>
      </c>
      <c r="L781" s="70">
        <v>64785</v>
      </c>
      <c r="M781" s="70">
        <v>3435</v>
      </c>
      <c r="N781" s="153">
        <v>5.04E-2</v>
      </c>
      <c r="O781" s="72" t="s">
        <v>843</v>
      </c>
      <c r="P781" s="181" t="s">
        <v>844</v>
      </c>
    </row>
    <row r="782" spans="1:16" x14ac:dyDescent="0.2">
      <c r="A782" s="72" t="s">
        <v>829</v>
      </c>
      <c r="B782" s="72" t="s">
        <v>35</v>
      </c>
      <c r="C782" s="72" t="s">
        <v>78</v>
      </c>
      <c r="D782" s="72" t="s">
        <v>552</v>
      </c>
      <c r="E782" s="72">
        <v>1</v>
      </c>
      <c r="F782" s="72" t="s">
        <v>834</v>
      </c>
      <c r="G782" s="70">
        <v>21170</v>
      </c>
      <c r="H782" s="70">
        <v>20405</v>
      </c>
      <c r="I782" s="70">
        <v>765</v>
      </c>
      <c r="J782" s="153">
        <v>3.7499999999999999E-2</v>
      </c>
      <c r="K782" s="70">
        <v>21170</v>
      </c>
      <c r="L782" s="70">
        <v>20405</v>
      </c>
      <c r="M782" s="70">
        <v>765</v>
      </c>
      <c r="N782" s="153">
        <v>3.61E-2</v>
      </c>
      <c r="O782" s="72" t="s">
        <v>843</v>
      </c>
      <c r="P782" s="181" t="s">
        <v>844</v>
      </c>
    </row>
    <row r="783" spans="1:16" x14ac:dyDescent="0.2">
      <c r="A783" s="72" t="s">
        <v>829</v>
      </c>
      <c r="B783" s="72" t="s">
        <v>61</v>
      </c>
      <c r="C783" s="72" t="s">
        <v>78</v>
      </c>
      <c r="D783" s="72" t="s">
        <v>552</v>
      </c>
      <c r="E783" s="72">
        <v>1</v>
      </c>
      <c r="F783" s="72" t="s">
        <v>834</v>
      </c>
      <c r="G783" s="70">
        <v>12885</v>
      </c>
      <c r="H783" s="70">
        <v>12120</v>
      </c>
      <c r="I783" s="70">
        <v>765</v>
      </c>
      <c r="J783" s="153">
        <v>6.3100000000000003E-2</v>
      </c>
      <c r="K783" s="70">
        <v>12885</v>
      </c>
      <c r="L783" s="70">
        <v>12120</v>
      </c>
      <c r="M783" s="70">
        <v>765</v>
      </c>
      <c r="N783" s="153">
        <v>5.9400000000000001E-2</v>
      </c>
      <c r="O783" s="72" t="s">
        <v>843</v>
      </c>
      <c r="P783" s="181" t="s">
        <v>844</v>
      </c>
    </row>
    <row r="784" spans="1:16" x14ac:dyDescent="0.2">
      <c r="A784" s="72" t="s">
        <v>829</v>
      </c>
      <c r="B784" s="72" t="s">
        <v>24</v>
      </c>
      <c r="C784" s="72" t="s">
        <v>104</v>
      </c>
      <c r="D784" s="72" t="s">
        <v>553</v>
      </c>
      <c r="E784" s="72">
        <v>1</v>
      </c>
      <c r="F784" s="72" t="s">
        <v>834</v>
      </c>
      <c r="G784" s="70">
        <v>5000</v>
      </c>
      <c r="H784" s="70">
        <v>5200</v>
      </c>
      <c r="I784" s="70">
        <v>-200</v>
      </c>
      <c r="J784" s="153">
        <v>-3.85E-2</v>
      </c>
      <c r="K784" s="70">
        <v>5000</v>
      </c>
      <c r="L784" s="70">
        <v>5200</v>
      </c>
      <c r="M784" s="70">
        <v>-200</v>
      </c>
      <c r="N784" s="153">
        <v>-0.04</v>
      </c>
      <c r="O784" s="72" t="s">
        <v>843</v>
      </c>
      <c r="P784" s="182" t="s">
        <v>845</v>
      </c>
    </row>
    <row r="785" spans="1:16" x14ac:dyDescent="0.2">
      <c r="A785" s="72"/>
      <c r="B785" s="158" t="s">
        <v>789</v>
      </c>
      <c r="C785" s="72"/>
      <c r="D785" s="72"/>
      <c r="E785" s="72">
        <f>SUM(E5:E784)</f>
        <v>21438</v>
      </c>
      <c r="F785" s="72"/>
      <c r="G785" s="72"/>
      <c r="H785" s="72"/>
      <c r="I785" s="72"/>
      <c r="J785" s="72"/>
      <c r="K785" s="159">
        <f>SUM(K5:K784)</f>
        <v>174324840</v>
      </c>
      <c r="L785" s="159">
        <f>SUM(L5:L784)</f>
        <v>174260589</v>
      </c>
      <c r="M785" s="159">
        <f>SUM(M5:M784)</f>
        <v>64251</v>
      </c>
      <c r="N785" s="160">
        <f>IFERROR(M785/K785,0)</f>
        <v>3.6857053762389801E-4</v>
      </c>
      <c r="O785" s="72"/>
      <c r="P785" s="72"/>
    </row>
    <row r="787" spans="1:16" x14ac:dyDescent="0.2">
      <c r="A787" s="185" t="s">
        <v>831</v>
      </c>
      <c r="B787" s="72"/>
    </row>
    <row r="788" spans="1:16" x14ac:dyDescent="0.2">
      <c r="A788" s="158" t="s">
        <v>847</v>
      </c>
      <c r="B788" s="72"/>
    </row>
    <row r="789" spans="1:16" x14ac:dyDescent="0.2">
      <c r="A789" s="72" t="s">
        <v>834</v>
      </c>
      <c r="B789" s="72">
        <v>681</v>
      </c>
    </row>
    <row r="790" spans="1:16" x14ac:dyDescent="0.2">
      <c r="A790" s="72" t="s">
        <v>835</v>
      </c>
      <c r="B790" s="72">
        <v>91</v>
      </c>
      <c r="L790" s="180">
        <v>174260589</v>
      </c>
    </row>
    <row r="791" spans="1:16" x14ac:dyDescent="0.2">
      <c r="A791" s="72" t="s">
        <v>836</v>
      </c>
      <c r="B791" s="72">
        <v>8</v>
      </c>
    </row>
    <row r="792" spans="1:16" x14ac:dyDescent="0.2">
      <c r="A792" s="72"/>
      <c r="B792" s="72">
        <f>SUM(B789:B791)</f>
        <v>780</v>
      </c>
    </row>
    <row r="793" spans="1:16" x14ac:dyDescent="0.2">
      <c r="A793" s="158" t="s">
        <v>848</v>
      </c>
      <c r="B793" s="72"/>
    </row>
    <row r="794" spans="1:16" x14ac:dyDescent="0.2">
      <c r="A794" s="72" t="s">
        <v>844</v>
      </c>
      <c r="B794" s="72">
        <v>654</v>
      </c>
    </row>
    <row r="795" spans="1:16" x14ac:dyDescent="0.2">
      <c r="A795" s="72" t="s">
        <v>845</v>
      </c>
      <c r="B795" s="72">
        <v>102</v>
      </c>
    </row>
    <row r="796" spans="1:16" x14ac:dyDescent="0.2">
      <c r="A796" s="72" t="s">
        <v>846</v>
      </c>
      <c r="B796" s="72">
        <v>24</v>
      </c>
    </row>
    <row r="797" spans="1:16" x14ac:dyDescent="0.2">
      <c r="A797" s="72"/>
      <c r="B797" s="72">
        <f>SUM(B794:B796)</f>
        <v>780</v>
      </c>
    </row>
    <row r="798" spans="1:16" x14ac:dyDescent="0.2">
      <c r="A798" s="138"/>
    </row>
  </sheetData>
  <mergeCells count="1"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8"/>
  <sheetViews>
    <sheetView tabSelected="1" zoomScale="72" zoomScaleNormal="100" workbookViewId="0">
      <selection activeCell="A23" sqref="A23"/>
    </sheetView>
  </sheetViews>
  <sheetFormatPr defaultColWidth="8.609375" defaultRowHeight="15" x14ac:dyDescent="0.2"/>
  <cols>
    <col min="1" max="1" width="58.11328125" style="38" customWidth="1"/>
    <col min="2" max="2" width="19.50390625" style="38" bestFit="1" customWidth="1"/>
    <col min="3" max="3" width="18.96484375" style="38" bestFit="1" customWidth="1"/>
    <col min="4" max="4" width="21.1171875" style="38" bestFit="1" customWidth="1"/>
    <col min="5" max="5" width="18.96484375" style="38" bestFit="1" customWidth="1"/>
    <col min="6" max="6" width="37.6640625" style="38" bestFit="1" customWidth="1"/>
    <col min="7" max="7" width="16.41015625" style="38" bestFit="1" customWidth="1"/>
    <col min="8" max="8" width="17.08203125" style="38" bestFit="1" customWidth="1"/>
  </cols>
  <sheetData>
    <row r="1" spans="1:8" ht="15.75" customHeight="1" x14ac:dyDescent="0.2">
      <c r="A1" s="134" t="s">
        <v>849</v>
      </c>
    </row>
    <row r="2" spans="1:8" ht="15" customHeight="1" x14ac:dyDescent="0.2">
      <c r="A2" s="135"/>
    </row>
    <row r="4" spans="1:8" ht="15" customHeight="1" x14ac:dyDescent="0.2">
      <c r="A4" s="144" t="s">
        <v>850</v>
      </c>
      <c r="B4" s="143"/>
      <c r="C4" s="143"/>
      <c r="D4" s="143"/>
      <c r="E4" s="143"/>
      <c r="F4" s="143"/>
      <c r="G4" s="143"/>
      <c r="H4" s="143"/>
    </row>
    <row r="5" spans="1:8" ht="15" customHeight="1" x14ac:dyDescent="0.2">
      <c r="A5" s="38" t="s">
        <v>851</v>
      </c>
      <c r="B5" s="79">
        <v>187674790</v>
      </c>
    </row>
    <row r="6" spans="1:8" ht="15" customHeight="1" x14ac:dyDescent="0.2">
      <c r="A6" s="38" t="s">
        <v>852</v>
      </c>
      <c r="B6" s="79">
        <v>-13955850</v>
      </c>
    </row>
    <row r="7" spans="1:8" ht="15" customHeight="1" x14ac:dyDescent="0.2">
      <c r="A7" s="170" t="s">
        <v>932</v>
      </c>
      <c r="B7" s="140">
        <v>173718940</v>
      </c>
    </row>
    <row r="8" spans="1:8" x14ac:dyDescent="0.2">
      <c r="A8" s="38" t="s">
        <v>933</v>
      </c>
      <c r="B8" s="70">
        <v>183957167</v>
      </c>
      <c r="C8" s="79">
        <f>B7-B8</f>
        <v>-10238227</v>
      </c>
    </row>
    <row r="9" spans="1:8" ht="15" customHeight="1" x14ac:dyDescent="0.2">
      <c r="A9" s="38" t="s">
        <v>853</v>
      </c>
      <c r="B9" s="79">
        <v>1460600</v>
      </c>
      <c r="C9" s="38">
        <v>191</v>
      </c>
    </row>
    <row r="10" spans="1:8" ht="15" customHeight="1" x14ac:dyDescent="0.2">
      <c r="A10" s="38" t="s">
        <v>854</v>
      </c>
      <c r="B10" s="79">
        <v>12495250</v>
      </c>
      <c r="C10" s="38">
        <v>7039</v>
      </c>
    </row>
    <row r="11" spans="1:8" ht="15" customHeight="1" x14ac:dyDescent="0.2">
      <c r="A11" s="38" t="s">
        <v>855</v>
      </c>
      <c r="B11" s="137">
        <v>7.4399999999999994E-2</v>
      </c>
    </row>
    <row r="12" spans="1:8" x14ac:dyDescent="0.2">
      <c r="A12" s="179" t="s">
        <v>934</v>
      </c>
      <c r="B12" s="79">
        <f>C8</f>
        <v>-10238227</v>
      </c>
    </row>
    <row r="14" spans="1:8" ht="15" customHeight="1" x14ac:dyDescent="0.2">
      <c r="A14" s="176" t="s">
        <v>856</v>
      </c>
      <c r="B14" s="177"/>
      <c r="C14" s="177"/>
      <c r="D14" s="177"/>
      <c r="E14" s="177"/>
      <c r="F14" s="143"/>
      <c r="G14" s="143"/>
      <c r="H14" s="143"/>
    </row>
    <row r="15" spans="1:8" ht="24" customHeight="1" x14ac:dyDescent="0.2">
      <c r="A15" s="136" t="s">
        <v>857</v>
      </c>
      <c r="B15" s="136" t="s">
        <v>858</v>
      </c>
      <c r="C15" s="136" t="s">
        <v>859</v>
      </c>
      <c r="D15" s="136" t="s">
        <v>860</v>
      </c>
      <c r="E15" s="136" t="s">
        <v>861</v>
      </c>
    </row>
    <row r="16" spans="1:8" ht="15" customHeight="1" x14ac:dyDescent="0.2">
      <c r="A16" s="72" t="s">
        <v>38</v>
      </c>
      <c r="B16" s="72" t="s">
        <v>862</v>
      </c>
      <c r="C16" s="72">
        <v>5705</v>
      </c>
      <c r="D16" s="70">
        <v>9816200</v>
      </c>
      <c r="E16" s="153">
        <v>0.70340000000000003</v>
      </c>
    </row>
    <row r="17" spans="1:8" ht="15" customHeight="1" x14ac:dyDescent="0.2">
      <c r="A17" s="72" t="s">
        <v>148</v>
      </c>
      <c r="B17" s="72" t="s">
        <v>862</v>
      </c>
      <c r="C17" s="72">
        <v>922</v>
      </c>
      <c r="D17" s="70">
        <v>1803600</v>
      </c>
      <c r="E17" s="153">
        <v>0.12920000000000001</v>
      </c>
    </row>
    <row r="18" spans="1:8" ht="15" customHeight="1" x14ac:dyDescent="0.2">
      <c r="A18" s="72" t="s">
        <v>24</v>
      </c>
      <c r="B18" s="72" t="s">
        <v>754</v>
      </c>
      <c r="C18" s="72">
        <v>149</v>
      </c>
      <c r="D18" s="70">
        <v>759750</v>
      </c>
      <c r="E18" s="153">
        <v>5.4399999999999997E-2</v>
      </c>
    </row>
    <row r="19" spans="1:8" ht="15" customHeight="1" x14ac:dyDescent="0.2">
      <c r="A19" s="72" t="s">
        <v>48</v>
      </c>
      <c r="B19" s="72" t="s">
        <v>862</v>
      </c>
      <c r="C19" s="72">
        <v>361</v>
      </c>
      <c r="D19" s="70">
        <v>624700</v>
      </c>
      <c r="E19" s="153">
        <v>4.48E-2</v>
      </c>
    </row>
    <row r="20" spans="1:8" ht="15" customHeight="1" x14ac:dyDescent="0.2">
      <c r="A20" s="72" t="s">
        <v>31</v>
      </c>
      <c r="B20" s="72" t="s">
        <v>754</v>
      </c>
      <c r="C20" s="72">
        <v>21</v>
      </c>
      <c r="D20" s="70">
        <v>370775</v>
      </c>
      <c r="E20" s="153">
        <v>2.6599999999999999E-2</v>
      </c>
    </row>
    <row r="21" spans="1:8" ht="15" customHeight="1" x14ac:dyDescent="0.2">
      <c r="A21" s="72" t="s">
        <v>49</v>
      </c>
      <c r="B21" s="72" t="s">
        <v>862</v>
      </c>
      <c r="C21" s="72">
        <v>50</v>
      </c>
      <c r="D21" s="70">
        <v>250000</v>
      </c>
      <c r="E21" s="153">
        <v>1.7899999999999999E-2</v>
      </c>
    </row>
    <row r="22" spans="1:8" ht="15" customHeight="1" x14ac:dyDescent="0.2">
      <c r="A22" s="72" t="s">
        <v>190</v>
      </c>
      <c r="B22" s="72" t="s">
        <v>754</v>
      </c>
      <c r="C22" s="72">
        <v>4</v>
      </c>
      <c r="D22" s="70">
        <v>156000</v>
      </c>
      <c r="E22" s="153">
        <v>1.12E-2</v>
      </c>
    </row>
    <row r="23" spans="1:8" ht="15" customHeight="1" x14ac:dyDescent="0.2">
      <c r="A23" s="72" t="s">
        <v>27</v>
      </c>
      <c r="B23" s="72" t="s">
        <v>754</v>
      </c>
      <c r="C23" s="72">
        <v>11</v>
      </c>
      <c r="D23" s="70">
        <v>87950</v>
      </c>
      <c r="E23" s="153">
        <v>6.3E-3</v>
      </c>
    </row>
    <row r="24" spans="1:8" ht="15" customHeight="1" x14ac:dyDescent="0.2">
      <c r="A24" s="72" t="s">
        <v>36</v>
      </c>
      <c r="B24" s="72" t="s">
        <v>754</v>
      </c>
      <c r="C24" s="72">
        <v>5</v>
      </c>
      <c r="D24" s="70">
        <v>77625</v>
      </c>
      <c r="E24" s="153">
        <v>5.5999999999999999E-3</v>
      </c>
    </row>
    <row r="25" spans="1:8" ht="15" customHeight="1" x14ac:dyDescent="0.2">
      <c r="A25" s="72" t="s">
        <v>22</v>
      </c>
      <c r="B25" s="72" t="s">
        <v>754</v>
      </c>
      <c r="C25" s="72">
        <v>1</v>
      </c>
      <c r="D25" s="70">
        <v>8500</v>
      </c>
      <c r="E25" s="153">
        <v>5.9999999999999995E-4</v>
      </c>
    </row>
    <row r="26" spans="1:8" ht="15" customHeight="1" x14ac:dyDescent="0.2">
      <c r="A26" s="72" t="s">
        <v>174</v>
      </c>
      <c r="B26" s="72" t="s">
        <v>862</v>
      </c>
      <c r="C26" s="72">
        <v>1</v>
      </c>
      <c r="D26" s="70">
        <v>750</v>
      </c>
      <c r="E26" s="153">
        <v>1E-4</v>
      </c>
    </row>
    <row r="27" spans="1:8" ht="15" customHeight="1" x14ac:dyDescent="0.2">
      <c r="A27" s="158" t="s">
        <v>789</v>
      </c>
      <c r="B27" s="72"/>
      <c r="C27" s="72"/>
      <c r="D27" s="159">
        <f>SUM(D16:D26)</f>
        <v>13955850</v>
      </c>
      <c r="E27" s="72"/>
    </row>
    <row r="29" spans="1:8" ht="15" customHeight="1" x14ac:dyDescent="0.2">
      <c r="A29" s="176" t="s">
        <v>863</v>
      </c>
      <c r="B29" s="177"/>
      <c r="C29" s="177"/>
      <c r="D29" s="177"/>
      <c r="E29" s="177"/>
      <c r="F29" s="177"/>
      <c r="G29" s="177"/>
      <c r="H29" s="177"/>
    </row>
    <row r="30" spans="1:8" ht="24" customHeight="1" x14ac:dyDescent="0.2">
      <c r="A30" s="136" t="s">
        <v>758</v>
      </c>
      <c r="B30" s="136" t="s">
        <v>864</v>
      </c>
      <c r="C30" s="136" t="s">
        <v>865</v>
      </c>
      <c r="D30" s="136" t="s">
        <v>866</v>
      </c>
      <c r="E30" s="136" t="s">
        <v>867</v>
      </c>
      <c r="F30" s="136" t="s">
        <v>868</v>
      </c>
      <c r="G30" s="136" t="s">
        <v>869</v>
      </c>
      <c r="H30" s="136" t="s">
        <v>861</v>
      </c>
    </row>
    <row r="31" spans="1:8" ht="15" customHeight="1" x14ac:dyDescent="0.2">
      <c r="A31" s="72" t="s">
        <v>66</v>
      </c>
      <c r="B31" s="72">
        <v>4</v>
      </c>
      <c r="C31" s="72">
        <v>1</v>
      </c>
      <c r="D31" s="70">
        <v>8500</v>
      </c>
      <c r="E31" s="72">
        <v>1534</v>
      </c>
      <c r="F31" s="70">
        <v>2561000</v>
      </c>
      <c r="G31" s="70">
        <v>2569500</v>
      </c>
      <c r="H31" s="153">
        <v>0.18410000000000001</v>
      </c>
    </row>
    <row r="32" spans="1:8" ht="15" customHeight="1" x14ac:dyDescent="0.2">
      <c r="A32" s="72" t="s">
        <v>29</v>
      </c>
      <c r="B32" s="72">
        <v>29</v>
      </c>
      <c r="C32" s="72">
        <v>15</v>
      </c>
      <c r="D32" s="70">
        <v>267675</v>
      </c>
      <c r="E32" s="72">
        <v>783</v>
      </c>
      <c r="F32" s="70">
        <v>1413300</v>
      </c>
      <c r="G32" s="70">
        <v>1680975</v>
      </c>
      <c r="H32" s="153">
        <v>0.12039999999999999</v>
      </c>
    </row>
    <row r="33" spans="1:8" ht="15" customHeight="1" x14ac:dyDescent="0.2">
      <c r="A33" s="72" t="s">
        <v>165</v>
      </c>
      <c r="B33" s="72">
        <v>2</v>
      </c>
      <c r="C33" s="72">
        <v>0</v>
      </c>
      <c r="D33" s="70">
        <v>0</v>
      </c>
      <c r="E33" s="72">
        <v>700</v>
      </c>
      <c r="F33" s="70">
        <v>1400000</v>
      </c>
      <c r="G33" s="70">
        <v>1400000</v>
      </c>
      <c r="H33" s="153">
        <v>0.1003</v>
      </c>
    </row>
    <row r="34" spans="1:8" ht="15" customHeight="1" x14ac:dyDescent="0.2">
      <c r="A34" s="72" t="s">
        <v>139</v>
      </c>
      <c r="B34" s="72">
        <v>3</v>
      </c>
      <c r="C34" s="72">
        <v>0</v>
      </c>
      <c r="D34" s="70">
        <v>0</v>
      </c>
      <c r="E34" s="72">
        <v>705</v>
      </c>
      <c r="F34" s="70">
        <v>1341400</v>
      </c>
      <c r="G34" s="70">
        <v>1341400</v>
      </c>
      <c r="H34" s="153">
        <v>9.6100000000000005E-2</v>
      </c>
    </row>
    <row r="35" spans="1:8" ht="15" customHeight="1" x14ac:dyDescent="0.2">
      <c r="A35" s="72" t="s">
        <v>152</v>
      </c>
      <c r="B35" s="72">
        <v>4</v>
      </c>
      <c r="C35" s="72">
        <v>0</v>
      </c>
      <c r="D35" s="70">
        <v>0</v>
      </c>
      <c r="E35" s="72">
        <v>466</v>
      </c>
      <c r="F35" s="70">
        <v>854800</v>
      </c>
      <c r="G35" s="70">
        <v>854800</v>
      </c>
      <c r="H35" s="153">
        <v>6.13E-2</v>
      </c>
    </row>
    <row r="36" spans="1:8" ht="15" customHeight="1" x14ac:dyDescent="0.2">
      <c r="A36" s="72" t="s">
        <v>63</v>
      </c>
      <c r="B36" s="72">
        <v>3</v>
      </c>
      <c r="C36" s="72">
        <v>1</v>
      </c>
      <c r="D36" s="70">
        <v>17100</v>
      </c>
      <c r="E36" s="72">
        <v>484</v>
      </c>
      <c r="F36" s="70">
        <v>833000</v>
      </c>
      <c r="G36" s="70">
        <v>850100</v>
      </c>
      <c r="H36" s="153">
        <v>6.0900000000000003E-2</v>
      </c>
    </row>
    <row r="37" spans="1:8" ht="15" customHeight="1" x14ac:dyDescent="0.2">
      <c r="A37" s="72" t="s">
        <v>125</v>
      </c>
      <c r="B37" s="72">
        <v>1</v>
      </c>
      <c r="C37" s="72">
        <v>158</v>
      </c>
      <c r="D37" s="70">
        <v>835000</v>
      </c>
      <c r="E37" s="72">
        <v>0</v>
      </c>
      <c r="F37" s="70">
        <v>0</v>
      </c>
      <c r="G37" s="70">
        <v>835000</v>
      </c>
      <c r="H37" s="153">
        <v>5.9799999999999999E-2</v>
      </c>
    </row>
    <row r="38" spans="1:8" ht="15" customHeight="1" x14ac:dyDescent="0.2">
      <c r="A38" s="72" t="s">
        <v>326</v>
      </c>
      <c r="B38" s="72">
        <v>1</v>
      </c>
      <c r="C38" s="72">
        <v>0</v>
      </c>
      <c r="D38" s="70">
        <v>0</v>
      </c>
      <c r="E38" s="72">
        <v>410</v>
      </c>
      <c r="F38" s="70">
        <v>766000</v>
      </c>
      <c r="G38" s="70">
        <v>766000</v>
      </c>
      <c r="H38" s="153">
        <v>5.4899999999999997E-2</v>
      </c>
    </row>
    <row r="39" spans="1:8" ht="15" customHeight="1" x14ac:dyDescent="0.2">
      <c r="A39" s="72" t="s">
        <v>25</v>
      </c>
      <c r="B39" s="72">
        <v>8</v>
      </c>
      <c r="C39" s="72">
        <v>0</v>
      </c>
      <c r="D39" s="70">
        <v>0</v>
      </c>
      <c r="E39" s="72">
        <v>372</v>
      </c>
      <c r="F39" s="70">
        <v>623500</v>
      </c>
      <c r="G39" s="70">
        <v>623500</v>
      </c>
      <c r="H39" s="153">
        <v>4.4699999999999997E-2</v>
      </c>
    </row>
    <row r="40" spans="1:8" ht="15" customHeight="1" x14ac:dyDescent="0.2">
      <c r="A40" s="72" t="s">
        <v>132</v>
      </c>
      <c r="B40" s="72">
        <v>1</v>
      </c>
      <c r="C40" s="72">
        <v>0</v>
      </c>
      <c r="D40" s="70">
        <v>0</v>
      </c>
      <c r="E40" s="72">
        <v>350</v>
      </c>
      <c r="F40" s="70">
        <v>525000</v>
      </c>
      <c r="G40" s="70">
        <v>525000</v>
      </c>
      <c r="H40" s="153">
        <v>3.7600000000000001E-2</v>
      </c>
    </row>
    <row r="41" spans="1:8" ht="15" customHeight="1" x14ac:dyDescent="0.2">
      <c r="A41" s="72" t="s">
        <v>78</v>
      </c>
      <c r="B41" s="72">
        <v>5</v>
      </c>
      <c r="C41" s="72">
        <v>0</v>
      </c>
      <c r="D41" s="70">
        <v>0</v>
      </c>
      <c r="E41" s="72">
        <v>229</v>
      </c>
      <c r="F41" s="70">
        <v>377400</v>
      </c>
      <c r="G41" s="70">
        <v>377400</v>
      </c>
      <c r="H41" s="153">
        <v>2.7E-2</v>
      </c>
    </row>
    <row r="42" spans="1:8" ht="15" customHeight="1" x14ac:dyDescent="0.2">
      <c r="A42" s="72" t="s">
        <v>50</v>
      </c>
      <c r="B42" s="72">
        <v>9</v>
      </c>
      <c r="C42" s="72">
        <v>5</v>
      </c>
      <c r="D42" s="70">
        <v>86000</v>
      </c>
      <c r="E42" s="72">
        <v>156</v>
      </c>
      <c r="F42" s="70">
        <v>284800</v>
      </c>
      <c r="G42" s="70">
        <v>370800</v>
      </c>
      <c r="H42" s="153">
        <v>2.6599999999999999E-2</v>
      </c>
    </row>
    <row r="43" spans="1:8" ht="15" customHeight="1" x14ac:dyDescent="0.2">
      <c r="A43" s="72" t="s">
        <v>85</v>
      </c>
      <c r="B43" s="72">
        <v>6</v>
      </c>
      <c r="C43" s="72">
        <v>4</v>
      </c>
      <c r="D43" s="70">
        <v>156000</v>
      </c>
      <c r="E43" s="72">
        <v>99</v>
      </c>
      <c r="F43" s="70">
        <v>178900</v>
      </c>
      <c r="G43" s="70">
        <v>334900</v>
      </c>
      <c r="H43" s="153">
        <v>2.4E-2</v>
      </c>
    </row>
    <row r="44" spans="1:8" ht="15" customHeight="1" x14ac:dyDescent="0.2">
      <c r="A44" s="72" t="s">
        <v>97</v>
      </c>
      <c r="B44" s="72">
        <v>1</v>
      </c>
      <c r="C44" s="72">
        <v>0</v>
      </c>
      <c r="D44" s="70">
        <v>0</v>
      </c>
      <c r="E44" s="72">
        <v>216</v>
      </c>
      <c r="F44" s="70">
        <v>324000</v>
      </c>
      <c r="G44" s="70">
        <v>324000</v>
      </c>
      <c r="H44" s="153">
        <v>2.3199999999999998E-2</v>
      </c>
    </row>
    <row r="45" spans="1:8" ht="15" customHeight="1" x14ac:dyDescent="0.2">
      <c r="A45" s="72" t="s">
        <v>334</v>
      </c>
      <c r="B45" s="72">
        <v>2</v>
      </c>
      <c r="C45" s="72">
        <v>0</v>
      </c>
      <c r="D45" s="70">
        <v>0</v>
      </c>
      <c r="E45" s="72">
        <v>100</v>
      </c>
      <c r="F45" s="70">
        <v>230400</v>
      </c>
      <c r="G45" s="70">
        <v>230400</v>
      </c>
      <c r="H45" s="153">
        <v>1.6500000000000001E-2</v>
      </c>
    </row>
    <row r="46" spans="1:8" ht="15" customHeight="1" x14ac:dyDescent="0.2">
      <c r="A46" s="72" t="s">
        <v>75</v>
      </c>
      <c r="B46" s="72">
        <v>7</v>
      </c>
      <c r="C46" s="72">
        <v>0</v>
      </c>
      <c r="D46" s="70">
        <v>0</v>
      </c>
      <c r="E46" s="72">
        <v>100</v>
      </c>
      <c r="F46" s="70">
        <v>181000</v>
      </c>
      <c r="G46" s="70">
        <v>181000</v>
      </c>
      <c r="H46" s="153">
        <v>1.2999999999999999E-2</v>
      </c>
    </row>
    <row r="47" spans="1:8" ht="15" customHeight="1" x14ac:dyDescent="0.2">
      <c r="A47" s="72" t="s">
        <v>59</v>
      </c>
      <c r="B47" s="72">
        <v>2</v>
      </c>
      <c r="C47" s="72">
        <v>0</v>
      </c>
      <c r="D47" s="70">
        <v>0</v>
      </c>
      <c r="E47" s="72">
        <v>56</v>
      </c>
      <c r="F47" s="70">
        <v>108800</v>
      </c>
      <c r="G47" s="70">
        <v>108800</v>
      </c>
      <c r="H47" s="153">
        <v>7.7999999999999996E-3</v>
      </c>
    </row>
    <row r="48" spans="1:8" ht="15" customHeight="1" x14ac:dyDescent="0.2">
      <c r="A48" s="72" t="s">
        <v>168</v>
      </c>
      <c r="B48" s="72">
        <v>1</v>
      </c>
      <c r="C48" s="72">
        <v>0</v>
      </c>
      <c r="D48" s="70">
        <v>0</v>
      </c>
      <c r="E48" s="72">
        <v>59</v>
      </c>
      <c r="F48" s="70">
        <v>106200</v>
      </c>
      <c r="G48" s="70">
        <v>106200</v>
      </c>
      <c r="H48" s="153">
        <v>7.6E-3</v>
      </c>
    </row>
    <row r="49" spans="1:8" ht="15" customHeight="1" x14ac:dyDescent="0.2">
      <c r="A49" s="72" t="s">
        <v>104</v>
      </c>
      <c r="B49" s="72">
        <v>4</v>
      </c>
      <c r="C49" s="72">
        <v>5</v>
      </c>
      <c r="D49" s="70">
        <v>77625</v>
      </c>
      <c r="E49" s="72">
        <v>10</v>
      </c>
      <c r="F49" s="70">
        <v>17150</v>
      </c>
      <c r="G49" s="70">
        <v>94775</v>
      </c>
      <c r="H49" s="153">
        <v>6.7999999999999996E-3</v>
      </c>
    </row>
    <row r="50" spans="1:8" ht="15" customHeight="1" x14ac:dyDescent="0.2">
      <c r="A50" s="72" t="s">
        <v>157</v>
      </c>
      <c r="B50" s="72">
        <v>2</v>
      </c>
      <c r="C50" s="72">
        <v>0</v>
      </c>
      <c r="D50" s="70">
        <v>0</v>
      </c>
      <c r="E50" s="72">
        <v>47</v>
      </c>
      <c r="F50" s="70">
        <v>86200</v>
      </c>
      <c r="G50" s="70">
        <v>86200</v>
      </c>
      <c r="H50" s="153">
        <v>6.1999999999999998E-3</v>
      </c>
    </row>
    <row r="51" spans="1:8" ht="15" customHeight="1" x14ac:dyDescent="0.2">
      <c r="A51" s="72" t="s">
        <v>40</v>
      </c>
      <c r="B51" s="72">
        <v>3</v>
      </c>
      <c r="C51" s="72">
        <v>0</v>
      </c>
      <c r="D51" s="70">
        <v>0</v>
      </c>
      <c r="E51" s="72">
        <v>51</v>
      </c>
      <c r="F51" s="70">
        <v>76500</v>
      </c>
      <c r="G51" s="70">
        <v>76500</v>
      </c>
      <c r="H51" s="153">
        <v>5.4999999999999997E-3</v>
      </c>
    </row>
    <row r="52" spans="1:8" ht="15" customHeight="1" x14ac:dyDescent="0.2">
      <c r="A52" s="72" t="s">
        <v>154</v>
      </c>
      <c r="B52" s="72">
        <v>3</v>
      </c>
      <c r="C52" s="72">
        <v>0</v>
      </c>
      <c r="D52" s="70">
        <v>0</v>
      </c>
      <c r="E52" s="72">
        <v>29</v>
      </c>
      <c r="F52" s="70">
        <v>52600</v>
      </c>
      <c r="G52" s="70">
        <v>52600</v>
      </c>
      <c r="H52" s="153">
        <v>3.8E-3</v>
      </c>
    </row>
    <row r="53" spans="1:8" ht="15" customHeight="1" x14ac:dyDescent="0.2">
      <c r="A53" s="72" t="s">
        <v>145</v>
      </c>
      <c r="B53" s="72">
        <v>2</v>
      </c>
      <c r="C53" s="72">
        <v>0</v>
      </c>
      <c r="D53" s="70">
        <v>0</v>
      </c>
      <c r="E53" s="72">
        <v>25</v>
      </c>
      <c r="F53" s="70">
        <v>48000</v>
      </c>
      <c r="G53" s="70">
        <v>48000</v>
      </c>
      <c r="H53" s="153">
        <v>3.3999999999999998E-3</v>
      </c>
    </row>
    <row r="54" spans="1:8" ht="15" customHeight="1" x14ac:dyDescent="0.2">
      <c r="A54" s="72" t="s">
        <v>95</v>
      </c>
      <c r="B54" s="72">
        <v>1</v>
      </c>
      <c r="C54" s="72">
        <v>0</v>
      </c>
      <c r="D54" s="70">
        <v>0</v>
      </c>
      <c r="E54" s="72">
        <v>17</v>
      </c>
      <c r="F54" s="70">
        <v>25500</v>
      </c>
      <c r="G54" s="70">
        <v>25500</v>
      </c>
      <c r="H54" s="153">
        <v>1.8E-3</v>
      </c>
    </row>
    <row r="55" spans="1:8" ht="15" customHeight="1" x14ac:dyDescent="0.2">
      <c r="A55" s="72" t="s">
        <v>163</v>
      </c>
      <c r="B55" s="72">
        <v>1</v>
      </c>
      <c r="C55" s="72">
        <v>0</v>
      </c>
      <c r="D55" s="70">
        <v>0</v>
      </c>
      <c r="E55" s="72">
        <v>13</v>
      </c>
      <c r="F55" s="70">
        <v>23400</v>
      </c>
      <c r="G55" s="70">
        <v>23400</v>
      </c>
      <c r="H55" s="153">
        <v>1.6999999999999999E-3</v>
      </c>
    </row>
    <row r="56" spans="1:8" ht="15" customHeight="1" x14ac:dyDescent="0.2">
      <c r="A56" s="72" t="s">
        <v>15</v>
      </c>
      <c r="B56" s="72">
        <v>3</v>
      </c>
      <c r="C56" s="72">
        <v>0</v>
      </c>
      <c r="D56" s="70">
        <v>0</v>
      </c>
      <c r="E56" s="72">
        <v>10</v>
      </c>
      <c r="F56" s="70">
        <v>21300</v>
      </c>
      <c r="G56" s="70">
        <v>21300</v>
      </c>
      <c r="H56" s="153">
        <v>1.5E-3</v>
      </c>
    </row>
    <row r="57" spans="1:8" ht="15" customHeight="1" x14ac:dyDescent="0.2">
      <c r="A57" s="72" t="s">
        <v>664</v>
      </c>
      <c r="B57" s="72">
        <v>3</v>
      </c>
      <c r="C57" s="72">
        <v>0</v>
      </c>
      <c r="D57" s="70">
        <v>0</v>
      </c>
      <c r="E57" s="72">
        <v>10</v>
      </c>
      <c r="F57" s="70">
        <v>19400</v>
      </c>
      <c r="G57" s="70">
        <v>19400</v>
      </c>
      <c r="H57" s="153">
        <v>1.4E-3</v>
      </c>
    </row>
    <row r="58" spans="1:8" ht="15" customHeight="1" x14ac:dyDescent="0.2">
      <c r="A58" s="72" t="s">
        <v>237</v>
      </c>
      <c r="B58" s="72">
        <v>1</v>
      </c>
      <c r="C58" s="72">
        <v>0</v>
      </c>
      <c r="D58" s="70">
        <v>0</v>
      </c>
      <c r="E58" s="72">
        <v>6</v>
      </c>
      <c r="F58" s="70">
        <v>12000</v>
      </c>
      <c r="G58" s="70">
        <v>12000</v>
      </c>
      <c r="H58" s="153">
        <v>8.9999999999999998E-4</v>
      </c>
    </row>
    <row r="59" spans="1:8" ht="15" customHeight="1" x14ac:dyDescent="0.2">
      <c r="A59" s="72" t="s">
        <v>294</v>
      </c>
      <c r="B59" s="72">
        <v>1</v>
      </c>
      <c r="C59" s="72">
        <v>1</v>
      </c>
      <c r="D59" s="70">
        <v>7750</v>
      </c>
      <c r="E59" s="72">
        <v>0</v>
      </c>
      <c r="F59" s="70">
        <v>0</v>
      </c>
      <c r="G59" s="70">
        <v>7750</v>
      </c>
      <c r="H59" s="153">
        <v>5.9999999999999995E-4</v>
      </c>
    </row>
    <row r="60" spans="1:8" ht="15" customHeight="1" x14ac:dyDescent="0.2">
      <c r="A60" s="72" t="s">
        <v>210</v>
      </c>
      <c r="B60" s="72">
        <v>1</v>
      </c>
      <c r="C60" s="72">
        <v>1</v>
      </c>
      <c r="D60" s="70">
        <v>4950</v>
      </c>
      <c r="E60" s="72">
        <v>0</v>
      </c>
      <c r="F60" s="70">
        <v>0</v>
      </c>
      <c r="G60" s="70">
        <v>4950</v>
      </c>
      <c r="H60" s="153">
        <v>4.0000000000000002E-4</v>
      </c>
    </row>
    <row r="61" spans="1:8" ht="15" customHeight="1" x14ac:dyDescent="0.2">
      <c r="A61" s="72" t="s">
        <v>212</v>
      </c>
      <c r="B61" s="72">
        <v>1</v>
      </c>
      <c r="C61" s="72">
        <v>0</v>
      </c>
      <c r="D61" s="70">
        <v>0</v>
      </c>
      <c r="E61" s="72">
        <v>1</v>
      </c>
      <c r="F61" s="70">
        <v>1900</v>
      </c>
      <c r="G61" s="70">
        <v>1900</v>
      </c>
      <c r="H61" s="153">
        <v>1E-4</v>
      </c>
    </row>
    <row r="62" spans="1:8" ht="15" customHeight="1" x14ac:dyDescent="0.2">
      <c r="A62" s="72" t="s">
        <v>122</v>
      </c>
      <c r="B62" s="72">
        <v>1</v>
      </c>
      <c r="C62" s="72">
        <v>0</v>
      </c>
      <c r="D62" s="70">
        <v>0</v>
      </c>
      <c r="E62" s="72">
        <v>1</v>
      </c>
      <c r="F62" s="70">
        <v>1800</v>
      </c>
      <c r="G62" s="70">
        <v>1800</v>
      </c>
      <c r="H62" s="153">
        <v>1E-4</v>
      </c>
    </row>
    <row r="63" spans="1:8" ht="15" customHeight="1" x14ac:dyDescent="0.2">
      <c r="A63" s="158" t="s">
        <v>789</v>
      </c>
      <c r="B63" s="72"/>
      <c r="C63" s="72"/>
      <c r="D63" s="72"/>
      <c r="E63" s="72"/>
      <c r="F63" s="72"/>
      <c r="G63" s="159">
        <f>SUM(G31:G62)</f>
        <v>13955850</v>
      </c>
      <c r="H63" s="72"/>
    </row>
    <row r="66" spans="1:6" ht="15" customHeight="1" x14ac:dyDescent="0.2">
      <c r="A66" s="176" t="s">
        <v>870</v>
      </c>
      <c r="B66" s="177"/>
      <c r="C66" s="177"/>
      <c r="D66" s="177"/>
      <c r="E66" s="177"/>
      <c r="F66" s="177"/>
    </row>
    <row r="67" spans="1:6" ht="24" customHeight="1" x14ac:dyDescent="0.2">
      <c r="A67" s="136" t="s">
        <v>758</v>
      </c>
      <c r="B67" s="136" t="s">
        <v>871</v>
      </c>
      <c r="C67" s="136" t="s">
        <v>872</v>
      </c>
      <c r="D67" s="136" t="s">
        <v>873</v>
      </c>
      <c r="E67" s="136" t="s">
        <v>864</v>
      </c>
      <c r="F67" s="136" t="s">
        <v>830</v>
      </c>
    </row>
    <row r="68" spans="1:6" ht="15" customHeight="1" x14ac:dyDescent="0.2">
      <c r="A68" s="72" t="s">
        <v>125</v>
      </c>
      <c r="B68" s="70">
        <v>612000</v>
      </c>
      <c r="C68" s="70">
        <v>835000</v>
      </c>
      <c r="D68" s="153">
        <v>1.3644000000000001</v>
      </c>
      <c r="E68" s="72">
        <v>1</v>
      </c>
      <c r="F68" s="178" t="s">
        <v>874</v>
      </c>
    </row>
    <row r="69" spans="1:6" ht="15" customHeight="1" x14ac:dyDescent="0.2">
      <c r="A69" s="72" t="s">
        <v>85</v>
      </c>
      <c r="B69" s="70">
        <v>1514065</v>
      </c>
      <c r="C69" s="70">
        <v>334900</v>
      </c>
      <c r="D69" s="153">
        <v>0.22120000000000001</v>
      </c>
      <c r="E69" s="72">
        <v>6</v>
      </c>
      <c r="F69" s="178" t="s">
        <v>874</v>
      </c>
    </row>
    <row r="70" spans="1:6" ht="15" customHeight="1" x14ac:dyDescent="0.2">
      <c r="A70" s="72" t="s">
        <v>334</v>
      </c>
      <c r="B70" s="70">
        <v>1243900</v>
      </c>
      <c r="C70" s="70">
        <v>230400</v>
      </c>
      <c r="D70" s="153">
        <v>0.1852</v>
      </c>
      <c r="E70" s="72">
        <v>2</v>
      </c>
      <c r="F70" s="178" t="s">
        <v>874</v>
      </c>
    </row>
    <row r="71" spans="1:6" ht="15" customHeight="1" x14ac:dyDescent="0.2">
      <c r="A71" s="72" t="s">
        <v>165</v>
      </c>
      <c r="B71" s="70">
        <v>7750900</v>
      </c>
      <c r="C71" s="70">
        <v>1400000</v>
      </c>
      <c r="D71" s="153">
        <v>0.18060000000000001</v>
      </c>
      <c r="E71" s="72">
        <v>2</v>
      </c>
      <c r="F71" s="178" t="s">
        <v>874</v>
      </c>
    </row>
    <row r="72" spans="1:6" ht="15" customHeight="1" x14ac:dyDescent="0.2">
      <c r="A72" s="72" t="s">
        <v>139</v>
      </c>
      <c r="B72" s="70">
        <v>8439865</v>
      </c>
      <c r="C72" s="70">
        <v>1341400</v>
      </c>
      <c r="D72" s="153">
        <v>0.15890000000000001</v>
      </c>
      <c r="E72" s="72">
        <v>3</v>
      </c>
      <c r="F72" s="178" t="s">
        <v>874</v>
      </c>
    </row>
    <row r="73" spans="1:6" ht="15" customHeight="1" x14ac:dyDescent="0.2">
      <c r="A73" s="72" t="s">
        <v>326</v>
      </c>
      <c r="B73" s="70">
        <v>5201650</v>
      </c>
      <c r="C73" s="70">
        <v>766000</v>
      </c>
      <c r="D73" s="153">
        <v>0.14729999999999999</v>
      </c>
      <c r="E73" s="72">
        <v>1</v>
      </c>
      <c r="F73" s="178" t="s">
        <v>875</v>
      </c>
    </row>
    <row r="74" spans="1:6" ht="15" customHeight="1" x14ac:dyDescent="0.2">
      <c r="A74" s="72" t="s">
        <v>152</v>
      </c>
      <c r="B74" s="70">
        <v>6158900</v>
      </c>
      <c r="C74" s="70">
        <v>854800</v>
      </c>
      <c r="D74" s="153">
        <v>0.13880000000000001</v>
      </c>
      <c r="E74" s="72">
        <v>4</v>
      </c>
      <c r="F74" s="178" t="s">
        <v>875</v>
      </c>
    </row>
    <row r="75" spans="1:6" ht="15" customHeight="1" x14ac:dyDescent="0.2">
      <c r="A75" s="72" t="s">
        <v>66</v>
      </c>
      <c r="B75" s="70">
        <v>18811260</v>
      </c>
      <c r="C75" s="70">
        <v>2569500</v>
      </c>
      <c r="D75" s="153">
        <v>0.1366</v>
      </c>
      <c r="E75" s="72">
        <v>4</v>
      </c>
      <c r="F75" s="178" t="s">
        <v>875</v>
      </c>
    </row>
    <row r="76" spans="1:6" ht="15" customHeight="1" x14ac:dyDescent="0.2">
      <c r="A76" s="72" t="s">
        <v>40</v>
      </c>
      <c r="B76" s="70">
        <v>566700</v>
      </c>
      <c r="C76" s="70">
        <v>76500</v>
      </c>
      <c r="D76" s="153">
        <v>0.13500000000000001</v>
      </c>
      <c r="E76" s="72">
        <v>3</v>
      </c>
      <c r="F76" s="178" t="s">
        <v>875</v>
      </c>
    </row>
    <row r="77" spans="1:6" ht="15" customHeight="1" x14ac:dyDescent="0.2">
      <c r="A77" s="72" t="s">
        <v>78</v>
      </c>
      <c r="B77" s="70">
        <v>2985985</v>
      </c>
      <c r="C77" s="70">
        <v>377400</v>
      </c>
      <c r="D77" s="153">
        <v>0.12640000000000001</v>
      </c>
      <c r="E77" s="72">
        <v>5</v>
      </c>
      <c r="F77" s="178" t="s">
        <v>875</v>
      </c>
    </row>
    <row r="78" spans="1:6" ht="15" customHeight="1" x14ac:dyDescent="0.2">
      <c r="A78" s="72" t="s">
        <v>168</v>
      </c>
      <c r="B78" s="70">
        <v>895800</v>
      </c>
      <c r="C78" s="70">
        <v>106200</v>
      </c>
      <c r="D78" s="153">
        <v>0.1186</v>
      </c>
      <c r="E78" s="72">
        <v>1</v>
      </c>
      <c r="F78" s="178" t="s">
        <v>875</v>
      </c>
    </row>
    <row r="79" spans="1:6" ht="15" customHeight="1" x14ac:dyDescent="0.2">
      <c r="A79" s="72" t="s">
        <v>132</v>
      </c>
      <c r="B79" s="70">
        <v>4512900</v>
      </c>
      <c r="C79" s="70">
        <v>525000</v>
      </c>
      <c r="D79" s="153">
        <v>0.1163</v>
      </c>
      <c r="E79" s="72">
        <v>1</v>
      </c>
      <c r="F79" s="178" t="s">
        <v>875</v>
      </c>
    </row>
    <row r="80" spans="1:6" ht="15" customHeight="1" x14ac:dyDescent="0.2">
      <c r="A80" s="72" t="s">
        <v>145</v>
      </c>
      <c r="B80" s="70">
        <v>416075</v>
      </c>
      <c r="C80" s="70">
        <v>48000</v>
      </c>
      <c r="D80" s="153">
        <v>0.1154</v>
      </c>
      <c r="E80" s="72">
        <v>2</v>
      </c>
      <c r="F80" s="178" t="s">
        <v>875</v>
      </c>
    </row>
    <row r="81" spans="1:6" ht="15" customHeight="1" x14ac:dyDescent="0.2">
      <c r="A81" s="72" t="s">
        <v>29</v>
      </c>
      <c r="B81" s="70">
        <v>15020155</v>
      </c>
      <c r="C81" s="70">
        <v>1680975</v>
      </c>
      <c r="D81" s="153">
        <v>0.1119</v>
      </c>
      <c r="E81" s="72">
        <v>29</v>
      </c>
      <c r="F81" s="178" t="s">
        <v>875</v>
      </c>
    </row>
    <row r="82" spans="1:6" ht="15" customHeight="1" x14ac:dyDescent="0.2">
      <c r="A82" s="72" t="s">
        <v>237</v>
      </c>
      <c r="B82" s="70">
        <v>110040</v>
      </c>
      <c r="C82" s="70">
        <v>12000</v>
      </c>
      <c r="D82" s="153">
        <v>0.1091</v>
      </c>
      <c r="E82" s="72">
        <v>1</v>
      </c>
      <c r="F82" s="178" t="s">
        <v>875</v>
      </c>
    </row>
    <row r="83" spans="1:6" ht="15" customHeight="1" x14ac:dyDescent="0.2">
      <c r="A83" s="72" t="s">
        <v>104</v>
      </c>
      <c r="B83" s="70">
        <v>1221680</v>
      </c>
      <c r="C83" s="70">
        <v>94775</v>
      </c>
      <c r="D83" s="153">
        <v>7.7600000000000002E-2</v>
      </c>
      <c r="E83" s="72">
        <v>4</v>
      </c>
      <c r="F83" s="72" t="s">
        <v>876</v>
      </c>
    </row>
    <row r="84" spans="1:6" ht="15" customHeight="1" x14ac:dyDescent="0.2">
      <c r="A84" s="72" t="s">
        <v>154</v>
      </c>
      <c r="B84" s="70">
        <v>722835</v>
      </c>
      <c r="C84" s="70">
        <v>52600</v>
      </c>
      <c r="D84" s="153">
        <v>7.2800000000000004E-2</v>
      </c>
      <c r="E84" s="72">
        <v>3</v>
      </c>
      <c r="F84" s="72" t="s">
        <v>876</v>
      </c>
    </row>
    <row r="85" spans="1:6" ht="15" customHeight="1" x14ac:dyDescent="0.2">
      <c r="A85" s="72" t="s">
        <v>163</v>
      </c>
      <c r="B85" s="70">
        <v>326520</v>
      </c>
      <c r="C85" s="70">
        <v>23400</v>
      </c>
      <c r="D85" s="153">
        <v>7.17E-2</v>
      </c>
      <c r="E85" s="72">
        <v>1</v>
      </c>
      <c r="F85" s="72" t="s">
        <v>876</v>
      </c>
    </row>
    <row r="86" spans="1:6" ht="15" customHeight="1" x14ac:dyDescent="0.2">
      <c r="A86" s="72" t="s">
        <v>97</v>
      </c>
      <c r="B86" s="70">
        <v>4939800</v>
      </c>
      <c r="C86" s="70">
        <v>324000</v>
      </c>
      <c r="D86" s="153">
        <v>6.5600000000000006E-2</v>
      </c>
      <c r="E86" s="72">
        <v>1</v>
      </c>
      <c r="F86" s="72" t="s">
        <v>876</v>
      </c>
    </row>
    <row r="87" spans="1:6" ht="15" customHeight="1" x14ac:dyDescent="0.2">
      <c r="A87" s="72" t="s">
        <v>157</v>
      </c>
      <c r="B87" s="70">
        <v>1318545</v>
      </c>
      <c r="C87" s="70">
        <v>86200</v>
      </c>
      <c r="D87" s="153">
        <v>6.54E-2</v>
      </c>
      <c r="E87" s="72">
        <v>2</v>
      </c>
      <c r="F87" s="72" t="s">
        <v>876</v>
      </c>
    </row>
    <row r="88" spans="1:6" ht="15" customHeight="1" x14ac:dyDescent="0.2">
      <c r="A88" s="72" t="s">
        <v>63</v>
      </c>
      <c r="B88" s="70">
        <v>15517490</v>
      </c>
      <c r="C88" s="70">
        <v>850100</v>
      </c>
      <c r="D88" s="153">
        <v>5.4800000000000001E-2</v>
      </c>
      <c r="E88" s="72">
        <v>3</v>
      </c>
      <c r="F88" s="72" t="s">
        <v>876</v>
      </c>
    </row>
    <row r="89" spans="1:6" ht="15" customHeight="1" x14ac:dyDescent="0.2">
      <c r="A89" s="72" t="s">
        <v>25</v>
      </c>
      <c r="B89" s="70">
        <v>24198115</v>
      </c>
      <c r="C89" s="70">
        <v>623500</v>
      </c>
      <c r="D89" s="153">
        <v>2.58E-2</v>
      </c>
      <c r="E89" s="72">
        <v>8</v>
      </c>
      <c r="F89" s="72" t="s">
        <v>876</v>
      </c>
    </row>
    <row r="90" spans="1:6" ht="15" customHeight="1" x14ac:dyDescent="0.2">
      <c r="A90" s="72" t="s">
        <v>59</v>
      </c>
      <c r="B90" s="70">
        <v>4393180</v>
      </c>
      <c r="C90" s="70">
        <v>108800</v>
      </c>
      <c r="D90" s="153">
        <v>2.4799999999999999E-2</v>
      </c>
      <c r="E90" s="72">
        <v>2</v>
      </c>
      <c r="F90" s="72" t="s">
        <v>876</v>
      </c>
    </row>
    <row r="91" spans="1:6" ht="15" customHeight="1" x14ac:dyDescent="0.2">
      <c r="A91" s="72" t="s">
        <v>75</v>
      </c>
      <c r="B91" s="70">
        <v>7362605</v>
      </c>
      <c r="C91" s="70">
        <v>181000</v>
      </c>
      <c r="D91" s="153">
        <v>2.46E-2</v>
      </c>
      <c r="E91" s="72">
        <v>7</v>
      </c>
      <c r="F91" s="72" t="s">
        <v>876</v>
      </c>
    </row>
    <row r="92" spans="1:6" ht="15" customHeight="1" x14ac:dyDescent="0.2">
      <c r="A92" s="72" t="s">
        <v>15</v>
      </c>
      <c r="B92" s="70">
        <v>1104095</v>
      </c>
      <c r="C92" s="70">
        <v>21300</v>
      </c>
      <c r="D92" s="153">
        <v>1.9300000000000001E-2</v>
      </c>
      <c r="E92" s="72">
        <v>3</v>
      </c>
      <c r="F92" s="72" t="s">
        <v>876</v>
      </c>
    </row>
    <row r="93" spans="1:6" ht="15" customHeight="1" x14ac:dyDescent="0.2">
      <c r="A93" s="72" t="s">
        <v>50</v>
      </c>
      <c r="B93" s="70">
        <v>20732840</v>
      </c>
      <c r="C93" s="70">
        <v>370800</v>
      </c>
      <c r="D93" s="153">
        <v>1.7899999999999999E-2</v>
      </c>
      <c r="E93" s="72">
        <v>9</v>
      </c>
      <c r="F93" s="72" t="s">
        <v>876</v>
      </c>
    </row>
    <row r="94" spans="1:6" ht="15" customHeight="1" x14ac:dyDescent="0.2">
      <c r="A94" s="72" t="s">
        <v>95</v>
      </c>
      <c r="B94" s="70">
        <v>2449195</v>
      </c>
      <c r="C94" s="70">
        <v>25500</v>
      </c>
      <c r="D94" s="153">
        <v>1.04E-2</v>
      </c>
      <c r="E94" s="72">
        <v>1</v>
      </c>
      <c r="F94" s="72" t="s">
        <v>876</v>
      </c>
    </row>
    <row r="95" spans="1:6" ht="15" customHeight="1" x14ac:dyDescent="0.2">
      <c r="A95" s="72" t="s">
        <v>212</v>
      </c>
      <c r="B95" s="70">
        <v>392530</v>
      </c>
      <c r="C95" s="70">
        <v>1900</v>
      </c>
      <c r="D95" s="153">
        <v>4.7999999999999996E-3</v>
      </c>
      <c r="E95" s="72">
        <v>1</v>
      </c>
      <c r="F95" s="72" t="s">
        <v>876</v>
      </c>
    </row>
    <row r="96" spans="1:6" ht="15" customHeight="1" x14ac:dyDescent="0.2">
      <c r="A96" s="72" t="s">
        <v>122</v>
      </c>
      <c r="B96" s="70">
        <v>502640</v>
      </c>
      <c r="C96" s="70">
        <v>1800</v>
      </c>
      <c r="D96" s="153">
        <v>3.5999999999999999E-3</v>
      </c>
      <c r="E96" s="72">
        <v>1</v>
      </c>
      <c r="F96" s="72" t="s">
        <v>876</v>
      </c>
    </row>
    <row r="97" spans="1:6" ht="15" customHeight="1" x14ac:dyDescent="0.2">
      <c r="A97" s="72" t="s">
        <v>294</v>
      </c>
      <c r="B97" s="70">
        <v>2976000</v>
      </c>
      <c r="C97" s="70">
        <v>7750</v>
      </c>
      <c r="D97" s="153">
        <v>2.5999999999999999E-3</v>
      </c>
      <c r="E97" s="72">
        <v>1</v>
      </c>
      <c r="F97" s="72" t="s">
        <v>876</v>
      </c>
    </row>
    <row r="98" spans="1:6" ht="15" customHeight="1" x14ac:dyDescent="0.2">
      <c r="A98" s="72" t="s">
        <v>210</v>
      </c>
      <c r="B98" s="70">
        <v>12276000</v>
      </c>
      <c r="C98" s="70">
        <v>4950</v>
      </c>
      <c r="D98" s="153">
        <v>4.0000000000000002E-4</v>
      </c>
      <c r="E98" s="72">
        <v>1</v>
      </c>
      <c r="F98" s="72" t="s">
        <v>876</v>
      </c>
    </row>
    <row r="99" spans="1:6" ht="15" customHeight="1" x14ac:dyDescent="0.2">
      <c r="A99" s="72" t="s">
        <v>664</v>
      </c>
      <c r="B99" s="70">
        <v>0</v>
      </c>
      <c r="C99" s="70">
        <v>19400</v>
      </c>
      <c r="D99" s="72" t="s">
        <v>877</v>
      </c>
      <c r="E99" s="72">
        <v>3</v>
      </c>
      <c r="F99" s="178" t="s">
        <v>878</v>
      </c>
    </row>
    <row r="102" spans="1:6" ht="15" customHeight="1" x14ac:dyDescent="0.2">
      <c r="A102" s="176" t="s">
        <v>879</v>
      </c>
      <c r="B102" s="177"/>
      <c r="C102" s="177"/>
      <c r="D102" s="177"/>
      <c r="E102" s="177"/>
      <c r="F102" s="177"/>
    </row>
    <row r="103" spans="1:6" ht="24" customHeight="1" x14ac:dyDescent="0.2">
      <c r="A103" s="136" t="s">
        <v>880</v>
      </c>
      <c r="B103" s="136" t="s">
        <v>881</v>
      </c>
      <c r="C103" s="136" t="s">
        <v>864</v>
      </c>
      <c r="D103" s="136" t="s">
        <v>866</v>
      </c>
      <c r="E103" s="136" t="s">
        <v>868</v>
      </c>
      <c r="F103" s="136" t="s">
        <v>869</v>
      </c>
    </row>
    <row r="104" spans="1:6" ht="15" customHeight="1" x14ac:dyDescent="0.2">
      <c r="A104" s="72" t="s">
        <v>882</v>
      </c>
      <c r="B104" s="72" t="s">
        <v>883</v>
      </c>
      <c r="C104" s="72">
        <v>22</v>
      </c>
      <c r="D104" s="70">
        <v>1188675</v>
      </c>
      <c r="E104" s="70">
        <v>2370850</v>
      </c>
      <c r="F104" s="70">
        <v>3559525</v>
      </c>
    </row>
    <row r="105" spans="1:6" ht="15" customHeight="1" x14ac:dyDescent="0.2">
      <c r="A105" s="72" t="s">
        <v>884</v>
      </c>
      <c r="B105" s="72" t="s">
        <v>885</v>
      </c>
      <c r="C105" s="72">
        <v>38</v>
      </c>
      <c r="D105" s="70">
        <v>233625</v>
      </c>
      <c r="E105" s="70">
        <v>3297100</v>
      </c>
      <c r="F105" s="70">
        <v>3530725</v>
      </c>
    </row>
    <row r="106" spans="1:6" ht="15" customHeight="1" x14ac:dyDescent="0.2">
      <c r="A106" s="72" t="s">
        <v>886</v>
      </c>
      <c r="B106" s="72" t="s">
        <v>887</v>
      </c>
      <c r="C106" s="72">
        <v>20</v>
      </c>
      <c r="D106" s="70">
        <v>7750</v>
      </c>
      <c r="E106" s="70">
        <v>3519400</v>
      </c>
      <c r="F106" s="70">
        <v>3527150</v>
      </c>
    </row>
    <row r="107" spans="1:6" ht="15" customHeight="1" x14ac:dyDescent="0.2">
      <c r="A107" s="72" t="s">
        <v>888</v>
      </c>
      <c r="B107" s="72" t="s">
        <v>889</v>
      </c>
      <c r="C107" s="72">
        <v>23</v>
      </c>
      <c r="D107" s="70">
        <v>8500</v>
      </c>
      <c r="E107" s="70">
        <v>2273500</v>
      </c>
      <c r="F107" s="70">
        <v>2282000</v>
      </c>
    </row>
    <row r="108" spans="1:6" ht="15" customHeight="1" x14ac:dyDescent="0.2">
      <c r="A108" s="72" t="s">
        <v>890</v>
      </c>
      <c r="B108" s="72" t="s">
        <v>891</v>
      </c>
      <c r="C108" s="72">
        <v>13</v>
      </c>
      <c r="D108" s="70">
        <v>22050</v>
      </c>
      <c r="E108" s="70">
        <v>1034400</v>
      </c>
      <c r="F108" s="70">
        <v>1056450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1"/>
  <sheetViews>
    <sheetView topLeftCell="A19" zoomScale="91" zoomScaleNormal="91" workbookViewId="0">
      <selection activeCell="G37" sqref="G37"/>
    </sheetView>
  </sheetViews>
  <sheetFormatPr defaultColWidth="8.609375" defaultRowHeight="15" x14ac:dyDescent="0.2"/>
  <cols>
    <col min="1" max="1" width="39.81640625" style="38" customWidth="1"/>
    <col min="2" max="2" width="29.86328125" style="38" customWidth="1"/>
    <col min="3" max="3" width="23.80859375" style="38" customWidth="1"/>
    <col min="4" max="4" width="29.32421875" style="38" customWidth="1"/>
    <col min="5" max="5" width="7.93359375" style="38" customWidth="1"/>
    <col min="6" max="6" width="19.90625" style="38" customWidth="1"/>
    <col min="7" max="7" width="8.875" style="38" customWidth="1"/>
    <col min="8" max="8" width="2.95703125" style="38" customWidth="1"/>
    <col min="9" max="9" width="21.5234375" style="38" customWidth="1"/>
    <col min="10" max="10" width="12.5078125" style="38" customWidth="1"/>
    <col min="11" max="11" width="17.75390625" style="38" customWidth="1"/>
    <col min="12" max="12" width="9.55078125" style="38" customWidth="1"/>
    <col min="13" max="13" width="2.95703125" style="38" customWidth="1"/>
    <col min="14" max="16" width="13.046875" style="38" customWidth="1"/>
  </cols>
  <sheetData>
    <row r="1" spans="1:7" ht="15" customHeight="1" x14ac:dyDescent="0.2">
      <c r="A1" s="145" t="s">
        <v>892</v>
      </c>
      <c r="B1" s="146"/>
      <c r="C1" s="146"/>
      <c r="D1" s="146"/>
      <c r="E1" s="146"/>
      <c r="F1" s="146"/>
      <c r="G1" s="146"/>
    </row>
    <row r="2" spans="1:7" ht="14.25" customHeight="1" x14ac:dyDescent="0.2">
      <c r="A2" s="147"/>
      <c r="B2" s="146"/>
      <c r="C2" s="146"/>
      <c r="D2" s="146"/>
      <c r="E2" s="146"/>
      <c r="F2" s="146"/>
      <c r="G2" s="146"/>
    </row>
    <row r="3" spans="1:7" ht="14.25" customHeight="1" x14ac:dyDescent="0.2">
      <c r="A3" s="146"/>
      <c r="B3" s="146"/>
      <c r="C3" s="146"/>
      <c r="D3" s="146"/>
      <c r="E3" s="146"/>
      <c r="F3" s="146"/>
      <c r="G3" s="146"/>
    </row>
    <row r="4" spans="1:7" ht="25.5" customHeight="1" x14ac:dyDescent="0.2">
      <c r="A4" s="148" t="s">
        <v>753</v>
      </c>
      <c r="B4" s="148" t="s">
        <v>893</v>
      </c>
      <c r="C4" s="148" t="s">
        <v>894</v>
      </c>
      <c r="D4" s="148" t="s">
        <v>895</v>
      </c>
      <c r="E4" s="148" t="s">
        <v>795</v>
      </c>
      <c r="F4" s="148" t="s">
        <v>896</v>
      </c>
      <c r="G4" s="148" t="s">
        <v>897</v>
      </c>
    </row>
    <row r="5" spans="1:7" ht="14.25" customHeight="1" x14ac:dyDescent="0.2">
      <c r="A5" s="149" t="s">
        <v>898</v>
      </c>
      <c r="B5" s="150">
        <f>'July 1st Sales Report'!N2</f>
        <v>1557600</v>
      </c>
      <c r="C5" s="150">
        <f>'July 1st Sales Report'!O2</f>
        <v>258</v>
      </c>
      <c r="D5" s="150">
        <v>1557600</v>
      </c>
      <c r="E5" s="150">
        <v>3</v>
      </c>
      <c r="F5" s="150">
        <v>-43362</v>
      </c>
      <c r="G5" s="151">
        <f>IFERROR(F5/D5,0)</f>
        <v>-2.7838983050847459E-2</v>
      </c>
    </row>
    <row r="6" spans="1:7" ht="14.25" customHeight="1" x14ac:dyDescent="0.2">
      <c r="A6" s="149" t="s">
        <v>899</v>
      </c>
      <c r="B6" s="150">
        <f>'July 2nd Sales Report'!N2</f>
        <v>4229335</v>
      </c>
      <c r="C6" s="150">
        <f>'July 2nd Sales Report'!O2</f>
        <v>488</v>
      </c>
      <c r="D6" s="150">
        <v>4267435</v>
      </c>
      <c r="E6" s="150">
        <v>14</v>
      </c>
      <c r="F6" s="150">
        <v>-30444</v>
      </c>
      <c r="G6" s="151">
        <f>IFERROR(F6/D6,0)</f>
        <v>-7.1340278176469001E-3</v>
      </c>
    </row>
    <row r="7" spans="1:7" ht="14.25" customHeight="1" x14ac:dyDescent="0.2">
      <c r="A7" s="149" t="s">
        <v>900</v>
      </c>
      <c r="B7" s="150">
        <f>'July 3rd Sales Report'!N2</f>
        <v>15442745</v>
      </c>
      <c r="C7" s="150">
        <f>'July 3rd Sales Report'!O2</f>
        <v>1474</v>
      </c>
      <c r="D7" s="150">
        <v>16681745</v>
      </c>
      <c r="E7" s="150">
        <v>13</v>
      </c>
      <c r="F7" s="150">
        <v>232432</v>
      </c>
      <c r="G7" s="151">
        <f>IFERROR(F7/D7,0)</f>
        <v>1.3933314530344397E-2</v>
      </c>
    </row>
    <row r="8" spans="1:7" ht="14.25" customHeight="1" x14ac:dyDescent="0.2">
      <c r="A8" s="149" t="s">
        <v>901</v>
      </c>
      <c r="B8" s="150">
        <f>'July 4th Sales Report '!N2</f>
        <v>7269270</v>
      </c>
      <c r="C8" s="150">
        <f>'July 4th Sales Report '!O2</f>
        <v>756</v>
      </c>
      <c r="D8" s="150">
        <v>7874270</v>
      </c>
      <c r="E8" s="150">
        <v>9</v>
      </c>
      <c r="F8" s="150">
        <v>-30110</v>
      </c>
      <c r="G8" s="151">
        <f>IFERROR(F8/D8,0)</f>
        <v>-3.8238465279956109E-3</v>
      </c>
    </row>
    <row r="9" spans="1:7" ht="14.25" customHeight="1" x14ac:dyDescent="0.2">
      <c r="A9" s="149" t="s">
        <v>902</v>
      </c>
      <c r="B9" s="150"/>
      <c r="C9" s="150"/>
      <c r="D9" s="150"/>
      <c r="E9" s="150"/>
      <c r="F9" s="150"/>
      <c r="G9" s="151"/>
    </row>
    <row r="10" spans="1:7" ht="14.25" customHeight="1" x14ac:dyDescent="0.2">
      <c r="A10" s="149" t="s">
        <v>903</v>
      </c>
      <c r="B10" s="150">
        <f>'July 6th Sales Report'!N2</f>
        <v>6855945</v>
      </c>
      <c r="C10" s="150">
        <f>'July 6th Sales Report'!O2</f>
        <v>931</v>
      </c>
      <c r="D10" s="150">
        <v>7250945</v>
      </c>
      <c r="E10" s="150">
        <v>13</v>
      </c>
      <c r="F10" s="150">
        <v>62475</v>
      </c>
      <c r="G10" s="151">
        <f t="shared" ref="G10:G15" si="0">IFERROR(F10/D10,0)</f>
        <v>8.6161183128543942E-3</v>
      </c>
    </row>
    <row r="11" spans="1:7" ht="14.25" customHeight="1" x14ac:dyDescent="0.2">
      <c r="A11" s="149" t="s">
        <v>904</v>
      </c>
      <c r="B11" s="150">
        <f>'July 7th Sales Report'!N2</f>
        <v>13981415</v>
      </c>
      <c r="C11" s="150">
        <f>'July 7th Sales Report'!O2</f>
        <v>1685</v>
      </c>
      <c r="D11" s="150">
        <v>15657915</v>
      </c>
      <c r="E11" s="150">
        <v>14</v>
      </c>
      <c r="F11" s="150">
        <v>225650</v>
      </c>
      <c r="G11" s="151">
        <f t="shared" si="0"/>
        <v>1.4411241854359281E-2</v>
      </c>
    </row>
    <row r="12" spans="1:7" ht="14.25" customHeight="1" x14ac:dyDescent="0.2">
      <c r="A12" s="149" t="s">
        <v>905</v>
      </c>
      <c r="B12" s="150">
        <f>'July 8th Sales Report'!N2</f>
        <v>7976620</v>
      </c>
      <c r="C12" s="150">
        <f>'July 8th Sales Report'!O2</f>
        <v>844</v>
      </c>
      <c r="D12" s="150">
        <v>9160620</v>
      </c>
      <c r="E12" s="150">
        <v>18</v>
      </c>
      <c r="F12" s="150">
        <v>565557</v>
      </c>
      <c r="G12" s="151">
        <f t="shared" si="0"/>
        <v>6.1737851804790508E-2</v>
      </c>
    </row>
    <row r="13" spans="1:7" ht="14.25" customHeight="1" x14ac:dyDescent="0.2">
      <c r="A13" s="149" t="s">
        <v>906</v>
      </c>
      <c r="B13" s="150">
        <f>'July 9th Sales Report'!N2</f>
        <v>3113625</v>
      </c>
      <c r="C13" s="150">
        <f>'July 9th Sales Report'!O2</f>
        <v>236</v>
      </c>
      <c r="D13" s="150">
        <v>3389125</v>
      </c>
      <c r="E13" s="150">
        <v>12</v>
      </c>
      <c r="F13" s="150">
        <v>247206</v>
      </c>
      <c r="G13" s="151">
        <f t="shared" si="0"/>
        <v>7.2940950835392621E-2</v>
      </c>
    </row>
    <row r="14" spans="1:7" ht="14.25" customHeight="1" x14ac:dyDescent="0.2">
      <c r="A14" s="149" t="s">
        <v>907</v>
      </c>
      <c r="B14" s="150">
        <f>'July 10th Sales Report'!N2</f>
        <v>1529240</v>
      </c>
      <c r="C14" s="150">
        <f>'July 10th Sales Report'!O2</f>
        <v>231</v>
      </c>
      <c r="D14" s="150">
        <v>1549040</v>
      </c>
      <c r="E14" s="150">
        <v>7</v>
      </c>
      <c r="F14" s="150">
        <v>905</v>
      </c>
      <c r="G14" s="151">
        <f t="shared" si="0"/>
        <v>5.842328151629396E-4</v>
      </c>
    </row>
    <row r="15" spans="1:7" ht="14.25" customHeight="1" x14ac:dyDescent="0.2">
      <c r="A15" s="149" t="s">
        <v>908</v>
      </c>
      <c r="B15" s="150">
        <f>'July 11th Sales Report'!N2</f>
        <v>3303665</v>
      </c>
      <c r="C15" s="150">
        <f>'July 11th Sales Report'!O2</f>
        <v>410</v>
      </c>
      <c r="D15" s="150">
        <v>3566065</v>
      </c>
      <c r="E15" s="150">
        <v>12</v>
      </c>
      <c r="F15" s="150">
        <v>183010</v>
      </c>
      <c r="G15" s="151">
        <f t="shared" si="0"/>
        <v>5.1319872184046003E-2</v>
      </c>
    </row>
    <row r="16" spans="1:7" ht="14.25" customHeight="1" x14ac:dyDescent="0.2">
      <c r="A16" s="149" t="s">
        <v>909</v>
      </c>
      <c r="B16" s="150"/>
      <c r="C16" s="150"/>
      <c r="D16" s="150"/>
      <c r="E16" s="150"/>
      <c r="F16" s="150"/>
      <c r="G16" s="151"/>
    </row>
    <row r="17" spans="1:7" ht="14.25" customHeight="1" x14ac:dyDescent="0.2">
      <c r="A17" s="149" t="s">
        <v>910</v>
      </c>
      <c r="B17" s="150">
        <f>'July 13th Sales Report'!N2</f>
        <v>9567380</v>
      </c>
      <c r="C17" s="150">
        <f>'July 13th Sales Report'!O2</f>
        <v>1675</v>
      </c>
      <c r="D17" s="150">
        <v>9709580</v>
      </c>
      <c r="E17" s="150">
        <v>7</v>
      </c>
      <c r="F17" s="150">
        <v>-161312</v>
      </c>
      <c r="G17" s="151">
        <f t="shared" ref="G17:G22" si="1">IFERROR(F17/D17,0)</f>
        <v>-1.6613694928101937E-2</v>
      </c>
    </row>
    <row r="18" spans="1:7" ht="14.25" customHeight="1" x14ac:dyDescent="0.2">
      <c r="A18" s="149" t="s">
        <v>911</v>
      </c>
      <c r="B18" s="150">
        <f>'July 14th Sales Report'!N2</f>
        <v>8992905</v>
      </c>
      <c r="C18" s="150">
        <f>'July 14th Sales Report'!O2</f>
        <v>1093</v>
      </c>
      <c r="D18" s="150">
        <v>9217305</v>
      </c>
      <c r="E18" s="150">
        <v>13</v>
      </c>
      <c r="F18" s="150">
        <v>287939</v>
      </c>
      <c r="G18" s="151">
        <f t="shared" si="1"/>
        <v>3.1238957591183107E-2</v>
      </c>
    </row>
    <row r="19" spans="1:7" ht="14.25" customHeight="1" x14ac:dyDescent="0.2">
      <c r="A19" s="149" t="s">
        <v>912</v>
      </c>
      <c r="B19" s="150">
        <f>'July 15th Sales Report'!N2</f>
        <v>4492845</v>
      </c>
      <c r="C19" s="150">
        <f>'July 15th Sales Report'!O2</f>
        <v>364</v>
      </c>
      <c r="D19" s="150">
        <v>4626845</v>
      </c>
      <c r="E19" s="150">
        <v>5</v>
      </c>
      <c r="F19" s="150">
        <v>262340</v>
      </c>
      <c r="G19" s="151">
        <f t="shared" si="1"/>
        <v>5.6699543641509496E-2</v>
      </c>
    </row>
    <row r="20" spans="1:7" ht="14.25" customHeight="1" x14ac:dyDescent="0.2">
      <c r="A20" s="149" t="s">
        <v>913</v>
      </c>
      <c r="B20" s="150">
        <f>'July 16th Sales Report'!N2</f>
        <v>2641860</v>
      </c>
      <c r="C20" s="150">
        <f>'July 16th Sales Report'!O2</f>
        <v>267</v>
      </c>
      <c r="D20" s="150">
        <v>2735860</v>
      </c>
      <c r="E20" s="150">
        <v>10</v>
      </c>
      <c r="F20" s="150">
        <v>24014</v>
      </c>
      <c r="G20" s="151">
        <f t="shared" si="1"/>
        <v>8.7774959244990604E-3</v>
      </c>
    </row>
    <row r="21" spans="1:7" ht="14.25" customHeight="1" x14ac:dyDescent="0.2">
      <c r="A21" s="149" t="s">
        <v>914</v>
      </c>
      <c r="B21" s="150">
        <f>'July 17th Sales Report'!N2</f>
        <v>6163655</v>
      </c>
      <c r="C21" s="150">
        <f>'July 17th Sales Report'!O2</f>
        <v>798</v>
      </c>
      <c r="D21" s="150">
        <v>6278855</v>
      </c>
      <c r="E21" s="150">
        <v>11</v>
      </c>
      <c r="F21" s="150">
        <v>11746</v>
      </c>
      <c r="G21" s="151">
        <f t="shared" si="1"/>
        <v>1.8707232449228402E-3</v>
      </c>
    </row>
    <row r="22" spans="1:7" ht="14.25" customHeight="1" x14ac:dyDescent="0.2">
      <c r="A22" s="149" t="s">
        <v>915</v>
      </c>
      <c r="B22" s="150">
        <f>'July 18th Sales Report'!N2</f>
        <v>12655475</v>
      </c>
      <c r="C22" s="150">
        <f>'July 18th Sales Report'!O2</f>
        <v>1117</v>
      </c>
      <c r="D22" s="150">
        <v>14595225</v>
      </c>
      <c r="E22" s="150">
        <v>15</v>
      </c>
      <c r="F22" s="150">
        <v>1073069</v>
      </c>
      <c r="G22" s="151">
        <f t="shared" si="1"/>
        <v>7.3521922409555185E-2</v>
      </c>
    </row>
    <row r="23" spans="1:7" ht="14.25" customHeight="1" x14ac:dyDescent="0.2">
      <c r="A23" s="149" t="s">
        <v>916</v>
      </c>
      <c r="B23" s="150"/>
      <c r="C23" s="150"/>
      <c r="D23" s="150"/>
      <c r="E23" s="150"/>
      <c r="F23" s="150"/>
      <c r="G23" s="151"/>
    </row>
    <row r="24" spans="1:7" ht="14.25" customHeight="1" x14ac:dyDescent="0.2">
      <c r="A24" s="149" t="s">
        <v>917</v>
      </c>
      <c r="B24" s="150">
        <f>'July 20th Sales Report'!N2</f>
        <v>9920150</v>
      </c>
      <c r="C24" s="150">
        <f>'July 20th Sales Report'!O2</f>
        <v>1200</v>
      </c>
      <c r="D24" s="150">
        <v>11398550</v>
      </c>
      <c r="E24" s="150">
        <v>11</v>
      </c>
      <c r="F24" s="150">
        <v>265900</v>
      </c>
      <c r="G24" s="151">
        <f t="shared" ref="G24:G29" si="2">IFERROR(F24/D24,0)</f>
        <v>2.3327528501432198E-2</v>
      </c>
    </row>
    <row r="25" spans="1:7" ht="14.25" customHeight="1" x14ac:dyDescent="0.2">
      <c r="A25" s="149" t="s">
        <v>918</v>
      </c>
      <c r="B25" s="150">
        <f>'July 21st Sales Report'!N2</f>
        <v>2878955</v>
      </c>
      <c r="C25" s="150">
        <f>'July 21st Sales Report'!O2</f>
        <v>461</v>
      </c>
      <c r="D25" s="150">
        <v>2982755</v>
      </c>
      <c r="E25" s="150">
        <v>10</v>
      </c>
      <c r="F25" s="150">
        <v>7079</v>
      </c>
      <c r="G25" s="151">
        <f t="shared" si="2"/>
        <v>2.3733092392771112E-3</v>
      </c>
    </row>
    <row r="26" spans="1:7" ht="14.25" customHeight="1" x14ac:dyDescent="0.2">
      <c r="A26" s="149" t="s">
        <v>919</v>
      </c>
      <c r="B26" s="150">
        <f>'July 22nd Sales Report'!N2</f>
        <v>5388015</v>
      </c>
      <c r="C26" s="150">
        <f>'July 22nd Sales Report'!O2</f>
        <v>778</v>
      </c>
      <c r="D26" s="150">
        <v>5388015</v>
      </c>
      <c r="E26" s="150">
        <v>11</v>
      </c>
      <c r="F26" s="150">
        <v>-53743</v>
      </c>
      <c r="G26" s="151">
        <f t="shared" si="2"/>
        <v>-9.9745453566851619E-3</v>
      </c>
    </row>
    <row r="27" spans="1:7" ht="14.25" customHeight="1" x14ac:dyDescent="0.2">
      <c r="A27" s="149" t="s">
        <v>920</v>
      </c>
      <c r="B27" s="150">
        <f>'July 23rd Sales Report'!N2</f>
        <v>5127985</v>
      </c>
      <c r="C27" s="150">
        <f>'July 23rd Sales Report'!O2</f>
        <v>916</v>
      </c>
      <c r="D27" s="150">
        <v>5309685</v>
      </c>
      <c r="E27" s="150">
        <v>9</v>
      </c>
      <c r="F27" s="150">
        <v>-71150</v>
      </c>
      <c r="G27" s="151">
        <f t="shared" si="2"/>
        <v>-1.3400041622054793E-2</v>
      </c>
    </row>
    <row r="28" spans="1:7" ht="14.25" customHeight="1" x14ac:dyDescent="0.2">
      <c r="A28" s="149" t="s">
        <v>921</v>
      </c>
      <c r="B28" s="150">
        <f>'July 24th Sales Report'!N2</f>
        <v>6824400</v>
      </c>
      <c r="C28" s="150">
        <f>'July 24th Sales Report'!O2</f>
        <v>880</v>
      </c>
      <c r="D28" s="150">
        <v>7715200</v>
      </c>
      <c r="E28" s="150">
        <v>14</v>
      </c>
      <c r="F28" s="150">
        <v>163987</v>
      </c>
      <c r="G28" s="151">
        <f t="shared" si="2"/>
        <v>2.1255054956449606E-2</v>
      </c>
    </row>
    <row r="29" spans="1:7" ht="14.25" customHeight="1" x14ac:dyDescent="0.2">
      <c r="A29" s="149" t="s">
        <v>922</v>
      </c>
      <c r="B29" s="150">
        <f>'July 25th Sales Report'!N2</f>
        <v>2612575</v>
      </c>
      <c r="C29" s="150">
        <f>'July 25th Sales Report'!O2</f>
        <v>384</v>
      </c>
      <c r="D29" s="150">
        <v>2758975</v>
      </c>
      <c r="E29" s="150">
        <v>18</v>
      </c>
      <c r="F29" s="150">
        <v>38648</v>
      </c>
      <c r="G29" s="151">
        <f t="shared" si="2"/>
        <v>1.4008100834549063E-2</v>
      </c>
    </row>
    <row r="30" spans="1:7" ht="14.25" customHeight="1" x14ac:dyDescent="0.2">
      <c r="A30" s="149" t="s">
        <v>923</v>
      </c>
      <c r="B30" s="150"/>
      <c r="C30" s="150"/>
      <c r="D30" s="150"/>
      <c r="E30" s="150"/>
      <c r="F30" s="150"/>
      <c r="G30" s="151"/>
    </row>
    <row r="31" spans="1:7" ht="14.25" customHeight="1" x14ac:dyDescent="0.2">
      <c r="A31" s="149" t="s">
        <v>924</v>
      </c>
      <c r="B31" s="150">
        <f>'July 27th Sales Report'!N2</f>
        <v>7908180</v>
      </c>
      <c r="C31" s="150">
        <f>'July 27th Sales Report'!O2</f>
        <v>971</v>
      </c>
      <c r="D31" s="150">
        <v>9013780</v>
      </c>
      <c r="E31" s="150">
        <v>18</v>
      </c>
      <c r="F31" s="150">
        <v>540950</v>
      </c>
      <c r="G31" s="151">
        <f>IFERROR(F31/D31,0)</f>
        <v>6.0013667961720835E-2</v>
      </c>
    </row>
    <row r="32" spans="1:7" ht="14.25" customHeight="1" x14ac:dyDescent="0.2">
      <c r="A32" s="149" t="s">
        <v>925</v>
      </c>
      <c r="B32" s="150">
        <f>'July 28th Sales Report'!N2</f>
        <v>4992470</v>
      </c>
      <c r="C32" s="150">
        <f>'July 28th Sales Report'!O2</f>
        <v>762</v>
      </c>
      <c r="D32" s="150">
        <v>5335070</v>
      </c>
      <c r="E32" s="150">
        <v>9</v>
      </c>
      <c r="F32" s="150">
        <v>120394</v>
      </c>
      <c r="G32" s="151">
        <f>IFERROR(F32/D32,0)</f>
        <v>2.2566526774718983E-2</v>
      </c>
    </row>
    <row r="33" spans="1:7" ht="14.25" customHeight="1" x14ac:dyDescent="0.2">
      <c r="A33" s="149" t="s">
        <v>926</v>
      </c>
      <c r="B33" s="150">
        <f>'29th Sales Report'!N2</f>
        <v>9392435</v>
      </c>
      <c r="C33" s="150">
        <f>'29th Sales Report'!O2</f>
        <v>842</v>
      </c>
      <c r="D33" s="150">
        <v>10012235</v>
      </c>
      <c r="E33" s="150">
        <v>5</v>
      </c>
      <c r="F33" s="150">
        <v>52991</v>
      </c>
      <c r="G33" s="151">
        <f>IFERROR(F33/D33,0)</f>
        <v>5.2926244739561149E-3</v>
      </c>
    </row>
    <row r="34" spans="1:7" ht="14.25" customHeight="1" x14ac:dyDescent="0.2">
      <c r="A34" s="149" t="s">
        <v>927</v>
      </c>
      <c r="B34" s="150">
        <f>'30th Sales Report'!N2</f>
        <v>7007705</v>
      </c>
      <c r="C34" s="150">
        <f>'30th Sales Report'!O2</f>
        <v>1315</v>
      </c>
      <c r="D34" s="150">
        <v>7065305</v>
      </c>
      <c r="E34" s="150">
        <v>9</v>
      </c>
      <c r="F34" s="150">
        <v>-268190</v>
      </c>
      <c r="G34" s="151">
        <f>IFERROR(F34/D34,0)</f>
        <v>-3.7958729311756534E-2</v>
      </c>
    </row>
    <row r="35" spans="1:7" ht="14.25" customHeight="1" x14ac:dyDescent="0.2">
      <c r="A35" s="149" t="s">
        <v>928</v>
      </c>
      <c r="B35" s="150">
        <f>'31st Sales Report '!N2</f>
        <v>2498390</v>
      </c>
      <c r="C35" s="150">
        <f>'31st Sales Report '!O2</f>
        <v>302</v>
      </c>
      <c r="D35" s="150">
        <v>2576790</v>
      </c>
      <c r="E35" s="150">
        <v>10</v>
      </c>
      <c r="F35" s="150">
        <v>9642</v>
      </c>
      <c r="G35" s="151">
        <f>IFERROR(F35/D35,0)</f>
        <v>3.7418648783952126E-3</v>
      </c>
    </row>
    <row r="36" spans="1:7" ht="14.25" customHeight="1" x14ac:dyDescent="0.2">
      <c r="A36" s="149"/>
      <c r="B36" s="150"/>
      <c r="C36" s="150"/>
      <c r="D36" s="150"/>
      <c r="E36" s="150"/>
      <c r="F36" s="150"/>
      <c r="G36" s="151"/>
    </row>
    <row r="37" spans="1:7" ht="14.25" customHeight="1" x14ac:dyDescent="0.2">
      <c r="A37" s="152" t="s">
        <v>929</v>
      </c>
      <c r="B37" s="150">
        <v>174324840</v>
      </c>
      <c r="C37" s="150">
        <v>21438</v>
      </c>
      <c r="D37" s="150">
        <v>187674790</v>
      </c>
      <c r="E37" s="150">
        <v>300</v>
      </c>
      <c r="F37" s="150">
        <v>3717623</v>
      </c>
      <c r="G37" s="151">
        <f>IFERROR(F37/D37,0)</f>
        <v>1.9808856586438699E-2</v>
      </c>
    </row>
    <row r="38" spans="1:7" ht="14.25" customHeight="1" x14ac:dyDescent="0.2">
      <c r="A38" s="146"/>
      <c r="B38" s="146"/>
      <c r="C38" s="146"/>
      <c r="D38" s="146"/>
      <c r="E38" s="146"/>
      <c r="F38" s="146"/>
      <c r="G38" s="146"/>
    </row>
    <row r="39" spans="1:7" ht="14.25" customHeight="1" x14ac:dyDescent="0.2">
      <c r="A39" s="191"/>
      <c r="B39" s="191"/>
      <c r="C39" s="191"/>
      <c r="D39" s="191"/>
      <c r="E39" s="191"/>
      <c r="F39" s="191"/>
      <c r="G39" s="191"/>
    </row>
    <row r="40" spans="1:7" ht="14.25" customHeight="1" x14ac:dyDescent="0.2">
      <c r="A40" s="191"/>
      <c r="B40" s="191"/>
      <c r="C40" s="191"/>
      <c r="D40" s="191"/>
      <c r="E40" s="191"/>
      <c r="F40" s="191"/>
      <c r="G40" s="191"/>
    </row>
    <row r="41" spans="1:7" ht="14.25" customHeight="1" x14ac:dyDescent="0.2">
      <c r="A41" s="191"/>
      <c r="B41" s="191"/>
      <c r="C41" s="191"/>
      <c r="D41" s="191"/>
      <c r="E41" s="191"/>
      <c r="F41" s="191"/>
      <c r="G41" s="191"/>
    </row>
  </sheetData>
  <mergeCells count="1">
    <mergeCell ref="A39:G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tmpA1A6</vt:lpstr>
      <vt:lpstr>tmp32C7</vt:lpstr>
      <vt:lpstr>tmp3F5D</vt:lpstr>
      <vt:lpstr>tmpCEF3</vt:lpstr>
      <vt:lpstr>July 1st Sales Report</vt:lpstr>
      <vt:lpstr>July 2nd Sales Report</vt:lpstr>
      <vt:lpstr>July 3rd Sales Report</vt:lpstr>
      <vt:lpstr>July 4th Sales Report </vt:lpstr>
      <vt:lpstr>July 5th Sales Report</vt:lpstr>
      <vt:lpstr>July 6th Sales Report</vt:lpstr>
      <vt:lpstr>July 7th Sales Report</vt:lpstr>
      <vt:lpstr>July 8th Sales Report</vt:lpstr>
      <vt:lpstr>July 9th Sales Report</vt:lpstr>
      <vt:lpstr>July 10th Sales Report</vt:lpstr>
      <vt:lpstr>July 11th Sales Report</vt:lpstr>
      <vt:lpstr>July 12th Sales Report</vt:lpstr>
      <vt:lpstr>July 13th Sales Report</vt:lpstr>
      <vt:lpstr>July 14th Sales Report</vt:lpstr>
      <vt:lpstr>July 15th Sales Report</vt:lpstr>
      <vt:lpstr>July 16th Sales Report</vt:lpstr>
      <vt:lpstr>July 17th Sales Report</vt:lpstr>
      <vt:lpstr>July 18th Sales Report</vt:lpstr>
      <vt:lpstr>July 19th Sales Report</vt:lpstr>
      <vt:lpstr>July 20th Sales Report</vt:lpstr>
      <vt:lpstr>July 21st Sales Report</vt:lpstr>
      <vt:lpstr>July 22nd Sales Report</vt:lpstr>
      <vt:lpstr>July 23rd Sales Report</vt:lpstr>
      <vt:lpstr>July 24th Sales Report</vt:lpstr>
      <vt:lpstr>July 25th Sales Report</vt:lpstr>
      <vt:lpstr>July 26th Sales Report</vt:lpstr>
      <vt:lpstr>July 27th Sales Report</vt:lpstr>
      <vt:lpstr>July 28th Sales Report</vt:lpstr>
      <vt:lpstr>29th Sales Report</vt:lpstr>
      <vt:lpstr>30th Sales Report</vt:lpstr>
      <vt:lpstr>31st Sales Report </vt:lpstr>
      <vt:lpstr>Product</vt:lpstr>
      <vt:lpstr>Marketers</vt:lpstr>
      <vt:lpstr>Volume Price Analysis (Cost)</vt:lpstr>
      <vt:lpstr>Sales Return Analysis</vt:lpstr>
      <vt:lpstr>Aggregate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USER</cp:lastModifiedBy>
  <cp:revision>7</cp:revision>
  <dcterms:created xsi:type="dcterms:W3CDTF">2026-07-30T14:16:36Z</dcterms:created>
  <dcterms:modified xsi:type="dcterms:W3CDTF">2026-08-13T15:31:35Z</dcterms:modified>
  <dc:language>en-US</dc:language>
</cp:coreProperties>
</file>